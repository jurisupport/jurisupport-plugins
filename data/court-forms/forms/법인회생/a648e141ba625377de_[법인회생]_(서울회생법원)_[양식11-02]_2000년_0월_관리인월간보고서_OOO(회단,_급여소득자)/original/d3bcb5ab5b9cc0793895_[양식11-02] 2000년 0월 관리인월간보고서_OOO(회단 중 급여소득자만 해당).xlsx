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관리위원\허가신청서 재정비(2024. 10)_판사님 Review후\"/>
    </mc:Choice>
  </mc:AlternateContent>
  <bookViews>
    <workbookView xWindow="-120" yWindow="-120" windowWidth="29040" windowHeight="15840" tabRatio="760" activeTab="6"/>
  </bookViews>
  <sheets>
    <sheet name="표지" sheetId="14" r:id="rId1"/>
    <sheet name="목차" sheetId="18" r:id="rId2"/>
    <sheet name="1.자금수지표총괄" sheetId="19" r:id="rId3"/>
    <sheet name="2.자금수지명세" sheetId="21" r:id="rId4"/>
    <sheet name="3.당월주요사항" sheetId="24" r:id="rId5"/>
    <sheet name="4.허가사항" sheetId="25" r:id="rId6"/>
    <sheet name="5.지출내역" sheetId="26" r:id="rId7"/>
    <sheet name="5.일일지출" sheetId="27" r:id="rId8"/>
    <sheet name="6.시재" sheetId="28" r:id="rId9"/>
    <sheet name="국민(846)_신고계좌" sheetId="34" r:id="rId10"/>
    <sheet name="우리(152_국민연금)" sheetId="35" r:id="rId11"/>
    <sheet name="농협(823)" sheetId="33" r:id="rId12"/>
  </sheets>
  <definedNames>
    <definedName name="_xlnm.Print_Area" localSheetId="2">'1.자금수지표총괄'!$A$1:$J$25</definedName>
    <definedName name="_xlnm.Print_Area" localSheetId="3">'2.자금수지명세'!$A$1:$F$28</definedName>
    <definedName name="_xlnm.Print_Area" localSheetId="5">'4.허가사항'!$A$1:$G$32</definedName>
    <definedName name="_xlnm.Print_Area" localSheetId="6">'5.지출내역'!$A$1:$G$32</definedName>
    <definedName name="_xlnm.Print_Area" localSheetId="8">'6.시재'!$A$1:$E$20</definedName>
    <definedName name="_xlnm.Print_Area" localSheetId="1">목차!$A$1:$AJ$28</definedName>
    <definedName name="_xlnm.Print_Area" localSheetId="0">표지!$A$1:$AJ$35</definedName>
    <definedName name="_xlnm.Print_Titles" localSheetId="7">'5.일일지출'!$29:$30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0" i="21" l="1"/>
  <c r="H23" i="19" l="1"/>
  <c r="H13" i="19" l="1"/>
  <c r="H12" i="19"/>
  <c r="C15" i="21"/>
  <c r="C13" i="21"/>
  <c r="C6" i="21"/>
  <c r="E17" i="21"/>
  <c r="D17" i="21"/>
  <c r="D16" i="21"/>
  <c r="D15" i="21"/>
  <c r="D14" i="21"/>
  <c r="D13" i="21"/>
  <c r="E10" i="26"/>
  <c r="D10" i="26"/>
  <c r="F26" i="27"/>
  <c r="D8" i="28"/>
  <c r="F19" i="27"/>
  <c r="G18" i="27"/>
  <c r="G19" i="27"/>
  <c r="G20" i="27"/>
  <c r="G21" i="27"/>
  <c r="G22" i="27"/>
  <c r="G23" i="27"/>
  <c r="G24" i="27"/>
  <c r="F18" i="27"/>
  <c r="F20" i="27"/>
  <c r="F21" i="27"/>
  <c r="F22" i="27"/>
  <c r="F23" i="27"/>
  <c r="F17" i="27"/>
  <c r="G17" i="27"/>
  <c r="G56" i="27"/>
  <c r="D11" i="21" l="1"/>
  <c r="E13" i="35"/>
  <c r="D13" i="35"/>
  <c r="E15" i="34"/>
  <c r="F15" i="34"/>
  <c r="F20" i="33"/>
  <c r="F19" i="33"/>
  <c r="F18" i="33"/>
  <c r="F17" i="33"/>
  <c r="F16" i="33" s="1"/>
  <c r="F15" i="33" s="1"/>
  <c r="F14" i="33" s="1"/>
  <c r="F13" i="33" s="1"/>
  <c r="F12" i="33" s="1"/>
  <c r="F11" i="33" s="1"/>
  <c r="F10" i="33" s="1"/>
  <c r="F9" i="33" s="1"/>
  <c r="D12" i="21"/>
  <c r="C12" i="21"/>
  <c r="C7" i="21" l="1"/>
  <c r="E32" i="26"/>
  <c r="G14" i="19"/>
  <c r="F14" i="19"/>
  <c r="G10" i="19" l="1"/>
  <c r="G23" i="19" s="1"/>
  <c r="F10" i="19"/>
  <c r="H10" i="19" l="1"/>
  <c r="H14" i="19" s="1"/>
  <c r="F23" i="19"/>
  <c r="D7" i="21"/>
  <c r="E7" i="26" l="1"/>
  <c r="G32" i="25"/>
  <c r="E16" i="21"/>
  <c r="G23" i="25"/>
  <c r="E15" i="21"/>
  <c r="F24" i="27"/>
  <c r="F25" i="27"/>
  <c r="G25" i="27"/>
  <c r="F16" i="27"/>
  <c r="C13" i="28"/>
  <c r="B13" i="28"/>
  <c r="E11" i="21"/>
  <c r="E8" i="21"/>
  <c r="A5" i="27"/>
  <c r="A29" i="27"/>
  <c r="A13" i="27"/>
  <c r="A22" i="26"/>
  <c r="A14" i="26"/>
  <c r="A5" i="26"/>
  <c r="A3" i="21"/>
  <c r="A3" i="24"/>
  <c r="A26" i="25"/>
  <c r="A19" i="25"/>
  <c r="A5" i="25"/>
  <c r="G16" i="27"/>
  <c r="E9" i="21"/>
  <c r="E12" i="25"/>
  <c r="E7" i="25"/>
  <c r="E13" i="25" s="1"/>
  <c r="E15" i="25" s="1"/>
  <c r="E14" i="25"/>
  <c r="D14" i="25"/>
  <c r="D13" i="25"/>
  <c r="D15" i="25" s="1"/>
  <c r="D12" i="25"/>
  <c r="D9" i="25"/>
  <c r="E9" i="26"/>
  <c r="E7" i="21"/>
  <c r="G26" i="27" l="1"/>
  <c r="E9" i="25"/>
  <c r="E11" i="26"/>
  <c r="C25" i="21"/>
  <c r="C26" i="21" s="1"/>
  <c r="D6" i="21" s="1"/>
  <c r="E13" i="21"/>
  <c r="E6" i="21" l="1"/>
  <c r="E14" i="21"/>
  <c r="D26" i="21"/>
  <c r="D13" i="28" s="1"/>
  <c r="D15" i="28" s="1"/>
  <c r="D11" i="26"/>
  <c r="E26" i="21" l="1"/>
  <c r="D25" i="21"/>
  <c r="E25" i="21" s="1"/>
  <c r="E12" i="21"/>
</calcChain>
</file>

<file path=xl/comments1.xml><?xml version="1.0" encoding="utf-8"?>
<comments xmlns="http://schemas.openxmlformats.org/spreadsheetml/2006/main">
  <authors>
    <author>Park Jong Sik</author>
  </authors>
  <commentList>
    <comment ref="A3" authorId="0" shapeId="0">
      <text>
        <r>
          <rPr>
            <b/>
            <sz val="9"/>
            <color indexed="81"/>
            <rFont val="Tahoma"/>
            <family val="2"/>
          </rPr>
          <t>Park Jong Sik: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이곳만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시트는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</t>
        </r>
      </text>
    </comment>
  </commentList>
</comments>
</file>

<file path=xl/sharedStrings.xml><?xml version="1.0" encoding="utf-8"?>
<sst xmlns="http://schemas.openxmlformats.org/spreadsheetml/2006/main" count="516" uniqueCount="368">
  <si>
    <t>비 고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</si>
  <si>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</si>
  <si>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</si>
  <si>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</si>
  <si>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자금수지 실적 명세</t>
    <phoneticPr fontId="3" type="noConversion"/>
  </si>
  <si>
    <t>허가사항 (총괄)</t>
    <phoneticPr fontId="3" type="noConversion"/>
  </si>
  <si>
    <t>법원 허가사항 명세</t>
    <phoneticPr fontId="3" type="noConversion"/>
  </si>
  <si>
    <t>관리위원 허가사항 명세</t>
    <phoneticPr fontId="3" type="noConversion"/>
  </si>
  <si>
    <t>금원 지출 총괄표</t>
    <phoneticPr fontId="3" type="noConversion"/>
  </si>
  <si>
    <t>법원 허가사항 지출 내용</t>
    <phoneticPr fontId="3" type="noConversion"/>
  </si>
  <si>
    <t>관리위원 허가사항 지출 내용</t>
    <phoneticPr fontId="3" type="noConversion"/>
  </si>
  <si>
    <t>1.</t>
    <phoneticPr fontId="3" type="noConversion"/>
  </si>
  <si>
    <t>2.</t>
    <phoneticPr fontId="3" type="noConversion"/>
  </si>
  <si>
    <t>자금수지표 총괄</t>
    <phoneticPr fontId="3" type="noConversion"/>
  </si>
  <si>
    <t>당해 월에 발생한 주요사항</t>
    <phoneticPr fontId="3" type="noConversion"/>
  </si>
  <si>
    <t xml:space="preserve">허가사항 </t>
    <phoneticPr fontId="3" type="noConversion"/>
  </si>
  <si>
    <t>금원 지출 내역</t>
    <phoneticPr fontId="3" type="noConversion"/>
  </si>
  <si>
    <t>시재보유현황</t>
    <phoneticPr fontId="3" type="noConversion"/>
  </si>
  <si>
    <t>시재보유자료</t>
    <phoneticPr fontId="3" type="noConversion"/>
  </si>
  <si>
    <t>실 적</t>
    <phoneticPr fontId="3" type="noConversion"/>
  </si>
  <si>
    <t>1/4
분기</t>
    <phoneticPr fontId="3" type="noConversion"/>
  </si>
  <si>
    <t>1월</t>
    <phoneticPr fontId="3" type="noConversion"/>
  </si>
  <si>
    <t>2월</t>
  </si>
  <si>
    <t>3월</t>
  </si>
  <si>
    <t>소계</t>
  </si>
  <si>
    <t>2/4
분기</t>
    <phoneticPr fontId="3" type="noConversion"/>
  </si>
  <si>
    <t>4월</t>
    <phoneticPr fontId="3" type="noConversion"/>
  </si>
  <si>
    <t>5월</t>
  </si>
  <si>
    <t>6월</t>
  </si>
  <si>
    <t>3/4
분기</t>
    <phoneticPr fontId="3" type="noConversion"/>
  </si>
  <si>
    <t>8월</t>
  </si>
  <si>
    <t>9월</t>
  </si>
  <si>
    <t>4/4
분기</t>
    <phoneticPr fontId="3" type="noConversion"/>
  </si>
  <si>
    <t>10월</t>
    <phoneticPr fontId="3" type="noConversion"/>
  </si>
  <si>
    <t>11월</t>
  </si>
  <si>
    <t>12월</t>
  </si>
  <si>
    <t>합계</t>
  </si>
  <si>
    <t>구 분</t>
    <phoneticPr fontId="3" type="noConversion"/>
  </si>
  <si>
    <t>회 생 계 획</t>
    <phoneticPr fontId="3" type="noConversion"/>
  </si>
  <si>
    <t>수 입</t>
    <phoneticPr fontId="3" type="noConversion"/>
  </si>
  <si>
    <t>지 출</t>
    <phoneticPr fontId="3" type="noConversion"/>
  </si>
  <si>
    <t>이월잔액
(자금수지)</t>
    <phoneticPr fontId="3" type="noConversion"/>
  </si>
  <si>
    <t>수 입</t>
    <phoneticPr fontId="3" type="noConversion"/>
  </si>
  <si>
    <t>지 출</t>
    <phoneticPr fontId="3" type="noConversion"/>
  </si>
  <si>
    <t>달성율</t>
    <phoneticPr fontId="3" type="noConversion"/>
  </si>
  <si>
    <t>전기이월잔액</t>
    <phoneticPr fontId="3" type="noConversion"/>
  </si>
  <si>
    <t>(단위 : 원)</t>
    <phoneticPr fontId="3" type="noConversion"/>
  </si>
  <si>
    <t>전월실적</t>
    <phoneticPr fontId="3" type="noConversion"/>
  </si>
  <si>
    <t>금월실적</t>
    <phoneticPr fontId="3" type="noConversion"/>
  </si>
  <si>
    <t>비  고</t>
    <phoneticPr fontId="3" type="noConversion"/>
  </si>
  <si>
    <t>1. 전월이월잔액</t>
    <phoneticPr fontId="3" type="noConversion"/>
  </si>
  <si>
    <t>2. 수입계</t>
    <phoneticPr fontId="3" type="noConversion"/>
  </si>
  <si>
    <t>기타</t>
    <phoneticPr fontId="3" type="noConversion"/>
  </si>
  <si>
    <t>3. 지출계</t>
    <phoneticPr fontId="3" type="noConversion"/>
  </si>
  <si>
    <t>4. 수입지출차액</t>
    <phoneticPr fontId="3" type="noConversion"/>
  </si>
  <si>
    <t>5. 차기이월잔액</t>
    <phoneticPr fontId="3" type="noConversion"/>
  </si>
  <si>
    <t>구 분</t>
    <phoneticPr fontId="3" type="noConversion"/>
  </si>
  <si>
    <t>추진사항 및 향후 계획</t>
    <phoneticPr fontId="3" type="noConversion"/>
  </si>
  <si>
    <t>회생절차
진행</t>
    <phoneticPr fontId="3" type="noConversion"/>
  </si>
  <si>
    <t>경영일반</t>
    <phoneticPr fontId="3" type="noConversion"/>
  </si>
  <si>
    <t>기타사항</t>
    <phoneticPr fontId="3" type="noConversion"/>
  </si>
  <si>
    <t>(단위 : 원)</t>
    <phoneticPr fontId="3" type="noConversion"/>
  </si>
  <si>
    <t>허가건수</t>
    <phoneticPr fontId="3" type="noConversion"/>
  </si>
  <si>
    <t>법원허가</t>
    <phoneticPr fontId="3" type="noConversion"/>
  </si>
  <si>
    <t>금전관련</t>
    <phoneticPr fontId="3" type="noConversion"/>
  </si>
  <si>
    <t>관리위원
허가위임</t>
    <phoneticPr fontId="3" type="noConversion"/>
  </si>
  <si>
    <t>합계</t>
    <phoneticPr fontId="3" type="noConversion"/>
  </si>
  <si>
    <t>금전관련</t>
    <phoneticPr fontId="3" type="noConversion"/>
  </si>
  <si>
    <t>주) 접수취하문서와 당월에 허가신청을 하였더라도 익월에 허가된 사항은 제외하였습니다.</t>
    <phoneticPr fontId="3" type="noConversion"/>
  </si>
  <si>
    <t>년월일</t>
    <phoneticPr fontId="3" type="noConversion"/>
  </si>
  <si>
    <t>문서번호</t>
    <phoneticPr fontId="3" type="noConversion"/>
  </si>
  <si>
    <t>합계</t>
    <phoneticPr fontId="3" type="noConversion"/>
  </si>
  <si>
    <t>항 목</t>
    <phoneticPr fontId="3" type="noConversion"/>
  </si>
  <si>
    <t>일 자</t>
    <phoneticPr fontId="3" type="noConversion"/>
  </si>
  <si>
    <t>구 분</t>
    <phoneticPr fontId="3" type="noConversion"/>
  </si>
  <si>
    <t>금 액</t>
    <phoneticPr fontId="3" type="noConversion"/>
  </si>
  <si>
    <t>내 역</t>
    <phoneticPr fontId="3" type="noConversion"/>
  </si>
  <si>
    <t>비 고</t>
    <phoneticPr fontId="3" type="noConversion"/>
  </si>
  <si>
    <t>제 목</t>
    <phoneticPr fontId="3" type="noConversion"/>
  </si>
  <si>
    <t>금 액</t>
    <phoneticPr fontId="3" type="noConversion"/>
  </si>
  <si>
    <t>금 액</t>
    <phoneticPr fontId="3" type="noConversion"/>
  </si>
  <si>
    <t>제 목</t>
    <phoneticPr fontId="3" type="noConversion"/>
  </si>
  <si>
    <t>합 계</t>
    <phoneticPr fontId="3" type="noConversion"/>
  </si>
  <si>
    <t>(단위 : 원)</t>
    <phoneticPr fontId="3" type="noConversion"/>
  </si>
  <si>
    <t>(1)</t>
    <phoneticPr fontId="3" type="noConversion"/>
  </si>
  <si>
    <t>법원 허가사항</t>
    <phoneticPr fontId="3" type="noConversion"/>
  </si>
  <si>
    <t>(2)</t>
  </si>
  <si>
    <t>관리위원 허가사항</t>
    <phoneticPr fontId="3" type="noConversion"/>
  </si>
  <si>
    <t>(3)</t>
  </si>
  <si>
    <t>(4)</t>
  </si>
  <si>
    <t>번호</t>
    <phoneticPr fontId="3" type="noConversion"/>
  </si>
  <si>
    <t>지출일자</t>
    <phoneticPr fontId="3" type="noConversion"/>
  </si>
  <si>
    <t>거래처 및 내용</t>
    <phoneticPr fontId="3" type="noConversion"/>
  </si>
  <si>
    <t>건수</t>
    <phoneticPr fontId="3" type="noConversion"/>
  </si>
  <si>
    <t>지출금액</t>
    <phoneticPr fontId="3" type="noConversion"/>
  </si>
  <si>
    <t>건 수</t>
    <phoneticPr fontId="3" type="noConversion"/>
  </si>
  <si>
    <t>비 고</t>
    <phoneticPr fontId="3" type="noConversion"/>
  </si>
  <si>
    <t>합 계</t>
    <phoneticPr fontId="3" type="noConversion"/>
  </si>
  <si>
    <t>거래처</t>
    <phoneticPr fontId="3" type="noConversion"/>
  </si>
  <si>
    <t>지출금액</t>
    <phoneticPr fontId="3" type="noConversion"/>
  </si>
  <si>
    <t>(단위 : 원)</t>
    <phoneticPr fontId="3" type="noConversion"/>
  </si>
  <si>
    <t>계정과목</t>
    <phoneticPr fontId="3" type="noConversion"/>
  </si>
  <si>
    <t>거래처</t>
    <phoneticPr fontId="3" type="noConversion"/>
  </si>
  <si>
    <t>지출금액</t>
    <phoneticPr fontId="3" type="noConversion"/>
  </si>
  <si>
    <t>(단위 : 원)</t>
    <phoneticPr fontId="3" type="noConversion"/>
  </si>
  <si>
    <t>번호</t>
  </si>
  <si>
    <t>계정과목</t>
    <phoneticPr fontId="3" type="noConversion"/>
  </si>
  <si>
    <t>거래처명</t>
    <phoneticPr fontId="3" type="noConversion"/>
  </si>
  <si>
    <t>지출금액</t>
    <phoneticPr fontId="3" type="noConversion"/>
  </si>
  <si>
    <t>합 계</t>
    <phoneticPr fontId="3" type="noConversion"/>
  </si>
  <si>
    <t>번호</t>
    <phoneticPr fontId="3" type="noConversion"/>
  </si>
  <si>
    <t>내 용</t>
    <phoneticPr fontId="3" type="noConversion"/>
  </si>
  <si>
    <t>건 수</t>
    <phoneticPr fontId="3" type="noConversion"/>
  </si>
  <si>
    <t>내 용</t>
    <phoneticPr fontId="3" type="noConversion"/>
  </si>
  <si>
    <t>적 요</t>
    <phoneticPr fontId="3" type="noConversion"/>
  </si>
  <si>
    <t>순번</t>
    <phoneticPr fontId="3" type="noConversion"/>
  </si>
  <si>
    <t>보관장소</t>
    <phoneticPr fontId="3" type="noConversion"/>
  </si>
  <si>
    <t>계좌번호</t>
    <phoneticPr fontId="3" type="noConversion"/>
  </si>
  <si>
    <t>합 계</t>
    <phoneticPr fontId="3" type="noConversion"/>
  </si>
  <si>
    <t>순번</t>
    <phoneticPr fontId="3" type="noConversion"/>
  </si>
  <si>
    <t>거래은행</t>
    <phoneticPr fontId="3" type="noConversion"/>
  </si>
  <si>
    <t>현 금</t>
    <phoneticPr fontId="3" type="noConversion"/>
  </si>
  <si>
    <t>잔 액(원)</t>
    <phoneticPr fontId="3" type="noConversion"/>
  </si>
  <si>
    <t>비 고</t>
    <phoneticPr fontId="3" type="noConversion"/>
  </si>
  <si>
    <t>별첨 서류</t>
    <phoneticPr fontId="3" type="noConversion"/>
  </si>
  <si>
    <t>3. 당해 월에 발생한 주요사항</t>
    <phoneticPr fontId="3" type="noConversion"/>
  </si>
  <si>
    <t>1. 자금수지표 총괄</t>
    <phoneticPr fontId="3" type="noConversion"/>
  </si>
  <si>
    <t>2. 자금수지 실적 명세표</t>
    <phoneticPr fontId="3" type="noConversion"/>
  </si>
  <si>
    <t>4. 허가사항</t>
    <phoneticPr fontId="3" type="noConversion"/>
  </si>
  <si>
    <t>4-1. 허가사항 (총괄)</t>
    <phoneticPr fontId="3" type="noConversion"/>
  </si>
  <si>
    <t>4-2. 법원허가사항 명세</t>
    <phoneticPr fontId="3" type="noConversion"/>
  </si>
  <si>
    <t>4-3. 관리위원 허가사항 명세</t>
    <phoneticPr fontId="3" type="noConversion"/>
  </si>
  <si>
    <t>5. 금원 지출 내역</t>
    <phoneticPr fontId="3" type="noConversion"/>
  </si>
  <si>
    <r>
      <t xml:space="preserve">     </t>
    </r>
    <r>
      <rPr>
        <b/>
        <sz val="14"/>
        <rFont val="휴먼명조"/>
        <family val="3"/>
        <charset val="129"/>
      </rPr>
      <t>5</t>
    </r>
    <r>
      <rPr>
        <b/>
        <sz val="14"/>
        <rFont val="휴먼명조"/>
        <family val="3"/>
        <charset val="129"/>
      </rPr>
      <t>-1. 금원 지출 총괄표</t>
    </r>
    <phoneticPr fontId="3" type="noConversion"/>
  </si>
  <si>
    <r>
      <t xml:space="preserve">     </t>
    </r>
    <r>
      <rPr>
        <b/>
        <sz val="14"/>
        <rFont val="휴먼명조"/>
        <family val="3"/>
        <charset val="129"/>
      </rPr>
      <t>5</t>
    </r>
    <r>
      <rPr>
        <b/>
        <sz val="14"/>
        <rFont val="휴먼명조"/>
        <family val="3"/>
        <charset val="129"/>
      </rPr>
      <t>-2. 법원 허가사항 지출 내용</t>
    </r>
    <phoneticPr fontId="3" type="noConversion"/>
  </si>
  <si>
    <r>
      <t xml:space="preserve">    </t>
    </r>
    <r>
      <rPr>
        <b/>
        <sz val="14"/>
        <rFont val="휴먼명조"/>
        <family val="3"/>
        <charset val="129"/>
      </rPr>
      <t>5</t>
    </r>
    <r>
      <rPr>
        <b/>
        <sz val="14"/>
        <rFont val="휴먼명조"/>
        <family val="3"/>
        <charset val="129"/>
      </rPr>
      <t>-3.  관리위원 허가사항 지출 내용</t>
    </r>
    <phoneticPr fontId="3" type="noConversion"/>
  </si>
  <si>
    <r>
      <rPr>
        <b/>
        <sz val="12"/>
        <rFont val="휴먼명조"/>
        <family val="3"/>
        <charset val="129"/>
      </rPr>
      <t>3</t>
    </r>
    <r>
      <rPr>
        <b/>
        <sz val="12"/>
        <rFont val="휴먼명조"/>
        <family val="3"/>
        <charset val="129"/>
      </rPr>
      <t>.</t>
    </r>
    <phoneticPr fontId="3" type="noConversion"/>
  </si>
  <si>
    <r>
      <rPr>
        <b/>
        <sz val="12"/>
        <rFont val="휴먼명조"/>
        <family val="3"/>
        <charset val="129"/>
      </rPr>
      <t>4</t>
    </r>
    <r>
      <rPr>
        <b/>
        <sz val="12"/>
        <rFont val="휴먼명조"/>
        <family val="3"/>
        <charset val="129"/>
      </rPr>
      <t>.</t>
    </r>
    <phoneticPr fontId="3" type="noConversion"/>
  </si>
  <si>
    <t>4-1.</t>
    <phoneticPr fontId="3" type="noConversion"/>
  </si>
  <si>
    <t>4-2.</t>
    <phoneticPr fontId="3" type="noConversion"/>
  </si>
  <si>
    <t>4-3.</t>
    <phoneticPr fontId="3" type="noConversion"/>
  </si>
  <si>
    <r>
      <rPr>
        <b/>
        <sz val="12"/>
        <rFont val="휴먼명조"/>
        <family val="3"/>
        <charset val="129"/>
      </rPr>
      <t>5</t>
    </r>
    <r>
      <rPr>
        <b/>
        <sz val="12"/>
        <rFont val="휴먼명조"/>
        <family val="3"/>
        <charset val="129"/>
      </rPr>
      <t>.</t>
    </r>
    <phoneticPr fontId="3" type="noConversion"/>
  </si>
  <si>
    <t>5-1.</t>
    <phoneticPr fontId="3" type="noConversion"/>
  </si>
  <si>
    <t>5-2.</t>
    <phoneticPr fontId="3" type="noConversion"/>
  </si>
  <si>
    <t>5-3.</t>
    <phoneticPr fontId="3" type="noConversion"/>
  </si>
  <si>
    <t>5-4.</t>
    <phoneticPr fontId="3" type="noConversion"/>
  </si>
  <si>
    <t>5-5.</t>
    <phoneticPr fontId="3" type="noConversion"/>
  </si>
  <si>
    <t>5-6.</t>
    <phoneticPr fontId="3" type="noConversion"/>
  </si>
  <si>
    <t>6. 시재보유 현황</t>
    <phoneticPr fontId="3" type="noConversion"/>
  </si>
  <si>
    <t>6-1. 시재보유자료</t>
    <phoneticPr fontId="3" type="noConversion"/>
  </si>
  <si>
    <t>6.</t>
    <phoneticPr fontId="3" type="noConversion"/>
  </si>
  <si>
    <t>6-1.</t>
    <phoneticPr fontId="3" type="noConversion"/>
  </si>
  <si>
    <t>급여</t>
    <phoneticPr fontId="3" type="noConversion"/>
  </si>
  <si>
    <t>기    타</t>
    <phoneticPr fontId="3" type="noConversion"/>
  </si>
  <si>
    <t>소    계</t>
    <phoneticPr fontId="3" type="noConversion"/>
  </si>
  <si>
    <t>주거래계좌</t>
    <phoneticPr fontId="3" type="noConversion"/>
  </si>
  <si>
    <t>전월대비
증감</t>
    <phoneticPr fontId="3" type="noConversion"/>
  </si>
  <si>
    <t>합 계</t>
    <phoneticPr fontId="3" type="noConversion"/>
  </si>
  <si>
    <r>
      <t>1. 은행거래내역서           1</t>
    </r>
    <r>
      <rPr>
        <b/>
        <sz val="11"/>
        <rFont val="휴먼명조"/>
        <family val="3"/>
        <charset val="129"/>
      </rPr>
      <t>부</t>
    </r>
    <phoneticPr fontId="3" type="noConversion"/>
  </si>
  <si>
    <t>적요</t>
    <phoneticPr fontId="3" type="noConversion"/>
  </si>
  <si>
    <r>
      <t>허가금액</t>
    </r>
    <r>
      <rPr>
        <sz val="11"/>
        <rFont val="휴먼명조"/>
        <family val="3"/>
        <charset val="129"/>
      </rPr>
      <t xml:space="preserve"> </t>
    </r>
    <r>
      <rPr>
        <sz val="11"/>
        <rFont val="휴먼명조"/>
        <family val="3"/>
        <charset val="129"/>
      </rPr>
      <t>10</t>
    </r>
    <r>
      <rPr>
        <sz val="11"/>
        <rFont val="휴먼명조"/>
        <family val="3"/>
        <charset val="129"/>
      </rPr>
      <t>0만원 이상 지출 내용</t>
    </r>
    <phoneticPr fontId="3" type="noConversion"/>
  </si>
  <si>
    <r>
      <t>허가금액</t>
    </r>
    <r>
      <rPr>
        <sz val="11"/>
        <rFont val="휴먼명조"/>
        <family val="3"/>
        <charset val="129"/>
      </rPr>
      <t xml:space="preserve"> </t>
    </r>
    <r>
      <rPr>
        <sz val="11"/>
        <rFont val="휴먼명조"/>
        <family val="3"/>
        <charset val="129"/>
      </rPr>
      <t>100</t>
    </r>
    <r>
      <rPr>
        <sz val="11"/>
        <rFont val="휴먼명조"/>
        <family val="3"/>
        <charset val="129"/>
      </rPr>
      <t>만원 미만 지출 내용 (총괄)</t>
    </r>
    <phoneticPr fontId="3" type="noConversion"/>
  </si>
  <si>
    <r>
      <t>허가금액</t>
    </r>
    <r>
      <rPr>
        <sz val="11"/>
        <rFont val="휴먼명조"/>
        <family val="3"/>
        <charset val="129"/>
      </rPr>
      <t xml:space="preserve"> </t>
    </r>
    <r>
      <rPr>
        <sz val="11"/>
        <rFont val="휴먼명조"/>
        <family val="3"/>
        <charset val="129"/>
      </rPr>
      <t>10</t>
    </r>
    <r>
      <rPr>
        <sz val="11"/>
        <rFont val="휴먼명조"/>
        <family val="3"/>
        <charset val="129"/>
      </rPr>
      <t>0만원 미만 지출 내용 (세부내역)</t>
    </r>
    <phoneticPr fontId="3" type="noConversion"/>
  </si>
  <si>
    <t>허가금액이상 지출 (100만원 이상)</t>
    <phoneticPr fontId="3" type="noConversion"/>
  </si>
  <si>
    <t>허가금액미만 지출 (100만원 미만)</t>
    <phoneticPr fontId="3" type="noConversion"/>
  </si>
  <si>
    <r>
      <t xml:space="preserve">   5-</t>
    </r>
    <r>
      <rPr>
        <b/>
        <sz val="14"/>
        <rFont val="휴먼명조"/>
        <family val="3"/>
        <charset val="129"/>
      </rPr>
      <t>4</t>
    </r>
    <r>
      <rPr>
        <b/>
        <sz val="14"/>
        <rFont val="휴먼명조"/>
        <family val="3"/>
        <charset val="129"/>
      </rPr>
      <t xml:space="preserve">. </t>
    </r>
    <r>
      <rPr>
        <b/>
        <sz val="14"/>
        <rFont val="휴먼명조"/>
        <family val="3"/>
        <charset val="129"/>
      </rPr>
      <t>100</t>
    </r>
    <r>
      <rPr>
        <b/>
        <sz val="14"/>
        <rFont val="휴먼명조"/>
        <family val="3"/>
        <charset val="129"/>
      </rPr>
      <t xml:space="preserve">만원 이상 지출 내용 </t>
    </r>
    <phoneticPr fontId="3" type="noConversion"/>
  </si>
  <si>
    <r>
      <t xml:space="preserve">   5-5. </t>
    </r>
    <r>
      <rPr>
        <b/>
        <sz val="14"/>
        <rFont val="휴먼명조"/>
        <family val="3"/>
        <charset val="129"/>
      </rPr>
      <t>100</t>
    </r>
    <r>
      <rPr>
        <b/>
        <sz val="14"/>
        <rFont val="휴먼명조"/>
        <family val="3"/>
        <charset val="129"/>
      </rPr>
      <t>만원 미만 지출 내용 (총괄)</t>
    </r>
    <phoneticPr fontId="3" type="noConversion"/>
  </si>
  <si>
    <r>
      <t xml:space="preserve">   5-6.  </t>
    </r>
    <r>
      <rPr>
        <b/>
        <sz val="14"/>
        <rFont val="휴먼명조"/>
        <family val="3"/>
        <charset val="129"/>
      </rPr>
      <t>100</t>
    </r>
    <r>
      <rPr>
        <b/>
        <sz val="14"/>
        <rFont val="휴먼명조"/>
        <family val="3"/>
        <charset val="129"/>
      </rPr>
      <t>만원 미만 지출 내용 (세부내역)</t>
    </r>
    <phoneticPr fontId="3" type="noConversion"/>
  </si>
  <si>
    <t>합 계</t>
    <phoneticPr fontId="3" type="noConversion"/>
  </si>
  <si>
    <t>임차료</t>
    <phoneticPr fontId="3" type="noConversion"/>
  </si>
  <si>
    <t>7월</t>
    <phoneticPr fontId="3" type="noConversion"/>
  </si>
  <si>
    <t>-</t>
    <phoneticPr fontId="3" type="noConversion"/>
  </si>
  <si>
    <r>
      <t>(2022</t>
    </r>
    <r>
      <rPr>
        <b/>
        <sz val="14"/>
        <color indexed="8"/>
        <rFont val="휴먼명조"/>
        <family val="3"/>
        <charset val="129"/>
      </rPr>
      <t>.06.30. 기준)</t>
    </r>
    <phoneticPr fontId="3" type="noConversion"/>
  </si>
  <si>
    <t>서울회생법원 제102단독</t>
    <phoneticPr fontId="3" type="noConversion"/>
  </si>
  <si>
    <t>우리</t>
  </si>
  <si>
    <t>은행명</t>
  </si>
  <si>
    <t>계좌명</t>
  </si>
  <si>
    <t>국민연금안심저축예금(압류방지통장)</t>
  </si>
  <si>
    <t>계좌번호</t>
  </si>
  <si>
    <t>총 잔액</t>
  </si>
  <si>
    <t>출금가능금액</t>
  </si>
  <si>
    <t>거래일시</t>
  </si>
  <si>
    <t>적요</t>
  </si>
  <si>
    <t>보낸분/받는분</t>
  </si>
  <si>
    <t>출금액(원)</t>
  </si>
  <si>
    <t>입금액(원)</t>
  </si>
  <si>
    <t>잔액(원)</t>
  </si>
  <si>
    <t>2022.06.24 03:02:34</t>
  </si>
  <si>
    <t>입금</t>
  </si>
  <si>
    <t>국민연금드림</t>
  </si>
  <si>
    <t>2022.06.20 07:21:20</t>
  </si>
  <si>
    <t>출금</t>
  </si>
  <si>
    <t>2022.06.18 08:34:42</t>
  </si>
  <si>
    <t>예금결산이자</t>
  </si>
  <si>
    <t>2022.06.16 14:56:45</t>
  </si>
  <si>
    <t>2022.06.15 10:19:24</t>
  </si>
  <si>
    <r>
      <rPr>
        <b/>
        <sz val="21"/>
        <color indexed="8"/>
        <rFont val="맑은 고딕"/>
        <family val="3"/>
        <charset val="129"/>
      </rPr>
      <t xml:space="preserve">입출금거래내역 </t>
    </r>
  </si>
  <si>
    <t>입출금 거래내역은 입출금한 내용을 한번에 확인할 수 있습니다.</t>
  </si>
  <si>
    <t>예금종류</t>
  </si>
  <si>
    <t>자립예탁금</t>
  </si>
  <si>
    <t>예금주명</t>
  </si>
  <si>
    <t>통장잔액</t>
  </si>
  <si>
    <t>조회시작일</t>
  </si>
  <si>
    <t>2022/06/01</t>
  </si>
  <si>
    <t>조회종료일</t>
  </si>
  <si>
    <t>2022/06/30</t>
  </si>
  <si>
    <t>(단위: 원)</t>
  </si>
  <si>
    <t>순번</t>
  </si>
  <si>
    <t>출금금액</t>
  </si>
  <si>
    <t>입금금액</t>
  </si>
  <si>
    <t>거래후잔액</t>
  </si>
  <si>
    <t>거래내용</t>
  </si>
  <si>
    <t>거래기록사항</t>
  </si>
  <si>
    <t>거래점</t>
  </si>
  <si>
    <t>이체메모</t>
  </si>
  <si>
    <t>4</t>
  </si>
  <si>
    <r>
      <rPr>
        <sz val="8"/>
        <color indexed="8"/>
        <rFont val="굴림"/>
        <family val="3"/>
        <charset val="129"/>
      </rPr>
      <t>2022/06/26
10:33:26</t>
    </r>
  </si>
  <si>
    <t/>
  </si>
  <si>
    <r>
      <rPr>
        <sz val="8"/>
        <color indexed="8"/>
        <rFont val="굴림"/>
        <family val="3"/>
        <charset val="129"/>
      </rPr>
      <t>예금이자</t>
    </r>
  </si>
  <si>
    <r>
      <rPr>
        <sz val="8"/>
        <color indexed="8"/>
        <rFont val="굴림"/>
        <family val="3"/>
        <charset val="129"/>
      </rPr>
      <t>농협
237095</t>
    </r>
  </si>
  <si>
    <t>5</t>
  </si>
  <si>
    <r>
      <rPr>
        <sz val="8"/>
        <color indexed="8"/>
        <rFont val="굴림"/>
        <family val="3"/>
        <charset val="129"/>
      </rPr>
      <t>2022/06/25
19:41:49</t>
    </r>
  </si>
  <si>
    <r>
      <rPr>
        <sz val="8"/>
        <color indexed="8"/>
        <rFont val="굴림"/>
        <family val="3"/>
        <charset val="129"/>
      </rPr>
      <t>NH체크</t>
    </r>
  </si>
  <si>
    <t>6</t>
  </si>
  <si>
    <r>
      <rPr>
        <sz val="8"/>
        <color indexed="8"/>
        <rFont val="굴림"/>
        <family val="3"/>
        <charset val="129"/>
      </rPr>
      <t>2022/06/18
11:52:02</t>
    </r>
  </si>
  <si>
    <t>7</t>
  </si>
  <si>
    <r>
      <rPr>
        <sz val="8"/>
        <color indexed="8"/>
        <rFont val="굴림"/>
        <family val="3"/>
        <charset val="129"/>
      </rPr>
      <t>2022/06/17
19:06:20</t>
    </r>
  </si>
  <si>
    <t>8</t>
  </si>
  <si>
    <r>
      <rPr>
        <sz val="8"/>
        <color indexed="8"/>
        <rFont val="굴림"/>
        <family val="3"/>
        <charset val="129"/>
      </rPr>
      <t>2022/06/15
19:14:07</t>
    </r>
  </si>
  <si>
    <r>
      <rPr>
        <sz val="8"/>
        <color indexed="8"/>
        <rFont val="굴림"/>
        <family val="3"/>
        <charset val="129"/>
      </rPr>
      <t>보험료</t>
    </r>
  </si>
  <si>
    <r>
      <rPr>
        <sz val="8"/>
        <color indexed="8"/>
        <rFont val="굴림"/>
        <family val="3"/>
        <charset val="129"/>
      </rPr>
      <t>농협
000033</t>
    </r>
  </si>
  <si>
    <t>11</t>
  </si>
  <si>
    <r>
      <rPr>
        <sz val="8"/>
        <color indexed="8"/>
        <rFont val="굴림"/>
        <family val="3"/>
        <charset val="129"/>
      </rPr>
      <t>2022/06/10
19:13:52</t>
    </r>
  </si>
  <si>
    <r>
      <rPr>
        <sz val="8"/>
        <color indexed="8"/>
        <rFont val="굴림"/>
        <family val="3"/>
        <charset val="129"/>
      </rPr>
      <t>대출이자</t>
    </r>
  </si>
  <si>
    <r>
      <rPr>
        <sz val="8"/>
        <color indexed="8"/>
        <rFont val="굴림"/>
        <family val="3"/>
        <charset val="129"/>
      </rPr>
      <t>농협
000083</t>
    </r>
  </si>
  <si>
    <t>12</t>
  </si>
  <si>
    <r>
      <rPr>
        <sz val="8"/>
        <color indexed="8"/>
        <rFont val="굴림"/>
        <family val="3"/>
        <charset val="129"/>
      </rPr>
      <t>2022/06/10
19:07:34</t>
    </r>
  </si>
  <si>
    <r>
      <rPr>
        <sz val="8"/>
        <color indexed="8"/>
        <rFont val="굴림"/>
        <family val="3"/>
        <charset val="129"/>
      </rPr>
      <t>농협
000058</t>
    </r>
  </si>
  <si>
    <t>13</t>
  </si>
  <si>
    <t>14</t>
  </si>
  <si>
    <t>15</t>
  </si>
  <si>
    <t>16</t>
  </si>
  <si>
    <r>
      <rPr>
        <sz val="8"/>
        <color indexed="8"/>
        <rFont val="굴림"/>
        <family val="3"/>
        <charset val="129"/>
      </rPr>
      <t>2022/06/10
07:29:59</t>
    </r>
  </si>
  <si>
    <r>
      <rPr>
        <sz val="8"/>
        <color indexed="8"/>
        <rFont val="굴림"/>
        <family val="3"/>
        <charset val="129"/>
      </rPr>
      <t>통지수수료</t>
    </r>
  </si>
  <si>
    <r>
      <rPr>
        <sz val="8"/>
        <color indexed="8"/>
        <rFont val="굴림"/>
        <family val="3"/>
        <charset val="129"/>
      </rPr>
      <t>UMS수수료</t>
    </r>
  </si>
  <si>
    <t>17</t>
  </si>
  <si>
    <r>
      <rPr>
        <sz val="8"/>
        <color indexed="8"/>
        <rFont val="굴림"/>
        <family val="3"/>
        <charset val="129"/>
      </rPr>
      <t>2022/06/07
15:31:11</t>
    </r>
  </si>
  <si>
    <r>
      <rPr>
        <sz val="8"/>
        <color indexed="8"/>
        <rFont val="굴림"/>
        <family val="3"/>
        <charset val="129"/>
      </rPr>
      <t>폰국민은행</t>
    </r>
  </si>
  <si>
    <r>
      <rPr>
        <sz val="8"/>
        <color indexed="8"/>
        <rFont val="굴림"/>
        <family val="3"/>
        <charset val="129"/>
      </rPr>
      <t>국민
0042709</t>
    </r>
  </si>
  <si>
    <t>18</t>
  </si>
  <si>
    <r>
      <rPr>
        <sz val="8"/>
        <color indexed="8"/>
        <rFont val="굴림"/>
        <family val="3"/>
        <charset val="129"/>
      </rPr>
      <t>2022/06/03
12:55:39</t>
    </r>
  </si>
  <si>
    <t>· 고객님이 요청하신 대로 위와 같이 처리되었습니다.
· 본 확인증은 고객님의 편의를 위하여 제공되는 것으로 법적 효력은 없습니다.
· 농협 인터넷뱅킹을 이용해 주셔서 대단히 감사합니다.</t>
  </si>
  <si>
    <t>농협</t>
    <phoneticPr fontId="3" type="noConversion"/>
  </si>
  <si>
    <t> 　</t>
  </si>
  <si>
    <t> 기업2</t>
  </si>
  <si>
    <t> 기타입금</t>
  </si>
  <si>
    <t> 증권입금</t>
  </si>
  <si>
    <t>2022.06.02 18:41:49</t>
  </si>
  <si>
    <t> 안성</t>
  </si>
  <si>
    <t> 이자세금:원</t>
  </si>
  <si>
    <t> 결산이자</t>
  </si>
  <si>
    <t>2022.06.11 00:54:51</t>
  </si>
  <si>
    <t> 5월급여</t>
  </si>
  <si>
    <t> 전자금융</t>
  </si>
  <si>
    <t>2022.06.28 18:08:02</t>
  </si>
  <si>
    <t> 재발행수수료</t>
  </si>
  <si>
    <t> 대체출금</t>
  </si>
  <si>
    <t>2022.06.29 09:55:32</t>
  </si>
  <si>
    <t> ATM출금</t>
  </si>
  <si>
    <t>2022.06.29 10:02:48</t>
  </si>
  <si>
    <t> KB카드</t>
  </si>
  <si>
    <t> 체크카드</t>
  </si>
  <si>
    <t>2022.06.29 10:11:49</t>
  </si>
  <si>
    <t>2022.06.29 10:31:01</t>
  </si>
  <si>
    <t>2022.06.29 17:30:51</t>
  </si>
  <si>
    <t> 스마트출금</t>
  </si>
  <si>
    <t>2022.06.30 10:07:29</t>
  </si>
  <si>
    <t>구분</t>
  </si>
  <si>
    <t>잔액</t>
  </si>
  <si>
    <t>입금액</t>
  </si>
  <si>
    <t>출금액</t>
  </si>
  <si>
    <t>송금메모</t>
  </si>
  <si>
    <t>ＫＢ　ａｂｌｅ　Ｐｌｕｓ통장</t>
  </si>
  <si>
    <t>총잔액</t>
  </si>
  <si>
    <t>조회기간</t>
  </si>
  <si>
    <r>
      <t>515,620</t>
    </r>
    <r>
      <rPr>
        <sz val="10"/>
        <color theme="1"/>
        <rFont val="맑은 고딕"/>
        <family val="3"/>
        <charset val="129"/>
        <scheme val="minor"/>
      </rPr>
      <t xml:space="preserve"> 원</t>
    </r>
  </si>
  <si>
    <t>2022.06.28 16:02:13</t>
  </si>
  <si>
    <t>5월급여</t>
    <phoneticPr fontId="3" type="noConversion"/>
  </si>
  <si>
    <t>국민연금</t>
    <phoneticPr fontId="3" type="noConversion"/>
  </si>
  <si>
    <t>예금이자 및 기타</t>
    <phoneticPr fontId="3" type="noConversion"/>
  </si>
  <si>
    <t>채권자목록 제출</t>
    <phoneticPr fontId="3" type="noConversion"/>
  </si>
  <si>
    <t>보험료</t>
    <phoneticPr fontId="3" type="noConversion"/>
  </si>
  <si>
    <t>기타(생활비)</t>
    <phoneticPr fontId="3" type="noConversion"/>
  </si>
  <si>
    <t>부식비</t>
    <phoneticPr fontId="3" type="noConversion"/>
  </si>
  <si>
    <t xml:space="preserve">기타(생활비) </t>
  </si>
  <si>
    <t xml:space="preserve">기타(생활비) </t>
    <phoneticPr fontId="3" type="noConversion"/>
  </si>
  <si>
    <t>SMS 통지수수료</t>
    <phoneticPr fontId="3" type="noConversion"/>
  </si>
  <si>
    <t>교통비</t>
    <phoneticPr fontId="3" type="noConversion"/>
  </si>
  <si>
    <t>ATM출금</t>
    <phoneticPr fontId="3" type="noConversion"/>
  </si>
  <si>
    <t>의료비</t>
    <phoneticPr fontId="3" type="noConversion"/>
  </si>
  <si>
    <t>식대 및 식자재 구매</t>
    <phoneticPr fontId="3" type="noConversion"/>
  </si>
  <si>
    <t>ABL생명 외</t>
    <phoneticPr fontId="3" type="noConversion"/>
  </si>
  <si>
    <t>보험료 자동이체</t>
    <phoneticPr fontId="3" type="noConversion"/>
  </si>
  <si>
    <t>농협 외</t>
    <phoneticPr fontId="3" type="noConversion"/>
  </si>
  <si>
    <t>의복비 및 기타 생활비</t>
    <phoneticPr fontId="3" type="noConversion"/>
  </si>
  <si>
    <t>주차비</t>
    <phoneticPr fontId="3" type="noConversion"/>
  </si>
  <si>
    <t>건강보조식품 구매</t>
    <phoneticPr fontId="3" type="noConversion"/>
  </si>
  <si>
    <t>국민연금계좌</t>
    <phoneticPr fontId="3" type="noConversion"/>
  </si>
  <si>
    <t xml:space="preserve"> 의료비</t>
    <phoneticPr fontId="3" type="noConversion"/>
  </si>
  <si>
    <r>
      <t xml:space="preserve">채무자(법률상관리인) </t>
    </r>
    <r>
      <rPr>
        <sz val="20"/>
        <rFont val="맑은 고딕"/>
        <family val="3"/>
        <charset val="129"/>
      </rPr>
      <t>○○○</t>
    </r>
    <phoneticPr fontId="3" type="noConversion"/>
  </si>
  <si>
    <t>****01-04-56****</t>
    <phoneticPr fontId="3" type="noConversion"/>
  </si>
  <si>
    <t xml:space="preserve"> 배**</t>
    <phoneticPr fontId="85" type="noConversion"/>
  </si>
  <si>
    <t> ****하나로마트</t>
    <phoneticPr fontId="3" type="noConversion"/>
  </si>
  <si>
    <t> ***인터내셔널</t>
    <phoneticPr fontId="3" type="noConversion"/>
  </si>
  <si>
    <t> **은행</t>
    <phoneticPr fontId="3" type="noConversion"/>
  </si>
  <si>
    <t>1002060*********</t>
    <phoneticPr fontId="3" type="noConversion"/>
  </si>
  <si>
    <t>****-1**7-******-23</t>
    <phoneticPr fontId="3" type="noConversion"/>
  </si>
  <si>
    <t>***</t>
    <phoneticPr fontId="3" type="noConversion"/>
  </si>
  <si>
    <t>20**회단100*** 회생</t>
    <phoneticPr fontId="3" type="noConversion"/>
  </si>
  <si>
    <t>20**</t>
    <phoneticPr fontId="3" type="noConversion"/>
  </si>
  <si>
    <t>**</t>
    <phoneticPr fontId="3" type="noConversion"/>
  </si>
  <si>
    <t>(20**.**.**.부터 20**.**.**.까지)</t>
    <phoneticPr fontId="3" type="noConversion"/>
  </si>
  <si>
    <t>20**-06-13</t>
    <phoneticPr fontId="3" type="noConversion"/>
  </si>
  <si>
    <t>**밥상 외</t>
    <phoneticPr fontId="3" type="noConversion"/>
  </si>
  <si>
    <t>***상가관리 외</t>
    <phoneticPr fontId="3" type="noConversion"/>
  </si>
  <si>
    <t>***인터내셔널</t>
    <phoneticPr fontId="3" type="noConversion"/>
  </si>
  <si>
    <t>**밥상</t>
    <phoneticPr fontId="3" type="noConversion"/>
  </si>
  <si>
    <t>농협(***1777***823)</t>
    <phoneticPr fontId="3" type="noConversion"/>
  </si>
  <si>
    <t>***생명</t>
    <phoneticPr fontId="3" type="noConversion"/>
  </si>
  <si>
    <t>**현대**</t>
    <phoneticPr fontId="3" type="noConversion"/>
  </si>
  <si>
    <t>****손해보험</t>
    <phoneticPr fontId="3" type="noConversion"/>
  </si>
  <si>
    <t>**손해보험㈜</t>
    <phoneticPr fontId="3" type="noConversion"/>
  </si>
  <si>
    <t>***상가관리</t>
    <phoneticPr fontId="3" type="noConversion"/>
  </si>
  <si>
    <t>**난청과</t>
    <phoneticPr fontId="3" type="noConversion"/>
  </si>
  <si>
    <t>***손해보험㈜</t>
    <phoneticPr fontId="3" type="noConversion"/>
  </si>
  <si>
    <t>**행복**상인회</t>
    <phoneticPr fontId="3" type="noConversion"/>
  </si>
  <si>
    <t>****수원</t>
    <phoneticPr fontId="3" type="noConversion"/>
  </si>
  <si>
    <t>**은행</t>
    <phoneticPr fontId="3" type="noConversion"/>
  </si>
  <si>
    <t>****하나로마트</t>
    <phoneticPr fontId="3" type="noConversion"/>
  </si>
  <si>
    <t>㈜**푸드</t>
    <phoneticPr fontId="3" type="noConversion"/>
  </si>
  <si>
    <t>배**</t>
    <phoneticPr fontId="3" type="noConversion"/>
  </si>
  <si>
    <t>우리은행(****060****152)</t>
    <phoneticPr fontId="3" type="noConversion"/>
  </si>
  <si>
    <t>농협(***1777***823) 주차비</t>
    <phoneticPr fontId="3" type="noConversion"/>
  </si>
  <si>
    <t>국민은행(***301***678**) 수수료</t>
    <phoneticPr fontId="3" type="noConversion"/>
  </si>
  <si>
    <t>국민은행(***301***678**) 
세탁비 및 세신요금</t>
    <phoneticPr fontId="3" type="noConversion"/>
  </si>
  <si>
    <t>국민은행(***301***678**) 약제비</t>
    <phoneticPr fontId="3" type="noConversion"/>
  </si>
  <si>
    <t>국민은행(***301***678**) 식자재</t>
    <phoneticPr fontId="3" type="noConversion"/>
  </si>
  <si>
    <t>국민은행(***301***678**) 식대</t>
    <phoneticPr fontId="3" type="noConversion"/>
  </si>
  <si>
    <t>국민은행(***301****678**) 
부모님 요양원 보조</t>
    <phoneticPr fontId="3" type="noConversion"/>
  </si>
  <si>
    <t>***301-**-5678**</t>
    <phoneticPr fontId="3" type="noConversion"/>
  </si>
  <si>
    <t>***2-0**-652***</t>
    <phoneticPr fontId="3" type="noConversion"/>
  </si>
  <si>
    <t>***-**77-****-**</t>
    <phoneticPr fontId="3" type="noConversion"/>
  </si>
  <si>
    <t>*협</t>
    <phoneticPr fontId="3" type="noConversion"/>
  </si>
  <si>
    <t> ㈜**푸드</t>
    <phoneticPr fontId="3" type="noConversion"/>
  </si>
  <si>
    <t>20**.06.01 ~ 20**.06.30</t>
    <phoneticPr fontId="3" type="noConversion"/>
  </si>
  <si>
    <t>****텔수원영</t>
    <phoneticPr fontId="3" type="noConversion"/>
  </si>
  <si>
    <t>**손해보험 주</t>
    <phoneticPr fontId="3" type="noConversion"/>
  </si>
  <si>
    <t>****손해보험</t>
    <phoneticPr fontId="3" type="noConversion"/>
  </si>
  <si>
    <t>****시장상인회</t>
    <phoneticPr fontId="3" type="noConversion"/>
  </si>
  <si>
    <t>***청과</t>
    <phoneticPr fontId="3" type="noConversion"/>
  </si>
  <si>
    <t>***상가관리단</t>
    <phoneticPr fontId="3" type="noConversion"/>
  </si>
  <si>
    <t>***0603건</t>
    <phoneticPr fontId="3" type="noConversion"/>
  </si>
  <si>
    <t>**현대**</t>
    <phoneticPr fontId="3" type="noConversion"/>
  </si>
  <si>
    <t>***생명06025</t>
    <phoneticPr fontId="3" type="noConversion"/>
  </si>
  <si>
    <t>박**</t>
    <phoneticPr fontId="3" type="noConversion"/>
  </si>
  <si>
    <t>**밥상</t>
    <phoneticPr fontId="3" type="noConversion"/>
  </si>
  <si>
    <t>현재시간 : 20**년 07월 15일 09시 50분 36초</t>
    <phoneticPr fontId="3" type="noConversion"/>
  </si>
  <si>
    <t>임대소득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</si>
</sst>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2" formatCode="_-&quot;₩&quot;* #,##0_-;\-&quot;₩&quot;* #,##0_-;_-&quot;₩&quot;* &quot;-&quot;_-;_-@_-"/>
    <numFmt numFmtId="41" formatCode="_-* #,##0_-;\-* #,##0_-;_-* &quot;-&quot;_-;_-@_-"/>
    <numFmt numFmtId="176" formatCode="#,##0_ ;&quot;△&quot;#,##0"/>
    <numFmt numFmtId="177" formatCode="#,##0_);[Red]\(#,##0\)"/>
    <numFmt numFmtId="178" formatCode="#,##0_ "/>
    <numFmt numFmtId="179" formatCode="0_);[Red]\(0\)"/>
    <numFmt numFmtId="180" formatCode="0.0%"/>
    <numFmt numFmtId="181" formatCode="_-* #,##0_-;\-* #,##0_-;_-* &quot;-&quot;??_-;_-@_-"/>
    <numFmt numFmtId="182" formatCode="#,##0&quot;원&quot;"/>
    <numFmt numFmtId="183" formatCode="#,###"/>
  </numFmts>
  <fonts count="9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휴먼명조"/>
      <family val="3"/>
      <charset val="129"/>
    </font>
    <font>
      <sz val="9"/>
      <name val="휴먼명조"/>
      <family val="3"/>
      <charset val="129"/>
    </font>
    <font>
      <sz val="12"/>
      <name val="휴먼명조"/>
      <family val="3"/>
      <charset val="129"/>
    </font>
    <font>
      <b/>
      <sz val="24"/>
      <name val="휴먼명조"/>
      <family val="3"/>
      <charset val="129"/>
    </font>
    <font>
      <sz val="10"/>
      <name val="휴먼명조"/>
      <family val="3"/>
      <charset val="129"/>
    </font>
    <font>
      <b/>
      <sz val="11"/>
      <name val="휴먼명조"/>
      <family val="3"/>
      <charset val="129"/>
    </font>
    <font>
      <b/>
      <sz val="14"/>
      <name val="휴먼명조"/>
      <family val="3"/>
      <charset val="129"/>
    </font>
    <font>
      <b/>
      <sz val="20"/>
      <name val="휴먼명조"/>
      <family val="3"/>
      <charset val="129"/>
    </font>
    <font>
      <b/>
      <sz val="18"/>
      <name val="휴먼명조"/>
      <family val="3"/>
      <charset val="129"/>
    </font>
    <font>
      <b/>
      <sz val="16"/>
      <name val="휴먼명조"/>
      <family val="3"/>
      <charset val="129"/>
    </font>
    <font>
      <b/>
      <sz val="28"/>
      <name val="휴먼명조"/>
      <family val="3"/>
      <charset val="129"/>
    </font>
    <font>
      <sz val="11"/>
      <name val="맑은 고딕"/>
      <family val="3"/>
      <charset val="129"/>
    </font>
    <font>
      <sz val="11"/>
      <name val="휴먼명조"/>
      <family val="3"/>
      <charset val="129"/>
    </font>
    <font>
      <sz val="11"/>
      <name val="휴먼명조"/>
      <family val="3"/>
      <charset val="129"/>
    </font>
    <font>
      <b/>
      <sz val="16"/>
      <name val="휴먼명조"/>
      <family val="3"/>
      <charset val="129"/>
    </font>
    <font>
      <sz val="12"/>
      <name val="휴먼명조"/>
      <family val="3"/>
      <charset val="129"/>
    </font>
    <font>
      <sz val="9"/>
      <name val="휴먼명조"/>
      <family val="3"/>
      <charset val="129"/>
    </font>
    <font>
      <sz val="10"/>
      <name val="휴먼명조"/>
      <family val="3"/>
      <charset val="129"/>
    </font>
    <font>
      <sz val="14"/>
      <name val="휴먼명조"/>
      <family val="3"/>
      <charset val="129"/>
    </font>
    <font>
      <sz val="16"/>
      <name val="휴먼명조"/>
      <family val="3"/>
      <charset val="129"/>
    </font>
    <font>
      <b/>
      <sz val="24"/>
      <name val="휴먼명조"/>
      <family val="3"/>
      <charset val="129"/>
    </font>
    <font>
      <b/>
      <sz val="12"/>
      <name val="휴먼명조"/>
      <family val="3"/>
      <charset val="129"/>
    </font>
    <font>
      <b/>
      <sz val="11"/>
      <name val="휴먼명조"/>
      <family val="3"/>
      <charset val="129"/>
    </font>
    <font>
      <b/>
      <sz val="14"/>
      <name val="휴먼명조"/>
      <family val="3"/>
      <charset val="129"/>
    </font>
    <font>
      <b/>
      <sz val="20"/>
      <name val="휴먼명조"/>
      <family val="3"/>
      <charset val="129"/>
    </font>
    <font>
      <b/>
      <sz val="18"/>
      <name val="휴먼명조"/>
      <family val="3"/>
      <charset val="129"/>
    </font>
    <font>
      <b/>
      <sz val="28"/>
      <name val="휴먼명조"/>
      <family val="3"/>
      <charset val="129"/>
    </font>
    <font>
      <b/>
      <sz val="10"/>
      <name val="휴먼명조"/>
      <family val="3"/>
      <charset val="129"/>
    </font>
    <font>
      <sz val="12"/>
      <color indexed="9"/>
      <name val="휴먼명조"/>
      <family val="3"/>
      <charset val="129"/>
    </font>
    <font>
      <b/>
      <sz val="9"/>
      <color indexed="81"/>
      <name val="Tahoma"/>
      <family val="2"/>
    </font>
    <font>
      <b/>
      <sz val="13"/>
      <name val="휴먼명조"/>
      <family val="3"/>
      <charset val="129"/>
    </font>
    <font>
      <sz val="10"/>
      <color indexed="8"/>
      <name val="Arial"/>
      <family val="2"/>
    </font>
    <font>
      <sz val="20"/>
      <name val="휴먼명조"/>
      <family val="3"/>
      <charset val="129"/>
    </font>
    <font>
      <b/>
      <sz val="20"/>
      <name val="휴먼명조"/>
      <family val="3"/>
      <charset val="129"/>
    </font>
    <font>
      <sz val="17"/>
      <name val="휴먼명조"/>
      <family val="3"/>
      <charset val="129"/>
    </font>
    <font>
      <b/>
      <sz val="11"/>
      <name val="휴먼명조"/>
      <family val="3"/>
      <charset val="129"/>
    </font>
    <font>
      <sz val="11"/>
      <name val="휴먼명조"/>
      <family val="3"/>
      <charset val="129"/>
    </font>
    <font>
      <b/>
      <sz val="11"/>
      <name val="휴먼명조"/>
      <family val="3"/>
      <charset val="129"/>
    </font>
    <font>
      <b/>
      <sz val="12"/>
      <name val="휴먼명조"/>
      <family val="3"/>
      <charset val="129"/>
    </font>
    <font>
      <sz val="11"/>
      <name val="휴먼명조"/>
      <family val="3"/>
      <charset val="129"/>
    </font>
    <font>
      <b/>
      <sz val="14"/>
      <name val="휴먼명조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휴먼명조"/>
      <family val="3"/>
      <charset val="129"/>
    </font>
    <font>
      <b/>
      <sz val="11"/>
      <name val="휴먼명조"/>
      <family val="3"/>
      <charset val="129"/>
    </font>
    <font>
      <b/>
      <sz val="11"/>
      <color indexed="8"/>
      <name val="휴먼명조"/>
      <family val="3"/>
      <charset val="129"/>
    </font>
    <font>
      <sz val="11"/>
      <name val="휴먼명조"/>
      <family val="3"/>
      <charset val="129"/>
    </font>
    <font>
      <sz val="10"/>
      <name val="휴먼명조"/>
      <family val="3"/>
      <charset val="129"/>
    </font>
    <font>
      <b/>
      <sz val="14"/>
      <color indexed="8"/>
      <name val="휴먼명조"/>
      <family val="3"/>
      <charset val="129"/>
    </font>
    <font>
      <sz val="11"/>
      <name val="휴먼명조"/>
      <family val="3"/>
      <charset val="129"/>
    </font>
    <font>
      <b/>
      <sz val="11"/>
      <name val="휴먼명조"/>
      <family val="3"/>
      <charset val="129"/>
    </font>
    <font>
      <sz val="11"/>
      <name val="휴먼명조"/>
      <family val="3"/>
      <charset val="129"/>
    </font>
    <font>
      <sz val="11"/>
      <name val="휴먼명조"/>
      <family val="3"/>
      <charset val="129"/>
    </font>
    <font>
      <sz val="10"/>
      <name val="휴먼명조"/>
      <family val="3"/>
      <charset val="129"/>
    </font>
    <font>
      <sz val="10"/>
      <name val="Arial"/>
      <family val="2"/>
    </font>
    <font>
      <sz val="11"/>
      <name val="휴먼명조"/>
      <family val="3"/>
      <charset val="129"/>
    </font>
    <font>
      <sz val="10"/>
      <name val="Arial"/>
      <family val="2"/>
    </font>
    <font>
      <sz val="11"/>
      <name val="휴먼명조"/>
      <family val="3"/>
      <charset val="129"/>
    </font>
    <font>
      <sz val="10"/>
      <name val="휴먼명조"/>
      <family val="3"/>
      <charset val="129"/>
    </font>
    <font>
      <b/>
      <sz val="10"/>
      <name val="휴먼명조"/>
      <family val="3"/>
      <charset val="129"/>
    </font>
    <font>
      <sz val="11"/>
      <color indexed="8"/>
      <name val="휴먼명조"/>
      <family val="3"/>
      <charset val="129"/>
    </font>
    <font>
      <sz val="11"/>
      <name val="휴먼명조"/>
      <family val="3"/>
      <charset val="129"/>
    </font>
    <font>
      <sz val="11"/>
      <name val="휴먼명조"/>
      <family val="3"/>
      <charset val="129"/>
    </font>
    <font>
      <b/>
      <sz val="11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FF0000"/>
      <name val="휴먼명조"/>
      <family val="3"/>
      <charset val="129"/>
    </font>
    <font>
      <sz val="11"/>
      <color rgb="FFFF0000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sz val="14"/>
      <color rgb="FFFF0000"/>
      <name val="휴먼명조"/>
      <family val="3"/>
      <charset val="129"/>
    </font>
    <font>
      <sz val="12"/>
      <color theme="1"/>
      <name val="휴먼명조"/>
      <family val="3"/>
      <charset val="129"/>
    </font>
    <font>
      <sz val="10"/>
      <color theme="1"/>
      <name val="휴먼명조"/>
      <family val="3"/>
      <charset val="129"/>
    </font>
    <font>
      <b/>
      <sz val="14"/>
      <color theme="1"/>
      <name val="휴먼명조"/>
      <family val="3"/>
      <charset val="129"/>
    </font>
    <font>
      <sz val="14"/>
      <color theme="1"/>
      <name val="휴먼명조"/>
      <family val="3"/>
      <charset val="129"/>
    </font>
    <font>
      <sz val="11"/>
      <color theme="1"/>
      <name val="휴먼명조"/>
      <family val="3"/>
      <charset val="129"/>
    </font>
    <font>
      <b/>
      <sz val="11"/>
      <color theme="1"/>
      <name val="휴먼명조"/>
      <family val="3"/>
      <charset val="129"/>
    </font>
    <font>
      <b/>
      <sz val="11"/>
      <color rgb="FF000000"/>
      <name val="휴먼명조"/>
      <family val="3"/>
      <charset val="129"/>
    </font>
    <font>
      <sz val="11"/>
      <color rgb="FF000000"/>
      <name val="휴먼명조"/>
      <family val="3"/>
      <charset val="129"/>
    </font>
    <font>
      <sz val="11"/>
      <name val="휴먼명조"/>
      <family val="3"/>
      <charset val="129"/>
    </font>
    <font>
      <b/>
      <sz val="11"/>
      <name val="휴먼명조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8"/>
      <color indexed="8"/>
      <name val="맑은 고딕"/>
      <family val="3"/>
      <charset val="129"/>
    </font>
    <font>
      <b/>
      <sz val="21"/>
      <color indexed="8"/>
      <name val="맑은 고딕"/>
      <family val="3"/>
      <charset val="129"/>
    </font>
    <font>
      <sz val="8"/>
      <color indexed="8"/>
      <name val="굴림"/>
      <family val="3"/>
      <charset val="129"/>
    </font>
    <font>
      <sz val="2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DFF9"/>
        <bgColor indexed="64"/>
      </patternFill>
    </fill>
  </fills>
  <borders count="8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22"/>
      </left>
      <right style="thin">
        <color indexed="22"/>
      </right>
      <top style="medium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1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8" fillId="0" borderId="0"/>
    <xf numFmtId="0" fontId="68" fillId="0" borderId="0">
      <alignment vertical="center"/>
    </xf>
    <xf numFmtId="0" fontId="68" fillId="0" borderId="0">
      <alignment vertical="center"/>
    </xf>
    <xf numFmtId="0" fontId="60" fillId="0" borderId="0"/>
    <xf numFmtId="0" fontId="35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5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2" borderId="0" xfId="8" applyFont="1" applyFill="1">
      <alignment vertical="center"/>
    </xf>
    <xf numFmtId="0" fontId="8" fillId="2" borderId="0" xfId="8" applyFont="1" applyFill="1" applyAlignment="1">
      <alignment horizontal="right" vertical="center"/>
    </xf>
    <xf numFmtId="41" fontId="8" fillId="2" borderId="0" xfId="2" applyFont="1" applyFill="1">
      <alignment vertical="center"/>
    </xf>
    <xf numFmtId="0" fontId="8" fillId="2" borderId="0" xfId="8" applyFont="1" applyFill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41" fontId="8" fillId="0" borderId="0" xfId="2" applyFont="1" applyAlignment="1">
      <alignment horizontal="center" vertical="center" shrinkToFit="1"/>
    </xf>
    <xf numFmtId="176" fontId="8" fillId="0" borderId="0" xfId="0" applyNumberFormat="1" applyFont="1" applyAlignment="1">
      <alignment horizontal="center" vertical="center" shrinkToFit="1"/>
    </xf>
    <xf numFmtId="41" fontId="8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righ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4" fillId="0" borderId="0" xfId="0" quotePrefix="1" applyFont="1" applyAlignment="1">
      <alignment horizontal="left" vertical="center"/>
    </xf>
    <xf numFmtId="0" fontId="11" fillId="0" borderId="0" xfId="0" applyFont="1" applyAlignment="1">
      <alignment vertical="center" wrapText="1"/>
    </xf>
    <xf numFmtId="0" fontId="10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>
      <alignment vertical="center"/>
    </xf>
    <xf numFmtId="0" fontId="4" fillId="0" borderId="0" xfId="0" quotePrefix="1" applyFont="1">
      <alignment vertical="center"/>
    </xf>
    <xf numFmtId="0" fontId="6" fillId="0" borderId="0" xfId="0" quotePrefix="1" applyFont="1">
      <alignment vertical="center"/>
    </xf>
    <xf numFmtId="0" fontId="8" fillId="2" borderId="0" xfId="9" applyFont="1" applyFill="1">
      <alignment vertical="center"/>
    </xf>
    <xf numFmtId="0" fontId="5" fillId="2" borderId="0" xfId="8" applyFont="1" applyFill="1">
      <alignment vertical="center"/>
    </xf>
    <xf numFmtId="0" fontId="15" fillId="0" borderId="0" xfId="0" applyFont="1">
      <alignment vertical="center"/>
    </xf>
    <xf numFmtId="0" fontId="21" fillId="0" borderId="0" xfId="0" applyFont="1" applyAlignment="1">
      <alignment horizontal="left" vertical="center"/>
    </xf>
    <xf numFmtId="0" fontId="19" fillId="0" borderId="0" xfId="0" applyFont="1">
      <alignment vertical="center"/>
    </xf>
    <xf numFmtId="0" fontId="19" fillId="0" borderId="0" xfId="0" quotePrefix="1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19" fillId="0" borderId="2" xfId="0" applyFont="1" applyBorder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3" fillId="0" borderId="0" xfId="0" quotePrefix="1" applyFont="1" applyAlignment="1">
      <alignment horizontal="right" vertical="center"/>
    </xf>
    <xf numFmtId="0" fontId="23" fillId="0" borderId="0" xfId="0" quotePrefix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0" xfId="0" quotePrefix="1" applyFont="1">
      <alignment vertical="center"/>
    </xf>
    <xf numFmtId="0" fontId="24" fillId="0" borderId="0" xfId="0" applyFont="1">
      <alignment vertical="center"/>
    </xf>
    <xf numFmtId="0" fontId="21" fillId="0" borderId="0" xfId="0" applyFont="1">
      <alignment vertical="center"/>
    </xf>
    <xf numFmtId="0" fontId="25" fillId="0" borderId="0" xfId="0" applyFont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shrinkToFit="1"/>
    </xf>
    <xf numFmtId="0" fontId="21" fillId="0" borderId="0" xfId="0" applyFont="1" applyAlignment="1">
      <alignment horizontal="left" vertical="center" shrinkToFit="1"/>
    </xf>
    <xf numFmtId="41" fontId="21" fillId="0" borderId="0" xfId="2" applyFont="1" applyAlignment="1">
      <alignment horizontal="left" vertical="center" shrinkToFit="1"/>
    </xf>
    <xf numFmtId="176" fontId="21" fillId="0" borderId="0" xfId="0" applyNumberFormat="1" applyFont="1" applyAlignment="1">
      <alignment horizontal="left" vertical="center" shrinkToFit="1"/>
    </xf>
    <xf numFmtId="41" fontId="21" fillId="0" borderId="0" xfId="0" applyNumberFormat="1" applyFont="1" applyAlignment="1">
      <alignment horizontal="left" vertical="center" shrinkToFit="1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25" fillId="0" borderId="0" xfId="0" applyFont="1" applyAlignment="1">
      <alignment horizontal="left" vertical="center" shrinkToFit="1"/>
    </xf>
    <xf numFmtId="41" fontId="25" fillId="0" borderId="0" xfId="0" applyNumberFormat="1" applyFont="1" applyAlignment="1">
      <alignment horizontal="left" vertical="center" shrinkToFit="1"/>
    </xf>
    <xf numFmtId="41" fontId="25" fillId="0" borderId="0" xfId="2" applyFont="1" applyAlignment="1">
      <alignment horizontal="left" vertical="center" shrinkToFit="1"/>
    </xf>
    <xf numFmtId="176" fontId="25" fillId="0" borderId="0" xfId="0" applyNumberFormat="1" applyFont="1" applyAlignment="1">
      <alignment horizontal="left" vertical="center" shrinkToFit="1"/>
    </xf>
    <xf numFmtId="0" fontId="20" fillId="0" borderId="0" xfId="0" applyFont="1">
      <alignment vertical="center"/>
    </xf>
    <xf numFmtId="0" fontId="25" fillId="0" borderId="0" xfId="0" applyFont="1">
      <alignment vertical="center"/>
    </xf>
    <xf numFmtId="0" fontId="21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3" fontId="32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31" fillId="0" borderId="0" xfId="0" applyFont="1">
      <alignment vertical="center"/>
    </xf>
    <xf numFmtId="41" fontId="21" fillId="0" borderId="0" xfId="2" applyFont="1" applyAlignment="1">
      <alignment horizontal="center" vertical="center" shrinkToFit="1"/>
    </xf>
    <xf numFmtId="0" fontId="34" fillId="0" borderId="0" xfId="0" applyFont="1">
      <alignment vertical="center"/>
    </xf>
    <xf numFmtId="0" fontId="17" fillId="0" borderId="3" xfId="0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0" fontId="26" fillId="5" borderId="8" xfId="0" applyFont="1" applyFill="1" applyBorder="1" applyAlignment="1">
      <alignment horizontal="center" vertical="center"/>
    </xf>
    <xf numFmtId="41" fontId="17" fillId="2" borderId="4" xfId="2" applyFont="1" applyFill="1" applyBorder="1" applyAlignment="1">
      <alignment horizontal="right" vertical="center"/>
    </xf>
    <xf numFmtId="41" fontId="17" fillId="2" borderId="6" xfId="2" applyFont="1" applyFill="1" applyBorder="1" applyAlignment="1">
      <alignment horizontal="right" vertical="center"/>
    </xf>
    <xf numFmtId="41" fontId="17" fillId="0" borderId="6" xfId="2" applyFont="1" applyBorder="1">
      <alignment vertical="center"/>
    </xf>
    <xf numFmtId="0" fontId="17" fillId="0" borderId="4" xfId="0" applyFont="1" applyBorder="1" applyAlignment="1">
      <alignment horizontal="center" vertical="center"/>
    </xf>
    <xf numFmtId="177" fontId="17" fillId="0" borderId="4" xfId="0" applyNumberFormat="1" applyFont="1" applyBorder="1" applyAlignment="1">
      <alignment horizontal="center" vertical="center" shrinkToFit="1"/>
    </xf>
    <xf numFmtId="177" fontId="17" fillId="0" borderId="4" xfId="0" applyNumberFormat="1" applyFont="1" applyBorder="1" applyAlignment="1">
      <alignment horizontal="center" vertical="center"/>
    </xf>
    <xf numFmtId="177" fontId="17" fillId="0" borderId="6" xfId="0" applyNumberFormat="1" applyFont="1" applyBorder="1" applyAlignment="1">
      <alignment horizontal="center" vertical="center"/>
    </xf>
    <xf numFmtId="41" fontId="21" fillId="0" borderId="0" xfId="2" applyFont="1" applyAlignment="1">
      <alignment horizontal="right" vertical="center" shrinkToFit="1"/>
    </xf>
    <xf numFmtId="179" fontId="21" fillId="0" borderId="0" xfId="2" applyNumberFormat="1" applyFont="1" applyAlignment="1">
      <alignment horizontal="center" vertical="center" shrinkToFit="1"/>
    </xf>
    <xf numFmtId="179" fontId="71" fillId="0" borderId="0" xfId="2" applyNumberFormat="1" applyFont="1" applyAlignment="1">
      <alignment horizontal="center" vertical="center" shrinkToFit="1"/>
    </xf>
    <xf numFmtId="179" fontId="17" fillId="0" borderId="0" xfId="2" applyNumberFormat="1" applyFont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6" fillId="0" borderId="0" xfId="0" applyFont="1">
      <alignment vertical="center"/>
    </xf>
    <xf numFmtId="0" fontId="21" fillId="0" borderId="0" xfId="0" applyFont="1" applyAlignment="1">
      <alignment vertical="center" wrapText="1"/>
    </xf>
    <xf numFmtId="179" fontId="21" fillId="0" borderId="0" xfId="2" applyNumberFormat="1" applyFont="1" applyAlignment="1">
      <alignment horizontal="center" vertical="center"/>
    </xf>
    <xf numFmtId="179" fontId="21" fillId="0" borderId="0" xfId="2" applyNumberFormat="1" applyFont="1" applyAlignment="1">
      <alignment horizontal="center" vertical="center" wrapText="1"/>
    </xf>
    <xf numFmtId="0" fontId="27" fillId="0" borderId="0" xfId="0" applyFont="1" applyAlignment="1"/>
    <xf numFmtId="0" fontId="72" fillId="0" borderId="0" xfId="0" applyFont="1" applyAlignment="1"/>
    <xf numFmtId="179" fontId="27" fillId="0" borderId="0" xfId="2" applyNumberFormat="1" applyFont="1" applyAlignment="1">
      <alignment horizontal="center"/>
    </xf>
    <xf numFmtId="0" fontId="73" fillId="0" borderId="0" xfId="0" applyFont="1" applyAlignment="1">
      <alignment horizontal="center" vertical="center"/>
    </xf>
    <xf numFmtId="0" fontId="74" fillId="0" borderId="0" xfId="0" applyFont="1" applyAlignment="1">
      <alignment horizontal="left" vertical="center"/>
    </xf>
    <xf numFmtId="0" fontId="74" fillId="0" borderId="0" xfId="0" applyFont="1" applyAlignment="1">
      <alignment horizontal="right" vertical="center"/>
    </xf>
    <xf numFmtId="0" fontId="73" fillId="0" borderId="0" xfId="0" applyFont="1">
      <alignment vertical="center"/>
    </xf>
    <xf numFmtId="0" fontId="75" fillId="0" borderId="0" xfId="0" applyFont="1">
      <alignment vertical="center"/>
    </xf>
    <xf numFmtId="0" fontId="76" fillId="0" borderId="0" xfId="0" applyFont="1" applyAlignment="1">
      <alignment horizontal="center" vertical="center"/>
    </xf>
    <xf numFmtId="0" fontId="77" fillId="0" borderId="0" xfId="0" applyFont="1">
      <alignment vertical="center"/>
    </xf>
    <xf numFmtId="0" fontId="36" fillId="0" borderId="0" xfId="0" applyFont="1">
      <alignment vertical="center"/>
    </xf>
    <xf numFmtId="0" fontId="36" fillId="0" borderId="0" xfId="0" quotePrefix="1" applyFont="1" applyAlignment="1">
      <alignment horizontal="right" vertical="center"/>
    </xf>
    <xf numFmtId="0" fontId="37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41" fontId="17" fillId="0" borderId="3" xfId="2" applyFont="1" applyBorder="1" applyAlignment="1">
      <alignment horizontal="center" vertical="center"/>
    </xf>
    <xf numFmtId="41" fontId="17" fillId="0" borderId="5" xfId="2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42" fillId="0" borderId="0" xfId="0" quotePrefix="1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44" fillId="0" borderId="0" xfId="0" applyFont="1">
      <alignment vertical="center"/>
    </xf>
    <xf numFmtId="0" fontId="75" fillId="0" borderId="0" xfId="0" applyFont="1">
      <alignment vertical="center"/>
    </xf>
    <xf numFmtId="179" fontId="48" fillId="5" borderId="7" xfId="2" applyNumberFormat="1" applyFont="1" applyFill="1" applyBorder="1" applyAlignment="1">
      <alignment horizontal="center" vertical="center" shrinkToFit="1"/>
    </xf>
    <xf numFmtId="0" fontId="48" fillId="5" borderId="8" xfId="0" applyFont="1" applyFill="1" applyBorder="1" applyAlignment="1">
      <alignment horizontal="center" vertical="center"/>
    </xf>
    <xf numFmtId="0" fontId="47" fillId="0" borderId="13" xfId="0" quotePrefix="1" applyFont="1" applyBorder="1" applyAlignment="1">
      <alignment horizontal="center" vertical="center"/>
    </xf>
    <xf numFmtId="0" fontId="47" fillId="0" borderId="3" xfId="2" applyNumberFormat="1" applyFont="1" applyBorder="1" applyAlignment="1">
      <alignment horizontal="center" vertical="center" shrinkToFit="1"/>
    </xf>
    <xf numFmtId="0" fontId="47" fillId="0" borderId="4" xfId="0" applyFont="1" applyBorder="1" applyAlignment="1">
      <alignment horizontal="center" vertical="center"/>
    </xf>
    <xf numFmtId="0" fontId="48" fillId="0" borderId="5" xfId="2" applyNumberFormat="1" applyFont="1" applyBorder="1" applyAlignment="1">
      <alignment horizontal="center" vertical="center" shrinkToFit="1"/>
    </xf>
    <xf numFmtId="0" fontId="47" fillId="0" borderId="6" xfId="0" applyFont="1" applyBorder="1" applyAlignment="1">
      <alignment horizontal="center" vertical="center"/>
    </xf>
    <xf numFmtId="0" fontId="48" fillId="5" borderId="9" xfId="0" applyFont="1" applyFill="1" applyBorder="1" applyAlignment="1">
      <alignment horizontal="center" vertical="center"/>
    </xf>
    <xf numFmtId="0" fontId="48" fillId="5" borderId="7" xfId="0" applyFont="1" applyFill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14" fontId="47" fillId="0" borderId="3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center" vertical="center" wrapText="1"/>
    </xf>
    <xf numFmtId="178" fontId="48" fillId="0" borderId="6" xfId="0" applyNumberFormat="1" applyFont="1" applyBorder="1">
      <alignment vertical="center"/>
    </xf>
    <xf numFmtId="0" fontId="48" fillId="5" borderId="9" xfId="0" applyFont="1" applyFill="1" applyBorder="1" applyAlignment="1">
      <alignment horizontal="center" vertical="center" shrinkToFit="1"/>
    </xf>
    <xf numFmtId="0" fontId="48" fillId="5" borderId="7" xfId="0" applyFont="1" applyFill="1" applyBorder="1" applyAlignment="1">
      <alignment horizontal="center" vertical="center" shrinkToFit="1"/>
    </xf>
    <xf numFmtId="0" fontId="48" fillId="5" borderId="8" xfId="0" applyFont="1" applyFill="1" applyBorder="1" applyAlignment="1">
      <alignment horizontal="center" vertical="center" shrinkToFit="1"/>
    </xf>
    <xf numFmtId="0" fontId="47" fillId="0" borderId="10" xfId="0" applyFont="1" applyBorder="1" applyAlignment="1">
      <alignment horizontal="center" vertical="center" shrinkToFit="1"/>
    </xf>
    <xf numFmtId="0" fontId="47" fillId="0" borderId="3" xfId="0" applyFont="1" applyBorder="1" applyAlignment="1">
      <alignment horizontal="center" vertical="center" shrinkToFit="1"/>
    </xf>
    <xf numFmtId="179" fontId="47" fillId="3" borderId="3" xfId="2" applyNumberFormat="1" applyFont="1" applyFill="1" applyBorder="1" applyAlignment="1">
      <alignment horizontal="center" vertical="center" shrinkToFit="1"/>
    </xf>
    <xf numFmtId="41" fontId="47" fillId="3" borderId="4" xfId="2" applyFont="1" applyFill="1" applyBorder="1" applyAlignment="1">
      <alignment vertical="center" shrinkToFit="1"/>
    </xf>
    <xf numFmtId="179" fontId="48" fillId="0" borderId="14" xfId="2" applyNumberFormat="1" applyFont="1" applyBorder="1" applyAlignment="1">
      <alignment horizontal="center" vertical="center" shrinkToFit="1"/>
    </xf>
    <xf numFmtId="41" fontId="48" fillId="0" borderId="6" xfId="2" applyFont="1" applyBorder="1" applyAlignment="1">
      <alignment vertical="center" shrinkToFit="1"/>
    </xf>
    <xf numFmtId="0" fontId="49" fillId="5" borderId="9" xfId="7" applyFont="1" applyFill="1" applyBorder="1" applyAlignment="1">
      <alignment horizontal="center" vertical="center" shrinkToFit="1"/>
    </xf>
    <xf numFmtId="0" fontId="49" fillId="5" borderId="7" xfId="7" applyFont="1" applyFill="1" applyBorder="1" applyAlignment="1">
      <alignment horizontal="center" vertical="center" shrinkToFit="1"/>
    </xf>
    <xf numFmtId="0" fontId="78" fillId="5" borderId="9" xfId="0" applyFont="1" applyFill="1" applyBorder="1" applyAlignment="1">
      <alignment horizontal="center" vertical="center"/>
    </xf>
    <xf numFmtId="0" fontId="78" fillId="5" borderId="7" xfId="0" applyFont="1" applyFill="1" applyBorder="1" applyAlignment="1">
      <alignment horizontal="center" vertical="center"/>
    </xf>
    <xf numFmtId="41" fontId="78" fillId="5" borderId="7" xfId="2" applyFont="1" applyFill="1" applyBorder="1" applyAlignment="1">
      <alignment horizontal="center" vertical="center"/>
    </xf>
    <xf numFmtId="0" fontId="78" fillId="5" borderId="8" xfId="0" applyFont="1" applyFill="1" applyBorder="1" applyAlignment="1">
      <alignment horizontal="center" vertical="center"/>
    </xf>
    <xf numFmtId="0" fontId="77" fillId="0" borderId="10" xfId="0" applyFont="1" applyBorder="1" applyAlignment="1">
      <alignment horizontal="center" vertical="center" wrapText="1"/>
    </xf>
    <xf numFmtId="41" fontId="77" fillId="0" borderId="3" xfId="2" applyFont="1" applyBorder="1" applyAlignment="1">
      <alignment vertical="center" wrapText="1"/>
    </xf>
    <xf numFmtId="41" fontId="78" fillId="0" borderId="5" xfId="0" applyNumberFormat="1" applyFont="1" applyBorder="1" applyAlignment="1">
      <alignment vertical="center" wrapText="1"/>
    </xf>
    <xf numFmtId="0" fontId="78" fillId="0" borderId="6" xfId="0" applyFont="1" applyBorder="1" applyAlignment="1">
      <alignment horizontal="center" vertical="center"/>
    </xf>
    <xf numFmtId="0" fontId="77" fillId="0" borderId="10" xfId="0" applyFont="1" applyBorder="1" applyAlignment="1">
      <alignment horizontal="center" vertical="center"/>
    </xf>
    <xf numFmtId="41" fontId="77" fillId="0" borderId="3" xfId="2" applyFont="1" applyBorder="1" applyAlignment="1">
      <alignment horizontal="center" vertical="center" wrapText="1"/>
    </xf>
    <xf numFmtId="0" fontId="78" fillId="0" borderId="3" xfId="0" applyFont="1" applyBorder="1">
      <alignment vertical="center"/>
    </xf>
    <xf numFmtId="41" fontId="78" fillId="0" borderId="3" xfId="2" applyFont="1" applyBorder="1" applyAlignment="1">
      <alignment horizontal="center" vertical="center" wrapText="1"/>
    </xf>
    <xf numFmtId="0" fontId="78" fillId="0" borderId="4" xfId="0" applyFont="1" applyBorder="1" applyAlignment="1">
      <alignment horizontal="center" vertical="center" wrapText="1"/>
    </xf>
    <xf numFmtId="0" fontId="78" fillId="0" borderId="15" xfId="0" applyFont="1" applyBorder="1" applyAlignment="1">
      <alignment horizontal="center" vertical="center"/>
    </xf>
    <xf numFmtId="0" fontId="48" fillId="5" borderId="8" xfId="0" applyFont="1" applyFill="1" applyBorder="1" applyAlignment="1">
      <alignment horizontal="center" vertical="center"/>
    </xf>
    <xf numFmtId="14" fontId="47" fillId="0" borderId="4" xfId="0" applyNumberFormat="1" applyFont="1" applyBorder="1" applyAlignment="1">
      <alignment horizontal="center" vertical="center"/>
    </xf>
    <xf numFmtId="0" fontId="47" fillId="0" borderId="3" xfId="0" applyFont="1" applyBorder="1" applyAlignment="1">
      <alignment horizontal="left" vertical="center"/>
    </xf>
    <xf numFmtId="0" fontId="47" fillId="0" borderId="5" xfId="0" applyFont="1" applyBorder="1" applyAlignment="1">
      <alignment horizontal="left" vertical="center"/>
    </xf>
    <xf numFmtId="0" fontId="79" fillId="5" borderId="3" xfId="5" applyFont="1" applyFill="1" applyBorder="1" applyAlignment="1">
      <alignment horizontal="center" vertical="center" wrapText="1"/>
    </xf>
    <xf numFmtId="0" fontId="79" fillId="4" borderId="16" xfId="5" applyFont="1" applyFill="1" applyBorder="1" applyAlignment="1">
      <alignment vertical="center" wrapText="1"/>
    </xf>
    <xf numFmtId="0" fontId="79" fillId="4" borderId="16" xfId="5" applyFont="1" applyFill="1" applyBorder="1" applyAlignment="1">
      <alignment horizontal="center" vertical="center" wrapText="1"/>
    </xf>
    <xf numFmtId="41" fontId="79" fillId="4" borderId="3" xfId="2" applyFont="1" applyFill="1" applyBorder="1" applyAlignment="1">
      <alignment horizontal="center" vertical="center" wrapText="1"/>
    </xf>
    <xf numFmtId="0" fontId="79" fillId="4" borderId="3" xfId="5" applyFont="1" applyFill="1" applyBorder="1" applyAlignment="1">
      <alignment horizontal="center" vertical="center" wrapText="1"/>
    </xf>
    <xf numFmtId="0" fontId="79" fillId="4" borderId="4" xfId="5" applyFont="1" applyFill="1" applyBorder="1" applyAlignment="1">
      <alignment horizontal="center" vertical="center" wrapText="1"/>
    </xf>
    <xf numFmtId="0" fontId="80" fillId="3" borderId="64" xfId="5" applyFont="1" applyFill="1" applyBorder="1" applyAlignment="1">
      <alignment horizontal="center" vertical="center" wrapText="1"/>
    </xf>
    <xf numFmtId="41" fontId="80" fillId="3" borderId="64" xfId="2" applyFont="1" applyFill="1" applyBorder="1" applyAlignment="1">
      <alignment horizontal="center" vertical="center" shrinkToFit="1"/>
    </xf>
    <xf numFmtId="181" fontId="80" fillId="3" borderId="64" xfId="2" applyNumberFormat="1" applyFont="1" applyFill="1" applyBorder="1" applyAlignment="1">
      <alignment horizontal="center" vertical="center" shrinkToFit="1"/>
    </xf>
    <xf numFmtId="177" fontId="80" fillId="3" borderId="64" xfId="2" applyNumberFormat="1" applyFont="1" applyFill="1" applyBorder="1" applyAlignment="1">
      <alignment horizontal="right" vertical="center" shrinkToFit="1"/>
    </xf>
    <xf numFmtId="180" fontId="80" fillId="3" borderId="64" xfId="1" applyNumberFormat="1" applyFont="1" applyFill="1" applyBorder="1" applyAlignment="1">
      <alignment horizontal="center" vertical="center" shrinkToFit="1"/>
    </xf>
    <xf numFmtId="41" fontId="80" fillId="3" borderId="65" xfId="2" applyFont="1" applyFill="1" applyBorder="1" applyAlignment="1">
      <alignment horizontal="center" vertical="center" shrinkToFit="1"/>
    </xf>
    <xf numFmtId="0" fontId="80" fillId="3" borderId="60" xfId="5" applyFont="1" applyFill="1" applyBorder="1" applyAlignment="1">
      <alignment horizontal="center" vertical="center" wrapText="1"/>
    </xf>
    <xf numFmtId="41" fontId="80" fillId="3" borderId="60" xfId="2" applyFont="1" applyFill="1" applyBorder="1" applyAlignment="1">
      <alignment horizontal="center" vertical="center" shrinkToFit="1"/>
    </xf>
    <xf numFmtId="177" fontId="80" fillId="3" borderId="60" xfId="2" applyNumberFormat="1" applyFont="1" applyFill="1" applyBorder="1" applyAlignment="1">
      <alignment horizontal="right" vertical="center" shrinkToFit="1"/>
    </xf>
    <xf numFmtId="41" fontId="80" fillId="3" borderId="61" xfId="2" applyFont="1" applyFill="1" applyBorder="1" applyAlignment="1">
      <alignment horizontal="center" vertical="center" shrinkToFit="1"/>
    </xf>
    <xf numFmtId="41" fontId="80" fillId="4" borderId="60" xfId="2" applyFont="1" applyFill="1" applyBorder="1" applyAlignment="1">
      <alignment horizontal="center" vertical="center" shrinkToFit="1"/>
    </xf>
    <xf numFmtId="181" fontId="80" fillId="4" borderId="60" xfId="2" applyNumberFormat="1" applyFont="1" applyFill="1" applyBorder="1" applyAlignment="1">
      <alignment horizontal="center" vertical="center" shrinkToFit="1"/>
    </xf>
    <xf numFmtId="177" fontId="80" fillId="4" borderId="60" xfId="2" applyNumberFormat="1" applyFont="1" applyFill="1" applyBorder="1" applyAlignment="1">
      <alignment horizontal="right" vertical="center" shrinkToFit="1"/>
    </xf>
    <xf numFmtId="180" fontId="80" fillId="4" borderId="60" xfId="1" applyNumberFormat="1" applyFont="1" applyFill="1" applyBorder="1" applyAlignment="1">
      <alignment horizontal="center" vertical="center" shrinkToFit="1"/>
    </xf>
    <xf numFmtId="41" fontId="80" fillId="4" borderId="61" xfId="2" applyFont="1" applyFill="1" applyBorder="1" applyAlignment="1">
      <alignment horizontal="center" vertical="center" shrinkToFit="1"/>
    </xf>
    <xf numFmtId="180" fontId="80" fillId="3" borderId="60" xfId="1" applyNumberFormat="1" applyFont="1" applyFill="1" applyBorder="1" applyAlignment="1">
      <alignment horizontal="center" vertical="center" shrinkToFit="1"/>
    </xf>
    <xf numFmtId="10" fontId="80" fillId="3" borderId="60" xfId="1" applyNumberFormat="1" applyFont="1" applyFill="1" applyBorder="1" applyAlignment="1">
      <alignment horizontal="center" vertical="center" shrinkToFit="1"/>
    </xf>
    <xf numFmtId="181" fontId="80" fillId="0" borderId="60" xfId="2" applyNumberFormat="1" applyFont="1" applyBorder="1" applyAlignment="1">
      <alignment horizontal="center" vertical="center" shrinkToFit="1"/>
    </xf>
    <xf numFmtId="181" fontId="80" fillId="3" borderId="60" xfId="2" applyNumberFormat="1" applyFont="1" applyFill="1" applyBorder="1" applyAlignment="1">
      <alignment horizontal="center" vertical="center" shrinkToFit="1"/>
    </xf>
    <xf numFmtId="10" fontId="80" fillId="4" borderId="60" xfId="1" applyNumberFormat="1" applyFont="1" applyFill="1" applyBorder="1" applyAlignment="1">
      <alignment horizontal="center" vertical="center" shrinkToFit="1"/>
    </xf>
    <xf numFmtId="41" fontId="79" fillId="3" borderId="62" xfId="2" applyFont="1" applyFill="1" applyBorder="1" applyAlignment="1">
      <alignment horizontal="center" vertical="center" shrinkToFit="1"/>
    </xf>
    <xf numFmtId="181" fontId="79" fillId="3" borderId="62" xfId="2" applyNumberFormat="1" applyFont="1" applyFill="1" applyBorder="1" applyAlignment="1">
      <alignment horizontal="center" vertical="center" shrinkToFit="1"/>
    </xf>
    <xf numFmtId="177" fontId="79" fillId="3" borderId="62" xfId="2" applyNumberFormat="1" applyFont="1" applyFill="1" applyBorder="1" applyAlignment="1">
      <alignment horizontal="right" vertical="center" shrinkToFit="1"/>
    </xf>
    <xf numFmtId="10" fontId="79" fillId="3" borderId="62" xfId="1" applyNumberFormat="1" applyFont="1" applyFill="1" applyBorder="1" applyAlignment="1">
      <alignment horizontal="center" vertical="center" shrinkToFit="1"/>
    </xf>
    <xf numFmtId="41" fontId="79" fillId="3" borderId="63" xfId="2" applyFont="1" applyFill="1" applyBorder="1" applyAlignment="1">
      <alignment horizontal="center" vertical="center" shrinkToFit="1"/>
    </xf>
    <xf numFmtId="41" fontId="48" fillId="5" borderId="7" xfId="2" applyFont="1" applyFill="1" applyBorder="1" applyAlignment="1">
      <alignment horizontal="center" vertical="center" shrinkToFit="1"/>
    </xf>
    <xf numFmtId="41" fontId="48" fillId="0" borderId="3" xfId="2" applyFont="1" applyBorder="1" applyAlignment="1">
      <alignment horizontal="right" vertical="center" shrinkToFit="1"/>
    </xf>
    <xf numFmtId="41" fontId="47" fillId="0" borderId="4" xfId="2" applyFont="1" applyBorder="1" applyAlignment="1">
      <alignment horizontal="center" vertical="center" shrinkToFit="1"/>
    </xf>
    <xf numFmtId="41" fontId="47" fillId="2" borderId="4" xfId="2" applyFont="1" applyFill="1" applyBorder="1" applyAlignment="1">
      <alignment horizontal="center" vertical="center" shrinkToFit="1"/>
    </xf>
    <xf numFmtId="41" fontId="48" fillId="0" borderId="5" xfId="2" applyFont="1" applyBorder="1" applyAlignment="1">
      <alignment horizontal="right" vertical="center" shrinkToFit="1"/>
    </xf>
    <xf numFmtId="41" fontId="47" fillId="2" borderId="6" xfId="2" applyFont="1" applyFill="1" applyBorder="1" applyAlignment="1">
      <alignment horizontal="center" vertical="center" shrinkToFit="1"/>
    </xf>
    <xf numFmtId="41" fontId="48" fillId="0" borderId="17" xfId="2" applyFont="1" applyBorder="1" applyAlignment="1">
      <alignment horizontal="right" vertical="center" shrinkToFit="1"/>
    </xf>
    <xf numFmtId="41" fontId="47" fillId="0" borderId="12" xfId="2" applyFont="1" applyBorder="1" applyAlignment="1">
      <alignment horizontal="center" vertical="center" shrinkToFit="1"/>
    </xf>
    <xf numFmtId="41" fontId="47" fillId="0" borderId="18" xfId="2" applyFont="1" applyBorder="1" applyAlignment="1">
      <alignment vertical="center" shrinkToFit="1"/>
    </xf>
    <xf numFmtId="41" fontId="47" fillId="0" borderId="19" xfId="2" applyFont="1" applyBorder="1" applyAlignment="1">
      <alignment horizontal="center" vertical="center" shrinkToFit="1"/>
    </xf>
    <xf numFmtId="41" fontId="47" fillId="2" borderId="20" xfId="2" applyFont="1" applyFill="1" applyBorder="1" applyAlignment="1">
      <alignment vertical="center" shrinkToFit="1"/>
    </xf>
    <xf numFmtId="177" fontId="47" fillId="2" borderId="21" xfId="2" applyNumberFormat="1" applyFont="1" applyFill="1" applyBorder="1" applyAlignment="1">
      <alignment vertical="center" shrinkToFit="1"/>
    </xf>
    <xf numFmtId="41" fontId="47" fillId="2" borderId="22" xfId="2" applyFont="1" applyFill="1" applyBorder="1" applyAlignment="1">
      <alignment horizontal="center" vertical="center" shrinkToFit="1"/>
    </xf>
    <xf numFmtId="41" fontId="47" fillId="2" borderId="23" xfId="2" applyFont="1" applyFill="1" applyBorder="1" applyAlignment="1">
      <alignment vertical="center" shrinkToFit="1"/>
    </xf>
    <xf numFmtId="41" fontId="47" fillId="2" borderId="24" xfId="2" applyFont="1" applyFill="1" applyBorder="1" applyAlignment="1">
      <alignment vertical="center" shrinkToFit="1"/>
    </xf>
    <xf numFmtId="41" fontId="47" fillId="2" borderId="18" xfId="2" applyFont="1" applyFill="1" applyBorder="1" applyAlignment="1">
      <alignment vertical="center" shrinkToFit="1"/>
    </xf>
    <xf numFmtId="41" fontId="47" fillId="2" borderId="25" xfId="2" applyFont="1" applyFill="1" applyBorder="1" applyAlignment="1">
      <alignment vertical="center" shrinkToFit="1"/>
    </xf>
    <xf numFmtId="41" fontId="47" fillId="2" borderId="26" xfId="2" applyFont="1" applyFill="1" applyBorder="1" applyAlignment="1">
      <alignment horizontal="right" vertical="center" shrinkToFit="1"/>
    </xf>
    <xf numFmtId="177" fontId="47" fillId="2" borderId="25" xfId="2" applyNumberFormat="1" applyFont="1" applyFill="1" applyBorder="1" applyAlignment="1">
      <alignment vertical="center" shrinkToFit="1"/>
    </xf>
    <xf numFmtId="41" fontId="47" fillId="0" borderId="19" xfId="2" applyFont="1" applyBorder="1" applyAlignment="1">
      <alignment vertical="center" shrinkToFit="1"/>
    </xf>
    <xf numFmtId="0" fontId="8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center" vertical="center"/>
    </xf>
    <xf numFmtId="179" fontId="51" fillId="0" borderId="0" xfId="2" applyNumberFormat="1" applyFont="1" applyAlignment="1">
      <alignment horizontal="center" vertical="center" shrinkToFit="1"/>
    </xf>
    <xf numFmtId="41" fontId="51" fillId="0" borderId="0" xfId="2" applyFont="1" applyAlignment="1">
      <alignment horizontal="center" vertical="center" shrinkToFit="1"/>
    </xf>
    <xf numFmtId="0" fontId="51" fillId="0" borderId="0" xfId="0" applyFont="1" applyAlignment="1">
      <alignment horizontal="right" vertical="center"/>
    </xf>
    <xf numFmtId="0" fontId="50" fillId="0" borderId="0" xfId="0" applyFont="1">
      <alignment vertical="center"/>
    </xf>
    <xf numFmtId="179" fontId="48" fillId="0" borderId="5" xfId="2" applyNumberFormat="1" applyFont="1" applyBorder="1" applyAlignment="1">
      <alignment horizontal="center" vertical="center"/>
    </xf>
    <xf numFmtId="0" fontId="50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50" fillId="0" borderId="0" xfId="0" applyFont="1" applyAlignment="1">
      <alignment horizontal="right" vertical="center"/>
    </xf>
    <xf numFmtId="0" fontId="75" fillId="0" borderId="0" xfId="0" applyFont="1">
      <alignment vertical="center"/>
    </xf>
    <xf numFmtId="177" fontId="48" fillId="2" borderId="3" xfId="2" applyNumberFormat="1" applyFont="1" applyFill="1" applyBorder="1" applyAlignment="1">
      <alignment horizontal="right" vertical="center" shrinkToFit="1"/>
    </xf>
    <xf numFmtId="0" fontId="47" fillId="0" borderId="3" xfId="0" applyFont="1" applyBorder="1" applyAlignment="1">
      <alignment horizontal="left" vertical="center" indent="1"/>
    </xf>
    <xf numFmtId="0" fontId="53" fillId="0" borderId="4" xfId="0" applyFont="1" applyBorder="1" applyAlignment="1">
      <alignment horizontal="center" vertical="center"/>
    </xf>
    <xf numFmtId="41" fontId="53" fillId="2" borderId="26" xfId="2" applyFont="1" applyFill="1" applyBorder="1" applyAlignment="1">
      <alignment horizontal="right" vertical="center" shrinkToFit="1"/>
    </xf>
    <xf numFmtId="41" fontId="53" fillId="2" borderId="28" xfId="2" applyFont="1" applyFill="1" applyBorder="1" applyAlignment="1">
      <alignment horizontal="right" vertical="center" shrinkToFit="1"/>
    </xf>
    <xf numFmtId="41" fontId="53" fillId="0" borderId="26" xfId="2" applyFont="1" applyBorder="1" applyAlignment="1">
      <alignment horizontal="right" vertical="center" shrinkToFit="1"/>
    </xf>
    <xf numFmtId="41" fontId="53" fillId="2" borderId="29" xfId="2" applyFont="1" applyFill="1" applyBorder="1" applyAlignment="1">
      <alignment horizontal="right" vertical="center" shrinkToFit="1"/>
    </xf>
    <xf numFmtId="0" fontId="53" fillId="0" borderId="2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 vertical="center" wrapText="1"/>
    </xf>
    <xf numFmtId="0" fontId="77" fillId="0" borderId="3" xfId="2" applyNumberFormat="1" applyFont="1" applyBorder="1" applyAlignment="1">
      <alignment horizontal="center" vertical="center"/>
    </xf>
    <xf numFmtId="0" fontId="55" fillId="0" borderId="4" xfId="0" applyFont="1" applyBorder="1" applyAlignment="1">
      <alignment horizontal="center" vertical="center"/>
    </xf>
    <xf numFmtId="41" fontId="47" fillId="2" borderId="30" xfId="2" applyFont="1" applyFill="1" applyBorder="1" applyAlignment="1">
      <alignment vertical="center" shrinkToFit="1"/>
    </xf>
    <xf numFmtId="41" fontId="53" fillId="2" borderId="32" xfId="2" applyFont="1" applyFill="1" applyBorder="1" applyAlignment="1">
      <alignment horizontal="right" vertical="center" shrinkToFit="1"/>
    </xf>
    <xf numFmtId="177" fontId="47" fillId="2" borderId="31" xfId="2" applyNumberFormat="1" applyFont="1" applyFill="1" applyBorder="1" applyAlignment="1">
      <alignment vertical="center" shrinkToFit="1"/>
    </xf>
    <xf numFmtId="41" fontId="47" fillId="0" borderId="33" xfId="2" applyFont="1" applyBorder="1" applyAlignment="1">
      <alignment vertical="center" shrinkToFit="1"/>
    </xf>
    <xf numFmtId="41" fontId="47" fillId="2" borderId="34" xfId="2" applyFont="1" applyFill="1" applyBorder="1" applyAlignment="1">
      <alignment vertical="center" shrinkToFit="1"/>
    </xf>
    <xf numFmtId="41" fontId="47" fillId="2" borderId="35" xfId="2" applyFont="1" applyFill="1" applyBorder="1" applyAlignment="1">
      <alignment vertical="center" shrinkToFit="1"/>
    </xf>
    <xf numFmtId="41" fontId="47" fillId="2" borderId="27" xfId="2" applyFont="1" applyFill="1" applyBorder="1" applyAlignment="1">
      <alignment horizontal="right" vertical="center" shrinkToFit="1"/>
    </xf>
    <xf numFmtId="177" fontId="47" fillId="2" borderId="35" xfId="2" applyNumberFormat="1" applyFont="1" applyFill="1" applyBorder="1" applyAlignment="1">
      <alignment vertical="center" shrinkToFit="1"/>
    </xf>
    <xf numFmtId="41" fontId="47" fillId="0" borderId="36" xfId="2" applyFont="1" applyBorder="1" applyAlignment="1">
      <alignment vertical="center" shrinkToFit="1"/>
    </xf>
    <xf numFmtId="41" fontId="17" fillId="0" borderId="0" xfId="0" applyNumberFormat="1" applyFont="1">
      <alignment vertical="center"/>
    </xf>
    <xf numFmtId="0" fontId="57" fillId="0" borderId="0" xfId="0" applyFont="1" applyAlignment="1">
      <alignment horizontal="right" vertical="center"/>
    </xf>
    <xf numFmtId="0" fontId="77" fillId="0" borderId="3" xfId="0" applyFont="1" applyBorder="1" applyAlignment="1">
      <alignment horizontal="center" vertical="center" wrapText="1"/>
    </xf>
    <xf numFmtId="0" fontId="77" fillId="0" borderId="3" xfId="2" quotePrefix="1" applyNumberFormat="1" applyFont="1" applyBorder="1" applyAlignment="1">
      <alignment horizontal="center" vertical="center"/>
    </xf>
    <xf numFmtId="0" fontId="77" fillId="0" borderId="4" xfId="0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 shrinkToFit="1"/>
    </xf>
    <xf numFmtId="0" fontId="61" fillId="0" borderId="3" xfId="0" applyFont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0" fontId="61" fillId="0" borderId="4" xfId="0" applyFont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26" fillId="0" borderId="37" xfId="0" applyFont="1" applyBorder="1">
      <alignment vertical="center"/>
    </xf>
    <xf numFmtId="0" fontId="26" fillId="0" borderId="37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14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shrinkToFit="1"/>
    </xf>
    <xf numFmtId="41" fontId="4" fillId="0" borderId="25" xfId="2" applyFont="1" applyBorder="1" applyAlignment="1">
      <alignment vertical="center" shrinkToFit="1"/>
    </xf>
    <xf numFmtId="41" fontId="4" fillId="2" borderId="38" xfId="2" applyFont="1" applyFill="1" applyBorder="1" applyAlignment="1">
      <alignment horizontal="center" vertical="center" shrinkToFit="1"/>
    </xf>
    <xf numFmtId="41" fontId="80" fillId="3" borderId="64" xfId="2" applyFont="1" applyFill="1" applyBorder="1" applyAlignment="1">
      <alignment horizontal="right" vertical="center" shrinkToFit="1"/>
    </xf>
    <xf numFmtId="0" fontId="64" fillId="0" borderId="39" xfId="7" applyFont="1" applyBorder="1" applyAlignment="1">
      <alignment horizontal="center" vertical="center" shrinkToFit="1"/>
    </xf>
    <xf numFmtId="14" fontId="65" fillId="0" borderId="3" xfId="0" applyNumberFormat="1" applyFont="1" applyBorder="1" applyAlignment="1">
      <alignment horizontal="center" vertical="center" shrinkToFit="1"/>
    </xf>
    <xf numFmtId="41" fontId="4" fillId="2" borderId="25" xfId="2" applyFont="1" applyFill="1" applyBorder="1" applyAlignment="1">
      <alignment vertical="center" shrinkToFit="1"/>
    </xf>
    <xf numFmtId="41" fontId="4" fillId="0" borderId="19" xfId="2" applyFont="1" applyBorder="1" applyAlignment="1">
      <alignment horizontal="center" vertical="center" shrinkToFit="1"/>
    </xf>
    <xf numFmtId="49" fontId="4" fillId="3" borderId="3" xfId="0" applyNumberFormat="1" applyFont="1" applyFill="1" applyBorder="1" applyAlignment="1">
      <alignment horizontal="center" vertical="center" shrinkToFit="1"/>
    </xf>
    <xf numFmtId="41" fontId="78" fillId="0" borderId="40" xfId="2" applyFont="1" applyBorder="1" applyAlignment="1">
      <alignment horizontal="center" vertical="center"/>
    </xf>
    <xf numFmtId="179" fontId="9" fillId="3" borderId="5" xfId="2" applyNumberFormat="1" applyFont="1" applyFill="1" applyBorder="1" applyAlignment="1">
      <alignment horizontal="center" vertical="center" shrinkToFit="1"/>
    </xf>
    <xf numFmtId="177" fontId="9" fillId="0" borderId="14" xfId="2" applyNumberFormat="1" applyFont="1" applyBorder="1" applyAlignment="1">
      <alignment vertical="center" shrinkToFit="1"/>
    </xf>
    <xf numFmtId="177" fontId="9" fillId="0" borderId="2" xfId="2" applyNumberFormat="1" applyFont="1" applyBorder="1" applyAlignment="1">
      <alignment vertical="center" shrinkToFit="1"/>
    </xf>
    <xf numFmtId="41" fontId="53" fillId="0" borderId="19" xfId="2" applyFont="1" applyBorder="1" applyAlignment="1">
      <alignment vertical="center" shrinkToFit="1"/>
    </xf>
    <xf numFmtId="0" fontId="66" fillId="0" borderId="3" xfId="0" applyFont="1" applyBorder="1" applyAlignment="1">
      <alignment horizontal="center" vertical="center" shrinkToFit="1"/>
    </xf>
    <xf numFmtId="0" fontId="66" fillId="0" borderId="0" xfId="0" applyFont="1">
      <alignment vertical="center"/>
    </xf>
    <xf numFmtId="177" fontId="47" fillId="0" borderId="25" xfId="2" applyNumberFormat="1" applyFont="1" applyBorder="1" applyAlignment="1">
      <alignment vertical="center" shrinkToFit="1"/>
    </xf>
    <xf numFmtId="177" fontId="47" fillId="2" borderId="24" xfId="2" applyNumberFormat="1" applyFont="1" applyFill="1" applyBorder="1" applyAlignment="1">
      <alignment vertical="center" shrinkToFit="1"/>
    </xf>
    <xf numFmtId="41" fontId="4" fillId="0" borderId="19" xfId="2" applyFont="1" applyBorder="1" applyAlignment="1">
      <alignment horizontal="center" vertical="center" wrapText="1"/>
    </xf>
    <xf numFmtId="177" fontId="9" fillId="0" borderId="41" xfId="2" applyNumberFormat="1" applyFont="1" applyBorder="1" applyAlignment="1">
      <alignment vertical="center" shrinkToFit="1"/>
    </xf>
    <xf numFmtId="41" fontId="54" fillId="2" borderId="17" xfId="2" applyFont="1" applyFill="1" applyBorder="1" applyAlignment="1">
      <alignment horizontal="right" vertical="center" shrinkToFit="1"/>
    </xf>
    <xf numFmtId="177" fontId="9" fillId="2" borderId="41" xfId="2" applyNumberFormat="1" applyFont="1" applyFill="1" applyBorder="1" applyAlignment="1">
      <alignment vertical="center" shrinkToFit="1"/>
    </xf>
    <xf numFmtId="41" fontId="47" fillId="2" borderId="12" xfId="2" applyFont="1" applyFill="1" applyBorder="1" applyAlignment="1">
      <alignment horizontal="center" vertical="center" shrinkToFit="1"/>
    </xf>
    <xf numFmtId="41" fontId="9" fillId="5" borderId="3" xfId="2" applyFont="1" applyFill="1" applyBorder="1" applyAlignment="1">
      <alignment horizontal="center" vertical="center" shrinkToFit="1"/>
    </xf>
    <xf numFmtId="0" fontId="4" fillId="0" borderId="2" xfId="0" applyFont="1" applyBorder="1" applyAlignment="1">
      <alignment horizontal="center" vertical="center" shrinkToFit="1"/>
    </xf>
    <xf numFmtId="14" fontId="4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1" fontId="4" fillId="0" borderId="0" xfId="0" applyNumberFormat="1" applyFont="1">
      <alignment vertical="center"/>
    </xf>
    <xf numFmtId="41" fontId="48" fillId="2" borderId="3" xfId="2" applyNumberFormat="1" applyFont="1" applyFill="1" applyBorder="1" applyAlignment="1">
      <alignment horizontal="right" vertical="center" shrinkToFit="1"/>
    </xf>
    <xf numFmtId="41" fontId="48" fillId="0" borderId="14" xfId="2" applyNumberFormat="1" applyFont="1" applyBorder="1" applyAlignment="1">
      <alignment horizontal="center" vertical="center"/>
    </xf>
    <xf numFmtId="0" fontId="75" fillId="0" borderId="0" xfId="0" applyFont="1" applyAlignment="1">
      <alignment horizontal="left" vertical="center"/>
    </xf>
    <xf numFmtId="0" fontId="77" fillId="0" borderId="10" xfId="0" applyFont="1" applyBorder="1" applyAlignment="1">
      <alignment horizontal="center" vertical="center"/>
    </xf>
    <xf numFmtId="0" fontId="77" fillId="0" borderId="3" xfId="0" applyFont="1" applyBorder="1" applyAlignment="1">
      <alignment horizontal="center" vertical="center"/>
    </xf>
    <xf numFmtId="0" fontId="67" fillId="0" borderId="37" xfId="0" applyFont="1" applyBorder="1">
      <alignment vertical="center"/>
    </xf>
    <xf numFmtId="0" fontId="82" fillId="5" borderId="7" xfId="0" applyFont="1" applyFill="1" applyBorder="1" applyAlignment="1">
      <alignment horizontal="center" vertical="center"/>
    </xf>
    <xf numFmtId="0" fontId="82" fillId="5" borderId="46" xfId="0" applyFont="1" applyFill="1" applyBorder="1" applyAlignment="1">
      <alignment horizontal="center" vertical="center"/>
    </xf>
    <xf numFmtId="0" fontId="81" fillId="0" borderId="0" xfId="0" applyFont="1" applyAlignment="1">
      <alignment vertical="center"/>
    </xf>
    <xf numFmtId="0" fontId="81" fillId="0" borderId="0" xfId="0" applyFont="1" applyAlignment="1">
      <alignment horizontal="left" vertical="center"/>
    </xf>
    <xf numFmtId="14" fontId="64" fillId="2" borderId="73" xfId="0" applyNumberFormat="1" applyFont="1" applyFill="1" applyBorder="1" applyAlignment="1" applyProtection="1">
      <alignment horizontal="center" vertical="center" wrapText="1"/>
    </xf>
    <xf numFmtId="0" fontId="4" fillId="0" borderId="29" xfId="0" applyFont="1" applyBorder="1" applyAlignment="1">
      <alignment horizontal="center" vertical="center" shrinkToFit="1"/>
    </xf>
    <xf numFmtId="0" fontId="64" fillId="2" borderId="73" xfId="0" applyFont="1" applyFill="1" applyBorder="1" applyAlignment="1" applyProtection="1">
      <alignment horizontal="center" vertical="center" wrapText="1"/>
    </xf>
    <xf numFmtId="14" fontId="64" fillId="2" borderId="74" xfId="0" applyNumberFormat="1" applyFont="1" applyFill="1" applyBorder="1" applyAlignment="1" applyProtection="1">
      <alignment horizontal="center" vertical="center" wrapText="1"/>
    </xf>
    <xf numFmtId="0" fontId="64" fillId="2" borderId="75" xfId="0" applyFont="1" applyFill="1" applyBorder="1" applyAlignment="1" applyProtection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shrinkToFit="1"/>
    </xf>
    <xf numFmtId="42" fontId="17" fillId="0" borderId="0" xfId="0" applyNumberFormat="1" applyFont="1">
      <alignment vertical="center"/>
    </xf>
    <xf numFmtId="42" fontId="56" fillId="0" borderId="0" xfId="0" applyNumberFormat="1" applyFont="1" applyAlignment="1">
      <alignment vertical="center"/>
    </xf>
    <xf numFmtId="41" fontId="48" fillId="5" borderId="8" xfId="2" applyFont="1" applyFill="1" applyBorder="1" applyAlignment="1">
      <alignment horizontal="center" vertical="center" shrinkToFit="1"/>
    </xf>
    <xf numFmtId="41" fontId="80" fillId="4" borderId="60" xfId="2" applyNumberFormat="1" applyFont="1" applyFill="1" applyBorder="1" applyAlignment="1">
      <alignment horizontal="right" vertical="center" shrinkToFit="1"/>
    </xf>
    <xf numFmtId="0" fontId="47" fillId="0" borderId="10" xfId="0" applyFont="1" applyBorder="1" applyAlignment="1">
      <alignment horizontal="center" vertical="center"/>
    </xf>
    <xf numFmtId="182" fontId="64" fillId="2" borderId="4" xfId="0" applyNumberFormat="1" applyFont="1" applyFill="1" applyBorder="1" applyAlignment="1" applyProtection="1">
      <alignment horizontal="right" vertical="center" wrapText="1"/>
    </xf>
    <xf numFmtId="182" fontId="64" fillId="2" borderId="76" xfId="0" applyNumberFormat="1" applyFont="1" applyFill="1" applyBorder="1" applyAlignment="1" applyProtection="1">
      <alignment horizontal="right" vertical="center" wrapText="1"/>
    </xf>
    <xf numFmtId="41" fontId="17" fillId="0" borderId="0" xfId="2" applyFont="1">
      <alignment vertical="center"/>
    </xf>
    <xf numFmtId="0" fontId="4" fillId="0" borderId="0" xfId="0" applyNumberFormat="1" applyFont="1" applyAlignment="1">
      <alignment vertical="center" shrinkToFit="1"/>
    </xf>
    <xf numFmtId="14" fontId="64" fillId="2" borderId="3" xfId="0" applyNumberFormat="1" applyFont="1" applyFill="1" applyBorder="1" applyAlignment="1" applyProtection="1">
      <alignment horizontal="center" vertical="center" wrapText="1"/>
    </xf>
    <xf numFmtId="41" fontId="6" fillId="0" borderId="0" xfId="0" applyNumberFormat="1" applyFont="1">
      <alignment vertical="center"/>
    </xf>
    <xf numFmtId="0" fontId="47" fillId="0" borderId="10" xfId="0" applyFont="1" applyBorder="1" applyAlignment="1">
      <alignment horizontal="center" vertical="center"/>
    </xf>
    <xf numFmtId="0" fontId="64" fillId="2" borderId="3" xfId="0" applyFont="1" applyFill="1" applyBorder="1" applyAlignment="1" applyProtection="1">
      <alignment horizontal="center" vertical="center" wrapText="1"/>
    </xf>
    <xf numFmtId="14" fontId="64" fillId="2" borderId="78" xfId="0" applyNumberFormat="1" applyFont="1" applyFill="1" applyBorder="1" applyAlignment="1" applyProtection="1">
      <alignment horizontal="center" vertical="center" wrapText="1"/>
    </xf>
    <xf numFmtId="0" fontId="64" fillId="2" borderId="77" xfId="0" applyFont="1" applyFill="1" applyBorder="1" applyAlignment="1" applyProtection="1">
      <alignment horizontal="center" vertical="center" wrapText="1"/>
    </xf>
    <xf numFmtId="177" fontId="64" fillId="2" borderId="3" xfId="0" applyNumberFormat="1" applyFont="1" applyFill="1" applyBorder="1" applyAlignment="1" applyProtection="1">
      <alignment horizontal="right" vertical="center" wrapText="1"/>
    </xf>
    <xf numFmtId="0" fontId="4" fillId="0" borderId="3" xfId="2" applyNumberFormat="1" applyFont="1" applyBorder="1" applyAlignment="1">
      <alignment horizontal="center" vertical="center" shrinkToFit="1"/>
    </xf>
    <xf numFmtId="41" fontId="4" fillId="0" borderId="3" xfId="2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3" fillId="6" borderId="60" xfId="10" applyFont="1" applyFill="1" applyBorder="1" applyAlignment="1">
      <alignment horizontal="center" vertical="center" wrapText="1"/>
    </xf>
    <xf numFmtId="0" fontId="1" fillId="0" borderId="0" xfId="10">
      <alignment vertical="center"/>
    </xf>
    <xf numFmtId="0" fontId="1" fillId="0" borderId="81" xfId="10" applyBorder="1">
      <alignment vertical="center"/>
    </xf>
    <xf numFmtId="0" fontId="84" fillId="0" borderId="60" xfId="10" applyFont="1" applyBorder="1" applyAlignment="1">
      <alignment horizontal="center" vertical="center" wrapText="1"/>
    </xf>
    <xf numFmtId="0" fontId="84" fillId="0" borderId="60" xfId="10" applyFont="1" applyBorder="1" applyAlignment="1">
      <alignment vertical="center" wrapText="1"/>
    </xf>
    <xf numFmtId="3" fontId="84" fillId="0" borderId="60" xfId="10" applyNumberFormat="1" applyFont="1" applyBorder="1" applyAlignment="1">
      <alignment vertical="center" wrapText="1"/>
    </xf>
    <xf numFmtId="0" fontId="86" fillId="6" borderId="60" xfId="10" applyFont="1" applyFill="1" applyBorder="1" applyAlignment="1">
      <alignment horizontal="center" vertical="center" wrapText="1"/>
    </xf>
    <xf numFmtId="183" fontId="86" fillId="6" borderId="60" xfId="10" applyNumberFormat="1" applyFont="1" applyFill="1" applyBorder="1" applyAlignment="1">
      <alignment horizontal="right" vertical="center" wrapText="1"/>
    </xf>
    <xf numFmtId="0" fontId="87" fillId="2" borderId="0" xfId="3" applyFont="1" applyFill="1" applyAlignment="1">
      <alignment horizontal="left" vertical="top" wrapText="1"/>
    </xf>
    <xf numFmtId="0" fontId="58" fillId="0" borderId="0" xfId="3"/>
    <xf numFmtId="0" fontId="89" fillId="2" borderId="82" xfId="3" applyFont="1" applyFill="1" applyBorder="1" applyAlignment="1">
      <alignment horizontal="left" vertical="center" wrapText="1"/>
    </xf>
    <xf numFmtId="0" fontId="89" fillId="2" borderId="83" xfId="3" applyFont="1" applyFill="1" applyBorder="1" applyAlignment="1">
      <alignment horizontal="left" vertical="center" wrapText="1"/>
    </xf>
    <xf numFmtId="0" fontId="89" fillId="2" borderId="0" xfId="3" applyFont="1" applyFill="1" applyAlignment="1">
      <alignment horizontal="right" vertical="center" wrapText="1"/>
    </xf>
    <xf numFmtId="0" fontId="89" fillId="2" borderId="82" xfId="3" applyFont="1" applyFill="1" applyBorder="1" applyAlignment="1">
      <alignment horizontal="center" vertical="center" wrapText="1"/>
    </xf>
    <xf numFmtId="0" fontId="89" fillId="2" borderId="83" xfId="3" applyFont="1" applyFill="1" applyBorder="1" applyAlignment="1">
      <alignment horizontal="center" vertical="center" wrapText="1"/>
    </xf>
    <xf numFmtId="0" fontId="89" fillId="2" borderId="84" xfId="3" applyFont="1" applyFill="1" applyBorder="1" applyAlignment="1">
      <alignment horizontal="right" vertical="center" wrapText="1"/>
    </xf>
    <xf numFmtId="182" fontId="89" fillId="2" borderId="84" xfId="3" applyNumberFormat="1" applyFont="1" applyFill="1" applyBorder="1" applyAlignment="1">
      <alignment horizontal="right" vertical="center" wrapText="1"/>
    </xf>
    <xf numFmtId="0" fontId="86" fillId="0" borderId="60" xfId="10" applyFont="1" applyBorder="1" applyAlignment="1">
      <alignment horizontal="left" vertical="center" wrapText="1"/>
    </xf>
    <xf numFmtId="3" fontId="86" fillId="0" borderId="60" xfId="10" applyNumberFormat="1" applyFont="1" applyBorder="1" applyAlignment="1">
      <alignment horizontal="right" vertical="center" wrapText="1"/>
    </xf>
    <xf numFmtId="0" fontId="86" fillId="0" borderId="60" xfId="10" applyFont="1" applyBorder="1" applyAlignment="1">
      <alignment horizontal="right" vertical="center" wrapText="1"/>
    </xf>
    <xf numFmtId="0" fontId="86" fillId="0" borderId="60" xfId="10" applyFont="1" applyBorder="1" applyAlignment="1">
      <alignment horizontal="center" vertical="center" wrapText="1"/>
    </xf>
    <xf numFmtId="0" fontId="86" fillId="6" borderId="60" xfId="10" applyFont="1" applyFill="1" applyBorder="1" applyAlignment="1">
      <alignment vertical="center" wrapText="1"/>
    </xf>
    <xf numFmtId="41" fontId="4" fillId="2" borderId="21" xfId="2" applyFont="1" applyFill="1" applyBorder="1" applyAlignment="1">
      <alignment vertical="center" shrinkToFit="1"/>
    </xf>
    <xf numFmtId="0" fontId="4" fillId="0" borderId="3" xfId="0" applyFont="1" applyBorder="1" applyAlignment="1">
      <alignment horizontal="left" vertical="center" wrapText="1" indent="1"/>
    </xf>
    <xf numFmtId="14" fontId="64" fillId="2" borderId="1" xfId="0" applyNumberFormat="1" applyFont="1" applyFill="1" applyBorder="1" applyAlignment="1" applyProtection="1">
      <alignment horizontal="center" vertical="center" wrapText="1"/>
    </xf>
    <xf numFmtId="0" fontId="64" fillId="2" borderId="2" xfId="0" applyFont="1" applyFill="1" applyBorder="1" applyAlignment="1" applyProtection="1">
      <alignment horizontal="center" vertical="center" wrapText="1"/>
    </xf>
    <xf numFmtId="177" fontId="64" fillId="2" borderId="1" xfId="0" applyNumberFormat="1" applyFont="1" applyFill="1" applyBorder="1" applyAlignment="1" applyProtection="1">
      <alignment horizontal="right" vertical="center" wrapText="1"/>
    </xf>
    <xf numFmtId="0" fontId="77" fillId="3" borderId="27" xfId="0" applyFont="1" applyFill="1" applyBorder="1" applyAlignment="1">
      <alignment horizontal="center" vertical="center"/>
    </xf>
    <xf numFmtId="41" fontId="77" fillId="3" borderId="27" xfId="2" applyFont="1" applyFill="1" applyBorder="1" applyAlignment="1">
      <alignment horizontal="center" vertical="center"/>
    </xf>
    <xf numFmtId="0" fontId="77" fillId="3" borderId="36" xfId="0" applyFont="1" applyFill="1" applyBorder="1" applyAlignment="1">
      <alignment horizontal="center" vertical="center"/>
    </xf>
    <xf numFmtId="0" fontId="77" fillId="3" borderId="39" xfId="0" applyFont="1" applyFill="1" applyBorder="1" applyAlignment="1">
      <alignment horizontal="center" vertical="center"/>
    </xf>
    <xf numFmtId="41" fontId="4" fillId="0" borderId="3" xfId="2" applyFont="1" applyBorder="1" applyAlignment="1">
      <alignment horizontal="center" vertical="center" shrinkToFit="1"/>
    </xf>
    <xf numFmtId="41" fontId="4" fillId="2" borderId="85" xfId="2" applyFont="1" applyFill="1" applyBorder="1" applyAlignment="1">
      <alignment vertical="center" shrinkToFit="1"/>
    </xf>
    <xf numFmtId="0" fontId="4" fillId="0" borderId="85" xfId="0" applyFont="1" applyBorder="1">
      <alignment vertical="center"/>
    </xf>
    <xf numFmtId="0" fontId="17" fillId="0" borderId="85" xfId="0" applyFont="1" applyBorder="1">
      <alignment vertical="center"/>
    </xf>
    <xf numFmtId="41" fontId="47" fillId="2" borderId="85" xfId="2" applyFont="1" applyFill="1" applyBorder="1" applyAlignment="1">
      <alignment vertical="center" shrinkToFit="1"/>
    </xf>
    <xf numFmtId="41" fontId="47" fillId="2" borderId="86" xfId="2" applyFont="1" applyFill="1" applyBorder="1" applyAlignment="1">
      <alignment vertical="center" shrinkToFit="1"/>
    </xf>
    <xf numFmtId="0" fontId="17" fillId="0" borderId="26" xfId="0" applyFont="1" applyBorder="1">
      <alignment vertical="center"/>
    </xf>
    <xf numFmtId="41" fontId="53" fillId="2" borderId="0" xfId="2" applyNumberFormat="1" applyFont="1" applyFill="1" applyBorder="1" applyAlignment="1">
      <alignment horizontal="right" vertical="center" shrinkToFit="1"/>
    </xf>
    <xf numFmtId="41" fontId="53" fillId="2" borderId="85" xfId="2" applyFont="1" applyFill="1" applyBorder="1" applyAlignment="1">
      <alignment horizontal="right" vertical="center" shrinkToFit="1"/>
    </xf>
    <xf numFmtId="177" fontId="47" fillId="2" borderId="26" xfId="2" applyNumberFormat="1" applyFont="1" applyFill="1" applyBorder="1" applyAlignment="1">
      <alignment vertical="center" shrinkToFit="1"/>
    </xf>
    <xf numFmtId="41" fontId="17" fillId="0" borderId="85" xfId="0" applyNumberFormat="1" applyFont="1" applyBorder="1">
      <alignment vertical="center"/>
    </xf>
    <xf numFmtId="41" fontId="17" fillId="0" borderId="26" xfId="2" applyFont="1" applyBorder="1">
      <alignment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8" fillId="0" borderId="0" xfId="0" applyFont="1" applyAlignment="1">
      <alignment horizontal="distributed" vertical="center"/>
    </xf>
    <xf numFmtId="0" fontId="23" fillId="0" borderId="0" xfId="0" quotePrefix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42" xfId="0" applyFont="1" applyBorder="1" applyAlignment="1">
      <alignment horizontal="distributed" vertical="center"/>
    </xf>
    <xf numFmtId="0" fontId="6" fillId="0" borderId="42" xfId="0" applyFont="1" applyBorder="1" applyAlignment="1">
      <alignment horizontal="distributed" vertical="center"/>
    </xf>
    <xf numFmtId="0" fontId="19" fillId="0" borderId="42" xfId="0" applyFont="1" applyBorder="1" applyAlignment="1">
      <alignment horizontal="distributed" vertical="center"/>
    </xf>
    <xf numFmtId="0" fontId="30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80" fillId="3" borderId="68" xfId="5" applyFont="1" applyFill="1" applyBorder="1" applyAlignment="1">
      <alignment horizontal="center" vertical="center" wrapText="1"/>
    </xf>
    <xf numFmtId="0" fontId="80" fillId="3" borderId="69" xfId="5" applyFont="1" applyFill="1" applyBorder="1" applyAlignment="1">
      <alignment horizontal="center" vertical="center" wrapText="1"/>
    </xf>
    <xf numFmtId="0" fontId="80" fillId="4" borderId="70" xfId="5" applyFont="1" applyFill="1" applyBorder="1" applyAlignment="1">
      <alignment horizontal="center" vertical="center" wrapText="1"/>
    </xf>
    <xf numFmtId="0" fontId="80" fillId="4" borderId="66" xfId="5" applyFont="1" applyFill="1" applyBorder="1" applyAlignment="1">
      <alignment horizontal="center" vertical="center" wrapText="1"/>
    </xf>
    <xf numFmtId="0" fontId="80" fillId="3" borderId="67" xfId="5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79" fillId="3" borderId="71" xfId="5" applyFont="1" applyFill="1" applyBorder="1" applyAlignment="1">
      <alignment horizontal="center" vertical="center" wrapText="1"/>
    </xf>
    <xf numFmtId="0" fontId="79" fillId="3" borderId="72" xfId="5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left" vertical="center" wrapText="1"/>
    </xf>
    <xf numFmtId="0" fontId="59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0" fontId="79" fillId="5" borderId="44" xfId="5" applyFont="1" applyFill="1" applyBorder="1" applyAlignment="1">
      <alignment horizontal="center" vertical="center" wrapText="1"/>
    </xf>
    <xf numFmtId="0" fontId="79" fillId="5" borderId="45" xfId="5" applyFont="1" applyFill="1" applyBorder="1" applyAlignment="1">
      <alignment horizontal="center" vertical="center" wrapText="1"/>
    </xf>
    <xf numFmtId="0" fontId="79" fillId="5" borderId="46" xfId="5" applyFont="1" applyFill="1" applyBorder="1" applyAlignment="1">
      <alignment horizontal="center" vertical="center" wrapText="1"/>
    </xf>
    <xf numFmtId="0" fontId="79" fillId="5" borderId="43" xfId="5" applyFont="1" applyFill="1" applyBorder="1" applyAlignment="1">
      <alignment horizontal="center" vertical="center" wrapText="1"/>
    </xf>
    <xf numFmtId="0" fontId="79" fillId="5" borderId="47" xfId="5" applyFont="1" applyFill="1" applyBorder="1" applyAlignment="1">
      <alignment horizontal="center" vertical="center" wrapText="1"/>
    </xf>
    <xf numFmtId="0" fontId="79" fillId="5" borderId="34" xfId="5" applyFont="1" applyFill="1" applyBorder="1" applyAlignment="1">
      <alignment horizontal="center" vertical="center" wrapText="1"/>
    </xf>
    <xf numFmtId="0" fontId="79" fillId="5" borderId="35" xfId="5" applyFont="1" applyFill="1" applyBorder="1" applyAlignment="1">
      <alignment horizontal="center" vertical="center" wrapText="1"/>
    </xf>
    <xf numFmtId="0" fontId="79" fillId="4" borderId="13" xfId="5" applyFont="1" applyFill="1" applyBorder="1" applyAlignment="1">
      <alignment horizontal="center" vertical="center" wrapText="1"/>
    </xf>
    <xf numFmtId="0" fontId="79" fillId="4" borderId="2" xfId="5" applyFont="1" applyFill="1" applyBorder="1" applyAlignment="1">
      <alignment horizontal="center" vertical="center" wrapText="1"/>
    </xf>
    <xf numFmtId="0" fontId="79" fillId="5" borderId="48" xfId="5" applyFont="1" applyFill="1" applyBorder="1" applyAlignment="1">
      <alignment horizontal="center" vertical="center" wrapText="1"/>
    </xf>
    <xf numFmtId="0" fontId="79" fillId="5" borderId="27" xfId="5" applyFont="1" applyFill="1" applyBorder="1" applyAlignment="1">
      <alignment horizontal="center" vertical="center" wrapText="1"/>
    </xf>
    <xf numFmtId="0" fontId="79" fillId="5" borderId="49" xfId="5" applyFont="1" applyFill="1" applyBorder="1" applyAlignment="1">
      <alignment horizontal="center" vertical="center" wrapText="1"/>
    </xf>
    <xf numFmtId="0" fontId="79" fillId="5" borderId="36" xfId="5" applyFont="1" applyFill="1" applyBorder="1" applyAlignment="1">
      <alignment horizontal="center" vertical="center" wrapText="1"/>
    </xf>
    <xf numFmtId="41" fontId="48" fillId="5" borderId="8" xfId="2" applyFont="1" applyFill="1" applyBorder="1" applyAlignment="1">
      <alignment horizontal="center" vertical="center" shrinkToFit="1"/>
    </xf>
    <xf numFmtId="41" fontId="48" fillId="5" borderId="4" xfId="2" applyFont="1" applyFill="1" applyBorder="1" applyAlignment="1">
      <alignment horizontal="center" vertical="center" shrinkToFit="1"/>
    </xf>
    <xf numFmtId="41" fontId="48" fillId="0" borderId="13" xfId="2" applyFont="1" applyBorder="1" applyAlignment="1">
      <alignment horizontal="left" vertical="center" shrinkToFit="1"/>
    </xf>
    <xf numFmtId="41" fontId="48" fillId="0" borderId="2" xfId="2" applyFont="1" applyBorder="1" applyAlignment="1">
      <alignment horizontal="left" vertical="center" shrinkToFit="1"/>
    </xf>
    <xf numFmtId="41" fontId="48" fillId="0" borderId="51" xfId="2" applyFont="1" applyBorder="1" applyAlignment="1">
      <alignment horizontal="left" vertical="center" shrinkToFit="1"/>
    </xf>
    <xf numFmtId="41" fontId="48" fillId="0" borderId="41" xfId="2" applyFont="1" applyBorder="1" applyAlignment="1">
      <alignment horizontal="left" vertical="center" shrinkToFit="1"/>
    </xf>
    <xf numFmtId="41" fontId="48" fillId="0" borderId="50" xfId="2" applyFont="1" applyBorder="1" applyAlignment="1">
      <alignment horizontal="left" vertical="center" shrinkToFit="1"/>
    </xf>
    <xf numFmtId="41" fontId="48" fillId="0" borderId="14" xfId="2" applyFont="1" applyBorder="1" applyAlignment="1">
      <alignment horizontal="left" vertical="center" shrinkToFit="1"/>
    </xf>
    <xf numFmtId="41" fontId="48" fillId="2" borderId="51" xfId="2" applyFont="1" applyFill="1" applyBorder="1" applyAlignment="1">
      <alignment horizontal="left" vertical="center" shrinkToFit="1"/>
    </xf>
    <xf numFmtId="41" fontId="48" fillId="2" borderId="41" xfId="2" applyFont="1" applyFill="1" applyBorder="1" applyAlignment="1">
      <alignment horizontal="left" vertical="center" shrinkToFit="1"/>
    </xf>
    <xf numFmtId="41" fontId="48" fillId="5" borderId="9" xfId="2" applyFont="1" applyFill="1" applyBorder="1" applyAlignment="1">
      <alignment horizontal="center" vertical="center" shrinkToFit="1"/>
    </xf>
    <xf numFmtId="41" fontId="48" fillId="5" borderId="7" xfId="2" applyFont="1" applyFill="1" applyBorder="1" applyAlignment="1">
      <alignment horizontal="center" vertical="center" shrinkToFit="1"/>
    </xf>
    <xf numFmtId="41" fontId="48" fillId="5" borderId="10" xfId="2" applyFont="1" applyFill="1" applyBorder="1" applyAlignment="1">
      <alignment horizontal="center" vertical="center" shrinkToFit="1"/>
    </xf>
    <xf numFmtId="41" fontId="48" fillId="5" borderId="3" xfId="2" applyFont="1" applyFill="1" applyBorder="1" applyAlignment="1">
      <alignment horizontal="center" vertical="center" shrinkToFit="1"/>
    </xf>
    <xf numFmtId="41" fontId="9" fillId="5" borderId="7" xfId="2" applyFont="1" applyFill="1" applyBorder="1" applyAlignment="1">
      <alignment horizontal="center" vertical="center" wrapText="1" shrinkToFit="1"/>
    </xf>
    <xf numFmtId="0" fontId="47" fillId="0" borderId="10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/>
    </xf>
    <xf numFmtId="0" fontId="47" fillId="0" borderId="1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shrinkToFit="1"/>
    </xf>
    <xf numFmtId="0" fontId="17" fillId="0" borderId="42" xfId="0" applyFont="1" applyBorder="1" applyAlignment="1">
      <alignment horizontal="center" vertical="center" shrinkToFit="1"/>
    </xf>
    <xf numFmtId="0" fontId="17" fillId="0" borderId="2" xfId="0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3" xfId="0" applyFont="1" applyBorder="1">
      <alignment vertical="center"/>
    </xf>
    <xf numFmtId="0" fontId="26" fillId="0" borderId="14" xfId="0" applyFont="1" applyBorder="1">
      <alignment vertical="center"/>
    </xf>
    <xf numFmtId="14" fontId="53" fillId="0" borderId="13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26" fillId="5" borderId="7" xfId="0" applyFont="1" applyFill="1" applyBorder="1" applyAlignment="1">
      <alignment horizontal="center" vertical="center"/>
    </xf>
    <xf numFmtId="14" fontId="4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14" fontId="61" fillId="0" borderId="13" xfId="0" applyNumberFormat="1" applyFont="1" applyBorder="1" applyAlignment="1">
      <alignment horizontal="center" vertical="center"/>
    </xf>
    <xf numFmtId="0" fontId="61" fillId="0" borderId="1" xfId="0" applyFont="1" applyBorder="1" applyAlignment="1">
      <alignment horizontal="center" vertical="center" shrinkToFit="1"/>
    </xf>
    <xf numFmtId="0" fontId="26" fillId="0" borderId="5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5" borderId="54" xfId="0" applyFont="1" applyFill="1" applyBorder="1" applyAlignment="1">
      <alignment horizontal="center" vertical="center"/>
    </xf>
    <xf numFmtId="0" fontId="26" fillId="5" borderId="48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42" fontId="17" fillId="0" borderId="1" xfId="2" applyNumberFormat="1" applyFont="1" applyBorder="1">
      <alignment vertical="center"/>
    </xf>
    <xf numFmtId="42" fontId="17" fillId="0" borderId="2" xfId="2" applyNumberFormat="1" applyFont="1" applyBorder="1">
      <alignment vertical="center"/>
    </xf>
    <xf numFmtId="42" fontId="17" fillId="0" borderId="3" xfId="2" applyNumberFormat="1" applyFont="1" applyBorder="1">
      <alignment vertical="center"/>
    </xf>
    <xf numFmtId="0" fontId="17" fillId="0" borderId="11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42" fontId="17" fillId="0" borderId="52" xfId="2" applyNumberFormat="1" applyFont="1" applyBorder="1">
      <alignment vertical="center"/>
    </xf>
    <xf numFmtId="42" fontId="17" fillId="0" borderId="14" xfId="2" applyNumberFormat="1" applyFont="1" applyBorder="1">
      <alignment vertical="center"/>
    </xf>
    <xf numFmtId="0" fontId="48" fillId="0" borderId="50" xfId="0" applyFont="1" applyBorder="1" applyAlignment="1">
      <alignment horizontal="center" vertical="center"/>
    </xf>
    <xf numFmtId="0" fontId="48" fillId="0" borderId="53" xfId="0" applyFont="1" applyBorder="1" applyAlignment="1">
      <alignment horizontal="center" vertical="center"/>
    </xf>
    <xf numFmtId="0" fontId="48" fillId="0" borderId="14" xfId="0" applyFont="1" applyBorder="1" applyAlignment="1">
      <alignment horizontal="center" vertical="center"/>
    </xf>
    <xf numFmtId="41" fontId="48" fillId="0" borderId="52" xfId="2" applyFont="1" applyBorder="1" applyAlignment="1">
      <alignment horizontal="right" vertical="center" shrinkToFit="1"/>
    </xf>
    <xf numFmtId="41" fontId="48" fillId="0" borderId="14" xfId="2" applyFont="1" applyBorder="1" applyAlignment="1">
      <alignment horizontal="right" vertical="center" shrinkToFit="1"/>
    </xf>
    <xf numFmtId="178" fontId="64" fillId="2" borderId="3" xfId="0" applyNumberFormat="1" applyFont="1" applyFill="1" applyBorder="1" applyAlignment="1" applyProtection="1">
      <alignment horizontal="right" vertical="center" wrapText="1"/>
    </xf>
    <xf numFmtId="0" fontId="48" fillId="0" borderId="11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42" fontId="48" fillId="0" borderId="52" xfId="2" applyNumberFormat="1" applyFont="1" applyBorder="1" applyAlignment="1">
      <alignment horizontal="center" vertical="center" shrinkToFit="1"/>
    </xf>
    <xf numFmtId="42" fontId="48" fillId="0" borderId="14" xfId="2" applyNumberFormat="1" applyFont="1" applyBorder="1" applyAlignment="1">
      <alignment horizontal="center" vertical="center" shrinkToFit="1"/>
    </xf>
    <xf numFmtId="0" fontId="9" fillId="0" borderId="50" xfId="0" applyFont="1" applyBorder="1" applyAlignment="1">
      <alignment horizontal="center" vertical="center"/>
    </xf>
    <xf numFmtId="41" fontId="48" fillId="0" borderId="52" xfId="2" applyFont="1" applyBorder="1" applyAlignment="1">
      <alignment horizontal="right" vertical="center"/>
    </xf>
    <xf numFmtId="41" fontId="48" fillId="0" borderId="14" xfId="2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41" fontId="48" fillId="5" borderId="44" xfId="2" applyFont="1" applyFill="1" applyBorder="1" applyAlignment="1">
      <alignment horizontal="center" vertical="center" shrinkToFit="1"/>
    </xf>
    <xf numFmtId="41" fontId="48" fillId="5" borderId="46" xfId="2" applyFont="1" applyFill="1" applyBorder="1" applyAlignment="1">
      <alignment horizontal="center" vertical="center" shrinkToFit="1"/>
    </xf>
    <xf numFmtId="178" fontId="64" fillId="2" borderId="1" xfId="0" applyNumberFormat="1" applyFont="1" applyFill="1" applyBorder="1" applyAlignment="1" applyProtection="1">
      <alignment horizontal="right" vertical="center" wrapText="1"/>
    </xf>
    <xf numFmtId="178" fontId="64" fillId="2" borderId="2" xfId="0" applyNumberFormat="1" applyFont="1" applyFill="1" applyBorder="1" applyAlignment="1" applyProtection="1">
      <alignment horizontal="right" vertical="center" wrapText="1"/>
    </xf>
    <xf numFmtId="41" fontId="17" fillId="0" borderId="0" xfId="2" applyFont="1" applyAlignment="1">
      <alignment horizontal="center" vertical="center"/>
    </xf>
    <xf numFmtId="0" fontId="48" fillId="5" borderId="55" xfId="0" applyFont="1" applyFill="1" applyBorder="1" applyAlignment="1">
      <alignment horizontal="center" vertical="center"/>
    </xf>
    <xf numFmtId="0" fontId="48" fillId="5" borderId="45" xfId="0" applyFont="1" applyFill="1" applyBorder="1" applyAlignment="1">
      <alignment horizontal="center" vertical="center"/>
    </xf>
    <xf numFmtId="0" fontId="48" fillId="5" borderId="46" xfId="0" applyFont="1" applyFill="1" applyBorder="1" applyAlignment="1">
      <alignment horizontal="center" vertical="center"/>
    </xf>
    <xf numFmtId="0" fontId="47" fillId="0" borderId="42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41" fontId="47" fillId="0" borderId="1" xfId="2" applyFont="1" applyBorder="1" applyAlignment="1">
      <alignment horizontal="right" vertical="center" shrinkToFit="1"/>
    </xf>
    <xf numFmtId="41" fontId="47" fillId="0" borderId="2" xfId="2" applyFont="1" applyBorder="1" applyAlignment="1">
      <alignment horizontal="right" vertical="center" shrinkToFit="1"/>
    </xf>
    <xf numFmtId="41" fontId="47" fillId="0" borderId="1" xfId="2" applyFont="1" applyBorder="1" applyAlignment="1">
      <alignment vertical="center" shrinkToFit="1"/>
    </xf>
    <xf numFmtId="41" fontId="47" fillId="0" borderId="2" xfId="2" applyFont="1" applyBorder="1" applyAlignment="1">
      <alignment vertical="center" shrinkToFit="1"/>
    </xf>
    <xf numFmtId="42" fontId="47" fillId="0" borderId="1" xfId="2" applyNumberFormat="1" applyFont="1" applyBorder="1" applyAlignment="1">
      <alignment horizontal="center" vertical="center" shrinkToFit="1"/>
    </xf>
    <xf numFmtId="42" fontId="47" fillId="0" borderId="2" xfId="2" applyNumberFormat="1" applyFont="1" applyBorder="1" applyAlignment="1">
      <alignment horizontal="center" vertical="center" shrinkToFit="1"/>
    </xf>
    <xf numFmtId="0" fontId="4" fillId="0" borderId="42" xfId="0" applyFont="1" applyBorder="1" applyAlignment="1">
      <alignment horizontal="left" vertical="center"/>
    </xf>
    <xf numFmtId="0" fontId="4" fillId="0" borderId="7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9" fillId="0" borderId="11" xfId="7" applyFont="1" applyBorder="1" applyAlignment="1">
      <alignment horizontal="center" vertical="center" shrinkToFit="1"/>
    </xf>
    <xf numFmtId="0" fontId="49" fillId="0" borderId="5" xfId="7" applyFont="1" applyBorder="1" applyAlignment="1">
      <alignment horizontal="center" vertical="center" shrinkToFit="1"/>
    </xf>
    <xf numFmtId="0" fontId="9" fillId="0" borderId="11" xfId="0" applyFont="1" applyBorder="1" applyAlignment="1">
      <alignment horizontal="center" vertical="center" shrinkToFit="1"/>
    </xf>
    <xf numFmtId="0" fontId="48" fillId="0" borderId="5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shrinkToFit="1"/>
    </xf>
    <xf numFmtId="0" fontId="47" fillId="0" borderId="2" xfId="0" applyFont="1" applyBorder="1" applyAlignment="1">
      <alignment horizontal="center" vertical="center" shrinkToFit="1"/>
    </xf>
    <xf numFmtId="0" fontId="49" fillId="5" borderId="7" xfId="7" applyFont="1" applyFill="1" applyBorder="1" applyAlignment="1">
      <alignment horizontal="center" vertical="center" shrinkToFit="1"/>
    </xf>
    <xf numFmtId="0" fontId="61" fillId="0" borderId="13" xfId="0" applyFont="1" applyBorder="1" applyAlignment="1">
      <alignment horizontal="center" vertical="center" shrinkToFit="1"/>
    </xf>
    <xf numFmtId="0" fontId="61" fillId="3" borderId="1" xfId="0" applyFont="1" applyFill="1" applyBorder="1" applyAlignment="1">
      <alignment horizontal="center" vertical="center" shrinkToFit="1"/>
    </xf>
    <xf numFmtId="0" fontId="47" fillId="3" borderId="2" xfId="0" applyFont="1" applyFill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48" fillId="5" borderId="44" xfId="0" applyFont="1" applyFill="1" applyBorder="1" applyAlignment="1">
      <alignment horizontal="center" vertical="center" shrinkToFit="1"/>
    </xf>
    <xf numFmtId="0" fontId="9" fillId="0" borderId="50" xfId="0" applyFont="1" applyBorder="1" applyAlignment="1">
      <alignment horizontal="center" vertical="center" shrinkToFit="1"/>
    </xf>
    <xf numFmtId="0" fontId="48" fillId="0" borderId="53" xfId="0" applyFont="1" applyBorder="1" applyAlignment="1">
      <alignment horizontal="center" vertical="center" shrinkToFit="1"/>
    </xf>
    <xf numFmtId="0" fontId="48" fillId="0" borderId="14" xfId="0" applyFont="1" applyBorder="1" applyAlignment="1">
      <alignment horizontal="center" vertical="center" shrinkToFit="1"/>
    </xf>
    <xf numFmtId="0" fontId="48" fillId="5" borderId="9" xfId="0" applyFont="1" applyFill="1" applyBorder="1" applyAlignment="1">
      <alignment horizontal="center" vertical="center" shrinkToFit="1"/>
    </xf>
    <xf numFmtId="0" fontId="48" fillId="5" borderId="7" xfId="0" applyFont="1" applyFill="1" applyBorder="1" applyAlignment="1">
      <alignment horizontal="center" vertical="center" shrinkToFit="1"/>
    </xf>
    <xf numFmtId="0" fontId="47" fillId="3" borderId="1" xfId="0" applyFont="1" applyFill="1" applyBorder="1" applyAlignment="1">
      <alignment horizontal="center" vertical="center" shrinkToFit="1"/>
    </xf>
    <xf numFmtId="0" fontId="50" fillId="0" borderId="2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8" fillId="0" borderId="56" xfId="0" applyFont="1" applyBorder="1" applyAlignment="1">
      <alignment horizontal="center" vertical="center"/>
    </xf>
    <xf numFmtId="0" fontId="78" fillId="0" borderId="57" xfId="0" applyFont="1" applyBorder="1" applyAlignment="1">
      <alignment horizontal="center" vertical="center"/>
    </xf>
    <xf numFmtId="0" fontId="78" fillId="0" borderId="58" xfId="0" applyFont="1" applyBorder="1" applyAlignment="1">
      <alignment horizontal="center" vertical="center"/>
    </xf>
    <xf numFmtId="0" fontId="63" fillId="3" borderId="59" xfId="0" applyFont="1" applyFill="1" applyBorder="1" applyAlignment="1">
      <alignment horizontal="left" vertical="center" wrapText="1"/>
    </xf>
    <xf numFmtId="0" fontId="63" fillId="3" borderId="0" xfId="0" applyFont="1" applyFill="1" applyAlignment="1">
      <alignment horizontal="left" vertical="center"/>
    </xf>
    <xf numFmtId="0" fontId="63" fillId="3" borderId="21" xfId="0" applyFont="1" applyFill="1" applyBorder="1" applyAlignment="1">
      <alignment horizontal="left" vertical="center"/>
    </xf>
    <xf numFmtId="0" fontId="63" fillId="3" borderId="59" xfId="0" applyFont="1" applyFill="1" applyBorder="1" applyAlignment="1">
      <alignment horizontal="left" vertical="center"/>
    </xf>
    <xf numFmtId="0" fontId="78" fillId="0" borderId="50" xfId="0" applyFont="1" applyBorder="1" applyAlignment="1">
      <alignment horizontal="center" vertical="center"/>
    </xf>
    <xf numFmtId="0" fontId="78" fillId="0" borderId="53" xfId="0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center"/>
    </xf>
    <xf numFmtId="0" fontId="1" fillId="0" borderId="80" xfId="10" applyBorder="1" applyAlignment="1">
      <alignment vertical="top" wrapText="1"/>
    </xf>
    <xf numFmtId="0" fontId="86" fillId="0" borderId="79" xfId="10" applyFont="1" applyBorder="1" applyAlignment="1">
      <alignment vertical="center" wrapText="1"/>
    </xf>
    <xf numFmtId="0" fontId="86" fillId="0" borderId="80" xfId="10" applyFont="1" applyBorder="1" applyAlignment="1">
      <alignment vertical="center" wrapText="1"/>
    </xf>
    <xf numFmtId="0" fontId="86" fillId="0" borderId="66" xfId="10" applyFont="1" applyBorder="1" applyAlignment="1">
      <alignment vertical="center" wrapText="1"/>
    </xf>
    <xf numFmtId="3" fontId="86" fillId="0" borderId="79" xfId="10" applyNumberFormat="1" applyFont="1" applyBorder="1" applyAlignment="1">
      <alignment vertical="center" wrapText="1"/>
    </xf>
    <xf numFmtId="3" fontId="86" fillId="0" borderId="80" xfId="10" applyNumberFormat="1" applyFont="1" applyBorder="1" applyAlignment="1">
      <alignment vertical="center" wrapText="1"/>
    </xf>
    <xf numFmtId="3" fontId="86" fillId="0" borderId="66" xfId="10" applyNumberFormat="1" applyFont="1" applyBorder="1" applyAlignment="1">
      <alignment vertical="center" wrapText="1"/>
    </xf>
    <xf numFmtId="0" fontId="84" fillId="0" borderId="79" xfId="10" applyFont="1" applyBorder="1" applyAlignment="1">
      <alignment horizontal="left" vertical="center" wrapText="1"/>
    </xf>
    <xf numFmtId="0" fontId="84" fillId="0" borderId="80" xfId="10" applyFont="1" applyBorder="1" applyAlignment="1">
      <alignment horizontal="left" vertical="center" wrapText="1"/>
    </xf>
    <xf numFmtId="0" fontId="84" fillId="0" borderId="66" xfId="10" applyFont="1" applyBorder="1" applyAlignment="1">
      <alignment horizontal="left" vertical="center" wrapText="1"/>
    </xf>
    <xf numFmtId="49" fontId="84" fillId="0" borderId="79" xfId="10" applyNumberFormat="1" applyFont="1" applyBorder="1" applyAlignment="1">
      <alignment horizontal="left" vertical="center" wrapText="1"/>
    </xf>
    <xf numFmtId="49" fontId="84" fillId="0" borderId="80" xfId="10" applyNumberFormat="1" applyFont="1" applyBorder="1" applyAlignment="1">
      <alignment horizontal="left" vertical="center" wrapText="1"/>
    </xf>
    <xf numFmtId="49" fontId="84" fillId="0" borderId="66" xfId="10" applyNumberFormat="1" applyFont="1" applyBorder="1" applyAlignment="1">
      <alignment horizontal="left" vertical="center" wrapText="1"/>
    </xf>
    <xf numFmtId="0" fontId="83" fillId="0" borderId="79" xfId="10" applyFont="1" applyBorder="1" applyAlignment="1">
      <alignment horizontal="right" vertical="center" wrapText="1"/>
    </xf>
    <xf numFmtId="0" fontId="83" fillId="0" borderId="66" xfId="10" applyFont="1" applyBorder="1" applyAlignment="1">
      <alignment horizontal="right" vertical="center" wrapText="1"/>
    </xf>
    <xf numFmtId="0" fontId="88" fillId="2" borderId="0" xfId="3" applyFont="1" applyFill="1" applyAlignment="1">
      <alignment horizontal="left" vertical="center" wrapText="1"/>
    </xf>
    <xf numFmtId="0" fontId="89" fillId="2" borderId="0" xfId="3" applyFont="1" applyFill="1" applyAlignment="1">
      <alignment horizontal="left" vertical="center" wrapText="1"/>
    </xf>
    <xf numFmtId="0" fontId="89" fillId="2" borderId="0" xfId="3" applyFont="1" applyFill="1" applyAlignment="1">
      <alignment horizontal="right" vertical="center" wrapText="1"/>
    </xf>
    <xf numFmtId="0" fontId="89" fillId="2" borderId="82" xfId="3" applyFont="1" applyFill="1" applyBorder="1" applyAlignment="1">
      <alignment horizontal="left" vertical="center" wrapText="1"/>
    </xf>
    <xf numFmtId="0" fontId="87" fillId="2" borderId="83" xfId="3" applyFont="1" applyFill="1" applyBorder="1" applyAlignment="1">
      <alignment horizontal="left" vertical="center" wrapText="1"/>
    </xf>
    <xf numFmtId="0" fontId="89" fillId="2" borderId="83" xfId="3" applyFont="1" applyFill="1" applyBorder="1" applyAlignment="1">
      <alignment horizontal="left" vertical="center" wrapText="1"/>
    </xf>
    <xf numFmtId="182" fontId="89" fillId="2" borderId="83" xfId="3" applyNumberFormat="1" applyFont="1" applyFill="1" applyBorder="1" applyAlignment="1">
      <alignment horizontal="right" vertical="center" wrapText="1"/>
    </xf>
  </cellXfs>
  <cellStyles count="11">
    <cellStyle name="백분율" xfId="1" builtinId="5"/>
    <cellStyle name="쉼표 [0]" xfId="2" builtinId="6"/>
    <cellStyle name="표준" xfId="0" builtinId="0"/>
    <cellStyle name="표준 2" xfId="3"/>
    <cellStyle name="표준 20" xfId="4"/>
    <cellStyle name="표준 22" xfId="5"/>
    <cellStyle name="표준 3" xfId="6"/>
    <cellStyle name="표준 4" xfId="10"/>
    <cellStyle name="표준 7" xfId="7"/>
    <cellStyle name="표준_현양상품 구매신청서_웅천회생2007-045호-외부감사선임신청(재판부)" xfId="8"/>
    <cellStyle name="표준_현양상품 구매신청서_웅천회생2007-045호-외부감사선임신청(재판부)_웅천회생2007-137호-생산직직원신규채용허가신청(관리위원)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109560</xdr:colOff>
      <xdr:row>8</xdr:row>
      <xdr:rowOff>977</xdr:rowOff>
    </xdr:from>
    <xdr:to>
      <xdr:col>30</xdr:col>
      <xdr:colOff>126497</xdr:colOff>
      <xdr:row>10</xdr:row>
      <xdr:rowOff>157044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1065235" y="2113042"/>
          <a:ext cx="4779437" cy="68615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64008" tIns="41148" rIns="64008" bIns="41148" anchor="ctr" upright="1"/>
        <a:lstStyle/>
        <a:p>
          <a:pPr algn="ctr" rtl="1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휴먼명조" panose="02010504000101010101" pitchFamily="2" charset="-127"/>
              <a:ea typeface="휴먼명조" panose="02010504000101010101" pitchFamily="2" charset="-127"/>
            </a:rPr>
            <a:t>월간보고서 </a:t>
          </a:r>
          <a:r>
            <a:rPr lang="en-US" altLang="ko-KR" sz="2400" b="1" i="0" strike="noStrike">
              <a:solidFill>
                <a:srgbClr val="000000"/>
              </a:solidFill>
              <a:latin typeface="휴먼명조" panose="02010504000101010101" pitchFamily="2" charset="-127"/>
              <a:ea typeface="휴먼명조" panose="02010504000101010101" pitchFamily="2" charset="-127"/>
            </a:rPr>
            <a:t>(20</a:t>
          </a:r>
          <a:r>
            <a:rPr lang="en-US" altLang="ko-KR" sz="2400" b="1" i="0" strike="noStrike">
              <a:solidFill>
                <a:srgbClr val="000000"/>
              </a:solidFill>
              <a:latin typeface="궁서" panose="02030600000101010101" pitchFamily="18" charset="-127"/>
              <a:ea typeface="궁서" panose="02030600000101010101" pitchFamily="18" charset="-127"/>
            </a:rPr>
            <a:t>○○</a:t>
          </a:r>
          <a:r>
            <a:rPr lang="en-US" altLang="ko-KR" sz="2400" b="1" i="0" strike="noStrike">
              <a:solidFill>
                <a:srgbClr val="000000"/>
              </a:solidFill>
              <a:latin typeface="휴먼명조" panose="02010504000101010101" pitchFamily="2" charset="-127"/>
              <a:ea typeface="휴먼명조" panose="02010504000101010101" pitchFamily="2" charset="-127"/>
            </a:rPr>
            <a:t>.</a:t>
          </a:r>
          <a:r>
            <a:rPr lang="en-US" altLang="ko-KR" sz="2400" b="1" i="0" strike="noStrike">
              <a:solidFill>
                <a:srgbClr val="000000"/>
              </a:solidFill>
              <a:latin typeface="궁서" panose="02030600000101010101" pitchFamily="18" charset="-127"/>
              <a:ea typeface="궁서" panose="02030600000101010101" pitchFamily="18" charset="-127"/>
            </a:rPr>
            <a:t>○○</a:t>
          </a:r>
          <a:r>
            <a:rPr lang="en-US" altLang="ko-KR" sz="2400" b="1" i="0" strike="noStrike">
              <a:solidFill>
                <a:srgbClr val="000000"/>
              </a:solidFill>
              <a:latin typeface="휴먼명조" panose="02010504000101010101" pitchFamily="2" charset="-127"/>
              <a:ea typeface="휴먼명조" panose="02010504000101010101" pitchFamily="2" charset="-127"/>
            </a:rPr>
            <a:t>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2</xdr:row>
      <xdr:rowOff>108072</xdr:rowOff>
    </xdr:from>
    <xdr:to>
      <xdr:col>26</xdr:col>
      <xdr:colOff>126870</xdr:colOff>
      <xdr:row>5</xdr:row>
      <xdr:rowOff>1336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rrowheads="1"/>
        </xdr:cNvSpPr>
      </xdr:nvSpPr>
      <xdr:spPr bwMode="auto">
        <a:xfrm>
          <a:off x="1663212" y="626451"/>
          <a:ext cx="3117606" cy="71541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</xdr:spPr>
      <xdr:txBody>
        <a:bodyPr vertOverflow="clip" wrap="square" lIns="64008" tIns="41148" rIns="64008" bIns="41148" anchor="ctr" upright="1"/>
        <a:lstStyle/>
        <a:p>
          <a:pPr algn="ctr" rtl="1">
            <a:defRPr sz="1000"/>
          </a:pPr>
          <a:r>
            <a:rPr lang="ko-KR" altLang="en-US" sz="2400" b="1" i="0" strike="noStrike">
              <a:solidFill>
                <a:srgbClr val="000000"/>
              </a:solidFill>
              <a:latin typeface="HY신명조"/>
              <a:ea typeface="HY신명조"/>
            </a:rPr>
            <a:t>목       차</a:t>
          </a:r>
          <a:endParaRPr lang="en-US" altLang="ko-KR" sz="2400" b="1" i="0" strike="noStrike">
            <a:solidFill>
              <a:srgbClr val="000000"/>
            </a:solidFill>
            <a:latin typeface="HY신명조"/>
            <a:ea typeface="HY신명조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186842</xdr:colOff>
      <xdr:row>20</xdr:row>
      <xdr:rowOff>147015</xdr:rowOff>
    </xdr:from>
    <xdr:to>
      <xdr:col>5</xdr:col>
      <xdr:colOff>548717</xdr:colOff>
      <xdr:row>21</xdr:row>
      <xdr:rowOff>220573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9125" y="6441798"/>
          <a:ext cx="3824005" cy="380014"/>
        </a:xfrm>
        <a:prstGeom prst="rect">
          <a:avLst/>
        </a:prstGeom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/>
            <a:t>해당사항 없음</a:t>
          </a:r>
        </a:p>
      </xdr:txBody>
    </xdr:sp>
    <xdr:clientData/>
  </xdr:twoCellAnchor>
  <xdr:twoCellAnchor>
    <xdr:from>
      <xdr:col>2</xdr:col>
      <xdr:colOff>198782</xdr:colOff>
      <xdr:row>27</xdr:row>
      <xdr:rowOff>115957</xdr:rowOff>
    </xdr:from>
    <xdr:to>
      <xdr:col>5</xdr:col>
      <xdr:colOff>560657</xdr:colOff>
      <xdr:row>28</xdr:row>
      <xdr:rowOff>189514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B386CB4-023E-408B-831A-43381BD7A23C}"/>
            </a:ext>
          </a:extLst>
        </xdr:cNvPr>
        <xdr:cNvSpPr/>
      </xdr:nvSpPr>
      <xdr:spPr>
        <a:xfrm>
          <a:off x="1731065" y="8663609"/>
          <a:ext cx="3824005" cy="380014"/>
        </a:xfrm>
        <a:prstGeom prst="rect">
          <a:avLst/>
        </a:prstGeom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/>
            <a:t>해당사항 없음</a:t>
          </a:r>
        </a:p>
      </xdr:txBody>
    </xdr:sp>
    <xdr:clientData/>
  </xdr:twoCellAnchor>
  <xdr:twoCellAnchor>
    <xdr:from>
      <xdr:col>3</xdr:col>
      <xdr:colOff>770282</xdr:colOff>
      <xdr:row>9</xdr:row>
      <xdr:rowOff>132521</xdr:rowOff>
    </xdr:from>
    <xdr:to>
      <xdr:col>6</xdr:col>
      <xdr:colOff>1711939</xdr:colOff>
      <xdr:row>10</xdr:row>
      <xdr:rowOff>206079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384499A-175A-4B3B-BAA0-50E84C7DF5B8}"/>
            </a:ext>
          </a:extLst>
        </xdr:cNvPr>
        <xdr:cNvSpPr/>
      </xdr:nvSpPr>
      <xdr:spPr>
        <a:xfrm>
          <a:off x="3843130" y="2948608"/>
          <a:ext cx="3824005" cy="380014"/>
        </a:xfrm>
        <a:prstGeom prst="rect">
          <a:avLst/>
        </a:prstGeom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/>
            <a:t>해당사항 없음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1656516</xdr:colOff>
      <xdr:row>15</xdr:row>
      <xdr:rowOff>323022</xdr:rowOff>
    </xdr:from>
    <xdr:to>
      <xdr:col>5</xdr:col>
      <xdr:colOff>231454</xdr:colOff>
      <xdr:row>16</xdr:row>
      <xdr:rowOff>283679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2426799" y="6112565"/>
          <a:ext cx="3834394" cy="391353"/>
        </a:xfrm>
        <a:prstGeom prst="rect">
          <a:avLst/>
        </a:prstGeom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/>
            <a:t>해당사항 없음</a:t>
          </a:r>
        </a:p>
      </xdr:txBody>
    </xdr:sp>
    <xdr:clientData/>
  </xdr:twoCellAnchor>
  <xdr:twoCellAnchor>
    <xdr:from>
      <xdr:col>1</xdr:col>
      <xdr:colOff>1647825</xdr:colOff>
      <xdr:row>24</xdr:row>
      <xdr:rowOff>0</xdr:rowOff>
    </xdr:from>
    <xdr:to>
      <xdr:col>5</xdr:col>
      <xdr:colOff>222763</xdr:colOff>
      <xdr:row>24</xdr:row>
      <xdr:rowOff>313082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AA6870E-24E0-4C37-9323-7B6E4CD5BAF6}"/>
            </a:ext>
          </a:extLst>
        </xdr:cNvPr>
        <xdr:cNvSpPr/>
      </xdr:nvSpPr>
      <xdr:spPr>
        <a:xfrm>
          <a:off x="2419350" y="8524875"/>
          <a:ext cx="3832738" cy="313082"/>
        </a:xfrm>
        <a:prstGeom prst="rect">
          <a:avLst/>
        </a:prstGeom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/>
            <a:t>해당사항 없음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6</xdr:row>
      <xdr:rowOff>209550</xdr:rowOff>
    </xdr:from>
    <xdr:to>
      <xdr:col>4</xdr:col>
      <xdr:colOff>1119769</xdr:colOff>
      <xdr:row>8</xdr:row>
      <xdr:rowOff>29403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2124075" y="2066925"/>
          <a:ext cx="3834394" cy="391353"/>
        </a:xfrm>
        <a:prstGeom prst="rect">
          <a:avLst/>
        </a:prstGeom>
        <a:ln w="15875"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200" b="1"/>
            <a:t>해당사항 없음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6"/>
  <sheetViews>
    <sheetView showGridLines="0" view="pageBreakPreview" zoomScaleNormal="100" zoomScaleSheetLayoutView="100" workbookViewId="0"/>
  </sheetViews>
  <sheetFormatPr defaultRowHeight="14.25"/>
  <cols>
    <col min="1" max="36" width="2.21875" style="1" customWidth="1"/>
    <col min="37" max="16384" width="8.88671875" style="1"/>
  </cols>
  <sheetData>
    <row r="1" spans="1:35" ht="23.25" customHeight="1"/>
    <row r="2" spans="1:35" ht="24.6" customHeight="1">
      <c r="B2" s="40"/>
      <c r="C2" s="382" t="s">
        <v>173</v>
      </c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41"/>
    </row>
    <row r="3" spans="1:35" ht="24.6" customHeight="1">
      <c r="A3" s="21"/>
      <c r="B3" s="40"/>
      <c r="C3" s="383" t="s">
        <v>318</v>
      </c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4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35" ht="18.75" customHeight="1">
      <c r="A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35" ht="18.75" customHeight="1">
      <c r="A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35" ht="18.75" customHeight="1">
      <c r="A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35" ht="18.75" customHeight="1">
      <c r="A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35" ht="18.75" customHeight="1">
      <c r="A8" s="3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35" ht="21" customHeight="1">
      <c r="F9" s="2"/>
      <c r="I9" s="30"/>
      <c r="J9" s="30"/>
      <c r="K9" s="30"/>
      <c r="L9" s="30"/>
    </row>
    <row r="10" spans="1:35" ht="21" customHeight="1">
      <c r="F10" s="2"/>
    </row>
    <row r="11" spans="1:35" ht="21" customHeight="1">
      <c r="F11" s="2"/>
    </row>
    <row r="12" spans="1:35" ht="21" customHeight="1">
      <c r="F12" s="2"/>
    </row>
    <row r="13" spans="1:35" s="43" customFormat="1" ht="19.5" customHeight="1">
      <c r="B13" s="380"/>
      <c r="C13" s="380"/>
      <c r="D13" s="380"/>
      <c r="E13" s="380"/>
      <c r="F13" s="380"/>
      <c r="G13" s="380"/>
      <c r="H13" s="380"/>
      <c r="I13" s="380"/>
      <c r="J13" s="380"/>
      <c r="K13" s="380"/>
      <c r="L13" s="380"/>
      <c r="M13" s="380"/>
      <c r="N13" s="380"/>
      <c r="O13" s="380"/>
      <c r="P13" s="380"/>
      <c r="Q13" s="380"/>
      <c r="R13" s="380"/>
      <c r="S13" s="380"/>
      <c r="T13" s="380"/>
      <c r="U13" s="380"/>
      <c r="V13" s="380"/>
      <c r="W13" s="380"/>
      <c r="X13" s="380"/>
      <c r="Y13" s="380"/>
      <c r="Z13" s="380"/>
      <c r="AA13" s="380"/>
      <c r="AB13" s="380"/>
      <c r="AC13" s="380"/>
      <c r="AD13" s="380"/>
      <c r="AE13" s="380"/>
      <c r="AF13" s="380"/>
      <c r="AG13" s="380"/>
      <c r="AH13" s="380"/>
      <c r="AI13" s="380"/>
    </row>
    <row r="14" spans="1:35" ht="19.5" customHeight="1">
      <c r="B14" s="27"/>
    </row>
    <row r="15" spans="1:35" ht="19.5" customHeight="1"/>
    <row r="16" spans="1:35" ht="19.5" customHeight="1">
      <c r="A16" s="3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31"/>
      <c r="R16" s="31"/>
      <c r="S16" s="31"/>
      <c r="T16" s="31"/>
      <c r="U16" s="31"/>
      <c r="V16" s="31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spans="1:35" ht="19.5" customHeight="1">
      <c r="A17" s="3"/>
      <c r="D17" s="2"/>
      <c r="E17" s="2"/>
      <c r="F17" s="2"/>
      <c r="G17" s="2"/>
      <c r="H17" s="2"/>
    </row>
    <row r="18" spans="1:35" ht="19.5" customHeight="1">
      <c r="A18" s="3"/>
      <c r="B18" s="23"/>
    </row>
    <row r="19" spans="1:35" ht="11.25" customHeight="1">
      <c r="A19" s="3"/>
      <c r="B19" s="32"/>
      <c r="C19" s="4"/>
      <c r="D19" s="33"/>
      <c r="E19" s="33"/>
      <c r="F19" s="33"/>
      <c r="G19" s="4"/>
      <c r="K19" s="5"/>
      <c r="L19" s="6"/>
      <c r="M19" s="6"/>
      <c r="N19" s="6"/>
      <c r="O19" s="6"/>
      <c r="P19" s="6"/>
      <c r="Q19" s="6"/>
      <c r="R19" s="6"/>
      <c r="S19" s="7"/>
      <c r="U19" s="5"/>
      <c r="V19" s="5"/>
      <c r="W19" s="5"/>
      <c r="X19" s="5"/>
      <c r="Y19" s="5"/>
    </row>
    <row r="20" spans="1:35" ht="19.5" customHeight="1">
      <c r="A20" s="3"/>
      <c r="B20" s="22"/>
      <c r="C20" s="22"/>
      <c r="D20" s="22"/>
      <c r="E20" s="22"/>
      <c r="F20" s="22"/>
      <c r="G20" s="22"/>
      <c r="H20" s="22"/>
      <c r="I20" s="22"/>
      <c r="J20" s="22"/>
    </row>
    <row r="21" spans="1:35" ht="19.5" customHeight="1">
      <c r="A21" s="3"/>
      <c r="B21" s="22"/>
      <c r="C21" s="22"/>
      <c r="D21" s="22"/>
      <c r="E21" s="22"/>
      <c r="F21" s="22"/>
      <c r="G21" s="22"/>
      <c r="H21" s="22"/>
      <c r="I21" s="22"/>
      <c r="J21" s="22"/>
    </row>
    <row r="22" spans="1:35" ht="19.5" customHeight="1">
      <c r="B22" s="22"/>
      <c r="C22" s="22"/>
      <c r="D22" s="22"/>
      <c r="E22" s="22"/>
      <c r="L22" s="8"/>
      <c r="M22" s="8"/>
      <c r="N22" s="8"/>
      <c r="O22" s="8"/>
      <c r="P22" s="9"/>
      <c r="Q22" s="9"/>
      <c r="R22" s="9"/>
      <c r="S22" s="9"/>
      <c r="T22" s="10"/>
      <c r="U22" s="10"/>
      <c r="V22" s="10"/>
      <c r="W22" s="10"/>
      <c r="X22" s="10"/>
      <c r="Y22" s="10"/>
    </row>
    <row r="23" spans="1:35" ht="19.5" customHeight="1">
      <c r="B23" s="30"/>
    </row>
    <row r="24" spans="1:35" s="43" customFormat="1" ht="19.5" customHeight="1">
      <c r="B24" s="44"/>
      <c r="F24" s="45"/>
      <c r="G24" s="46"/>
      <c r="H24" s="46"/>
      <c r="I24" s="46"/>
      <c r="J24" s="46"/>
      <c r="K24" s="46"/>
      <c r="N24" s="378" t="s">
        <v>319</v>
      </c>
      <c r="O24" s="378"/>
      <c r="P24" s="378"/>
      <c r="Q24" s="47" t="s">
        <v>1</v>
      </c>
      <c r="R24" s="380" t="s">
        <v>320</v>
      </c>
      <c r="S24" s="380"/>
      <c r="T24" s="43" t="s">
        <v>2</v>
      </c>
      <c r="U24" s="380" t="s">
        <v>320</v>
      </c>
      <c r="V24" s="380"/>
      <c r="W24" s="43" t="s">
        <v>3</v>
      </c>
    </row>
    <row r="25" spans="1:35" ht="19.5" customHeight="1">
      <c r="B25" s="22"/>
      <c r="C25" s="34"/>
      <c r="E25" s="22"/>
      <c r="F25" s="8"/>
      <c r="G25" s="8"/>
      <c r="H25" s="11"/>
      <c r="I25" s="8"/>
      <c r="J25" s="8"/>
      <c r="K25" s="8"/>
      <c r="L25" s="8"/>
      <c r="M25" s="8"/>
      <c r="N25" s="8"/>
      <c r="O25" s="8"/>
      <c r="P25" s="9"/>
      <c r="Q25" s="9"/>
      <c r="R25" s="9"/>
      <c r="S25" s="9"/>
      <c r="T25" s="10"/>
      <c r="U25" s="10"/>
      <c r="V25" s="10"/>
      <c r="W25" s="10"/>
      <c r="X25" s="10"/>
      <c r="Y25" s="10"/>
    </row>
    <row r="26" spans="1:35" ht="19.5" customHeight="1">
      <c r="B26" s="22"/>
      <c r="C26" s="34"/>
      <c r="E26" s="22"/>
      <c r="F26" s="8"/>
      <c r="G26" s="8"/>
      <c r="H26" s="11"/>
      <c r="I26" s="8"/>
      <c r="J26" s="8"/>
      <c r="K26" s="8"/>
      <c r="L26" s="8"/>
      <c r="M26" s="8"/>
      <c r="N26" s="8"/>
      <c r="O26" s="8"/>
      <c r="P26" s="9"/>
      <c r="Q26" s="9"/>
      <c r="R26" s="9"/>
      <c r="S26" s="9"/>
      <c r="T26" s="10"/>
      <c r="U26" s="10"/>
      <c r="V26" s="10"/>
      <c r="W26" s="10"/>
      <c r="X26" s="10"/>
      <c r="Y26" s="10"/>
    </row>
    <row r="27" spans="1:35" ht="19.5" customHeight="1">
      <c r="B27" s="22"/>
      <c r="C27" s="34"/>
      <c r="E27" s="22"/>
      <c r="F27" s="8"/>
      <c r="G27" s="8"/>
      <c r="H27" s="11"/>
      <c r="I27" s="8"/>
      <c r="J27" s="8"/>
      <c r="K27" s="8"/>
      <c r="L27" s="8"/>
      <c r="M27" s="8"/>
      <c r="N27" s="8"/>
      <c r="O27" s="8"/>
      <c r="P27" s="9"/>
      <c r="Q27" s="9"/>
      <c r="R27" s="9"/>
      <c r="S27" s="9"/>
      <c r="T27" s="10"/>
      <c r="U27" s="10"/>
      <c r="V27" s="10"/>
      <c r="W27" s="10"/>
      <c r="X27" s="10"/>
      <c r="Y27" s="10"/>
    </row>
    <row r="28" spans="1:35" ht="19.5" customHeight="1">
      <c r="B28" s="22"/>
      <c r="C28" s="34"/>
      <c r="E28" s="22"/>
      <c r="F28" s="8"/>
      <c r="G28" s="8"/>
      <c r="H28" s="11"/>
      <c r="I28" s="8"/>
      <c r="J28" s="8"/>
      <c r="K28" s="8"/>
      <c r="L28" s="8"/>
      <c r="M28" s="8"/>
      <c r="N28" s="8"/>
      <c r="O28" s="8"/>
      <c r="P28" s="9"/>
      <c r="Q28" s="9"/>
      <c r="R28" s="9"/>
      <c r="S28" s="9"/>
      <c r="T28" s="10"/>
      <c r="U28" s="10"/>
      <c r="V28" s="10"/>
      <c r="W28" s="10"/>
      <c r="X28" s="10"/>
      <c r="Y28" s="10"/>
      <c r="AE28" s="29"/>
      <c r="AF28" s="29"/>
      <c r="AG28" s="29"/>
      <c r="AH28" s="29"/>
      <c r="AI28" s="29"/>
    </row>
    <row r="29" spans="1:35" ht="19.5" customHeight="1">
      <c r="B29" s="22"/>
      <c r="C29" s="34"/>
      <c r="E29" s="22"/>
      <c r="F29" s="8"/>
      <c r="G29" s="8"/>
      <c r="H29" s="11"/>
      <c r="I29" s="8"/>
      <c r="J29" s="8"/>
      <c r="K29" s="8"/>
      <c r="L29" s="8"/>
      <c r="M29" s="8"/>
      <c r="N29" s="8"/>
      <c r="O29" s="8"/>
      <c r="P29" s="9"/>
      <c r="Q29" s="9"/>
      <c r="R29" s="9"/>
      <c r="S29" s="9"/>
      <c r="T29" s="10"/>
      <c r="U29" s="10"/>
      <c r="V29" s="10"/>
      <c r="W29" s="10"/>
      <c r="X29" s="10"/>
      <c r="Y29" s="10"/>
    </row>
    <row r="30" spans="1:35" ht="29.25" customHeight="1">
      <c r="B30" s="12"/>
      <c r="C30" s="12"/>
      <c r="D30" s="12"/>
      <c r="E30" s="12"/>
      <c r="F30" s="8"/>
      <c r="G30" s="8"/>
      <c r="H30" s="11"/>
      <c r="I30" s="8"/>
      <c r="J30" s="8"/>
      <c r="K30" s="8"/>
      <c r="L30" s="8"/>
      <c r="M30" s="8"/>
      <c r="N30" s="8"/>
      <c r="O30" s="8"/>
      <c r="P30" s="9"/>
      <c r="Q30" s="9"/>
      <c r="R30" s="9"/>
      <c r="S30" s="9"/>
      <c r="T30" s="10"/>
      <c r="U30" s="10"/>
      <c r="V30" s="10"/>
      <c r="W30" s="10"/>
      <c r="X30" s="10"/>
      <c r="Y30" s="10"/>
    </row>
    <row r="31" spans="1:35" ht="19.5" customHeight="1">
      <c r="A31" s="18"/>
      <c r="B31" s="18"/>
      <c r="C31" s="18"/>
      <c r="D31" s="18"/>
      <c r="E31" s="2"/>
      <c r="F31" s="23"/>
      <c r="G31" s="13"/>
      <c r="H31" s="13"/>
      <c r="I31" s="13"/>
      <c r="J31" s="13"/>
      <c r="K31" s="13"/>
    </row>
    <row r="32" spans="1:35" ht="19.5" customHeight="1">
      <c r="B32" s="14"/>
      <c r="F32" s="23"/>
      <c r="G32" s="26"/>
      <c r="H32" s="13"/>
      <c r="I32" s="13"/>
      <c r="J32" s="13"/>
      <c r="K32" s="13"/>
    </row>
    <row r="33" spans="1:28" s="114" customFormat="1" ht="30" customHeight="1">
      <c r="B33" s="115"/>
      <c r="I33" s="381" t="s">
        <v>309</v>
      </c>
      <c r="J33" s="381"/>
      <c r="K33" s="381"/>
      <c r="L33" s="381"/>
      <c r="M33" s="381"/>
      <c r="N33" s="381"/>
      <c r="O33" s="381"/>
      <c r="P33" s="381"/>
      <c r="Q33" s="381"/>
      <c r="R33" s="381"/>
      <c r="S33" s="381"/>
      <c r="T33" s="381"/>
      <c r="U33" s="381"/>
      <c r="V33" s="381"/>
      <c r="W33" s="381"/>
      <c r="X33" s="381"/>
      <c r="Y33" s="381"/>
      <c r="Z33" s="381"/>
      <c r="AA33" s="381"/>
      <c r="AB33" s="381"/>
    </row>
    <row r="34" spans="1:28" s="114" customFormat="1" ht="30" customHeight="1">
      <c r="B34" s="116"/>
      <c r="C34" s="116"/>
      <c r="D34" s="116"/>
      <c r="E34" s="116"/>
      <c r="F34" s="116"/>
      <c r="G34" s="116"/>
      <c r="H34" s="116"/>
      <c r="I34" s="116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79"/>
      <c r="X34" s="379"/>
      <c r="Y34" s="379"/>
      <c r="Z34" s="379"/>
      <c r="AA34" s="379"/>
    </row>
    <row r="35" spans="1:28" ht="30" customHeight="1">
      <c r="A35" s="3"/>
      <c r="B35" s="24"/>
      <c r="C35" s="17"/>
      <c r="D35" s="17"/>
      <c r="E35" s="17"/>
      <c r="F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1:28" ht="30" customHeight="1">
      <c r="A36" s="16"/>
      <c r="B36" s="16"/>
      <c r="C36" s="16"/>
      <c r="D36" s="16"/>
      <c r="E36" s="16"/>
      <c r="F36" s="16"/>
      <c r="G36" s="16"/>
      <c r="H36" s="16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8" ht="19.5" customHeight="1"/>
    <row r="38" spans="1:28" s="15" customFormat="1" ht="24.95" customHeight="1">
      <c r="B38" s="16"/>
    </row>
    <row r="39" spans="1:28" s="15" customFormat="1" ht="15" customHeight="1">
      <c r="B39" s="16"/>
    </row>
    <row r="40" spans="1:28" s="15" customFormat="1" ht="24.95" customHeight="1">
      <c r="B40" s="16"/>
    </row>
    <row r="41" spans="1:28" s="15" customFormat="1" ht="15" customHeight="1">
      <c r="B41" s="16"/>
    </row>
    <row r="42" spans="1:28" s="15" customFormat="1" ht="24.95" customHeight="1">
      <c r="B42" s="16"/>
    </row>
    <row r="43" spans="1:28" ht="19.5" customHeight="1"/>
    <row r="44" spans="1:28" ht="19.5" customHeight="1"/>
    <row r="45" spans="1:28" ht="19.5" customHeight="1"/>
    <row r="46" spans="1:28" ht="19.5" customHeight="1"/>
    <row r="47" spans="1:28" ht="30" customHeight="1">
      <c r="B47" s="17"/>
    </row>
    <row r="48" spans="1:28" ht="19.5" customHeight="1"/>
    <row r="49" spans="2:11" ht="19.5" customHeight="1"/>
    <row r="50" spans="2:11" ht="19.5" customHeight="1"/>
    <row r="51" spans="2:11" ht="19.5" customHeight="1"/>
    <row r="52" spans="2:11" s="18" customFormat="1" ht="30" customHeight="1">
      <c r="B52" s="377"/>
      <c r="C52" s="377"/>
      <c r="D52" s="377"/>
      <c r="E52" s="377"/>
      <c r="F52" s="377"/>
      <c r="G52" s="377"/>
      <c r="H52" s="377"/>
      <c r="I52" s="377"/>
      <c r="J52" s="377"/>
      <c r="K52" s="377"/>
    </row>
    <row r="53" spans="2:11" s="18" customFormat="1" ht="19.5" customHeight="1"/>
    <row r="54" spans="2:11" s="18" customFormat="1" ht="19.5" customHeight="1"/>
    <row r="55" spans="2:11" s="18" customFormat="1" ht="19.5" customHeight="1"/>
    <row r="56" spans="2:11" s="18" customFormat="1" ht="19.5" customHeight="1"/>
    <row r="57" spans="2:11" s="18" customFormat="1" ht="19.5" customHeight="1"/>
    <row r="58" spans="2:11" s="18" customFormat="1" ht="19.5" customHeight="1"/>
    <row r="59" spans="2:11" s="18" customFormat="1" ht="19.5" customHeight="1"/>
    <row r="60" spans="2:11" s="17" customFormat="1" ht="30" customHeight="1">
      <c r="B60" s="376"/>
      <c r="C60" s="376"/>
      <c r="D60" s="376"/>
      <c r="E60" s="376"/>
      <c r="F60" s="376"/>
      <c r="G60" s="376"/>
      <c r="H60" s="376"/>
      <c r="I60" s="376"/>
      <c r="J60" s="376"/>
      <c r="K60" s="376"/>
    </row>
    <row r="61" spans="2:11" s="17" customFormat="1" ht="30" customHeight="1">
      <c r="B61" s="19"/>
      <c r="C61" s="19"/>
      <c r="D61" s="19"/>
      <c r="E61" s="19"/>
      <c r="F61" s="19"/>
      <c r="G61" s="19"/>
      <c r="H61" s="19"/>
      <c r="I61" s="19"/>
      <c r="J61" s="19"/>
      <c r="K61" s="19"/>
    </row>
    <row r="62" spans="2:11" s="17" customFormat="1" ht="30" customHeight="1">
      <c r="B62" s="376"/>
      <c r="C62" s="376"/>
      <c r="D62" s="376"/>
      <c r="E62" s="376"/>
      <c r="F62" s="376"/>
      <c r="G62" s="376"/>
      <c r="H62" s="376"/>
      <c r="I62" s="376"/>
      <c r="J62" s="376"/>
      <c r="K62" s="376"/>
    </row>
    <row r="63" spans="2:11" s="17" customFormat="1" ht="24.75" customHeight="1"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2:11" s="17" customFormat="1" ht="30" customHeight="1">
      <c r="B64" s="376"/>
      <c r="C64" s="376"/>
      <c r="D64" s="376"/>
      <c r="E64" s="376"/>
      <c r="F64" s="376"/>
      <c r="G64" s="376"/>
      <c r="H64" s="376"/>
      <c r="I64" s="376"/>
      <c r="J64" s="376"/>
      <c r="K64" s="376"/>
    </row>
    <row r="65" spans="2:11" s="17" customFormat="1" ht="21.75" customHeight="1">
      <c r="B65" s="19"/>
      <c r="C65" s="19"/>
      <c r="D65" s="19"/>
      <c r="E65" s="19"/>
      <c r="F65" s="19"/>
      <c r="G65" s="19"/>
      <c r="H65" s="19"/>
      <c r="I65" s="19"/>
      <c r="J65" s="19"/>
      <c r="K65" s="19"/>
    </row>
    <row r="66" spans="2:11" s="17" customFormat="1" ht="30" customHeight="1">
      <c r="B66" s="376"/>
      <c r="C66" s="376"/>
      <c r="D66" s="376"/>
      <c r="E66" s="376"/>
      <c r="F66" s="376"/>
      <c r="G66" s="376"/>
      <c r="H66" s="376"/>
      <c r="I66" s="376"/>
      <c r="J66" s="376"/>
      <c r="K66" s="376"/>
    </row>
    <row r="67" spans="2:11" s="17" customFormat="1" ht="30" customHeight="1">
      <c r="B67" s="19"/>
      <c r="C67" s="19"/>
      <c r="D67" s="19"/>
      <c r="E67" s="19"/>
      <c r="F67" s="19"/>
      <c r="G67" s="19"/>
      <c r="H67" s="19"/>
      <c r="I67" s="19"/>
      <c r="J67" s="19"/>
      <c r="K67" s="19"/>
    </row>
    <row r="68" spans="2:11" s="17" customFormat="1" ht="19.5" customHeight="1">
      <c r="B68" s="20"/>
      <c r="C68" s="20"/>
      <c r="D68" s="20"/>
      <c r="E68" s="20"/>
      <c r="F68" s="20"/>
      <c r="G68" s="20"/>
      <c r="H68" s="20"/>
      <c r="I68" s="20"/>
      <c r="J68" s="20"/>
      <c r="K68" s="20"/>
    </row>
    <row r="69" spans="2:11" s="17" customFormat="1" ht="30" customHeight="1">
      <c r="B69" s="20"/>
      <c r="C69" s="20"/>
      <c r="D69" s="20"/>
      <c r="E69" s="20"/>
      <c r="F69" s="20"/>
      <c r="G69" s="20"/>
      <c r="H69" s="20"/>
      <c r="I69" s="20"/>
      <c r="J69" s="20"/>
      <c r="K69" s="20"/>
    </row>
    <row r="70" spans="2:11" s="17" customFormat="1" ht="30" customHeight="1">
      <c r="B70" s="20"/>
      <c r="C70" s="20"/>
      <c r="D70" s="20"/>
      <c r="E70" s="20"/>
      <c r="F70" s="20"/>
      <c r="G70" s="20"/>
      <c r="H70" s="20"/>
      <c r="I70" s="20"/>
      <c r="J70" s="20"/>
      <c r="K70" s="20"/>
    </row>
    <row r="71" spans="2:11" s="17" customFormat="1" ht="19.5" customHeight="1">
      <c r="B71" s="20"/>
      <c r="C71" s="20"/>
      <c r="D71" s="20"/>
      <c r="E71" s="20"/>
      <c r="F71" s="20"/>
      <c r="G71" s="20"/>
      <c r="H71" s="20"/>
      <c r="I71" s="20"/>
      <c r="J71" s="20"/>
      <c r="K71" s="20"/>
    </row>
    <row r="72" spans="2:11" s="17" customFormat="1" ht="30" customHeight="1">
      <c r="B72" s="20"/>
      <c r="C72" s="20"/>
      <c r="D72" s="20"/>
      <c r="E72" s="20"/>
      <c r="F72" s="20"/>
      <c r="G72" s="20"/>
      <c r="H72" s="20"/>
      <c r="I72" s="20"/>
      <c r="J72" s="20"/>
      <c r="K72" s="20"/>
    </row>
    <row r="73" spans="2:11" ht="19.5" customHeight="1"/>
    <row r="74" spans="2:11" ht="19.5" customHeight="1"/>
    <row r="75" spans="2:11" ht="19.5" customHeight="1"/>
    <row r="76" spans="2:11" ht="19.5" customHeight="1"/>
    <row r="77" spans="2:11" ht="19.5" customHeight="1"/>
    <row r="78" spans="2:11" ht="19.5" customHeight="1"/>
    <row r="79" spans="2:11" ht="19.5" customHeight="1"/>
    <row r="80" spans="2:11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</sheetData>
  <mergeCells count="13">
    <mergeCell ref="B13:AI13"/>
    <mergeCell ref="C2:M2"/>
    <mergeCell ref="C3:M3"/>
    <mergeCell ref="B64:K64"/>
    <mergeCell ref="R24:S24"/>
    <mergeCell ref="B66:K66"/>
    <mergeCell ref="B52:K52"/>
    <mergeCell ref="B60:K60"/>
    <mergeCell ref="B62:K62"/>
    <mergeCell ref="N24:P24"/>
    <mergeCell ref="J34:AA34"/>
    <mergeCell ref="U24:V24"/>
    <mergeCell ref="I33:AB33"/>
  </mergeCells>
  <phoneticPr fontId="3" type="noConversion"/>
  <printOptions horizontalCentered="1"/>
  <pageMargins left="0.31" right="0.3" top="0.61" bottom="0.4" header="0.31496062992125984" footer="0.31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7"/>
  <sheetViews>
    <sheetView showGridLines="0" view="pageBreakPreview" topLeftCell="A7" zoomScale="115" zoomScaleNormal="100" zoomScaleSheetLayoutView="115" workbookViewId="0">
      <selection activeCell="Z21" sqref="Z21"/>
    </sheetView>
  </sheetViews>
  <sheetFormatPr defaultRowHeight="14.25"/>
  <cols>
    <col min="1" max="36" width="2.21875" style="29" customWidth="1"/>
    <col min="37" max="16384" width="8.88671875" style="29"/>
  </cols>
  <sheetData>
    <row r="1" spans="1:35" ht="21.6" customHeight="1"/>
    <row r="2" spans="1:35" ht="21.6" customHeight="1"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35" ht="21.6" customHeight="1">
      <c r="A3" s="48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35" ht="21.6" customHeight="1">
      <c r="A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</row>
    <row r="5" spans="1:35" ht="21.6" customHeight="1">
      <c r="A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</row>
    <row r="6" spans="1:35" ht="21.6" customHeight="1">
      <c r="A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</row>
    <row r="7" spans="1:35" ht="21.6" customHeight="1">
      <c r="A7" s="49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</row>
    <row r="8" spans="1:35" s="38" customFormat="1" ht="21.6" customHeight="1">
      <c r="F8" s="64" t="s">
        <v>11</v>
      </c>
      <c r="G8" s="50" t="s">
        <v>13</v>
      </c>
      <c r="L8" s="37"/>
      <c r="M8" s="37"/>
      <c r="N8" s="37"/>
      <c r="O8" s="37"/>
    </row>
    <row r="9" spans="1:35" s="28" customFormat="1" ht="18" customHeight="1">
      <c r="G9" s="38"/>
      <c r="H9" s="38"/>
      <c r="I9" s="38"/>
    </row>
    <row r="10" spans="1:35" s="38" customFormat="1" ht="21.6" customHeight="1">
      <c r="F10" s="64" t="s">
        <v>12</v>
      </c>
      <c r="G10" s="123" t="s">
        <v>4</v>
      </c>
      <c r="H10" s="50"/>
      <c r="I10" s="50"/>
    </row>
    <row r="11" spans="1:35" s="46" customFormat="1" ht="18" customHeight="1">
      <c r="B11" s="45"/>
      <c r="C11" s="45"/>
      <c r="G11" s="28"/>
      <c r="H11" s="28"/>
      <c r="I11" s="28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</row>
    <row r="12" spans="1:35" s="50" customFormat="1" ht="21.6" customHeight="1">
      <c r="B12" s="65"/>
      <c r="C12" s="65"/>
      <c r="F12" s="124" t="s">
        <v>136</v>
      </c>
      <c r="G12" s="50" t="s">
        <v>14</v>
      </c>
      <c r="J12" s="65"/>
      <c r="K12" s="65"/>
      <c r="L12" s="65"/>
      <c r="M12" s="65"/>
    </row>
    <row r="13" spans="1:35" s="28" customFormat="1" ht="18" customHeight="1">
      <c r="B13" s="53"/>
      <c r="C13" s="53"/>
      <c r="G13" s="52"/>
      <c r="H13" s="52"/>
      <c r="I13" s="52"/>
      <c r="O13" s="54"/>
      <c r="P13" s="54"/>
      <c r="Q13" s="55"/>
      <c r="R13" s="55"/>
      <c r="S13" s="55"/>
      <c r="T13" s="56"/>
      <c r="U13" s="56"/>
      <c r="V13" s="56"/>
      <c r="W13" s="56"/>
      <c r="X13" s="56"/>
      <c r="Y13" s="56"/>
    </row>
    <row r="14" spans="1:35" s="50" customFormat="1" ht="21.6" customHeight="1">
      <c r="B14" s="64"/>
      <c r="F14" s="124" t="s">
        <v>137</v>
      </c>
      <c r="G14" s="50" t="s">
        <v>15</v>
      </c>
    </row>
    <row r="15" spans="1:35" s="46" customFormat="1" ht="21.6" customHeight="1">
      <c r="G15" s="125" t="s">
        <v>138</v>
      </c>
      <c r="I15" s="28" t="s">
        <v>5</v>
      </c>
      <c r="R15" s="45"/>
      <c r="S15" s="45"/>
      <c r="U15" s="45"/>
      <c r="V15" s="45"/>
    </row>
    <row r="16" spans="1:35" s="28" customFormat="1" ht="21.6" customHeight="1">
      <c r="B16" s="53"/>
      <c r="G16" s="125" t="s">
        <v>139</v>
      </c>
      <c r="I16" s="28" t="s">
        <v>6</v>
      </c>
      <c r="J16" s="54"/>
      <c r="K16" s="57"/>
      <c r="L16" s="54"/>
      <c r="M16" s="54"/>
      <c r="N16" s="54"/>
      <c r="O16" s="54"/>
      <c r="P16" s="54"/>
      <c r="Q16" s="55"/>
      <c r="R16" s="55"/>
      <c r="S16" s="55"/>
      <c r="T16" s="56"/>
      <c r="U16" s="56"/>
      <c r="V16" s="56"/>
      <c r="W16" s="56"/>
      <c r="X16" s="56"/>
      <c r="Y16" s="56"/>
    </row>
    <row r="17" spans="1:27" s="28" customFormat="1" ht="21.6" customHeight="1">
      <c r="B17" s="53"/>
      <c r="G17" s="125" t="s">
        <v>140</v>
      </c>
      <c r="I17" s="28" t="s">
        <v>7</v>
      </c>
      <c r="J17" s="54"/>
      <c r="K17" s="57"/>
      <c r="L17" s="54"/>
      <c r="M17" s="54"/>
      <c r="N17" s="54"/>
      <c r="O17" s="54"/>
      <c r="P17" s="54"/>
      <c r="Q17" s="55"/>
      <c r="R17" s="55"/>
      <c r="S17" s="55"/>
      <c r="T17" s="56"/>
      <c r="U17" s="56"/>
      <c r="V17" s="56"/>
      <c r="W17" s="56"/>
      <c r="X17" s="56"/>
      <c r="Y17" s="56"/>
    </row>
    <row r="18" spans="1:27" s="28" customFormat="1" ht="18" customHeight="1">
      <c r="B18" s="53"/>
      <c r="G18" s="52"/>
      <c r="H18" s="52"/>
      <c r="I18" s="52"/>
      <c r="J18" s="54"/>
      <c r="K18" s="57"/>
      <c r="L18" s="54"/>
      <c r="M18" s="54"/>
      <c r="N18" s="54"/>
      <c r="O18" s="54"/>
      <c r="P18" s="54"/>
      <c r="Q18" s="55"/>
      <c r="R18" s="55"/>
      <c r="S18" s="55"/>
      <c r="T18" s="56"/>
      <c r="U18" s="56"/>
      <c r="V18" s="56"/>
      <c r="W18" s="56"/>
      <c r="X18" s="56"/>
      <c r="Y18" s="56"/>
    </row>
    <row r="19" spans="1:27" s="50" customFormat="1" ht="21.6" customHeight="1">
      <c r="B19" s="65"/>
      <c r="F19" s="124" t="s">
        <v>141</v>
      </c>
      <c r="G19" s="50" t="s">
        <v>16</v>
      </c>
      <c r="J19" s="65"/>
      <c r="K19" s="66"/>
      <c r="L19" s="65"/>
      <c r="M19" s="65"/>
      <c r="N19" s="65"/>
      <c r="O19" s="65"/>
      <c r="P19" s="65"/>
      <c r="Q19" s="67"/>
      <c r="R19" s="67"/>
      <c r="S19" s="67"/>
      <c r="T19" s="68"/>
      <c r="U19" s="68"/>
      <c r="V19" s="68"/>
      <c r="W19" s="68"/>
      <c r="X19" s="68"/>
      <c r="Y19" s="68"/>
    </row>
    <row r="20" spans="1:27" s="28" customFormat="1" ht="21.6" customHeight="1">
      <c r="B20" s="53"/>
      <c r="G20" s="125" t="s">
        <v>142</v>
      </c>
      <c r="I20" s="28" t="s">
        <v>8</v>
      </c>
      <c r="J20" s="54"/>
      <c r="K20" s="57"/>
      <c r="L20" s="54"/>
      <c r="M20" s="54"/>
      <c r="N20" s="54"/>
      <c r="O20" s="54"/>
      <c r="P20" s="54"/>
      <c r="Q20" s="55"/>
      <c r="R20" s="55"/>
      <c r="S20" s="55"/>
      <c r="T20" s="56"/>
      <c r="U20" s="56"/>
      <c r="V20" s="56"/>
      <c r="W20" s="56"/>
      <c r="X20" s="56"/>
      <c r="Y20" s="56"/>
    </row>
    <row r="21" spans="1:27" s="28" customFormat="1" ht="21.6" customHeight="1">
      <c r="B21" s="53"/>
      <c r="C21" s="53"/>
      <c r="G21" s="125" t="s">
        <v>143</v>
      </c>
      <c r="I21" s="28" t="s">
        <v>9</v>
      </c>
      <c r="J21" s="54"/>
      <c r="K21" s="57"/>
      <c r="L21" s="54"/>
      <c r="M21" s="54"/>
      <c r="N21" s="54"/>
      <c r="O21" s="54"/>
      <c r="P21" s="54"/>
      <c r="Q21" s="55"/>
      <c r="R21" s="55"/>
      <c r="S21" s="55"/>
      <c r="T21" s="56"/>
      <c r="U21" s="56"/>
      <c r="V21" s="56"/>
      <c r="W21" s="56"/>
      <c r="X21" s="56"/>
      <c r="Y21" s="56"/>
    </row>
    <row r="22" spans="1:27" s="28" customFormat="1" ht="21.6" customHeight="1">
      <c r="A22" s="52"/>
      <c r="B22" s="52"/>
      <c r="C22" s="52"/>
      <c r="G22" s="125" t="s">
        <v>144</v>
      </c>
      <c r="I22" s="28" t="s">
        <v>10</v>
      </c>
    </row>
    <row r="23" spans="1:27" s="28" customFormat="1" ht="21.6" customHeight="1">
      <c r="B23" s="51"/>
      <c r="G23" s="125" t="s">
        <v>145</v>
      </c>
      <c r="I23" s="306" t="s">
        <v>160</v>
      </c>
    </row>
    <row r="24" spans="1:27" s="28" customFormat="1" ht="21.6" customHeight="1">
      <c r="B24" s="51"/>
      <c r="G24" s="125" t="s">
        <v>146</v>
      </c>
      <c r="I24" s="306" t="s">
        <v>161</v>
      </c>
    </row>
    <row r="25" spans="1:27" s="28" customFormat="1" ht="21.6" customHeight="1">
      <c r="A25" s="35"/>
      <c r="B25" s="58"/>
      <c r="C25" s="58"/>
      <c r="G25" s="125" t="s">
        <v>147</v>
      </c>
      <c r="I25" s="306" t="s">
        <v>162</v>
      </c>
      <c r="J25" s="58"/>
      <c r="K25" s="58"/>
      <c r="L25" s="58"/>
      <c r="M25" s="58"/>
      <c r="N25" s="58"/>
    </row>
    <row r="26" spans="1:27" s="28" customFormat="1" ht="18" customHeight="1">
      <c r="A26" s="35"/>
      <c r="B26" s="59"/>
      <c r="C26" s="60"/>
      <c r="G26" s="52"/>
      <c r="H26" s="52"/>
      <c r="I26" s="52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</row>
    <row r="27" spans="1:27" s="50" customFormat="1" ht="21.6" customHeight="1">
      <c r="F27" s="64" t="s">
        <v>150</v>
      </c>
      <c r="G27" s="50" t="s">
        <v>17</v>
      </c>
    </row>
    <row r="28" spans="1:27" s="28" customFormat="1" ht="21.6" hidden="1" customHeight="1">
      <c r="G28" s="13" t="s">
        <v>151</v>
      </c>
      <c r="I28" s="28" t="s">
        <v>18</v>
      </c>
    </row>
    <row r="29" spans="1:27" s="61" customFormat="1" ht="24.95" customHeight="1">
      <c r="B29" s="62"/>
    </row>
    <row r="30" spans="1:27" s="61" customFormat="1" ht="15" customHeight="1">
      <c r="B30" s="62"/>
    </row>
    <row r="31" spans="1:27" s="61" customFormat="1" ht="24.95" customHeight="1">
      <c r="B31" s="62"/>
    </row>
    <row r="32" spans="1:27" s="61" customFormat="1" ht="15" customHeight="1">
      <c r="B32" s="62"/>
    </row>
    <row r="33" spans="2:11" s="61" customFormat="1" ht="24.95" customHeight="1">
      <c r="B33" s="62"/>
    </row>
    <row r="34" spans="2:11" s="28" customFormat="1" ht="19.5" customHeight="1"/>
    <row r="35" spans="2:11" s="28" customFormat="1" ht="19.5" customHeight="1"/>
    <row r="36" spans="2:11" s="28" customFormat="1" ht="19.5" customHeight="1"/>
    <row r="37" spans="2:11" s="28" customFormat="1" ht="19.5" customHeight="1"/>
    <row r="38" spans="2:11" s="28" customFormat="1" ht="30" customHeight="1">
      <c r="B38" s="60"/>
    </row>
    <row r="39" spans="2:11" s="28" customFormat="1" ht="19.5" customHeight="1"/>
    <row r="40" spans="2:11" s="28" customFormat="1" ht="19.5" customHeight="1"/>
    <row r="41" spans="2:11" s="28" customFormat="1" ht="19.5" customHeight="1"/>
    <row r="42" spans="2:11" s="28" customFormat="1" ht="19.5" customHeight="1"/>
    <row r="43" spans="2:11" s="52" customFormat="1" ht="30" customHeight="1">
      <c r="B43" s="386"/>
      <c r="C43" s="386"/>
      <c r="D43" s="386"/>
      <c r="E43" s="386"/>
      <c r="F43" s="386"/>
      <c r="G43" s="386"/>
      <c r="H43" s="386"/>
      <c r="I43" s="386"/>
      <c r="J43" s="386"/>
      <c r="K43" s="386"/>
    </row>
    <row r="44" spans="2:11" s="52" customFormat="1" ht="19.5" customHeight="1"/>
    <row r="45" spans="2:11" s="52" customFormat="1" ht="19.5" customHeight="1"/>
    <row r="46" spans="2:11" s="52" customFormat="1" ht="19.5" customHeight="1"/>
    <row r="47" spans="2:11" s="52" customFormat="1" ht="19.5" customHeight="1"/>
    <row r="48" spans="2:11" s="52" customFormat="1" ht="19.5" customHeight="1"/>
    <row r="49" spans="2:11" s="52" customFormat="1" ht="19.5" customHeight="1"/>
    <row r="50" spans="2:11" s="52" customFormat="1" ht="19.5" customHeight="1"/>
    <row r="51" spans="2:11" s="60" customFormat="1" ht="30" customHeight="1">
      <c r="B51" s="385"/>
      <c r="C51" s="385"/>
      <c r="D51" s="385"/>
      <c r="E51" s="385"/>
      <c r="F51" s="385"/>
      <c r="G51" s="385"/>
      <c r="H51" s="385"/>
      <c r="I51" s="385"/>
      <c r="J51" s="385"/>
      <c r="K51" s="385"/>
    </row>
    <row r="52" spans="2:11" s="60" customFormat="1" ht="30" customHeight="1">
      <c r="B52" s="63"/>
      <c r="C52" s="63"/>
      <c r="D52" s="63"/>
      <c r="E52" s="63"/>
      <c r="F52" s="63"/>
      <c r="G52" s="63"/>
      <c r="H52" s="63"/>
      <c r="I52" s="63"/>
      <c r="J52" s="63"/>
      <c r="K52" s="63"/>
    </row>
    <row r="53" spans="2:11" s="60" customFormat="1" ht="30" customHeight="1">
      <c r="B53" s="385"/>
      <c r="C53" s="385"/>
      <c r="D53" s="385"/>
      <c r="E53" s="385"/>
      <c r="F53" s="385"/>
      <c r="G53" s="385"/>
      <c r="H53" s="385"/>
      <c r="I53" s="385"/>
      <c r="J53" s="385"/>
      <c r="K53" s="385"/>
    </row>
    <row r="54" spans="2:11" s="60" customFormat="1" ht="24.75" customHeight="1">
      <c r="B54" s="63"/>
      <c r="C54" s="63"/>
      <c r="D54" s="63"/>
      <c r="E54" s="63"/>
      <c r="F54" s="63"/>
      <c r="G54" s="63"/>
      <c r="H54" s="63"/>
      <c r="I54" s="63"/>
      <c r="J54" s="63"/>
      <c r="K54" s="63"/>
    </row>
    <row r="55" spans="2:11" s="60" customFormat="1" ht="30" customHeight="1">
      <c r="B55" s="385"/>
      <c r="C55" s="385"/>
      <c r="D55" s="385"/>
      <c r="E55" s="385"/>
      <c r="F55" s="385"/>
      <c r="G55" s="385"/>
      <c r="H55" s="385"/>
      <c r="I55" s="385"/>
      <c r="J55" s="385"/>
      <c r="K55" s="385"/>
    </row>
    <row r="56" spans="2:11" s="60" customFormat="1" ht="21.75" customHeight="1">
      <c r="B56" s="63"/>
      <c r="C56" s="63"/>
      <c r="D56" s="63"/>
      <c r="E56" s="63"/>
      <c r="F56" s="63"/>
      <c r="G56" s="63"/>
      <c r="H56" s="63"/>
      <c r="I56" s="63"/>
      <c r="J56" s="63"/>
      <c r="K56" s="63"/>
    </row>
    <row r="57" spans="2:11" s="60" customFormat="1" ht="30" customHeight="1">
      <c r="B57" s="385"/>
      <c r="C57" s="385"/>
      <c r="D57" s="385"/>
      <c r="E57" s="385"/>
      <c r="F57" s="385"/>
      <c r="G57" s="385"/>
      <c r="H57" s="385"/>
      <c r="I57" s="385"/>
      <c r="J57" s="385"/>
      <c r="K57" s="385"/>
    </row>
    <row r="58" spans="2:11" s="60" customFormat="1" ht="30" customHeight="1">
      <c r="B58" s="63"/>
      <c r="C58" s="63"/>
      <c r="D58" s="63"/>
      <c r="E58" s="63"/>
      <c r="F58" s="63"/>
      <c r="G58" s="63"/>
      <c r="H58" s="63"/>
      <c r="I58" s="63"/>
      <c r="J58" s="63"/>
      <c r="K58" s="63"/>
    </row>
    <row r="59" spans="2:11" s="60" customFormat="1" ht="19.5" customHeight="1">
      <c r="B59" s="63"/>
      <c r="C59" s="63"/>
      <c r="D59" s="63"/>
      <c r="E59" s="63"/>
      <c r="F59" s="63"/>
      <c r="G59" s="63"/>
      <c r="H59" s="63"/>
      <c r="I59" s="63"/>
      <c r="J59" s="63"/>
      <c r="K59" s="63"/>
    </row>
    <row r="60" spans="2:11" s="60" customFormat="1" ht="30" customHeight="1">
      <c r="B60" s="63"/>
      <c r="C60" s="63"/>
      <c r="D60" s="63"/>
      <c r="E60" s="63"/>
      <c r="F60" s="63"/>
      <c r="G60" s="63"/>
      <c r="H60" s="63"/>
      <c r="I60" s="63"/>
      <c r="J60" s="63"/>
      <c r="K60" s="63"/>
    </row>
    <row r="61" spans="2:11" s="60" customFormat="1" ht="30" customHeight="1">
      <c r="B61" s="63"/>
      <c r="C61" s="63"/>
      <c r="D61" s="63"/>
      <c r="E61" s="63"/>
      <c r="F61" s="63"/>
      <c r="G61" s="63"/>
      <c r="H61" s="63"/>
      <c r="I61" s="63"/>
      <c r="J61" s="63"/>
      <c r="K61" s="63"/>
    </row>
    <row r="62" spans="2:11" s="60" customFormat="1" ht="19.5" customHeight="1">
      <c r="B62" s="63"/>
      <c r="C62" s="63"/>
      <c r="D62" s="63"/>
      <c r="E62" s="63"/>
      <c r="F62" s="63"/>
      <c r="G62" s="63"/>
      <c r="H62" s="63"/>
      <c r="I62" s="63"/>
      <c r="J62" s="63"/>
      <c r="K62" s="63"/>
    </row>
    <row r="63" spans="2:11" s="60" customFormat="1" ht="30" customHeight="1">
      <c r="B63" s="63"/>
      <c r="C63" s="63"/>
      <c r="D63" s="63"/>
      <c r="E63" s="63"/>
      <c r="F63" s="63"/>
      <c r="G63" s="63"/>
      <c r="H63" s="63"/>
      <c r="I63" s="63"/>
      <c r="J63" s="63"/>
      <c r="K63" s="63"/>
    </row>
    <row r="64" spans="2:11" s="28" customFormat="1" ht="19.5" customHeight="1"/>
    <row r="65" s="28" customFormat="1" ht="19.5" customHeight="1"/>
    <row r="66" s="28" customFormat="1" ht="19.5" customHeight="1"/>
    <row r="67" s="28" customFormat="1" ht="19.5" customHeight="1"/>
    <row r="68" s="28" customFormat="1" ht="19.5" customHeight="1"/>
    <row r="69" s="28" customFormat="1" ht="19.5" customHeight="1"/>
    <row r="70" s="28" customFormat="1" ht="19.5" customHeight="1"/>
    <row r="71" s="28" customFormat="1" ht="19.5" customHeight="1"/>
    <row r="72" s="28" customFormat="1" ht="19.5" customHeight="1"/>
    <row r="73" s="28" customFormat="1" ht="19.5" customHeight="1"/>
    <row r="74" s="28" customFormat="1" ht="19.5" customHeight="1"/>
    <row r="75" s="28" customFormat="1" ht="19.5" customHeight="1"/>
    <row r="76" s="28" customFormat="1" ht="19.5" customHeight="1"/>
    <row r="77" s="28" customFormat="1" ht="19.5" customHeight="1"/>
    <row r="78" s="28" customFormat="1" ht="19.5" customHeight="1"/>
    <row r="79" s="28" customFormat="1" ht="19.5" customHeight="1"/>
    <row r="80" s="28" customFormat="1" ht="19.5" customHeight="1"/>
    <row r="81" s="28" customFormat="1" ht="19.5" customHeight="1"/>
    <row r="82" s="28" customFormat="1" ht="19.5" customHeight="1"/>
    <row r="83" s="28" customFormat="1" ht="19.5" customHeight="1"/>
    <row r="84" s="28" customFormat="1" ht="19.5" customHeight="1"/>
    <row r="85" s="28" customFormat="1" ht="19.5" customHeight="1"/>
    <row r="86" s="28" customFormat="1" ht="19.5" customHeight="1"/>
    <row r="87" s="28" customFormat="1" ht="19.5" customHeight="1"/>
    <row r="88" s="28" customFormat="1" ht="19.5" customHeight="1"/>
    <row r="89" s="28" customFormat="1" ht="19.5" customHeight="1"/>
    <row r="90" s="28" customFormat="1" ht="19.5" customHeight="1"/>
    <row r="91" s="28" customFormat="1" ht="19.5" customHeight="1"/>
    <row r="92" s="28" customFormat="1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</sheetData>
  <mergeCells count="5">
    <mergeCell ref="B57:K57"/>
    <mergeCell ref="B43:K43"/>
    <mergeCell ref="B51:K51"/>
    <mergeCell ref="B53:K53"/>
    <mergeCell ref="B55:K55"/>
  </mergeCells>
  <phoneticPr fontId="3" type="noConversion"/>
  <printOptions horizontalCentered="1"/>
  <pageMargins left="0.31" right="0.3" top="0.44" bottom="0.4" header="0.31496062992125984" footer="0.31"/>
  <pageSetup paperSize="9" fitToHeight="0" orientation="portrait" r:id="rId1"/>
  <ignoredErrors>
    <ignoredError sqref="F8:F35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showGridLines="0" view="pageBreakPreview" zoomScaleNormal="100" zoomScaleSheetLayoutView="100" workbookViewId="0">
      <selection activeCell="O19" sqref="O19"/>
    </sheetView>
  </sheetViews>
  <sheetFormatPr defaultRowHeight="14.25"/>
  <cols>
    <col min="1" max="2" width="6.5546875" style="29" customWidth="1"/>
    <col min="3" max="8" width="12.6640625" style="29" customWidth="1"/>
    <col min="9" max="9" width="7.6640625" style="29" customWidth="1"/>
    <col min="10" max="10" width="8.21875" style="29" customWidth="1"/>
    <col min="11" max="11" width="3.44140625" style="29" customWidth="1"/>
    <col min="12" max="16384" width="8.88671875" style="29"/>
  </cols>
  <sheetData>
    <row r="1" spans="1:10" ht="30" customHeight="1">
      <c r="A1" s="69"/>
      <c r="B1" s="69"/>
      <c r="C1" s="69"/>
      <c r="D1" s="69"/>
      <c r="E1" s="69"/>
      <c r="F1" s="69"/>
      <c r="G1" s="69"/>
      <c r="H1" s="69"/>
      <c r="I1" s="69"/>
      <c r="J1" s="69"/>
    </row>
    <row r="2" spans="1:10" ht="34.15" customHeight="1">
      <c r="A2" s="25" t="s">
        <v>126</v>
      </c>
      <c r="B2" s="70"/>
      <c r="C2" s="70"/>
      <c r="D2" s="70"/>
      <c r="E2" s="69"/>
      <c r="F2" s="69"/>
      <c r="G2" s="69"/>
      <c r="H2" s="69"/>
      <c r="I2" s="69"/>
      <c r="J2" s="69"/>
    </row>
    <row r="3" spans="1:10" ht="22.9" customHeight="1" thickBot="1">
      <c r="A3" s="1" t="s">
        <v>321</v>
      </c>
      <c r="H3" s="396" t="s">
        <v>46</v>
      </c>
      <c r="I3" s="397"/>
      <c r="J3" s="397"/>
    </row>
    <row r="4" spans="1:10" ht="30" customHeight="1">
      <c r="A4" s="401" t="s">
        <v>37</v>
      </c>
      <c r="B4" s="402"/>
      <c r="C4" s="398" t="s">
        <v>38</v>
      </c>
      <c r="D4" s="399"/>
      <c r="E4" s="400"/>
      <c r="F4" s="398" t="s">
        <v>19</v>
      </c>
      <c r="G4" s="399"/>
      <c r="H4" s="400"/>
      <c r="I4" s="407" t="s">
        <v>44</v>
      </c>
      <c r="J4" s="409" t="s">
        <v>0</v>
      </c>
    </row>
    <row r="5" spans="1:10" ht="30" customHeight="1">
      <c r="A5" s="403"/>
      <c r="B5" s="404"/>
      <c r="C5" s="170" t="s">
        <v>39</v>
      </c>
      <c r="D5" s="170" t="s">
        <v>40</v>
      </c>
      <c r="E5" s="170" t="s">
        <v>41</v>
      </c>
      <c r="F5" s="170" t="s">
        <v>42</v>
      </c>
      <c r="G5" s="170" t="s">
        <v>43</v>
      </c>
      <c r="H5" s="170" t="s">
        <v>41</v>
      </c>
      <c r="I5" s="408"/>
      <c r="J5" s="410"/>
    </row>
    <row r="6" spans="1:10" ht="30" customHeight="1">
      <c r="A6" s="405" t="s">
        <v>45</v>
      </c>
      <c r="B6" s="406"/>
      <c r="C6" s="171"/>
      <c r="D6" s="172"/>
      <c r="E6" s="172"/>
      <c r="F6" s="171"/>
      <c r="G6" s="172"/>
      <c r="H6" s="173"/>
      <c r="I6" s="174"/>
      <c r="J6" s="175"/>
    </row>
    <row r="7" spans="1:10" ht="30" customHeight="1">
      <c r="A7" s="387" t="s">
        <v>20</v>
      </c>
      <c r="B7" s="176" t="s">
        <v>21</v>
      </c>
      <c r="C7" s="177"/>
      <c r="D7" s="177"/>
      <c r="E7" s="177"/>
      <c r="F7" s="178"/>
      <c r="G7" s="178"/>
      <c r="H7" s="272"/>
      <c r="I7" s="180"/>
      <c r="J7" s="181"/>
    </row>
    <row r="8" spans="1:10" ht="30" customHeight="1">
      <c r="A8" s="387"/>
      <c r="B8" s="182" t="s">
        <v>22</v>
      </c>
      <c r="C8" s="183"/>
      <c r="D8" s="183"/>
      <c r="E8" s="183"/>
      <c r="F8" s="178"/>
      <c r="G8" s="178"/>
      <c r="H8" s="272"/>
      <c r="I8" s="180"/>
      <c r="J8" s="185"/>
    </row>
    <row r="9" spans="1:10" ht="30" customHeight="1">
      <c r="A9" s="388"/>
      <c r="B9" s="182" t="s">
        <v>23</v>
      </c>
      <c r="C9" s="183"/>
      <c r="D9" s="183"/>
      <c r="E9" s="183"/>
      <c r="F9" s="178"/>
      <c r="G9" s="178"/>
      <c r="H9" s="272"/>
      <c r="I9" s="180"/>
      <c r="J9" s="185"/>
    </row>
    <row r="10" spans="1:10" ht="30" customHeight="1">
      <c r="A10" s="389" t="s">
        <v>24</v>
      </c>
      <c r="B10" s="390"/>
      <c r="C10" s="186"/>
      <c r="D10" s="186"/>
      <c r="E10" s="186"/>
      <c r="F10" s="187">
        <f>SUM(F7:F9)</f>
        <v>0</v>
      </c>
      <c r="G10" s="187">
        <f>SUM(G7:G9)</f>
        <v>0</v>
      </c>
      <c r="H10" s="316">
        <f>+H6+F10-G10</f>
        <v>0</v>
      </c>
      <c r="I10" s="189"/>
      <c r="J10" s="190"/>
    </row>
    <row r="11" spans="1:10" ht="30" customHeight="1">
      <c r="A11" s="391" t="s">
        <v>25</v>
      </c>
      <c r="B11" s="182" t="s">
        <v>26</v>
      </c>
      <c r="C11" s="183"/>
      <c r="D11" s="183"/>
      <c r="E11" s="183"/>
      <c r="F11" s="178"/>
      <c r="G11" s="178"/>
      <c r="H11" s="179">
        <v>1053622</v>
      </c>
      <c r="I11" s="191"/>
      <c r="J11" s="185"/>
    </row>
    <row r="12" spans="1:10" ht="30" customHeight="1">
      <c r="A12" s="387"/>
      <c r="B12" s="182" t="s">
        <v>27</v>
      </c>
      <c r="C12" s="183"/>
      <c r="D12" s="183"/>
      <c r="E12" s="183"/>
      <c r="F12" s="178">
        <v>746790</v>
      </c>
      <c r="G12" s="178">
        <v>1359625</v>
      </c>
      <c r="H12" s="179">
        <f>H11+F12-G12</f>
        <v>440787</v>
      </c>
      <c r="I12" s="191"/>
      <c r="J12" s="185"/>
    </row>
    <row r="13" spans="1:10" ht="30" customHeight="1">
      <c r="A13" s="388"/>
      <c r="B13" s="182" t="s">
        <v>28</v>
      </c>
      <c r="C13" s="183"/>
      <c r="D13" s="183"/>
      <c r="E13" s="183"/>
      <c r="F13" s="178">
        <v>3597120</v>
      </c>
      <c r="G13" s="178">
        <v>1690303</v>
      </c>
      <c r="H13" s="179">
        <f>H12+F13-G13</f>
        <v>2347604</v>
      </c>
      <c r="I13" s="191"/>
      <c r="J13" s="185"/>
    </row>
    <row r="14" spans="1:10" ht="30" customHeight="1">
      <c r="A14" s="389" t="s">
        <v>24</v>
      </c>
      <c r="B14" s="390"/>
      <c r="C14" s="186"/>
      <c r="D14" s="186"/>
      <c r="E14" s="186"/>
      <c r="F14" s="187">
        <f>SUM(F11:F13)</f>
        <v>4343910</v>
      </c>
      <c r="G14" s="187">
        <f>SUM(G11:G13)</f>
        <v>3049928</v>
      </c>
      <c r="H14" s="187">
        <f>F14-G14+H10</f>
        <v>1293982</v>
      </c>
      <c r="I14" s="189"/>
      <c r="J14" s="190"/>
    </row>
    <row r="15" spans="1:10" ht="30" customHeight="1">
      <c r="A15" s="391" t="s">
        <v>29</v>
      </c>
      <c r="B15" s="182" t="s">
        <v>170</v>
      </c>
      <c r="C15" s="183"/>
      <c r="D15" s="183"/>
      <c r="E15" s="183"/>
      <c r="F15" s="178"/>
      <c r="G15" s="178"/>
      <c r="H15" s="179"/>
      <c r="I15" s="191"/>
      <c r="J15" s="185"/>
    </row>
    <row r="16" spans="1:10" ht="30" customHeight="1">
      <c r="A16" s="387"/>
      <c r="B16" s="182" t="s">
        <v>30</v>
      </c>
      <c r="C16" s="183"/>
      <c r="D16" s="183"/>
      <c r="E16" s="183"/>
      <c r="F16" s="178"/>
      <c r="G16" s="178"/>
      <c r="H16" s="179"/>
      <c r="I16" s="191"/>
      <c r="J16" s="185"/>
    </row>
    <row r="17" spans="1:10" ht="30" customHeight="1">
      <c r="A17" s="388"/>
      <c r="B17" s="182" t="s">
        <v>31</v>
      </c>
      <c r="C17" s="183"/>
      <c r="D17" s="183"/>
      <c r="E17" s="183"/>
      <c r="F17" s="178"/>
      <c r="G17" s="178"/>
      <c r="H17" s="179"/>
      <c r="I17" s="191"/>
      <c r="J17" s="185"/>
    </row>
    <row r="18" spans="1:10" ht="30" customHeight="1">
      <c r="A18" s="389" t="s">
        <v>24</v>
      </c>
      <c r="B18" s="390"/>
      <c r="C18" s="186"/>
      <c r="D18" s="186"/>
      <c r="E18" s="186"/>
      <c r="F18" s="187"/>
      <c r="G18" s="187"/>
      <c r="H18" s="188"/>
      <c r="I18" s="189"/>
      <c r="J18" s="190"/>
    </row>
    <row r="19" spans="1:10" ht="30" customHeight="1">
      <c r="A19" s="391" t="s">
        <v>32</v>
      </c>
      <c r="B19" s="182" t="s">
        <v>33</v>
      </c>
      <c r="C19" s="183"/>
      <c r="D19" s="183"/>
      <c r="E19" s="183"/>
      <c r="F19" s="178"/>
      <c r="G19" s="178"/>
      <c r="H19" s="184"/>
      <c r="I19" s="192"/>
      <c r="J19" s="185"/>
    </row>
    <row r="20" spans="1:10" ht="30" customHeight="1">
      <c r="A20" s="387"/>
      <c r="B20" s="182" t="s">
        <v>34</v>
      </c>
      <c r="C20" s="183"/>
      <c r="D20" s="183"/>
      <c r="E20" s="183"/>
      <c r="F20" s="178"/>
      <c r="G20" s="178"/>
      <c r="H20" s="179"/>
      <c r="I20" s="192"/>
      <c r="J20" s="185"/>
    </row>
    <row r="21" spans="1:10" ht="30" customHeight="1">
      <c r="A21" s="388"/>
      <c r="B21" s="182" t="s">
        <v>35</v>
      </c>
      <c r="C21" s="183"/>
      <c r="D21" s="183"/>
      <c r="E21" s="183"/>
      <c r="F21" s="193"/>
      <c r="G21" s="194"/>
      <c r="H21" s="179"/>
      <c r="I21" s="192"/>
      <c r="J21" s="185"/>
    </row>
    <row r="22" spans="1:10" ht="30" customHeight="1">
      <c r="A22" s="389" t="s">
        <v>24</v>
      </c>
      <c r="B22" s="390"/>
      <c r="C22" s="186"/>
      <c r="D22" s="186"/>
      <c r="E22" s="186"/>
      <c r="F22" s="187"/>
      <c r="G22" s="187"/>
      <c r="H22" s="188"/>
      <c r="I22" s="195"/>
      <c r="J22" s="190"/>
    </row>
    <row r="23" spans="1:10" ht="30" customHeight="1" thickBot="1">
      <c r="A23" s="393" t="s">
        <v>36</v>
      </c>
      <c r="B23" s="394"/>
      <c r="C23" s="196"/>
      <c r="D23" s="196"/>
      <c r="E23" s="196"/>
      <c r="F23" s="197">
        <f>SUM(F22,F18,F14,F10)</f>
        <v>4343910</v>
      </c>
      <c r="G23" s="197">
        <f>SUM(G22,G18,G14,G10)</f>
        <v>3049928</v>
      </c>
      <c r="H23" s="198">
        <f>H11+F23-G23</f>
        <v>2347604</v>
      </c>
      <c r="I23" s="199"/>
      <c r="J23" s="200"/>
    </row>
    <row r="24" spans="1:10" ht="18.95" customHeight="1">
      <c r="A24" s="395"/>
      <c r="B24" s="395"/>
      <c r="C24" s="395"/>
      <c r="D24" s="395"/>
      <c r="E24" s="395"/>
      <c r="F24" s="395"/>
      <c r="G24" s="395"/>
      <c r="H24" s="395"/>
      <c r="I24" s="395"/>
      <c r="J24" s="395"/>
    </row>
    <row r="25" spans="1:10" ht="18.95" customHeight="1">
      <c r="A25" s="392"/>
      <c r="B25" s="392"/>
      <c r="C25" s="392"/>
      <c r="D25" s="392"/>
      <c r="E25" s="392"/>
      <c r="F25" s="392"/>
      <c r="G25" s="392"/>
      <c r="H25" s="392"/>
      <c r="I25" s="392"/>
      <c r="J25" s="392"/>
    </row>
  </sheetData>
  <mergeCells count="18">
    <mergeCell ref="H3:J3"/>
    <mergeCell ref="F4:H4"/>
    <mergeCell ref="A4:B5"/>
    <mergeCell ref="A6:B6"/>
    <mergeCell ref="I4:I5"/>
    <mergeCell ref="J4:J5"/>
    <mergeCell ref="C4:E4"/>
    <mergeCell ref="A7:A9"/>
    <mergeCell ref="A10:B10"/>
    <mergeCell ref="A11:A13"/>
    <mergeCell ref="A14:B14"/>
    <mergeCell ref="A25:J25"/>
    <mergeCell ref="A15:A17"/>
    <mergeCell ref="A18:B18"/>
    <mergeCell ref="A19:A21"/>
    <mergeCell ref="A22:B22"/>
    <mergeCell ref="A23:B23"/>
    <mergeCell ref="A24:J24"/>
  </mergeCells>
  <phoneticPr fontId="3" type="noConversion"/>
  <pageMargins left="0.31496062992125984" right="0.27559055118110237" top="0.74803149606299213" bottom="0.55118110236220474" header="0.31496062992125984" footer="0.31496062992125984"/>
  <pageSetup paperSize="9" scale="8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7"/>
  <sheetViews>
    <sheetView showGridLines="0" view="pageBreakPreview" zoomScale="130" zoomScaleNormal="130" zoomScaleSheetLayoutView="130" workbookViewId="0">
      <pane ySplit="5" topLeftCell="A15" activePane="bottomLeft" state="frozen"/>
      <selection activeCell="L28" sqref="L28"/>
      <selection pane="bottomLeft" activeCell="J10" sqref="J10"/>
    </sheetView>
  </sheetViews>
  <sheetFormatPr defaultRowHeight="14.25"/>
  <cols>
    <col min="1" max="1" width="3.5546875" style="29" customWidth="1"/>
    <col min="2" max="2" width="14.88671875" style="29" customWidth="1"/>
    <col min="3" max="5" width="14.109375" style="29" customWidth="1"/>
    <col min="6" max="6" width="22.5546875" style="29" customWidth="1"/>
    <col min="7" max="7" width="2.77734375" style="29" customWidth="1"/>
    <col min="8" max="8" width="8.88671875" style="29"/>
    <col min="9" max="9" width="10.77734375" style="29" customWidth="1"/>
    <col min="10" max="10" width="8.88671875" style="29"/>
    <col min="11" max="11" width="12" style="29" bestFit="1" customWidth="1"/>
    <col min="12" max="16384" width="8.88671875" style="29"/>
  </cols>
  <sheetData>
    <row r="1" spans="1:11" ht="22.5" customHeight="1"/>
    <row r="2" spans="1:11" ht="33.75" customHeight="1">
      <c r="A2" s="122" t="s">
        <v>127</v>
      </c>
      <c r="B2" s="70"/>
      <c r="C2" s="39"/>
      <c r="D2" s="39"/>
      <c r="E2" s="39"/>
      <c r="F2" s="75"/>
    </row>
    <row r="3" spans="1:11" ht="22.5" customHeight="1" thickBot="1">
      <c r="A3" s="13" t="str">
        <f>'1.자금수지표총괄'!$A$3</f>
        <v>(20**.**.**.부터 20**.**.**.까지)</v>
      </c>
      <c r="B3" s="35"/>
      <c r="C3" s="39"/>
      <c r="D3" s="76"/>
      <c r="E3" s="39"/>
      <c r="F3" s="255" t="s">
        <v>46</v>
      </c>
    </row>
    <row r="4" spans="1:11" ht="22.5" customHeight="1">
      <c r="A4" s="421" t="s">
        <v>56</v>
      </c>
      <c r="B4" s="422"/>
      <c r="C4" s="201" t="s">
        <v>47</v>
      </c>
      <c r="D4" s="201" t="s">
        <v>48</v>
      </c>
      <c r="E4" s="425" t="s">
        <v>156</v>
      </c>
      <c r="F4" s="411" t="s">
        <v>49</v>
      </c>
    </row>
    <row r="5" spans="1:11" ht="22.5" customHeight="1">
      <c r="A5" s="423"/>
      <c r="B5" s="424"/>
      <c r="C5" s="292"/>
      <c r="D5" s="292"/>
      <c r="E5" s="424"/>
      <c r="F5" s="412"/>
    </row>
    <row r="6" spans="1:11" ht="22.5" customHeight="1">
      <c r="A6" s="413" t="s">
        <v>50</v>
      </c>
      <c r="B6" s="414"/>
      <c r="C6" s="202">
        <f>312837+740785</f>
        <v>1053622</v>
      </c>
      <c r="D6" s="202">
        <f>C26</f>
        <v>440787</v>
      </c>
      <c r="E6" s="281">
        <f t="shared" ref="E6:E12" si="0">D6-C6</f>
        <v>-612835</v>
      </c>
      <c r="F6" s="203"/>
    </row>
    <row r="7" spans="1:11" ht="22.5" customHeight="1">
      <c r="A7" s="415" t="s">
        <v>51</v>
      </c>
      <c r="B7" s="416"/>
      <c r="C7" s="207">
        <f>SUM(C8:C11)</f>
        <v>746790</v>
      </c>
      <c r="D7" s="207">
        <f>SUM(D8:D11)</f>
        <v>3597120</v>
      </c>
      <c r="E7" s="288">
        <f>D7-C7</f>
        <v>2850330</v>
      </c>
      <c r="F7" s="208"/>
    </row>
    <row r="8" spans="1:11" ht="22.5" customHeight="1">
      <c r="A8" s="209"/>
      <c r="B8" s="270" t="s">
        <v>152</v>
      </c>
      <c r="C8" s="239">
        <v>0</v>
      </c>
      <c r="D8" s="239">
        <v>2675274</v>
      </c>
      <c r="E8" s="285">
        <f t="shared" si="0"/>
        <v>2675274</v>
      </c>
      <c r="F8" s="276" t="s">
        <v>287</v>
      </c>
      <c r="H8" s="1"/>
    </row>
    <row r="9" spans="1:11" ht="22.5" customHeight="1">
      <c r="A9" s="211"/>
      <c r="B9" s="355" t="s">
        <v>288</v>
      </c>
      <c r="C9" s="240">
        <v>746790</v>
      </c>
      <c r="D9" s="240">
        <v>746790</v>
      </c>
      <c r="E9" s="212">
        <f t="shared" si="0"/>
        <v>0</v>
      </c>
      <c r="F9" s="213"/>
    </row>
    <row r="10" spans="1:11" ht="22.5" customHeight="1">
      <c r="A10" s="211"/>
      <c r="B10" s="355" t="s">
        <v>367</v>
      </c>
      <c r="C10" s="240">
        <v>0</v>
      </c>
      <c r="D10" s="240">
        <v>0</v>
      </c>
      <c r="E10" s="212">
        <f t="shared" si="0"/>
        <v>0</v>
      </c>
      <c r="F10" s="213"/>
    </row>
    <row r="11" spans="1:11" ht="22.5" customHeight="1">
      <c r="A11" s="214"/>
      <c r="B11" s="215" t="s">
        <v>52</v>
      </c>
      <c r="C11" s="238">
        <v>0</v>
      </c>
      <c r="D11" s="238">
        <f>5+39+175000+12</f>
        <v>175056</v>
      </c>
      <c r="E11" s="286">
        <f>D11-C11</f>
        <v>175056</v>
      </c>
      <c r="F11" s="271" t="s">
        <v>289</v>
      </c>
      <c r="H11" s="1"/>
      <c r="I11" s="296"/>
      <c r="J11" s="1"/>
      <c r="K11" s="1"/>
    </row>
    <row r="12" spans="1:11" ht="22.5" customHeight="1">
      <c r="A12" s="419" t="s">
        <v>53</v>
      </c>
      <c r="B12" s="420"/>
      <c r="C12" s="289">
        <f>SUM(C13:C24)</f>
        <v>1359625</v>
      </c>
      <c r="D12" s="289">
        <f>SUM(D13:D24)</f>
        <v>1690303</v>
      </c>
      <c r="E12" s="290">
        <f t="shared" si="0"/>
        <v>330678</v>
      </c>
      <c r="F12" s="291"/>
      <c r="H12" s="305"/>
      <c r="I12" s="314"/>
      <c r="J12" s="254"/>
      <c r="K12" s="313"/>
    </row>
    <row r="13" spans="1:11" ht="22.5" customHeight="1">
      <c r="A13" s="216"/>
      <c r="B13" s="275" t="s">
        <v>293</v>
      </c>
      <c r="C13" s="237">
        <f>23000+238590</f>
        <v>261590</v>
      </c>
      <c r="D13" s="237">
        <f>'5.일일지출'!G17</f>
        <v>314880</v>
      </c>
      <c r="E13" s="219">
        <f>D13-C13</f>
        <v>53290</v>
      </c>
      <c r="F13" s="282"/>
      <c r="H13" s="1"/>
      <c r="I13" s="254"/>
      <c r="J13" s="1"/>
      <c r="K13" s="313"/>
    </row>
    <row r="14" spans="1:11" ht="22.5" customHeight="1">
      <c r="A14" s="211"/>
      <c r="B14" s="275" t="s">
        <v>291</v>
      </c>
      <c r="C14" s="237">
        <v>617981</v>
      </c>
      <c r="D14" s="371">
        <f>'5.일일지출'!G18</f>
        <v>471023</v>
      </c>
      <c r="E14" s="373">
        <f>D14-C14</f>
        <v>-146958</v>
      </c>
      <c r="F14" s="282"/>
      <c r="H14" s="284"/>
      <c r="I14" s="254"/>
      <c r="J14" s="1"/>
      <c r="K14" s="313"/>
    </row>
    <row r="15" spans="1:11" ht="21.75" customHeight="1">
      <c r="A15" s="216"/>
      <c r="B15" s="365" t="s">
        <v>292</v>
      </c>
      <c r="C15" s="237">
        <f>3234+10000+900+75920+200000</f>
        <v>290054</v>
      </c>
      <c r="D15" s="372">
        <f>'5.일일지출'!G19</f>
        <v>740900</v>
      </c>
      <c r="E15" s="373">
        <f>D15-C15</f>
        <v>450846</v>
      </c>
      <c r="F15" s="276"/>
      <c r="H15" s="1"/>
      <c r="I15" s="313"/>
      <c r="K15" s="313"/>
    </row>
    <row r="16" spans="1:11" ht="22.5" customHeight="1">
      <c r="A16" s="216"/>
      <c r="B16" s="365" t="s">
        <v>297</v>
      </c>
      <c r="C16" s="237">
        <v>0</v>
      </c>
      <c r="D16" s="372">
        <f>'5.일일지출'!G20</f>
        <v>3500</v>
      </c>
      <c r="E16" s="373">
        <f>D16-C16</f>
        <v>3500</v>
      </c>
      <c r="F16" s="210"/>
      <c r="H16" s="1"/>
      <c r="I16" s="254"/>
      <c r="K16" s="313"/>
    </row>
    <row r="17" spans="1:11" ht="22.5" customHeight="1">
      <c r="A17" s="216"/>
      <c r="B17" s="366" t="s">
        <v>308</v>
      </c>
      <c r="C17" s="375">
        <v>190000</v>
      </c>
      <c r="D17" s="374">
        <f>'5.일일지출'!G21</f>
        <v>160000</v>
      </c>
      <c r="E17" s="373">
        <f t="shared" ref="E17" si="1">D17-C17</f>
        <v>-30000</v>
      </c>
      <c r="F17" s="220"/>
      <c r="H17" s="1"/>
      <c r="I17" s="254"/>
      <c r="J17" s="1"/>
      <c r="K17" s="313"/>
    </row>
    <row r="18" spans="1:11" ht="22.5" hidden="1" customHeight="1">
      <c r="A18" s="216"/>
      <c r="B18" s="367"/>
      <c r="C18" s="370"/>
      <c r="D18" s="367"/>
      <c r="E18" s="373"/>
      <c r="F18" s="287"/>
      <c r="H18" s="1"/>
      <c r="I18" s="254"/>
      <c r="J18" s="1"/>
    </row>
    <row r="19" spans="1:11" ht="22.5" hidden="1" customHeight="1">
      <c r="A19" s="216"/>
      <c r="B19" s="368"/>
      <c r="C19" s="218"/>
      <c r="D19" s="372"/>
      <c r="E19" s="373"/>
      <c r="F19" s="220"/>
      <c r="I19" s="254"/>
    </row>
    <row r="20" spans="1:11" ht="22.5" hidden="1" customHeight="1">
      <c r="A20" s="245"/>
      <c r="B20" s="369"/>
      <c r="C20" s="218"/>
      <c r="D20" s="246"/>
      <c r="E20" s="247"/>
      <c r="F20" s="248"/>
      <c r="H20" s="284"/>
      <c r="I20" s="254"/>
    </row>
    <row r="21" spans="1:11" ht="22.5" hidden="1" customHeight="1">
      <c r="A21" s="216"/>
      <c r="B21" s="217"/>
      <c r="C21" s="218"/>
      <c r="D21" s="246"/>
      <c r="E21" s="219"/>
      <c r="F21" s="220"/>
      <c r="H21" s="284"/>
      <c r="I21" s="254"/>
      <c r="K21" s="313"/>
    </row>
    <row r="22" spans="1:11" ht="22.5" hidden="1" customHeight="1">
      <c r="A22" s="216"/>
      <c r="B22" s="217"/>
      <c r="C22" s="218"/>
      <c r="D22" s="218"/>
      <c r="E22" s="219"/>
      <c r="F22" s="220"/>
      <c r="I22" s="254"/>
    </row>
    <row r="23" spans="1:11" ht="22.5" hidden="1" customHeight="1">
      <c r="A23" s="216"/>
      <c r="B23" s="217"/>
      <c r="C23" s="218"/>
      <c r="D23" s="218"/>
      <c r="E23" s="219"/>
      <c r="F23" s="220"/>
      <c r="I23" s="254"/>
    </row>
    <row r="24" spans="1:11" ht="22.5" hidden="1" customHeight="1">
      <c r="A24" s="249"/>
      <c r="B24" s="250"/>
      <c r="C24" s="251"/>
      <c r="D24" s="251"/>
      <c r="E24" s="252"/>
      <c r="F24" s="253"/>
      <c r="I24" s="254"/>
    </row>
    <row r="25" spans="1:11" ht="22.5" customHeight="1">
      <c r="A25" s="413" t="s">
        <v>54</v>
      </c>
      <c r="B25" s="414"/>
      <c r="C25" s="297">
        <f>SUM(C7-C12)</f>
        <v>-612835</v>
      </c>
      <c r="D25" s="234">
        <f>SUM(D7-D12)</f>
        <v>1906817</v>
      </c>
      <c r="E25" s="281">
        <f>D25-C25</f>
        <v>2519652</v>
      </c>
      <c r="F25" s="204"/>
    </row>
    <row r="26" spans="1:11" ht="22.5" customHeight="1" thickBot="1">
      <c r="A26" s="417" t="s">
        <v>55</v>
      </c>
      <c r="B26" s="418"/>
      <c r="C26" s="205">
        <f>C6+C25</f>
        <v>440787</v>
      </c>
      <c r="D26" s="205">
        <f>SUM(D6+D7-D12)</f>
        <v>2347604</v>
      </c>
      <c r="E26" s="280">
        <f>D26-C26</f>
        <v>1906817</v>
      </c>
      <c r="F26" s="206"/>
    </row>
    <row r="27" spans="1:11">
      <c r="D27" s="254"/>
    </row>
  </sheetData>
  <mergeCells count="8">
    <mergeCell ref="F4:F5"/>
    <mergeCell ref="A6:B6"/>
    <mergeCell ref="A7:B7"/>
    <mergeCell ref="A25:B25"/>
    <mergeCell ref="A26:B26"/>
    <mergeCell ref="A12:B12"/>
    <mergeCell ref="A4:B5"/>
    <mergeCell ref="E4:E5"/>
  </mergeCells>
  <phoneticPr fontId="3" type="noConversion"/>
  <pageMargins left="0.37" right="0.32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C28"/>
  <sheetViews>
    <sheetView showGridLines="0" view="pageBreakPreview" topLeftCell="A13" zoomScaleNormal="100" zoomScaleSheetLayoutView="100" workbookViewId="0">
      <selection activeCell="C6" sqref="C6"/>
    </sheetView>
  </sheetViews>
  <sheetFormatPr defaultRowHeight="14.25"/>
  <cols>
    <col min="1" max="1" width="12.6640625" style="29" customWidth="1"/>
    <col min="2" max="2" width="70.109375" style="29" customWidth="1"/>
    <col min="3" max="3" width="18.6640625" style="29" customWidth="1"/>
    <col min="4" max="4" width="3.21875" style="29" customWidth="1"/>
    <col min="5" max="16384" width="8.88671875" style="29"/>
  </cols>
  <sheetData>
    <row r="1" spans="1:3" ht="22.5" customHeight="1"/>
    <row r="2" spans="1:3" ht="34.15" customHeight="1">
      <c r="A2" s="25" t="s">
        <v>125</v>
      </c>
      <c r="B2" s="39"/>
      <c r="C2" s="39"/>
    </row>
    <row r="3" spans="1:3" ht="22.9" customHeight="1" thickBot="1">
      <c r="A3" s="13" t="str">
        <f>'1.자금수지표총괄'!$A$3</f>
        <v>(20**.**.**.부터 20**.**.**.까지)</v>
      </c>
      <c r="B3" s="39"/>
      <c r="C3" s="39"/>
    </row>
    <row r="4" spans="1:3" s="117" customFormat="1" ht="30.95" customHeight="1">
      <c r="A4" s="135" t="s">
        <v>72</v>
      </c>
      <c r="B4" s="136" t="s">
        <v>57</v>
      </c>
      <c r="C4" s="166" t="s">
        <v>73</v>
      </c>
    </row>
    <row r="5" spans="1:3" s="118" customFormat="1" ht="30.95" customHeight="1">
      <c r="A5" s="426" t="s">
        <v>58</v>
      </c>
      <c r="B5" s="267" t="s">
        <v>290</v>
      </c>
      <c r="C5" s="268" t="s">
        <v>322</v>
      </c>
    </row>
    <row r="6" spans="1:3" s="118" customFormat="1" ht="30.95" customHeight="1">
      <c r="A6" s="426"/>
      <c r="B6" s="267"/>
      <c r="C6" s="268"/>
    </row>
    <row r="7" spans="1:3" s="118" customFormat="1" ht="30.95" customHeight="1">
      <c r="A7" s="426"/>
      <c r="B7" s="267"/>
      <c r="C7" s="268"/>
    </row>
    <row r="8" spans="1:3" s="118" customFormat="1" ht="30.95" customHeight="1">
      <c r="A8" s="426"/>
      <c r="B8" s="1"/>
      <c r="C8" s="268"/>
    </row>
    <row r="9" spans="1:3" s="118" customFormat="1" ht="30.95" customHeight="1">
      <c r="A9" s="426"/>
      <c r="B9" s="356"/>
      <c r="C9" s="268"/>
    </row>
    <row r="10" spans="1:3" s="118" customFormat="1" ht="30.95" customHeight="1">
      <c r="A10" s="426"/>
      <c r="B10" s="267"/>
      <c r="C10" s="268"/>
    </row>
    <row r="11" spans="1:3" s="118" customFormat="1" ht="30.95" customHeight="1">
      <c r="A11" s="426"/>
      <c r="B11" s="267"/>
      <c r="C11" s="268"/>
    </row>
    <row r="12" spans="1:3" s="118" customFormat="1" ht="30.95" customHeight="1">
      <c r="A12" s="426"/>
      <c r="B12" s="267"/>
      <c r="C12" s="167"/>
    </row>
    <row r="13" spans="1:3" s="118" customFormat="1" ht="30.95" customHeight="1">
      <c r="A13" s="426"/>
      <c r="B13" s="235"/>
      <c r="C13" s="132"/>
    </row>
    <row r="14" spans="1:3" s="118" customFormat="1" ht="30.95" hidden="1" customHeight="1">
      <c r="A14" s="427" t="s">
        <v>59</v>
      </c>
      <c r="B14" s="168"/>
      <c r="C14" s="132"/>
    </row>
    <row r="15" spans="1:3" s="118" customFormat="1" ht="30.95" hidden="1" customHeight="1">
      <c r="A15" s="427"/>
      <c r="B15" s="168" t="s">
        <v>169</v>
      </c>
      <c r="C15" s="132"/>
    </row>
    <row r="16" spans="1:3" s="118" customFormat="1" ht="30.95" hidden="1" customHeight="1">
      <c r="A16" s="427"/>
      <c r="B16" s="168"/>
      <c r="C16" s="132"/>
    </row>
    <row r="17" spans="1:3" s="118" customFormat="1" ht="30.95" hidden="1" customHeight="1">
      <c r="A17" s="427"/>
      <c r="B17" s="168"/>
      <c r="C17" s="132"/>
    </row>
    <row r="18" spans="1:3" s="118" customFormat="1" ht="30.95" hidden="1" customHeight="1">
      <c r="A18" s="427"/>
      <c r="B18" s="168"/>
      <c r="C18" s="132"/>
    </row>
    <row r="19" spans="1:3" s="118" customFormat="1" ht="30.95" hidden="1" customHeight="1">
      <c r="A19" s="427"/>
      <c r="B19" s="168"/>
      <c r="C19" s="132"/>
    </row>
    <row r="20" spans="1:3" s="118" customFormat="1" ht="30.95" hidden="1" customHeight="1">
      <c r="A20" s="427"/>
      <c r="B20" s="168"/>
      <c r="C20" s="132"/>
    </row>
    <row r="21" spans="1:3" s="118" customFormat="1" ht="30.95" hidden="1" customHeight="1">
      <c r="A21" s="427"/>
      <c r="B21" s="168"/>
      <c r="C21" s="132"/>
    </row>
    <row r="22" spans="1:3" s="118" customFormat="1" ht="30.95" customHeight="1">
      <c r="A22" s="427" t="s">
        <v>60</v>
      </c>
      <c r="B22" s="168"/>
      <c r="C22" s="132"/>
    </row>
    <row r="23" spans="1:3" s="118" customFormat="1" ht="30.95" customHeight="1">
      <c r="A23" s="427"/>
      <c r="B23" s="168"/>
      <c r="C23" s="132"/>
    </row>
    <row r="24" spans="1:3" s="118" customFormat="1" ht="30.95" customHeight="1">
      <c r="A24" s="427"/>
      <c r="B24" s="168"/>
      <c r="C24" s="132"/>
    </row>
    <row r="25" spans="1:3" s="118" customFormat="1" ht="30.95" customHeight="1">
      <c r="A25" s="427"/>
      <c r="B25" s="168"/>
      <c r="C25" s="132"/>
    </row>
    <row r="26" spans="1:3" s="118" customFormat="1" ht="30.95" customHeight="1">
      <c r="A26" s="427"/>
      <c r="B26" s="168"/>
      <c r="C26" s="132"/>
    </row>
    <row r="27" spans="1:3" s="118" customFormat="1" ht="30.95" customHeight="1">
      <c r="A27" s="427"/>
      <c r="B27" s="168"/>
      <c r="C27" s="132"/>
    </row>
    <row r="28" spans="1:3" s="118" customFormat="1" ht="30.95" customHeight="1" thickBot="1">
      <c r="A28" s="428"/>
      <c r="B28" s="169"/>
      <c r="C28" s="134"/>
    </row>
  </sheetData>
  <mergeCells count="3">
    <mergeCell ref="A5:A13"/>
    <mergeCell ref="A14:A21"/>
    <mergeCell ref="A22:A28"/>
  </mergeCells>
  <phoneticPr fontId="3" type="noConversion"/>
  <pageMargins left="0.43307086614173229" right="0.39370078740157483" top="0.74803149606299213" bottom="0.74803149606299213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7"/>
  <sheetViews>
    <sheetView showGridLines="0" view="pageBreakPreview" zoomScale="115" zoomScaleNormal="100" zoomScaleSheetLayoutView="115" workbookViewId="0">
      <selection activeCell="J14" sqref="J14"/>
    </sheetView>
  </sheetViews>
  <sheetFormatPr defaultRowHeight="14.25"/>
  <cols>
    <col min="1" max="1" width="3.6640625" style="29" customWidth="1"/>
    <col min="2" max="2" width="14.21875" style="29" customWidth="1"/>
    <col min="3" max="3" width="18" style="29" customWidth="1"/>
    <col min="4" max="6" width="11.21875" style="29" customWidth="1"/>
    <col min="7" max="7" width="27.21875" style="29" customWidth="1"/>
    <col min="8" max="16384" width="8.88671875" style="29"/>
  </cols>
  <sheetData>
    <row r="1" spans="1:7" ht="22.5" customHeight="1"/>
    <row r="2" spans="1:7" ht="22.5" customHeight="1">
      <c r="A2" s="25" t="s">
        <v>128</v>
      </c>
      <c r="B2" s="80"/>
      <c r="C2" s="39"/>
      <c r="D2" s="39"/>
      <c r="E2" s="39"/>
      <c r="F2" s="39"/>
      <c r="G2" s="39"/>
    </row>
    <row r="3" spans="1:7" ht="22.5" customHeight="1">
      <c r="A3" s="80"/>
      <c r="B3" s="80"/>
      <c r="C3" s="39"/>
      <c r="D3" s="39"/>
      <c r="E3" s="39"/>
      <c r="F3" s="39"/>
      <c r="G3" s="39"/>
    </row>
    <row r="4" spans="1:7" ht="34.15" customHeight="1">
      <c r="A4" s="36"/>
      <c r="B4" s="25" t="s">
        <v>129</v>
      </c>
      <c r="C4" s="39"/>
      <c r="D4" s="39"/>
      <c r="E4" s="39"/>
      <c r="F4" s="39"/>
      <c r="G4" s="39"/>
    </row>
    <row r="5" spans="1:7" ht="22.9" customHeight="1" thickBot="1">
      <c r="A5" s="229" t="str">
        <f>'1.자금수지표총괄'!$A$3</f>
        <v>(20**.**.**.부터 20**.**.**.까지)</v>
      </c>
      <c r="B5" s="73"/>
      <c r="C5" s="73"/>
      <c r="D5" s="82"/>
      <c r="E5" s="73"/>
      <c r="F5" s="73"/>
      <c r="G5" s="72" t="s">
        <v>61</v>
      </c>
    </row>
    <row r="6" spans="1:7" ht="24" customHeight="1">
      <c r="A6" s="441" t="s">
        <v>74</v>
      </c>
      <c r="B6" s="442"/>
      <c r="C6" s="84" t="s">
        <v>76</v>
      </c>
      <c r="D6" s="84" t="s">
        <v>62</v>
      </c>
      <c r="E6" s="442" t="s">
        <v>75</v>
      </c>
      <c r="F6" s="442"/>
      <c r="G6" s="85" t="s">
        <v>77</v>
      </c>
    </row>
    <row r="7" spans="1:7" ht="24" customHeight="1">
      <c r="A7" s="451" t="s">
        <v>63</v>
      </c>
      <c r="B7" s="452"/>
      <c r="C7" s="81" t="s">
        <v>64</v>
      </c>
      <c r="D7" s="120">
        <v>0</v>
      </c>
      <c r="E7" s="454">
        <f>G23</f>
        <v>0</v>
      </c>
      <c r="F7" s="455"/>
      <c r="G7" s="262"/>
    </row>
    <row r="8" spans="1:7" ht="24" customHeight="1">
      <c r="A8" s="453"/>
      <c r="B8" s="452"/>
      <c r="C8" s="260" t="s">
        <v>153</v>
      </c>
      <c r="D8" s="120">
        <v>0</v>
      </c>
      <c r="E8" s="456">
        <v>0</v>
      </c>
      <c r="F8" s="456"/>
      <c r="G8" s="262"/>
    </row>
    <row r="9" spans="1:7" ht="24" customHeight="1">
      <c r="A9" s="453"/>
      <c r="B9" s="452"/>
      <c r="C9" s="260" t="s">
        <v>154</v>
      </c>
      <c r="D9" s="120">
        <f>SUM(D7:D8)</f>
        <v>0</v>
      </c>
      <c r="E9" s="454">
        <f>SUM(E7:F8)</f>
        <v>0</v>
      </c>
      <c r="F9" s="455"/>
      <c r="G9" s="89"/>
    </row>
    <row r="10" spans="1:7" ht="24" customHeight="1">
      <c r="A10" s="451" t="s">
        <v>65</v>
      </c>
      <c r="B10" s="452"/>
      <c r="C10" s="81" t="s">
        <v>64</v>
      </c>
      <c r="D10" s="120"/>
      <c r="E10" s="454"/>
      <c r="F10" s="455"/>
      <c r="G10" s="90"/>
    </row>
    <row r="11" spans="1:7" ht="24" customHeight="1">
      <c r="A11" s="453"/>
      <c r="B11" s="452"/>
      <c r="C11" s="260" t="s">
        <v>153</v>
      </c>
      <c r="D11" s="120">
        <v>0</v>
      </c>
      <c r="E11" s="456">
        <v>0</v>
      </c>
      <c r="F11" s="456"/>
      <c r="G11" s="91"/>
    </row>
    <row r="12" spans="1:7" ht="24" customHeight="1">
      <c r="A12" s="453"/>
      <c r="B12" s="452"/>
      <c r="C12" s="260" t="s">
        <v>154</v>
      </c>
      <c r="D12" s="120">
        <f>SUM(D10:D11)</f>
        <v>0</v>
      </c>
      <c r="E12" s="456">
        <f>SUM(E10:F11)</f>
        <v>0</v>
      </c>
      <c r="F12" s="456"/>
      <c r="G12" s="91"/>
    </row>
    <row r="13" spans="1:7" ht="24" customHeight="1">
      <c r="A13" s="451" t="s">
        <v>66</v>
      </c>
      <c r="B13" s="452"/>
      <c r="C13" s="81" t="s">
        <v>67</v>
      </c>
      <c r="D13" s="120">
        <f>SUM(D7,D10)</f>
        <v>0</v>
      </c>
      <c r="E13" s="454">
        <f>SUM(E7,E10)</f>
        <v>0</v>
      </c>
      <c r="F13" s="455"/>
      <c r="G13" s="91"/>
    </row>
    <row r="14" spans="1:7" ht="24" customHeight="1">
      <c r="A14" s="453"/>
      <c r="B14" s="452"/>
      <c r="C14" s="260" t="s">
        <v>153</v>
      </c>
      <c r="D14" s="120">
        <f>SUM(D8,D11)</f>
        <v>0</v>
      </c>
      <c r="E14" s="454">
        <f>SUM(E8,E11)</f>
        <v>0</v>
      </c>
      <c r="F14" s="455"/>
      <c r="G14" s="91"/>
    </row>
    <row r="15" spans="1:7" ht="24" customHeight="1" thickBot="1">
      <c r="A15" s="457"/>
      <c r="B15" s="458"/>
      <c r="C15" s="261" t="s">
        <v>154</v>
      </c>
      <c r="D15" s="121">
        <f>SUM(D13:D14)</f>
        <v>0</v>
      </c>
      <c r="E15" s="459">
        <f>SUM(E13:F14)</f>
        <v>0</v>
      </c>
      <c r="F15" s="460"/>
      <c r="G15" s="92"/>
    </row>
    <row r="16" spans="1:7" ht="24" customHeight="1">
      <c r="A16" s="29" t="s">
        <v>68</v>
      </c>
      <c r="C16" s="73"/>
      <c r="D16" s="73"/>
      <c r="E16" s="73"/>
      <c r="F16" s="73"/>
      <c r="G16" s="73"/>
    </row>
    <row r="17" spans="1:7" ht="24" customHeight="1">
      <c r="A17" s="73"/>
      <c r="B17" s="73"/>
      <c r="C17" s="73"/>
      <c r="D17" s="73"/>
      <c r="E17" s="73"/>
      <c r="F17" s="73"/>
      <c r="G17" s="73"/>
    </row>
    <row r="18" spans="1:7" ht="33.75" customHeight="1">
      <c r="B18" s="25" t="s">
        <v>130</v>
      </c>
      <c r="C18" s="73"/>
      <c r="D18" s="73"/>
      <c r="E18" s="73"/>
      <c r="F18" s="73"/>
      <c r="G18" s="73"/>
    </row>
    <row r="19" spans="1:7" s="227" customFormat="1" ht="22.5" customHeight="1" thickBot="1">
      <c r="A19" s="229" t="str">
        <f>'1.자금수지표총괄'!$A$3</f>
        <v>(20**.**.**.부터 20**.**.**.까지)</v>
      </c>
      <c r="B19" s="230"/>
      <c r="C19" s="230"/>
      <c r="D19" s="231"/>
      <c r="E19" s="230"/>
      <c r="F19" s="230"/>
      <c r="G19" s="232" t="s">
        <v>46</v>
      </c>
    </row>
    <row r="20" spans="1:7" ht="24" customHeight="1">
      <c r="A20" s="441" t="s">
        <v>69</v>
      </c>
      <c r="B20" s="442"/>
      <c r="C20" s="84" t="s">
        <v>70</v>
      </c>
      <c r="D20" s="442" t="s">
        <v>81</v>
      </c>
      <c r="E20" s="442"/>
      <c r="F20" s="442"/>
      <c r="G20" s="85" t="s">
        <v>80</v>
      </c>
    </row>
    <row r="21" spans="1:7" ht="24" customHeight="1">
      <c r="A21" s="443"/>
      <c r="B21" s="430"/>
      <c r="C21" s="293"/>
      <c r="D21" s="444"/>
      <c r="E21" s="432"/>
      <c r="F21" s="433"/>
      <c r="G21" s="86"/>
    </row>
    <row r="22" spans="1:7" ht="24" customHeight="1">
      <c r="A22" s="445"/>
      <c r="B22" s="430"/>
      <c r="C22" s="263"/>
      <c r="D22" s="446"/>
      <c r="E22" s="432"/>
      <c r="F22" s="433"/>
      <c r="G22" s="86"/>
    </row>
    <row r="23" spans="1:7" ht="24" customHeight="1" thickBot="1">
      <c r="A23" s="436" t="s">
        <v>71</v>
      </c>
      <c r="B23" s="447"/>
      <c r="C23" s="447"/>
      <c r="D23" s="447"/>
      <c r="E23" s="447"/>
      <c r="F23" s="448"/>
      <c r="G23" s="88">
        <f>SUM(G21:G22)</f>
        <v>0</v>
      </c>
    </row>
    <row r="24" spans="1:7" ht="24" customHeight="1">
      <c r="A24" s="73"/>
      <c r="B24" s="73"/>
      <c r="C24" s="73"/>
      <c r="D24" s="73"/>
      <c r="E24" s="73"/>
      <c r="F24" s="73"/>
      <c r="G24" s="73"/>
    </row>
    <row r="25" spans="1:7" ht="33.75" customHeight="1">
      <c r="B25" s="25" t="s">
        <v>131</v>
      </c>
      <c r="C25" s="73"/>
      <c r="D25" s="73"/>
      <c r="E25" s="73"/>
      <c r="F25" s="73"/>
      <c r="G25" s="73"/>
    </row>
    <row r="26" spans="1:7" s="227" customFormat="1" ht="22.5" customHeight="1" thickBot="1">
      <c r="A26" s="229" t="str">
        <f>'1.자금수지표총괄'!$A$3</f>
        <v>(20**.**.**.부터 20**.**.**.까지)</v>
      </c>
      <c r="B26" s="230"/>
      <c r="C26" s="230"/>
      <c r="D26" s="231"/>
      <c r="E26" s="230"/>
      <c r="F26" s="230"/>
      <c r="G26" s="232" t="s">
        <v>46</v>
      </c>
    </row>
    <row r="27" spans="1:7" ht="24" customHeight="1">
      <c r="A27" s="449" t="s">
        <v>69</v>
      </c>
      <c r="B27" s="450"/>
      <c r="C27" s="84" t="s">
        <v>70</v>
      </c>
      <c r="D27" s="442" t="s">
        <v>78</v>
      </c>
      <c r="E27" s="442"/>
      <c r="F27" s="442"/>
      <c r="G27" s="85" t="s">
        <v>79</v>
      </c>
    </row>
    <row r="28" spans="1:7" ht="24" customHeight="1">
      <c r="A28" s="443"/>
      <c r="B28" s="430"/>
      <c r="C28" s="293"/>
      <c r="D28" s="444"/>
      <c r="E28" s="432"/>
      <c r="F28" s="433"/>
      <c r="G28" s="86"/>
    </row>
    <row r="29" spans="1:7" ht="24" customHeight="1">
      <c r="A29" s="439"/>
      <c r="B29" s="430"/>
      <c r="C29" s="241"/>
      <c r="D29" s="440"/>
      <c r="E29" s="435"/>
      <c r="F29" s="430"/>
      <c r="G29" s="86"/>
    </row>
    <row r="30" spans="1:7" ht="24" hidden="1" customHeight="1">
      <c r="A30" s="429"/>
      <c r="B30" s="430"/>
      <c r="C30" s="83"/>
      <c r="D30" s="431"/>
      <c r="E30" s="432"/>
      <c r="F30" s="433"/>
      <c r="G30" s="86"/>
    </row>
    <row r="31" spans="1:7" ht="24" hidden="1" customHeight="1">
      <c r="A31" s="429"/>
      <c r="B31" s="430"/>
      <c r="C31" s="83"/>
      <c r="D31" s="434"/>
      <c r="E31" s="435"/>
      <c r="F31" s="430"/>
      <c r="G31" s="86"/>
    </row>
    <row r="32" spans="1:7" ht="24" customHeight="1" thickBot="1">
      <c r="A32" s="436" t="s">
        <v>82</v>
      </c>
      <c r="B32" s="437"/>
      <c r="C32" s="437"/>
      <c r="D32" s="437"/>
      <c r="E32" s="437"/>
      <c r="F32" s="438"/>
      <c r="G32" s="87">
        <f>G28</f>
        <v>0</v>
      </c>
    </row>
    <row r="36" spans="4:5">
      <c r="D36" s="1"/>
      <c r="E36" s="320"/>
    </row>
    <row r="37" spans="4:5">
      <c r="D37" s="321"/>
      <c r="E37" s="320"/>
    </row>
  </sheetData>
  <mergeCells count="32">
    <mergeCell ref="A6:B6"/>
    <mergeCell ref="E6:F6"/>
    <mergeCell ref="A7:B9"/>
    <mergeCell ref="E7:F7"/>
    <mergeCell ref="E8:F8"/>
    <mergeCell ref="E9:F9"/>
    <mergeCell ref="A10:B12"/>
    <mergeCell ref="E10:F10"/>
    <mergeCell ref="E11:F11"/>
    <mergeCell ref="E12:F12"/>
    <mergeCell ref="A13:B15"/>
    <mergeCell ref="E13:F13"/>
    <mergeCell ref="E14:F14"/>
    <mergeCell ref="E15:F15"/>
    <mergeCell ref="A29:B29"/>
    <mergeCell ref="D29:F29"/>
    <mergeCell ref="A20:B20"/>
    <mergeCell ref="D20:F20"/>
    <mergeCell ref="A21:B21"/>
    <mergeCell ref="D21:F21"/>
    <mergeCell ref="A22:B22"/>
    <mergeCell ref="D22:F22"/>
    <mergeCell ref="A23:F23"/>
    <mergeCell ref="A27:B27"/>
    <mergeCell ref="D27:F27"/>
    <mergeCell ref="A28:B28"/>
    <mergeCell ref="D28:F28"/>
    <mergeCell ref="A30:B30"/>
    <mergeCell ref="D30:F30"/>
    <mergeCell ref="A31:B31"/>
    <mergeCell ref="D31:F31"/>
    <mergeCell ref="A32:F32"/>
  </mergeCells>
  <phoneticPr fontId="3" type="noConversion"/>
  <pageMargins left="0.62" right="0.35433070866141736" top="0.74803149606299213" bottom="0.74803149606299213" header="0.31496062992125984" footer="0.31496062992125984"/>
  <pageSetup paperSize="9" scale="8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41"/>
  <sheetViews>
    <sheetView showGridLines="0" tabSelected="1" view="pageBreakPreview" zoomScaleNormal="100" zoomScaleSheetLayoutView="100" workbookViewId="0">
      <selection activeCell="K15" sqref="K15"/>
    </sheetView>
  </sheetViews>
  <sheetFormatPr defaultRowHeight="14.25"/>
  <cols>
    <col min="1" max="1" width="9" style="29" bestFit="1" customWidth="1"/>
    <col min="2" max="2" width="19.88671875" style="29" customWidth="1"/>
    <col min="3" max="3" width="23.5546875" style="29" customWidth="1"/>
    <col min="4" max="4" width="9" style="96" bestFit="1" customWidth="1"/>
    <col min="5" max="5" width="8.88671875" style="29"/>
    <col min="6" max="6" width="10.21875" style="29" bestFit="1" customWidth="1"/>
    <col min="7" max="7" width="20.44140625" style="29" customWidth="1"/>
    <col min="8" max="16384" width="8.88671875" style="29"/>
  </cols>
  <sheetData>
    <row r="1" spans="1:7" ht="22.5" customHeight="1">
      <c r="A1" s="77"/>
      <c r="B1" s="77"/>
      <c r="C1" s="77"/>
      <c r="D1" s="94"/>
      <c r="E1" s="79"/>
      <c r="F1" s="79"/>
      <c r="G1" s="77"/>
    </row>
    <row r="2" spans="1:7" ht="22.5" customHeight="1">
      <c r="A2" s="25" t="s">
        <v>132</v>
      </c>
      <c r="B2" s="78"/>
      <c r="C2" s="77"/>
      <c r="D2" s="94"/>
      <c r="E2" s="79"/>
      <c r="F2" s="79"/>
      <c r="G2" s="77"/>
    </row>
    <row r="3" spans="1:7" ht="22.5" customHeight="1">
      <c r="A3" s="78"/>
      <c r="B3" s="78"/>
      <c r="C3" s="77"/>
      <c r="D3" s="94"/>
      <c r="E3" s="79"/>
      <c r="F3" s="79"/>
      <c r="G3" s="77"/>
    </row>
    <row r="4" spans="1:7" ht="33.950000000000003" customHeight="1">
      <c r="A4" s="25" t="s">
        <v>133</v>
      </c>
      <c r="B4" s="49"/>
      <c r="C4" s="77"/>
      <c r="D4" s="94"/>
      <c r="E4" s="79"/>
      <c r="F4" s="79"/>
      <c r="G4" s="77"/>
    </row>
    <row r="5" spans="1:7" s="227" customFormat="1" ht="24" customHeight="1" thickBot="1">
      <c r="A5" s="222" t="str">
        <f>'1.자금수지표총괄'!$A$3</f>
        <v>(20**.**.**.부터 20**.**.**.까지)</v>
      </c>
      <c r="B5" s="223"/>
      <c r="C5" s="223"/>
      <c r="D5" s="224"/>
      <c r="E5" s="225"/>
      <c r="F5" s="225"/>
      <c r="G5" s="226" t="s">
        <v>46</v>
      </c>
    </row>
    <row r="6" spans="1:7" ht="30" customHeight="1">
      <c r="A6" s="480" t="s">
        <v>37</v>
      </c>
      <c r="B6" s="481"/>
      <c r="C6" s="482"/>
      <c r="D6" s="128" t="s">
        <v>95</v>
      </c>
      <c r="E6" s="475" t="s">
        <v>75</v>
      </c>
      <c r="F6" s="476"/>
      <c r="G6" s="129" t="s">
        <v>96</v>
      </c>
    </row>
    <row r="7" spans="1:7" ht="27.95" customHeight="1">
      <c r="A7" s="130" t="s">
        <v>84</v>
      </c>
      <c r="B7" s="483" t="s">
        <v>85</v>
      </c>
      <c r="C7" s="484"/>
      <c r="D7" s="330" t="s">
        <v>171</v>
      </c>
      <c r="E7" s="485">
        <f>E19</f>
        <v>0</v>
      </c>
      <c r="F7" s="486"/>
      <c r="G7" s="264"/>
    </row>
    <row r="8" spans="1:7" ht="27.95" customHeight="1">
      <c r="A8" s="130" t="s">
        <v>86</v>
      </c>
      <c r="B8" s="483" t="s">
        <v>87</v>
      </c>
      <c r="C8" s="484"/>
      <c r="D8" s="364" t="s">
        <v>171</v>
      </c>
      <c r="E8" s="487">
        <v>0</v>
      </c>
      <c r="F8" s="488"/>
      <c r="G8" s="132"/>
    </row>
    <row r="9" spans="1:7" ht="27.95" customHeight="1">
      <c r="A9" s="130" t="s">
        <v>88</v>
      </c>
      <c r="B9" s="491" t="s">
        <v>163</v>
      </c>
      <c r="C9" s="484"/>
      <c r="D9" s="329" t="s">
        <v>171</v>
      </c>
      <c r="E9" s="485">
        <f>'5.일일지출'!G10</f>
        <v>0</v>
      </c>
      <c r="F9" s="486"/>
      <c r="G9" s="244"/>
    </row>
    <row r="10" spans="1:7" ht="27.95" customHeight="1">
      <c r="A10" s="130" t="s">
        <v>89</v>
      </c>
      <c r="B10" s="491" t="s">
        <v>164</v>
      </c>
      <c r="C10" s="484"/>
      <c r="D10" s="131">
        <f>'5.일일지출'!F26</f>
        <v>21</v>
      </c>
      <c r="E10" s="485">
        <f>'5.일일지출'!G26</f>
        <v>1690303</v>
      </c>
      <c r="F10" s="486"/>
      <c r="G10" s="132"/>
    </row>
    <row r="11" spans="1:7" ht="27.95" customHeight="1" thickBot="1">
      <c r="A11" s="461" t="s">
        <v>97</v>
      </c>
      <c r="B11" s="462"/>
      <c r="C11" s="463"/>
      <c r="D11" s="133">
        <f>SUM(D7:D10)</f>
        <v>21</v>
      </c>
      <c r="E11" s="464">
        <f>SUM(E7:F10)</f>
        <v>1690303</v>
      </c>
      <c r="F11" s="465"/>
      <c r="G11" s="134"/>
    </row>
    <row r="12" spans="1:7" ht="33.950000000000003" customHeight="1">
      <c r="A12" s="77"/>
      <c r="B12" s="77"/>
      <c r="C12" s="77"/>
      <c r="D12" s="94"/>
      <c r="E12" s="93"/>
      <c r="F12" s="93"/>
      <c r="G12" s="77"/>
    </row>
    <row r="13" spans="1:7" ht="33.950000000000003" customHeight="1">
      <c r="A13" s="25" t="s">
        <v>134</v>
      </c>
      <c r="B13" s="49"/>
      <c r="C13" s="77"/>
      <c r="D13" s="94"/>
      <c r="E13" s="79"/>
      <c r="F13" s="79"/>
      <c r="G13" s="77"/>
    </row>
    <row r="14" spans="1:7" s="227" customFormat="1" ht="24" customHeight="1" thickBot="1">
      <c r="A14" s="222" t="str">
        <f>'1.자금수지표총괄'!$A$3</f>
        <v>(20**.**.**.부터 20**.**.**.까지)</v>
      </c>
      <c r="B14" s="223"/>
      <c r="C14" s="223"/>
      <c r="D14" s="224"/>
      <c r="E14" s="225"/>
      <c r="F14" s="225"/>
      <c r="G14" s="226" t="s">
        <v>83</v>
      </c>
    </row>
    <row r="15" spans="1:7" ht="27.95" customHeight="1">
      <c r="A15" s="135" t="s">
        <v>90</v>
      </c>
      <c r="B15" s="136" t="s">
        <v>169</v>
      </c>
      <c r="C15" s="136" t="s">
        <v>92</v>
      </c>
      <c r="D15" s="128" t="s">
        <v>93</v>
      </c>
      <c r="E15" s="475" t="s">
        <v>94</v>
      </c>
      <c r="F15" s="476"/>
      <c r="G15" s="129" t="s">
        <v>70</v>
      </c>
    </row>
    <row r="16" spans="1:7" ht="27.95" customHeight="1">
      <c r="A16" s="137"/>
      <c r="B16" s="294"/>
      <c r="C16" s="269"/>
      <c r="D16" s="131"/>
      <c r="E16" s="489"/>
      <c r="F16" s="490"/>
      <c r="G16" s="295"/>
    </row>
    <row r="17" spans="1:7" ht="27.95" customHeight="1">
      <c r="A17" s="137"/>
      <c r="B17" s="138"/>
      <c r="C17" s="139"/>
      <c r="D17" s="131"/>
      <c r="E17" s="489"/>
      <c r="F17" s="490"/>
      <c r="G17" s="132"/>
    </row>
    <row r="18" spans="1:7" ht="27.95" customHeight="1">
      <c r="A18" s="137"/>
      <c r="B18" s="138"/>
      <c r="C18" s="139"/>
      <c r="D18" s="131"/>
      <c r="E18" s="489"/>
      <c r="F18" s="490"/>
      <c r="G18" s="132"/>
    </row>
    <row r="19" spans="1:7" ht="27.95" customHeight="1" thickBot="1">
      <c r="A19" s="471" t="s">
        <v>168</v>
      </c>
      <c r="B19" s="462"/>
      <c r="C19" s="463"/>
      <c r="D19" s="298"/>
      <c r="E19" s="472"/>
      <c r="F19" s="473"/>
      <c r="G19" s="140"/>
    </row>
    <row r="20" spans="1:7" ht="33.950000000000003" customHeight="1">
      <c r="A20" s="474"/>
      <c r="B20" s="474"/>
      <c r="C20" s="474"/>
      <c r="D20" s="474"/>
      <c r="E20" s="474"/>
      <c r="F20" s="474"/>
      <c r="G20" s="474"/>
    </row>
    <row r="21" spans="1:7" ht="33.950000000000003" customHeight="1">
      <c r="A21" s="25" t="s">
        <v>135</v>
      </c>
      <c r="B21" s="49"/>
      <c r="C21" s="77"/>
      <c r="D21" s="95"/>
      <c r="E21" s="79"/>
      <c r="F21" s="79"/>
      <c r="G21" s="77"/>
    </row>
    <row r="22" spans="1:7" s="227" customFormat="1" ht="24" customHeight="1" thickBot="1">
      <c r="A22" s="222" t="str">
        <f>'1.자금수지표총괄'!$A$3</f>
        <v>(20**.**.**.부터 20**.**.**.까지)</v>
      </c>
      <c r="B22" s="223"/>
      <c r="C22" s="223"/>
      <c r="D22" s="224"/>
      <c r="E22" s="225"/>
      <c r="F22" s="225"/>
      <c r="G22" s="226" t="s">
        <v>46</v>
      </c>
    </row>
    <row r="23" spans="1:7" ht="27.95" customHeight="1">
      <c r="A23" s="135" t="s">
        <v>90</v>
      </c>
      <c r="B23" s="136" t="s">
        <v>91</v>
      </c>
      <c r="C23" s="303" t="s">
        <v>107</v>
      </c>
      <c r="D23" s="304" t="s">
        <v>159</v>
      </c>
      <c r="E23" s="475" t="s">
        <v>94</v>
      </c>
      <c r="F23" s="476"/>
      <c r="G23" s="129" t="s">
        <v>70</v>
      </c>
    </row>
    <row r="24" spans="1:7" ht="27.95" customHeight="1">
      <c r="A24" s="137">
        <v>1</v>
      </c>
      <c r="B24" s="322"/>
      <c r="C24" s="325"/>
      <c r="D24" s="277"/>
      <c r="E24" s="466"/>
      <c r="F24" s="466"/>
      <c r="G24" s="236"/>
    </row>
    <row r="25" spans="1:7" ht="27.95" customHeight="1">
      <c r="A25" s="137">
        <v>2</v>
      </c>
      <c r="B25" s="322"/>
      <c r="C25" s="325"/>
      <c r="D25" s="277"/>
      <c r="E25" s="466"/>
      <c r="F25" s="466"/>
      <c r="G25" s="236"/>
    </row>
    <row r="26" spans="1:7" ht="27.95" customHeight="1">
      <c r="A26" s="137">
        <v>3</v>
      </c>
      <c r="B26" s="322"/>
      <c r="C26" s="325"/>
      <c r="D26" s="277"/>
      <c r="E26" s="466"/>
      <c r="F26" s="466"/>
      <c r="G26" s="236"/>
    </row>
    <row r="27" spans="1:7" ht="27.95" hidden="1" customHeight="1">
      <c r="A27" s="317"/>
      <c r="B27" s="322"/>
      <c r="C27" s="325"/>
      <c r="D27" s="277"/>
      <c r="E27" s="466"/>
      <c r="F27" s="466"/>
      <c r="G27" s="236"/>
    </row>
    <row r="28" spans="1:7" ht="27.95" hidden="1" customHeight="1">
      <c r="A28" s="317"/>
      <c r="B28" s="322"/>
      <c r="C28" s="325"/>
      <c r="D28" s="277"/>
      <c r="E28" s="466"/>
      <c r="F28" s="466"/>
      <c r="G28" s="236"/>
    </row>
    <row r="29" spans="1:7" ht="27.95" hidden="1" customHeight="1">
      <c r="A29" s="317"/>
      <c r="B29" s="322"/>
      <c r="C29" s="325"/>
      <c r="D29" s="277"/>
      <c r="E29" s="466"/>
      <c r="F29" s="466"/>
      <c r="G29" s="236"/>
    </row>
    <row r="30" spans="1:7" ht="27.95" hidden="1" customHeight="1">
      <c r="A30" s="324"/>
      <c r="B30" s="322"/>
      <c r="C30" s="325"/>
      <c r="D30" s="277"/>
      <c r="E30" s="466"/>
      <c r="F30" s="466"/>
      <c r="G30" s="236"/>
    </row>
    <row r="31" spans="1:7" ht="27.95" hidden="1" customHeight="1">
      <c r="A31" s="324"/>
      <c r="B31" s="326"/>
      <c r="C31" s="327"/>
      <c r="D31" s="312"/>
      <c r="E31" s="477"/>
      <c r="F31" s="478"/>
      <c r="G31" s="236"/>
    </row>
    <row r="32" spans="1:7" ht="27.95" customHeight="1" thickBot="1">
      <c r="A32" s="467" t="s">
        <v>97</v>
      </c>
      <c r="B32" s="468"/>
      <c r="C32" s="468"/>
      <c r="D32" s="228"/>
      <c r="E32" s="469">
        <f>SUM(E24:F31)</f>
        <v>0</v>
      </c>
      <c r="F32" s="470"/>
      <c r="G32" s="140"/>
    </row>
    <row r="39" spans="4:8">
      <c r="D39" s="1"/>
      <c r="E39" s="479"/>
      <c r="F39" s="479"/>
      <c r="G39" s="254"/>
      <c r="H39" s="296"/>
    </row>
    <row r="40" spans="4:8">
      <c r="D40" s="321"/>
      <c r="E40" s="479"/>
      <c r="F40" s="479"/>
    </row>
    <row r="41" spans="4:8" ht="15">
      <c r="F41" s="323"/>
    </row>
  </sheetData>
  <mergeCells count="32">
    <mergeCell ref="E39:F39"/>
    <mergeCell ref="E40:F40"/>
    <mergeCell ref="A6:C6"/>
    <mergeCell ref="E6:F6"/>
    <mergeCell ref="B7:C7"/>
    <mergeCell ref="E7:F7"/>
    <mergeCell ref="B8:C8"/>
    <mergeCell ref="E8:F8"/>
    <mergeCell ref="E15:F15"/>
    <mergeCell ref="E16:F16"/>
    <mergeCell ref="E17:F17"/>
    <mergeCell ref="E18:F18"/>
    <mergeCell ref="B9:C9"/>
    <mergeCell ref="E9:F9"/>
    <mergeCell ref="B10:C10"/>
    <mergeCell ref="E10:F10"/>
    <mergeCell ref="A11:C11"/>
    <mergeCell ref="E11:F11"/>
    <mergeCell ref="E25:F25"/>
    <mergeCell ref="E28:F28"/>
    <mergeCell ref="A32:C32"/>
    <mergeCell ref="E32:F32"/>
    <mergeCell ref="A19:C19"/>
    <mergeCell ref="E19:F19"/>
    <mergeCell ref="A20:G20"/>
    <mergeCell ref="E23:F23"/>
    <mergeCell ref="E24:F24"/>
    <mergeCell ref="E29:F29"/>
    <mergeCell ref="E26:F26"/>
    <mergeCell ref="E27:F27"/>
    <mergeCell ref="E30:F30"/>
    <mergeCell ref="E31:F31"/>
  </mergeCells>
  <phoneticPr fontId="3" type="noConversion"/>
  <pageMargins left="0.47244094488188981" right="0.43307086614173229" top="0.74803149606299213" bottom="0.74803149606299213" header="0.31496062992125984" footer="0.31496062992125984"/>
  <pageSetup paperSize="9" scale="80" orientation="portrait" r:id="rId1"/>
  <ignoredErrors>
    <ignoredError sqref="A7:C8 A11:C11 A9 C9 A10 C10" numberStoredAsText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56"/>
  <sheetViews>
    <sheetView showGridLines="0" view="pageBreakPreview" zoomScaleNormal="100" zoomScaleSheetLayoutView="100" workbookViewId="0">
      <selection activeCell="E55" sqref="E55:F55"/>
    </sheetView>
  </sheetViews>
  <sheetFormatPr defaultRowHeight="14.25"/>
  <cols>
    <col min="1" max="1" width="5.88671875" style="29" customWidth="1"/>
    <col min="2" max="2" width="10.21875" style="29" bestFit="1" customWidth="1"/>
    <col min="3" max="3" width="17.33203125" style="29" bestFit="1" customWidth="1"/>
    <col min="4" max="4" width="18.77734375" style="29" customWidth="1"/>
    <col min="5" max="5" width="15.88671875" style="29" customWidth="1"/>
    <col min="6" max="6" width="13.21875" style="29" customWidth="1"/>
    <col min="7" max="7" width="19.44140625" style="29" customWidth="1"/>
    <col min="8" max="8" width="3.5546875" style="29" customWidth="1"/>
    <col min="9" max="16384" width="8.88671875" style="29"/>
  </cols>
  <sheetData>
    <row r="1" spans="1:7" ht="22.5" customHeight="1">
      <c r="A1" s="77"/>
      <c r="B1" s="77"/>
      <c r="C1" s="77"/>
      <c r="D1" s="77"/>
      <c r="E1" s="77"/>
      <c r="F1" s="77"/>
      <c r="G1" s="77"/>
    </row>
    <row r="2" spans="1:7" s="74" customFormat="1" ht="22.5" customHeight="1">
      <c r="A2" s="126" t="s">
        <v>132</v>
      </c>
      <c r="C2" s="98"/>
      <c r="D2" s="98"/>
      <c r="E2" s="98"/>
      <c r="F2" s="98"/>
      <c r="G2" s="98"/>
    </row>
    <row r="3" spans="1:7" s="74" customFormat="1" ht="22.5" customHeight="1">
      <c r="C3" s="98"/>
      <c r="D3" s="98"/>
      <c r="E3" s="98"/>
      <c r="F3" s="98"/>
      <c r="G3" s="98"/>
    </row>
    <row r="4" spans="1:7" s="74" customFormat="1" ht="33.75" customHeight="1">
      <c r="A4" s="25" t="s">
        <v>165</v>
      </c>
      <c r="C4" s="99"/>
      <c r="D4" s="99"/>
      <c r="E4" s="99"/>
      <c r="F4" s="99"/>
      <c r="G4" s="99"/>
    </row>
    <row r="5" spans="1:7" ht="22.5" customHeight="1" thickBot="1">
      <c r="A5" s="221" t="str">
        <f>'1.자금수지표총괄'!$A$3</f>
        <v>(20**.**.**.부터 20**.**.**.까지)</v>
      </c>
      <c r="B5" s="77"/>
      <c r="C5" s="77"/>
      <c r="D5" s="77"/>
      <c r="E5" s="77"/>
      <c r="F5" s="77"/>
      <c r="G5" s="71" t="s">
        <v>83</v>
      </c>
    </row>
    <row r="6" spans="1:7" ht="22.5" customHeight="1">
      <c r="A6" s="141" t="s">
        <v>110</v>
      </c>
      <c r="B6" s="142" t="s">
        <v>91</v>
      </c>
      <c r="C6" s="142" t="s">
        <v>98</v>
      </c>
      <c r="D6" s="508" t="s">
        <v>111</v>
      </c>
      <c r="E6" s="508"/>
      <c r="F6" s="128" t="s">
        <v>95</v>
      </c>
      <c r="G6" s="143" t="s">
        <v>99</v>
      </c>
    </row>
    <row r="7" spans="1:7" ht="22.5" customHeight="1">
      <c r="A7" s="144">
        <v>1</v>
      </c>
      <c r="B7" s="274"/>
      <c r="C7" s="283"/>
      <c r="D7" s="507"/>
      <c r="E7" s="506"/>
      <c r="F7" s="146"/>
      <c r="G7" s="147"/>
    </row>
    <row r="8" spans="1:7" ht="22.5" customHeight="1">
      <c r="A8" s="144">
        <v>2</v>
      </c>
      <c r="B8" s="145"/>
      <c r="C8" s="145"/>
      <c r="D8" s="514"/>
      <c r="E8" s="506"/>
      <c r="F8" s="146"/>
      <c r="G8" s="147"/>
    </row>
    <row r="9" spans="1:7" ht="22.5" customHeight="1">
      <c r="A9" s="144">
        <v>3</v>
      </c>
      <c r="B9" s="145"/>
      <c r="C9" s="145"/>
      <c r="D9" s="514"/>
      <c r="E9" s="506"/>
      <c r="F9" s="146"/>
      <c r="G9" s="147"/>
    </row>
    <row r="10" spans="1:7" s="100" customFormat="1" ht="22.5" customHeight="1" thickBot="1">
      <c r="A10" s="509" t="s">
        <v>82</v>
      </c>
      <c r="B10" s="510"/>
      <c r="C10" s="510"/>
      <c r="D10" s="510"/>
      <c r="E10" s="511"/>
      <c r="F10" s="148"/>
      <c r="G10" s="149"/>
    </row>
    <row r="11" spans="1:7" ht="22.5" customHeight="1">
      <c r="A11" s="101"/>
      <c r="B11" s="101"/>
      <c r="C11" s="101"/>
      <c r="D11" s="101"/>
      <c r="E11" s="101"/>
      <c r="F11" s="103"/>
      <c r="G11" s="101"/>
    </row>
    <row r="12" spans="1:7" s="74" customFormat="1" ht="34.15" customHeight="1">
      <c r="A12" s="25" t="s">
        <v>166</v>
      </c>
      <c r="B12" s="104"/>
      <c r="C12" s="99"/>
      <c r="D12" s="99"/>
      <c r="E12" s="105"/>
      <c r="F12" s="106"/>
      <c r="G12" s="99"/>
    </row>
    <row r="13" spans="1:7" ht="22.5" customHeight="1" thickBot="1">
      <c r="A13" s="221" t="str">
        <f>'1.자금수지표총괄'!$A$3</f>
        <v>(20**.**.**.부터 20**.**.**.까지)</v>
      </c>
      <c r="B13" s="77"/>
      <c r="C13" s="77"/>
      <c r="D13" s="77"/>
      <c r="E13" s="77"/>
      <c r="F13" s="102"/>
      <c r="G13" s="71" t="s">
        <v>100</v>
      </c>
    </row>
    <row r="14" spans="1:7" s="100" customFormat="1" ht="22.5" customHeight="1">
      <c r="A14" s="512" t="s">
        <v>101</v>
      </c>
      <c r="B14" s="513"/>
      <c r="C14" s="142" t="s">
        <v>102</v>
      </c>
      <c r="D14" s="513" t="s">
        <v>113</v>
      </c>
      <c r="E14" s="513"/>
      <c r="F14" s="128" t="s">
        <v>112</v>
      </c>
      <c r="G14" s="143" t="s">
        <v>103</v>
      </c>
    </row>
    <row r="15" spans="1:7" ht="22.5" hidden="1" customHeight="1">
      <c r="A15" s="501"/>
      <c r="B15" s="502"/>
      <c r="C15" s="269"/>
      <c r="D15" s="507"/>
      <c r="E15" s="506"/>
      <c r="F15" s="146"/>
      <c r="G15" s="147"/>
    </row>
    <row r="16" spans="1:7" ht="22.5" hidden="1" customHeight="1">
      <c r="A16" s="501"/>
      <c r="B16" s="515"/>
      <c r="C16" s="259"/>
      <c r="D16" s="505"/>
      <c r="E16" s="506"/>
      <c r="F16" s="146">
        <f>COUNTIF($C$38:$C$40,A16)</f>
        <v>0</v>
      </c>
      <c r="G16" s="147">
        <f>SUMIF($C$38:$C$40,A16,$G$38:$G$40)</f>
        <v>0</v>
      </c>
    </row>
    <row r="17" spans="1:9" ht="22.5" customHeight="1">
      <c r="A17" s="501" t="s">
        <v>293</v>
      </c>
      <c r="B17" s="502"/>
      <c r="C17" s="269" t="s">
        <v>323</v>
      </c>
      <c r="D17" s="507" t="s">
        <v>300</v>
      </c>
      <c r="E17" s="506"/>
      <c r="F17" s="146">
        <f>COUNTIF($C$31:$C$104,A17)</f>
        <v>4</v>
      </c>
      <c r="G17" s="147">
        <f>SUMIF($C$31:$C$104,A17,$G$31:$G$104)</f>
        <v>314880</v>
      </c>
    </row>
    <row r="18" spans="1:9" ht="22.5" customHeight="1">
      <c r="A18" s="501" t="s">
        <v>291</v>
      </c>
      <c r="B18" s="502"/>
      <c r="C18" s="277" t="s">
        <v>301</v>
      </c>
      <c r="D18" s="507" t="s">
        <v>302</v>
      </c>
      <c r="E18" s="506"/>
      <c r="F18" s="146">
        <f t="shared" ref="F18:F23" si="0">COUNTIF($C$31:$C$104,A18)</f>
        <v>9</v>
      </c>
      <c r="G18" s="147">
        <f t="shared" ref="G18:G24" si="1">SUMIF($C$31:$C$104,A18,$G$31:$G$104)</f>
        <v>471023</v>
      </c>
    </row>
    <row r="19" spans="1:9" ht="22.5" customHeight="1">
      <c r="A19" s="501" t="s">
        <v>294</v>
      </c>
      <c r="B19" s="502"/>
      <c r="C19" s="277" t="s">
        <v>303</v>
      </c>
      <c r="D19" s="507" t="s">
        <v>304</v>
      </c>
      <c r="E19" s="506"/>
      <c r="F19" s="146">
        <f>COUNTIF($C$31:$C$51,A19)</f>
        <v>5</v>
      </c>
      <c r="G19" s="147">
        <f t="shared" si="1"/>
        <v>740900</v>
      </c>
    </row>
    <row r="20" spans="1:9" ht="22.5" customHeight="1">
      <c r="A20" s="501" t="s">
        <v>297</v>
      </c>
      <c r="B20" s="502"/>
      <c r="C20" s="269" t="s">
        <v>324</v>
      </c>
      <c r="D20" s="507" t="s">
        <v>305</v>
      </c>
      <c r="E20" s="506"/>
      <c r="F20" s="146">
        <f t="shared" si="0"/>
        <v>2</v>
      </c>
      <c r="G20" s="147">
        <f t="shared" si="1"/>
        <v>3500</v>
      </c>
    </row>
    <row r="21" spans="1:9" ht="22.5" customHeight="1">
      <c r="A21" s="501" t="s">
        <v>299</v>
      </c>
      <c r="B21" s="502"/>
      <c r="C21" s="269" t="s">
        <v>325</v>
      </c>
      <c r="D21" s="507" t="s">
        <v>306</v>
      </c>
      <c r="E21" s="506"/>
      <c r="F21" s="146">
        <f t="shared" si="0"/>
        <v>1</v>
      </c>
      <c r="G21" s="147">
        <f t="shared" si="1"/>
        <v>160000</v>
      </c>
    </row>
    <row r="22" spans="1:9" ht="22.5" hidden="1" customHeight="1">
      <c r="A22" s="504"/>
      <c r="B22" s="502"/>
      <c r="C22" s="259"/>
      <c r="D22" s="505"/>
      <c r="E22" s="506"/>
      <c r="F22" s="146">
        <f t="shared" si="0"/>
        <v>0</v>
      </c>
      <c r="G22" s="147">
        <f t="shared" si="1"/>
        <v>0</v>
      </c>
    </row>
    <row r="23" spans="1:9" ht="22.5" hidden="1" customHeight="1">
      <c r="A23" s="504"/>
      <c r="B23" s="502"/>
      <c r="C23" s="259"/>
      <c r="D23" s="505"/>
      <c r="E23" s="506"/>
      <c r="F23" s="146">
        <f t="shared" si="0"/>
        <v>0</v>
      </c>
      <c r="G23" s="147">
        <f t="shared" si="1"/>
        <v>0</v>
      </c>
    </row>
    <row r="24" spans="1:9" ht="22.5" hidden="1" customHeight="1">
      <c r="A24" s="504"/>
      <c r="B24" s="502"/>
      <c r="C24" s="259"/>
      <c r="D24" s="505"/>
      <c r="E24" s="506"/>
      <c r="F24" s="146">
        <f>COUNTIF($C$38:$C$40,A24)</f>
        <v>0</v>
      </c>
      <c r="G24" s="147">
        <f t="shared" si="1"/>
        <v>0</v>
      </c>
    </row>
    <row r="25" spans="1:9" ht="22.5" hidden="1" customHeight="1">
      <c r="A25" s="504"/>
      <c r="B25" s="502"/>
      <c r="C25" s="259"/>
      <c r="D25" s="505"/>
      <c r="E25" s="506"/>
      <c r="F25" s="146">
        <f>COUNTIF($C$38:$C$40,A25)</f>
        <v>0</v>
      </c>
      <c r="G25" s="147">
        <f>SUMIF($C$38:$C$40,A25,$G$38:$G$40)</f>
        <v>0</v>
      </c>
    </row>
    <row r="26" spans="1:9" s="100" customFormat="1" ht="22.5" customHeight="1" thickBot="1">
      <c r="A26" s="496" t="s">
        <v>82</v>
      </c>
      <c r="B26" s="497"/>
      <c r="C26" s="497"/>
      <c r="D26" s="497"/>
      <c r="E26" s="497"/>
      <c r="F26" s="279">
        <f>SUM(F17:F21)</f>
        <v>21</v>
      </c>
      <c r="G26" s="149">
        <f>SUM(G15:G25)</f>
        <v>1690303</v>
      </c>
    </row>
    <row r="27" spans="1:9" ht="22.5" customHeight="1">
      <c r="A27" s="77"/>
      <c r="B27" s="77"/>
      <c r="C27" s="77"/>
      <c r="D27" s="77"/>
      <c r="E27" s="97"/>
      <c r="F27" s="77"/>
      <c r="G27" s="77"/>
    </row>
    <row r="28" spans="1:9" s="74" customFormat="1" ht="34.15" customHeight="1">
      <c r="A28" s="25" t="s">
        <v>167</v>
      </c>
      <c r="B28" s="104"/>
      <c r="C28" s="99"/>
      <c r="D28" s="99"/>
      <c r="E28" s="105"/>
      <c r="F28" s="99"/>
      <c r="G28" s="99"/>
    </row>
    <row r="29" spans="1:9" ht="22.5" customHeight="1" thickBot="1">
      <c r="A29" s="221" t="str">
        <f>'1.자금수지표총괄'!$A$3</f>
        <v>(20**.**.**.부터 20**.**.**.까지)</v>
      </c>
      <c r="B29" s="77"/>
      <c r="C29" s="77"/>
      <c r="D29" s="77"/>
      <c r="E29" s="77"/>
      <c r="F29" s="77"/>
      <c r="G29" s="71" t="s">
        <v>104</v>
      </c>
    </row>
    <row r="30" spans="1:9" s="100" customFormat="1" ht="22.5" customHeight="1">
      <c r="A30" s="150" t="s">
        <v>105</v>
      </c>
      <c r="B30" s="151" t="s">
        <v>91</v>
      </c>
      <c r="C30" s="151" t="s">
        <v>106</v>
      </c>
      <c r="D30" s="151" t="s">
        <v>107</v>
      </c>
      <c r="E30" s="503" t="s">
        <v>114</v>
      </c>
      <c r="F30" s="503"/>
      <c r="G30" s="315" t="s">
        <v>108</v>
      </c>
    </row>
    <row r="31" spans="1:9" ht="22.5" customHeight="1">
      <c r="A31" s="273">
        <v>1</v>
      </c>
      <c r="B31" s="322">
        <v>44719</v>
      </c>
      <c r="C31" s="269" t="s">
        <v>293</v>
      </c>
      <c r="D31" s="325" t="s">
        <v>326</v>
      </c>
      <c r="E31" s="492" t="s">
        <v>327</v>
      </c>
      <c r="F31" s="493"/>
      <c r="G31" s="328">
        <v>61000</v>
      </c>
      <c r="H31" s="1"/>
      <c r="I31" s="73"/>
    </row>
    <row r="32" spans="1:9" ht="22.5" customHeight="1">
      <c r="A32" s="273">
        <v>2</v>
      </c>
      <c r="B32" s="322">
        <v>44722</v>
      </c>
      <c r="C32" s="269" t="s">
        <v>295</v>
      </c>
      <c r="D32" s="325" t="s">
        <v>252</v>
      </c>
      <c r="E32" s="492" t="s">
        <v>296</v>
      </c>
      <c r="F32" s="493"/>
      <c r="G32" s="328">
        <v>900</v>
      </c>
      <c r="H32" s="1"/>
      <c r="I32" s="73"/>
    </row>
    <row r="33" spans="1:9" ht="22.5" customHeight="1">
      <c r="A33" s="273">
        <v>3</v>
      </c>
      <c r="B33" s="322">
        <v>44722</v>
      </c>
      <c r="C33" s="269" t="s">
        <v>291</v>
      </c>
      <c r="D33" s="325" t="s">
        <v>328</v>
      </c>
      <c r="E33" s="492" t="s">
        <v>327</v>
      </c>
      <c r="F33" s="493"/>
      <c r="G33" s="328">
        <v>20380</v>
      </c>
      <c r="H33" s="1"/>
      <c r="I33" s="73"/>
    </row>
    <row r="34" spans="1:9" ht="22.5" customHeight="1">
      <c r="A34" s="273">
        <v>4</v>
      </c>
      <c r="B34" s="322">
        <v>44722</v>
      </c>
      <c r="C34" s="269" t="s">
        <v>291</v>
      </c>
      <c r="D34" s="325" t="s">
        <v>328</v>
      </c>
      <c r="E34" s="492" t="s">
        <v>327</v>
      </c>
      <c r="F34" s="493"/>
      <c r="G34" s="359">
        <v>75630</v>
      </c>
      <c r="H34" s="1"/>
      <c r="I34" s="73"/>
    </row>
    <row r="35" spans="1:9" ht="22.5" customHeight="1">
      <c r="A35" s="273">
        <v>5</v>
      </c>
      <c r="B35" s="322">
        <v>44722</v>
      </c>
      <c r="C35" s="269" t="s">
        <v>291</v>
      </c>
      <c r="D35" s="325" t="s">
        <v>328</v>
      </c>
      <c r="E35" s="492" t="s">
        <v>327</v>
      </c>
      <c r="F35" s="493"/>
      <c r="G35" s="359">
        <v>65840</v>
      </c>
      <c r="H35" s="1"/>
      <c r="I35" s="73"/>
    </row>
    <row r="36" spans="1:9" ht="22.5" customHeight="1">
      <c r="A36" s="273">
        <v>6</v>
      </c>
      <c r="B36" s="322">
        <v>44722</v>
      </c>
      <c r="C36" s="269" t="s">
        <v>291</v>
      </c>
      <c r="D36" s="325" t="s">
        <v>328</v>
      </c>
      <c r="E36" s="492" t="s">
        <v>327</v>
      </c>
      <c r="F36" s="493"/>
      <c r="G36" s="359">
        <v>16960</v>
      </c>
      <c r="H36" s="1"/>
      <c r="I36" s="73"/>
    </row>
    <row r="37" spans="1:9" ht="22.5" customHeight="1">
      <c r="A37" s="273">
        <v>7</v>
      </c>
      <c r="B37" s="322">
        <v>44722</v>
      </c>
      <c r="C37" s="269" t="s">
        <v>291</v>
      </c>
      <c r="D37" s="358" t="s">
        <v>329</v>
      </c>
      <c r="E37" s="492" t="s">
        <v>327</v>
      </c>
      <c r="F37" s="493"/>
      <c r="G37" s="359">
        <v>6730</v>
      </c>
      <c r="H37" s="1"/>
      <c r="I37" s="73"/>
    </row>
    <row r="38" spans="1:9" ht="22.5" customHeight="1">
      <c r="A38" s="273">
        <v>8</v>
      </c>
      <c r="B38" s="322">
        <v>44727</v>
      </c>
      <c r="C38" s="269" t="s">
        <v>291</v>
      </c>
      <c r="D38" s="325" t="s">
        <v>330</v>
      </c>
      <c r="E38" s="499" t="s">
        <v>341</v>
      </c>
      <c r="F38" s="500"/>
      <c r="G38" s="328">
        <v>29830</v>
      </c>
      <c r="H38" s="1"/>
      <c r="I38" s="73"/>
    </row>
    <row r="39" spans="1:9" ht="22.5" customHeight="1">
      <c r="A39" s="273">
        <v>9</v>
      </c>
      <c r="B39" s="357">
        <v>44727</v>
      </c>
      <c r="C39" s="269" t="s">
        <v>291</v>
      </c>
      <c r="D39" s="358" t="s">
        <v>328</v>
      </c>
      <c r="E39" s="492" t="s">
        <v>327</v>
      </c>
      <c r="F39" s="493"/>
      <c r="G39" s="359">
        <v>96093</v>
      </c>
      <c r="H39" s="1"/>
      <c r="I39" s="73"/>
    </row>
    <row r="40" spans="1:9" ht="22.5" customHeight="1">
      <c r="A40" s="273">
        <v>10</v>
      </c>
      <c r="B40" s="322">
        <v>44728</v>
      </c>
      <c r="C40" s="269" t="s">
        <v>291</v>
      </c>
      <c r="D40" s="325" t="s">
        <v>331</v>
      </c>
      <c r="E40" s="499" t="s">
        <v>341</v>
      </c>
      <c r="F40" s="500"/>
      <c r="G40" s="328">
        <v>159130</v>
      </c>
      <c r="H40" s="1"/>
      <c r="I40" s="73"/>
    </row>
    <row r="41" spans="1:9" ht="22.5" customHeight="1">
      <c r="A41" s="273">
        <v>11</v>
      </c>
      <c r="B41" s="357">
        <v>44729</v>
      </c>
      <c r="C41" s="269" t="s">
        <v>297</v>
      </c>
      <c r="D41" s="358" t="s">
        <v>332</v>
      </c>
      <c r="E41" s="492" t="s">
        <v>342</v>
      </c>
      <c r="F41" s="493"/>
      <c r="G41" s="359">
        <v>2000</v>
      </c>
      <c r="H41" s="1"/>
      <c r="I41" s="73"/>
    </row>
    <row r="42" spans="1:9" ht="22.5" customHeight="1">
      <c r="A42" s="273">
        <v>12</v>
      </c>
      <c r="B42" s="357">
        <v>44730</v>
      </c>
      <c r="C42" s="269" t="s">
        <v>293</v>
      </c>
      <c r="D42" s="358" t="s">
        <v>333</v>
      </c>
      <c r="E42" s="492" t="s">
        <v>327</v>
      </c>
      <c r="F42" s="493"/>
      <c r="G42" s="359">
        <v>20000</v>
      </c>
      <c r="H42" s="1"/>
      <c r="I42" s="73"/>
    </row>
    <row r="43" spans="1:9" ht="22.5" customHeight="1">
      <c r="A43" s="273">
        <v>13</v>
      </c>
      <c r="B43" s="322">
        <v>44732</v>
      </c>
      <c r="C43" s="269" t="s">
        <v>291</v>
      </c>
      <c r="D43" s="325" t="s">
        <v>334</v>
      </c>
      <c r="E43" s="499" t="s">
        <v>341</v>
      </c>
      <c r="F43" s="500"/>
      <c r="G43" s="328">
        <v>430</v>
      </c>
      <c r="H43" s="1"/>
      <c r="I43" s="73"/>
    </row>
    <row r="44" spans="1:9" ht="22.5" customHeight="1">
      <c r="A44" s="273">
        <v>14</v>
      </c>
      <c r="B44" s="357">
        <v>44737</v>
      </c>
      <c r="C44" s="269" t="s">
        <v>297</v>
      </c>
      <c r="D44" s="358" t="s">
        <v>335</v>
      </c>
      <c r="E44" s="492" t="s">
        <v>342</v>
      </c>
      <c r="F44" s="493"/>
      <c r="G44" s="359">
        <v>1500</v>
      </c>
      <c r="H44" s="1"/>
      <c r="I44" s="73"/>
    </row>
    <row r="45" spans="1:9" ht="22.5" customHeight="1">
      <c r="A45" s="273">
        <v>15</v>
      </c>
      <c r="B45" s="322">
        <v>44740</v>
      </c>
      <c r="C45" s="269" t="s">
        <v>295</v>
      </c>
      <c r="D45" s="325" t="s">
        <v>336</v>
      </c>
      <c r="E45" s="499" t="s">
        <v>341</v>
      </c>
      <c r="F45" s="500"/>
      <c r="G45" s="328">
        <v>237000</v>
      </c>
      <c r="H45" s="1"/>
      <c r="I45" s="73"/>
    </row>
    <row r="46" spans="1:9" ht="22.5" customHeight="1">
      <c r="A46" s="273">
        <v>16</v>
      </c>
      <c r="B46" s="357">
        <v>44741</v>
      </c>
      <c r="C46" s="269" t="s">
        <v>295</v>
      </c>
      <c r="D46" s="358" t="s">
        <v>337</v>
      </c>
      <c r="E46" s="498" t="s">
        <v>343</v>
      </c>
      <c r="F46" s="493"/>
      <c r="G46" s="359">
        <v>3000</v>
      </c>
      <c r="H46" s="1"/>
      <c r="I46" s="73"/>
    </row>
    <row r="47" spans="1:9" ht="28.5" customHeight="1">
      <c r="A47" s="273">
        <v>17</v>
      </c>
      <c r="B47" s="357">
        <v>44741</v>
      </c>
      <c r="C47" s="269" t="s">
        <v>295</v>
      </c>
      <c r="D47" s="358" t="s">
        <v>298</v>
      </c>
      <c r="E47" s="516" t="s">
        <v>344</v>
      </c>
      <c r="F47" s="517"/>
      <c r="G47" s="359">
        <v>200000</v>
      </c>
      <c r="H47" s="1"/>
      <c r="I47" s="73"/>
    </row>
    <row r="48" spans="1:9" ht="22.5" customHeight="1">
      <c r="A48" s="273">
        <v>18</v>
      </c>
      <c r="B48" s="357">
        <v>44741</v>
      </c>
      <c r="C48" s="269" t="s">
        <v>299</v>
      </c>
      <c r="D48" s="358" t="s">
        <v>325</v>
      </c>
      <c r="E48" s="516" t="s">
        <v>345</v>
      </c>
      <c r="F48" s="517"/>
      <c r="G48" s="359">
        <v>160000</v>
      </c>
      <c r="H48" s="1"/>
      <c r="I48" s="73"/>
    </row>
    <row r="49" spans="1:9" ht="22.5" customHeight="1">
      <c r="A49" s="273">
        <v>19</v>
      </c>
      <c r="B49" s="357">
        <v>44741</v>
      </c>
      <c r="C49" s="269" t="s">
        <v>293</v>
      </c>
      <c r="D49" s="358" t="s">
        <v>338</v>
      </c>
      <c r="E49" s="516" t="s">
        <v>346</v>
      </c>
      <c r="F49" s="517"/>
      <c r="G49" s="359">
        <v>56040</v>
      </c>
      <c r="H49" s="1"/>
      <c r="I49" s="73"/>
    </row>
    <row r="50" spans="1:9" ht="22.5" customHeight="1">
      <c r="A50" s="273">
        <v>20</v>
      </c>
      <c r="B50" s="357">
        <v>44741</v>
      </c>
      <c r="C50" s="269" t="s">
        <v>293</v>
      </c>
      <c r="D50" s="358" t="s">
        <v>339</v>
      </c>
      <c r="E50" s="516" t="s">
        <v>347</v>
      </c>
      <c r="F50" s="517"/>
      <c r="G50" s="359">
        <v>177840</v>
      </c>
      <c r="H50" s="1"/>
      <c r="I50" s="73"/>
    </row>
    <row r="51" spans="1:9" ht="33" customHeight="1">
      <c r="A51" s="273">
        <v>21</v>
      </c>
      <c r="B51" s="357">
        <v>44742</v>
      </c>
      <c r="C51" s="269" t="s">
        <v>295</v>
      </c>
      <c r="D51" s="358" t="s">
        <v>340</v>
      </c>
      <c r="E51" s="516" t="s">
        <v>348</v>
      </c>
      <c r="F51" s="493"/>
      <c r="G51" s="359">
        <v>300000</v>
      </c>
      <c r="H51" s="1"/>
      <c r="I51" s="73"/>
    </row>
    <row r="52" spans="1:9" ht="22.5" hidden="1" customHeight="1">
      <c r="A52" s="273"/>
      <c r="B52" s="357"/>
      <c r="C52" s="269"/>
      <c r="D52" s="358"/>
      <c r="E52" s="331"/>
      <c r="F52" s="332"/>
      <c r="G52" s="359"/>
      <c r="H52" s="1"/>
      <c r="I52" s="73"/>
    </row>
    <row r="53" spans="1:9" ht="22.5" hidden="1" customHeight="1">
      <c r="A53" s="273"/>
      <c r="B53" s="357"/>
      <c r="C53" s="269"/>
      <c r="D53" s="358"/>
      <c r="E53" s="331"/>
      <c r="F53" s="332"/>
      <c r="G53" s="359"/>
      <c r="H53" s="1"/>
      <c r="I53" s="73"/>
    </row>
    <row r="54" spans="1:9" ht="22.5" hidden="1" customHeight="1">
      <c r="A54" s="273"/>
      <c r="B54" s="310"/>
      <c r="C54" s="269"/>
      <c r="D54" s="311"/>
      <c r="E54" s="498"/>
      <c r="F54" s="493"/>
      <c r="G54" s="318"/>
      <c r="H54" s="1"/>
      <c r="I54" s="73"/>
    </row>
    <row r="55" spans="1:9" ht="22.5" hidden="1" customHeight="1">
      <c r="A55" s="273"/>
      <c r="B55" s="307"/>
      <c r="C55" s="308"/>
      <c r="D55" s="309"/>
      <c r="E55" s="498"/>
      <c r="F55" s="493"/>
      <c r="G55" s="319"/>
      <c r="H55" s="1"/>
      <c r="I55" s="73"/>
    </row>
    <row r="56" spans="1:9" s="100" customFormat="1" ht="22.5" customHeight="1" thickBot="1">
      <c r="A56" s="494" t="s">
        <v>109</v>
      </c>
      <c r="B56" s="495"/>
      <c r="C56" s="495"/>
      <c r="D56" s="495"/>
      <c r="E56" s="495"/>
      <c r="F56" s="495"/>
      <c r="G56" s="149">
        <f>SUM(G31:G55)</f>
        <v>1690303</v>
      </c>
    </row>
  </sheetData>
  <mergeCells count="55">
    <mergeCell ref="E49:F49"/>
    <mergeCell ref="E51:F51"/>
    <mergeCell ref="E50:F50"/>
    <mergeCell ref="E48:F48"/>
    <mergeCell ref="E36:F36"/>
    <mergeCell ref="E37:F37"/>
    <mergeCell ref="E39:F39"/>
    <mergeCell ref="E47:F47"/>
    <mergeCell ref="E46:F46"/>
    <mergeCell ref="A20:B20"/>
    <mergeCell ref="D20:E20"/>
    <mergeCell ref="A18:B18"/>
    <mergeCell ref="D18:E18"/>
    <mergeCell ref="A19:B19"/>
    <mergeCell ref="D6:E6"/>
    <mergeCell ref="A10:E10"/>
    <mergeCell ref="A14:B14"/>
    <mergeCell ref="D14:E14"/>
    <mergeCell ref="D19:E19"/>
    <mergeCell ref="D7:E7"/>
    <mergeCell ref="A17:B17"/>
    <mergeCell ref="D8:E8"/>
    <mergeCell ref="D16:E16"/>
    <mergeCell ref="A16:B16"/>
    <mergeCell ref="D17:E17"/>
    <mergeCell ref="D9:E9"/>
    <mergeCell ref="A15:B15"/>
    <mergeCell ref="D15:E15"/>
    <mergeCell ref="A21:B21"/>
    <mergeCell ref="E30:F30"/>
    <mergeCell ref="A24:B24"/>
    <mergeCell ref="D24:E24"/>
    <mergeCell ref="D21:E21"/>
    <mergeCell ref="A25:B25"/>
    <mergeCell ref="D25:E25"/>
    <mergeCell ref="A22:B22"/>
    <mergeCell ref="A23:B23"/>
    <mergeCell ref="D23:E23"/>
    <mergeCell ref="D22:E22"/>
    <mergeCell ref="E33:F33"/>
    <mergeCell ref="A56:F56"/>
    <mergeCell ref="A26:E26"/>
    <mergeCell ref="E54:F54"/>
    <mergeCell ref="E38:F38"/>
    <mergeCell ref="E40:F40"/>
    <mergeCell ref="E43:F43"/>
    <mergeCell ref="E45:F45"/>
    <mergeCell ref="E55:F55"/>
    <mergeCell ref="E31:F31"/>
    <mergeCell ref="E32:F32"/>
    <mergeCell ref="E41:F41"/>
    <mergeCell ref="E42:F42"/>
    <mergeCell ref="E44:F44"/>
    <mergeCell ref="E34:F34"/>
    <mergeCell ref="E35:F35"/>
  </mergeCells>
  <phoneticPr fontId="3" type="noConversion"/>
  <pageMargins left="0.43307086614173229" right="0.47244094488188981" top="0.74803149606299213" bottom="0.74803149606299213" header="0.31496062992125984" footer="0.31496062992125984"/>
  <pageSetup paperSize="9" scale="8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24"/>
  <sheetViews>
    <sheetView showGridLines="0" view="pageBreakPreview" zoomScaleNormal="100" zoomScaleSheetLayoutView="100" workbookViewId="0">
      <selection activeCell="H8" sqref="H8"/>
    </sheetView>
  </sheetViews>
  <sheetFormatPr defaultRowHeight="14.25"/>
  <cols>
    <col min="1" max="1" width="9" style="29" bestFit="1" customWidth="1"/>
    <col min="2" max="2" width="17.44140625" style="29" customWidth="1"/>
    <col min="3" max="3" width="31.33203125" style="29" customWidth="1"/>
    <col min="4" max="4" width="20.44140625" style="29" customWidth="1"/>
    <col min="5" max="5" width="24" style="29" customWidth="1"/>
    <col min="6" max="6" width="3.5546875" style="29" customWidth="1"/>
    <col min="7" max="16384" width="8.88671875" style="29"/>
  </cols>
  <sheetData>
    <row r="1" spans="1:5" ht="22.5" customHeight="1">
      <c r="A1" s="107"/>
      <c r="B1" s="107"/>
      <c r="C1" s="107"/>
      <c r="D1" s="107"/>
      <c r="E1" s="107"/>
    </row>
    <row r="2" spans="1:5" s="42" customFormat="1" ht="22.5" customHeight="1">
      <c r="A2" s="233" t="s">
        <v>148</v>
      </c>
      <c r="B2" s="112"/>
      <c r="C2" s="299" t="s">
        <v>172</v>
      </c>
      <c r="D2" s="112"/>
      <c r="E2" s="112"/>
    </row>
    <row r="3" spans="1:5" ht="22.5" customHeight="1" thickBot="1">
      <c r="A3" s="108"/>
      <c r="B3" s="107"/>
      <c r="C3" s="107"/>
      <c r="D3" s="109"/>
      <c r="E3" s="109"/>
    </row>
    <row r="4" spans="1:5" ht="30" customHeight="1">
      <c r="A4" s="152" t="s">
        <v>115</v>
      </c>
      <c r="B4" s="153" t="s">
        <v>116</v>
      </c>
      <c r="C4" s="154" t="s">
        <v>117</v>
      </c>
      <c r="D4" s="153" t="s">
        <v>122</v>
      </c>
      <c r="E4" s="155" t="s">
        <v>123</v>
      </c>
    </row>
    <row r="5" spans="1:5" ht="30" customHeight="1">
      <c r="A5" s="363">
        <v>1</v>
      </c>
      <c r="B5" s="360" t="s">
        <v>337</v>
      </c>
      <c r="C5" s="361" t="s">
        <v>349</v>
      </c>
      <c r="D5" s="361">
        <v>1825165</v>
      </c>
      <c r="E5" s="362" t="s">
        <v>155</v>
      </c>
    </row>
    <row r="6" spans="1:5" ht="30" customHeight="1">
      <c r="A6" s="363">
        <v>2</v>
      </c>
      <c r="B6" s="360" t="s">
        <v>337</v>
      </c>
      <c r="C6" s="361" t="s">
        <v>350</v>
      </c>
      <c r="D6" s="361">
        <v>515620</v>
      </c>
      <c r="E6" s="362" t="s">
        <v>307</v>
      </c>
    </row>
    <row r="7" spans="1:5" ht="30" customHeight="1">
      <c r="A7" s="156">
        <v>3</v>
      </c>
      <c r="B7" s="256" t="s">
        <v>352</v>
      </c>
      <c r="C7" s="257" t="s">
        <v>351</v>
      </c>
      <c r="D7" s="157">
        <v>6819</v>
      </c>
      <c r="E7" s="258" t="s">
        <v>155</v>
      </c>
    </row>
    <row r="8" spans="1:5" s="119" customFormat="1" ht="30" customHeight="1" thickBot="1">
      <c r="A8" s="525" t="s">
        <v>118</v>
      </c>
      <c r="B8" s="526"/>
      <c r="C8" s="527"/>
      <c r="D8" s="158">
        <f>SUM(D5:D7)</f>
        <v>2347604</v>
      </c>
      <c r="E8" s="159"/>
    </row>
    <row r="9" spans="1:5" ht="30" hidden="1" customHeight="1">
      <c r="A9" s="107"/>
      <c r="B9" s="107"/>
      <c r="C9" s="107"/>
      <c r="D9" s="110"/>
      <c r="E9" s="107"/>
    </row>
    <row r="10" spans="1:5" s="42" customFormat="1" ht="30" hidden="1" customHeight="1">
      <c r="A10" s="127" t="s">
        <v>149</v>
      </c>
      <c r="B10" s="111"/>
      <c r="C10" s="112"/>
      <c r="D10" s="112"/>
      <c r="E10" s="112"/>
    </row>
    <row r="11" spans="1:5" ht="22.5" hidden="1" customHeight="1" thickBot="1">
      <c r="A11" s="113"/>
      <c r="B11" s="113"/>
      <c r="C11" s="107"/>
      <c r="D11" s="107"/>
      <c r="E11" s="107"/>
    </row>
    <row r="12" spans="1:5" ht="30" hidden="1" customHeight="1">
      <c r="A12" s="152" t="s">
        <v>119</v>
      </c>
      <c r="B12" s="153" t="s">
        <v>120</v>
      </c>
      <c r="C12" s="154" t="s">
        <v>117</v>
      </c>
      <c r="D12" s="153" t="s">
        <v>122</v>
      </c>
      <c r="E12" s="155" t="s">
        <v>123</v>
      </c>
    </row>
    <row r="13" spans="1:5" ht="30" hidden="1" customHeight="1">
      <c r="A13" s="160">
        <v>1</v>
      </c>
      <c r="B13" s="242" t="str">
        <f>B7</f>
        <v>*협</v>
      </c>
      <c r="C13" s="243" t="str">
        <f>C7</f>
        <v>***-**77-****-**</v>
      </c>
      <c r="D13" s="161">
        <f>D8</f>
        <v>2347604</v>
      </c>
      <c r="E13" s="258" t="s">
        <v>155</v>
      </c>
    </row>
    <row r="14" spans="1:5" ht="30" hidden="1" customHeight="1">
      <c r="A14" s="300">
        <v>2</v>
      </c>
      <c r="B14" s="301" t="s">
        <v>121</v>
      </c>
      <c r="C14" s="162"/>
      <c r="D14" s="163">
        <v>0</v>
      </c>
      <c r="E14" s="164"/>
    </row>
    <row r="15" spans="1:5" s="100" customFormat="1" ht="30" hidden="1" customHeight="1" thickBot="1">
      <c r="A15" s="518" t="s">
        <v>157</v>
      </c>
      <c r="B15" s="519"/>
      <c r="C15" s="520"/>
      <c r="D15" s="278">
        <f>SUM(D13:D14)</f>
        <v>2347604</v>
      </c>
      <c r="E15" s="165"/>
    </row>
    <row r="16" spans="1:5" ht="22.5" customHeight="1">
      <c r="A16" s="521"/>
      <c r="B16" s="522"/>
      <c r="C16" s="522"/>
      <c r="D16" s="522"/>
      <c r="E16" s="523"/>
    </row>
    <row r="17" spans="1:5" ht="22.5" customHeight="1">
      <c r="A17" s="524"/>
      <c r="B17" s="522"/>
      <c r="C17" s="522"/>
      <c r="D17" s="522"/>
      <c r="E17" s="523"/>
    </row>
    <row r="18" spans="1:5" s="100" customFormat="1" ht="39.75" customHeight="1">
      <c r="A18" s="265" t="s">
        <v>124</v>
      </c>
      <c r="B18" s="302" t="s">
        <v>158</v>
      </c>
      <c r="C18" s="266"/>
      <c r="D18" s="265"/>
      <c r="E18" s="265"/>
    </row>
    <row r="19" spans="1:5" ht="29.85" customHeight="1"/>
    <row r="20" spans="1:5" ht="29.85" customHeight="1"/>
    <row r="21" spans="1:5" ht="29.85" customHeight="1"/>
    <row r="22" spans="1:5" ht="29.85" customHeight="1"/>
    <row r="23" spans="1:5" ht="29.85" customHeight="1"/>
    <row r="24" spans="1:5" ht="29.85" customHeight="1"/>
  </sheetData>
  <mergeCells count="3">
    <mergeCell ref="A15:C15"/>
    <mergeCell ref="A16:E17"/>
    <mergeCell ref="A8:C8"/>
  </mergeCells>
  <phoneticPr fontId="3" type="noConversion"/>
  <pageMargins left="0.43307086614173229" right="0.43307086614173229" top="0.74803149606299213" bottom="0.74803149606299213" header="0.31496062992125984" footer="0.31496062992125984"/>
  <pageSetup paperSize="9" scale="8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workbookViewId="0">
      <selection activeCell="F23" sqref="F23"/>
    </sheetView>
  </sheetViews>
  <sheetFormatPr defaultRowHeight="16.5"/>
  <cols>
    <col min="1" max="1" width="14.5546875" style="334" bestFit="1" customWidth="1"/>
    <col min="2" max="2" width="8.6640625" style="334" bestFit="1" customWidth="1"/>
    <col min="3" max="3" width="14.5546875" style="334" bestFit="1" customWidth="1"/>
    <col min="4" max="4" width="6.6640625" style="334" bestFit="1" customWidth="1"/>
    <col min="5" max="5" width="9.33203125" style="334" bestFit="1" customWidth="1"/>
    <col min="6" max="8" width="7.33203125" style="334" bestFit="1" customWidth="1"/>
    <col min="9" max="9" width="4" style="334" bestFit="1" customWidth="1"/>
    <col min="10" max="16384" width="8.88671875" style="334"/>
  </cols>
  <sheetData>
    <row r="1" spans="1:9">
      <c r="A1" s="354" t="s">
        <v>284</v>
      </c>
      <c r="B1" s="529" t="s">
        <v>354</v>
      </c>
      <c r="C1" s="530"/>
      <c r="D1" s="530"/>
      <c r="E1" s="530"/>
      <c r="F1" s="530"/>
      <c r="G1" s="530"/>
      <c r="H1" s="530"/>
      <c r="I1" s="531"/>
    </row>
    <row r="2" spans="1:9">
      <c r="A2" s="354" t="s">
        <v>178</v>
      </c>
      <c r="B2" s="529" t="s">
        <v>310</v>
      </c>
      <c r="C2" s="530"/>
      <c r="D2" s="531"/>
      <c r="E2" s="354" t="s">
        <v>283</v>
      </c>
      <c r="F2" s="532">
        <v>819595</v>
      </c>
      <c r="G2" s="533"/>
      <c r="H2" s="533"/>
      <c r="I2" s="534"/>
    </row>
    <row r="3" spans="1:9">
      <c r="A3" s="354" t="s">
        <v>198</v>
      </c>
      <c r="B3" s="529" t="s">
        <v>282</v>
      </c>
      <c r="C3" s="530"/>
      <c r="D3" s="531"/>
      <c r="E3" s="354" t="s">
        <v>180</v>
      </c>
      <c r="F3" s="532">
        <v>819595</v>
      </c>
      <c r="G3" s="533"/>
      <c r="H3" s="533"/>
      <c r="I3" s="534"/>
    </row>
    <row r="4" spans="1:9">
      <c r="A4" s="528"/>
      <c r="B4" s="528"/>
      <c r="C4" s="528"/>
      <c r="D4" s="528"/>
      <c r="E4" s="528"/>
      <c r="F4" s="528"/>
      <c r="G4" s="528"/>
      <c r="H4" s="528"/>
      <c r="I4" s="528"/>
    </row>
    <row r="5" spans="1:9">
      <c r="A5" s="339" t="s">
        <v>181</v>
      </c>
      <c r="B5" s="339" t="s">
        <v>182</v>
      </c>
      <c r="C5" s="339" t="s">
        <v>183</v>
      </c>
      <c r="D5" s="339" t="s">
        <v>281</v>
      </c>
      <c r="E5" s="339" t="s">
        <v>280</v>
      </c>
      <c r="F5" s="339" t="s">
        <v>279</v>
      </c>
      <c r="G5" s="339" t="s">
        <v>278</v>
      </c>
      <c r="H5" s="339" t="s">
        <v>213</v>
      </c>
      <c r="I5" s="339" t="s">
        <v>277</v>
      </c>
    </row>
    <row r="6" spans="1:9">
      <c r="A6" s="353" t="s">
        <v>276</v>
      </c>
      <c r="B6" s="350" t="s">
        <v>275</v>
      </c>
      <c r="C6" s="350" t="s">
        <v>311</v>
      </c>
      <c r="D6" s="350"/>
      <c r="E6" s="351">
        <v>300000</v>
      </c>
      <c r="F6" s="352">
        <v>0</v>
      </c>
      <c r="G6" s="351">
        <v>1825165</v>
      </c>
      <c r="H6" s="350" t="s">
        <v>258</v>
      </c>
      <c r="I6" s="350" t="s">
        <v>253</v>
      </c>
    </row>
    <row r="7" spans="1:9">
      <c r="A7" s="353" t="s">
        <v>274</v>
      </c>
      <c r="B7" s="350" t="s">
        <v>271</v>
      </c>
      <c r="C7" s="350" t="s">
        <v>353</v>
      </c>
      <c r="D7" s="350"/>
      <c r="E7" s="351">
        <v>177840</v>
      </c>
      <c r="F7" s="352">
        <v>0</v>
      </c>
      <c r="G7" s="351">
        <v>2125165</v>
      </c>
      <c r="H7" s="350" t="s">
        <v>270</v>
      </c>
      <c r="I7" s="350" t="s">
        <v>253</v>
      </c>
    </row>
    <row r="8" spans="1:9">
      <c r="A8" s="353" t="s">
        <v>273</v>
      </c>
      <c r="B8" s="350" t="s">
        <v>271</v>
      </c>
      <c r="C8" s="350" t="s">
        <v>312</v>
      </c>
      <c r="D8" s="350"/>
      <c r="E8" s="351">
        <v>56040</v>
      </c>
      <c r="F8" s="352">
        <v>0</v>
      </c>
      <c r="G8" s="351">
        <v>2303005</v>
      </c>
      <c r="H8" s="350" t="s">
        <v>270</v>
      </c>
      <c r="I8" s="350" t="s">
        <v>253</v>
      </c>
    </row>
    <row r="9" spans="1:9">
      <c r="A9" s="353" t="s">
        <v>272</v>
      </c>
      <c r="B9" s="350" t="s">
        <v>271</v>
      </c>
      <c r="C9" s="350" t="s">
        <v>313</v>
      </c>
      <c r="D9" s="350"/>
      <c r="E9" s="351">
        <v>160000</v>
      </c>
      <c r="F9" s="352">
        <v>0</v>
      </c>
      <c r="G9" s="351">
        <v>2359045</v>
      </c>
      <c r="H9" s="350" t="s">
        <v>270</v>
      </c>
      <c r="I9" s="350" t="s">
        <v>253</v>
      </c>
    </row>
    <row r="10" spans="1:9">
      <c r="A10" s="353" t="s">
        <v>269</v>
      </c>
      <c r="B10" s="350" t="s">
        <v>268</v>
      </c>
      <c r="C10" s="350"/>
      <c r="D10" s="350"/>
      <c r="E10" s="351">
        <v>200000</v>
      </c>
      <c r="F10" s="352">
        <v>0</v>
      </c>
      <c r="G10" s="351">
        <v>2519045</v>
      </c>
      <c r="H10" s="350" t="s">
        <v>258</v>
      </c>
      <c r="I10" s="350" t="s">
        <v>253</v>
      </c>
    </row>
    <row r="11" spans="1:9">
      <c r="A11" s="353" t="s">
        <v>267</v>
      </c>
      <c r="B11" s="350" t="s">
        <v>266</v>
      </c>
      <c r="C11" s="350" t="s">
        <v>265</v>
      </c>
      <c r="D11" s="350"/>
      <c r="E11" s="351">
        <v>3000</v>
      </c>
      <c r="F11" s="352">
        <v>0</v>
      </c>
      <c r="G11" s="351">
        <v>2719045</v>
      </c>
      <c r="H11" s="350" t="s">
        <v>258</v>
      </c>
      <c r="I11" s="350" t="s">
        <v>253</v>
      </c>
    </row>
    <row r="12" spans="1:9">
      <c r="A12" s="353" t="s">
        <v>264</v>
      </c>
      <c r="B12" s="350" t="s">
        <v>263</v>
      </c>
      <c r="C12" s="350" t="s">
        <v>262</v>
      </c>
      <c r="D12" s="350"/>
      <c r="E12" s="352">
        <v>0</v>
      </c>
      <c r="F12" s="351">
        <v>2675274</v>
      </c>
      <c r="G12" s="351">
        <v>2722045</v>
      </c>
      <c r="H12" s="350" t="s">
        <v>314</v>
      </c>
      <c r="I12" s="350" t="s">
        <v>253</v>
      </c>
    </row>
    <row r="13" spans="1:9">
      <c r="A13" s="353" t="s">
        <v>261</v>
      </c>
      <c r="B13" s="350" t="s">
        <v>260</v>
      </c>
      <c r="C13" s="350" t="s">
        <v>259</v>
      </c>
      <c r="D13" s="350"/>
      <c r="E13" s="352">
        <v>0</v>
      </c>
      <c r="F13" s="352">
        <v>1</v>
      </c>
      <c r="G13" s="351">
        <v>46771</v>
      </c>
      <c r="H13" s="350" t="s">
        <v>258</v>
      </c>
      <c r="I13" s="350" t="s">
        <v>253</v>
      </c>
    </row>
    <row r="14" spans="1:9">
      <c r="A14" s="353" t="s">
        <v>257</v>
      </c>
      <c r="B14" s="350" t="s">
        <v>256</v>
      </c>
      <c r="C14" s="350" t="s">
        <v>255</v>
      </c>
      <c r="D14" s="350"/>
      <c r="E14" s="352">
        <v>0</v>
      </c>
      <c r="F14" s="352">
        <v>4</v>
      </c>
      <c r="G14" s="351">
        <v>46770</v>
      </c>
      <c r="H14" s="350" t="s">
        <v>254</v>
      </c>
      <c r="I14" s="350" t="s">
        <v>253</v>
      </c>
    </row>
    <row r="15" spans="1:9">
      <c r="A15" s="339"/>
      <c r="B15" s="339"/>
      <c r="C15" s="339"/>
      <c r="D15" s="339" t="s">
        <v>36</v>
      </c>
      <c r="E15" s="340">
        <f>SUM(E6:E14)</f>
        <v>896880</v>
      </c>
      <c r="F15" s="340">
        <f>SUM(F6:F14)</f>
        <v>2675279</v>
      </c>
      <c r="G15" s="339"/>
      <c r="H15" s="339"/>
      <c r="I15" s="339"/>
    </row>
  </sheetData>
  <mergeCells count="6">
    <mergeCell ref="A4:I4"/>
    <mergeCell ref="B1:I1"/>
    <mergeCell ref="B2:D2"/>
    <mergeCell ref="F2:I2"/>
    <mergeCell ref="B3:D3"/>
    <mergeCell ref="F3:I3"/>
  </mergeCells>
  <phoneticPr fontId="3" type="noConversion"/>
  <printOptions horizontalCentered="1"/>
  <pageMargins left="0" right="0" top="0.98425196850393704" bottom="0.98425196850393704" header="0.51181102362204722" footer="0.5118110236220472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showGridLines="0" workbookViewId="0">
      <selection activeCell="I12" sqref="I12"/>
    </sheetView>
  </sheetViews>
  <sheetFormatPr defaultRowHeight="16.5"/>
  <cols>
    <col min="1" max="1" width="14.6640625" style="334" bestFit="1" customWidth="1"/>
    <col min="2" max="2" width="4.21875" style="334" bestFit="1" customWidth="1"/>
    <col min="3" max="3" width="13.33203125" style="334" bestFit="1" customWidth="1"/>
    <col min="4" max="4" width="10.109375" style="334" bestFit="1" customWidth="1"/>
    <col min="5" max="5" width="8.21875" style="334" bestFit="1" customWidth="1"/>
    <col min="6" max="6" width="7.44140625" style="334" bestFit="1" customWidth="1"/>
    <col min="7" max="16384" width="8.88671875" style="334"/>
  </cols>
  <sheetData>
    <row r="1" spans="1:6">
      <c r="A1" s="333" t="s">
        <v>175</v>
      </c>
      <c r="B1" s="535" t="s">
        <v>174</v>
      </c>
      <c r="C1" s="536"/>
      <c r="D1" s="536"/>
      <c r="E1" s="536"/>
      <c r="F1" s="537"/>
    </row>
    <row r="2" spans="1:6">
      <c r="A2" s="333" t="s">
        <v>176</v>
      </c>
      <c r="B2" s="535" t="s">
        <v>177</v>
      </c>
      <c r="C2" s="536"/>
      <c r="D2" s="536"/>
      <c r="E2" s="536"/>
      <c r="F2" s="537"/>
    </row>
    <row r="3" spans="1:6">
      <c r="A3" s="333" t="s">
        <v>178</v>
      </c>
      <c r="B3" s="538" t="s">
        <v>315</v>
      </c>
      <c r="C3" s="539"/>
      <c r="D3" s="540"/>
      <c r="F3" s="335"/>
    </row>
    <row r="4" spans="1:6">
      <c r="A4" s="333" t="s">
        <v>179</v>
      </c>
      <c r="B4" s="541" t="s">
        <v>285</v>
      </c>
      <c r="C4" s="542"/>
      <c r="D4" s="333" t="s">
        <v>180</v>
      </c>
      <c r="E4" s="541" t="s">
        <v>285</v>
      </c>
      <c r="F4" s="542"/>
    </row>
    <row r="6" spans="1:6">
      <c r="A6" s="333" t="s">
        <v>181</v>
      </c>
      <c r="B6" s="333" t="s">
        <v>182</v>
      </c>
      <c r="C6" s="333" t="s">
        <v>183</v>
      </c>
      <c r="D6" s="333" t="s">
        <v>184</v>
      </c>
      <c r="E6" s="333" t="s">
        <v>185</v>
      </c>
      <c r="F6" s="333" t="s">
        <v>186</v>
      </c>
    </row>
    <row r="7" spans="1:6">
      <c r="A7" s="336" t="s">
        <v>286</v>
      </c>
      <c r="B7" s="336" t="s">
        <v>191</v>
      </c>
      <c r="C7" s="336" t="s">
        <v>355</v>
      </c>
      <c r="D7" s="338">
        <v>237000</v>
      </c>
      <c r="E7" s="337">
        <v>0</v>
      </c>
      <c r="F7" s="338">
        <v>515620</v>
      </c>
    </row>
    <row r="8" spans="1:6">
      <c r="A8" s="336" t="s">
        <v>187</v>
      </c>
      <c r="B8" s="336" t="s">
        <v>188</v>
      </c>
      <c r="C8" s="336" t="s">
        <v>189</v>
      </c>
      <c r="D8" s="337">
        <v>0</v>
      </c>
      <c r="E8" s="338">
        <v>746790</v>
      </c>
      <c r="F8" s="338">
        <v>752620</v>
      </c>
    </row>
    <row r="9" spans="1:6">
      <c r="A9" s="336" t="s">
        <v>190</v>
      </c>
      <c r="B9" s="336" t="s">
        <v>191</v>
      </c>
      <c r="C9" s="336" t="s">
        <v>356</v>
      </c>
      <c r="D9" s="337">
        <v>430</v>
      </c>
      <c r="E9" s="337">
        <v>0</v>
      </c>
      <c r="F9" s="338">
        <v>5830</v>
      </c>
    </row>
    <row r="10" spans="1:6">
      <c r="A10" s="336" t="s">
        <v>192</v>
      </c>
      <c r="B10" s="336" t="s">
        <v>188</v>
      </c>
      <c r="C10" s="336" t="s">
        <v>193</v>
      </c>
      <c r="D10" s="337">
        <v>0</v>
      </c>
      <c r="E10" s="337">
        <v>39</v>
      </c>
      <c r="F10" s="338">
        <v>6260</v>
      </c>
    </row>
    <row r="11" spans="1:6">
      <c r="A11" s="336" t="s">
        <v>194</v>
      </c>
      <c r="B11" s="336" t="s">
        <v>191</v>
      </c>
      <c r="C11" s="336" t="s">
        <v>356</v>
      </c>
      <c r="D11" s="338">
        <v>159130</v>
      </c>
      <c r="E11" s="337">
        <v>0</v>
      </c>
      <c r="F11" s="338">
        <v>6221</v>
      </c>
    </row>
    <row r="12" spans="1:6">
      <c r="A12" s="336" t="s">
        <v>195</v>
      </c>
      <c r="B12" s="336" t="s">
        <v>191</v>
      </c>
      <c r="C12" s="336" t="s">
        <v>357</v>
      </c>
      <c r="D12" s="338">
        <v>29830</v>
      </c>
      <c r="E12" s="337">
        <v>0</v>
      </c>
      <c r="F12" s="338">
        <v>165351</v>
      </c>
    </row>
    <row r="13" spans="1:6">
      <c r="A13" s="339"/>
      <c r="B13" s="339"/>
      <c r="C13" s="339" t="s">
        <v>36</v>
      </c>
      <c r="D13" s="340">
        <f>SUM(D7:D12)</f>
        <v>426390</v>
      </c>
      <c r="E13" s="340">
        <f>SUM(E7:E12)</f>
        <v>746829</v>
      </c>
      <c r="F13" s="339"/>
    </row>
  </sheetData>
  <mergeCells count="5">
    <mergeCell ref="B1:F1"/>
    <mergeCell ref="B2:F2"/>
    <mergeCell ref="B3:D3"/>
    <mergeCell ref="B4:C4"/>
    <mergeCell ref="E4:F4"/>
  </mergeCells>
  <phoneticPr fontId="3" type="noConversion"/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opLeftCell="B1" workbookViewId="0">
      <selection activeCell="O13" sqref="O13"/>
    </sheetView>
  </sheetViews>
  <sheetFormatPr defaultRowHeight="12.75"/>
  <cols>
    <col min="1" max="1" width="6.88671875" style="342" hidden="1" customWidth="1"/>
    <col min="2" max="2" width="3.5546875" style="342" customWidth="1"/>
    <col min="3" max="3" width="7.21875" style="342" customWidth="1"/>
    <col min="4" max="6" width="9.109375" style="342" customWidth="1"/>
    <col min="7" max="7" width="6.5546875" style="342" customWidth="1"/>
    <col min="8" max="8" width="10.44140625" style="342" customWidth="1"/>
    <col min="9" max="9" width="6.5546875" style="342" customWidth="1"/>
    <col min="10" max="10" width="9.5546875" style="342" customWidth="1"/>
    <col min="11" max="12" width="6.88671875" style="342" hidden="1" customWidth="1"/>
    <col min="13" max="256" width="8.88671875" style="342"/>
    <col min="257" max="257" width="0" style="342" hidden="1" customWidth="1"/>
    <col min="258" max="258" width="3.5546875" style="342" customWidth="1"/>
    <col min="259" max="259" width="7.21875" style="342" customWidth="1"/>
    <col min="260" max="262" width="9.109375" style="342" customWidth="1"/>
    <col min="263" max="263" width="6.5546875" style="342" customWidth="1"/>
    <col min="264" max="264" width="7.88671875" style="342" customWidth="1"/>
    <col min="265" max="265" width="6.5546875" style="342" customWidth="1"/>
    <col min="266" max="266" width="9.5546875" style="342" customWidth="1"/>
    <col min="267" max="268" width="0" style="342" hidden="1" customWidth="1"/>
    <col min="269" max="512" width="8.88671875" style="342"/>
    <col min="513" max="513" width="0" style="342" hidden="1" customWidth="1"/>
    <col min="514" max="514" width="3.5546875" style="342" customWidth="1"/>
    <col min="515" max="515" width="7.21875" style="342" customWidth="1"/>
    <col min="516" max="518" width="9.109375" style="342" customWidth="1"/>
    <col min="519" max="519" width="6.5546875" style="342" customWidth="1"/>
    <col min="520" max="520" width="7.88671875" style="342" customWidth="1"/>
    <col min="521" max="521" width="6.5546875" style="342" customWidth="1"/>
    <col min="522" max="522" width="9.5546875" style="342" customWidth="1"/>
    <col min="523" max="524" width="0" style="342" hidden="1" customWidth="1"/>
    <col min="525" max="768" width="8.88671875" style="342"/>
    <col min="769" max="769" width="0" style="342" hidden="1" customWidth="1"/>
    <col min="770" max="770" width="3.5546875" style="342" customWidth="1"/>
    <col min="771" max="771" width="7.21875" style="342" customWidth="1"/>
    <col min="772" max="774" width="9.109375" style="342" customWidth="1"/>
    <col min="775" max="775" width="6.5546875" style="342" customWidth="1"/>
    <col min="776" max="776" width="7.88671875" style="342" customWidth="1"/>
    <col min="777" max="777" width="6.5546875" style="342" customWidth="1"/>
    <col min="778" max="778" width="9.5546875" style="342" customWidth="1"/>
    <col min="779" max="780" width="0" style="342" hidden="1" customWidth="1"/>
    <col min="781" max="1024" width="8.88671875" style="342"/>
    <col min="1025" max="1025" width="0" style="342" hidden="1" customWidth="1"/>
    <col min="1026" max="1026" width="3.5546875" style="342" customWidth="1"/>
    <col min="1027" max="1027" width="7.21875" style="342" customWidth="1"/>
    <col min="1028" max="1030" width="9.109375" style="342" customWidth="1"/>
    <col min="1031" max="1031" width="6.5546875" style="342" customWidth="1"/>
    <col min="1032" max="1032" width="7.88671875" style="342" customWidth="1"/>
    <col min="1033" max="1033" width="6.5546875" style="342" customWidth="1"/>
    <col min="1034" max="1034" width="9.5546875" style="342" customWidth="1"/>
    <col min="1035" max="1036" width="0" style="342" hidden="1" customWidth="1"/>
    <col min="1037" max="1280" width="8.88671875" style="342"/>
    <col min="1281" max="1281" width="0" style="342" hidden="1" customWidth="1"/>
    <col min="1282" max="1282" width="3.5546875" style="342" customWidth="1"/>
    <col min="1283" max="1283" width="7.21875" style="342" customWidth="1"/>
    <col min="1284" max="1286" width="9.109375" style="342" customWidth="1"/>
    <col min="1287" max="1287" width="6.5546875" style="342" customWidth="1"/>
    <col min="1288" max="1288" width="7.88671875" style="342" customWidth="1"/>
    <col min="1289" max="1289" width="6.5546875" style="342" customWidth="1"/>
    <col min="1290" max="1290" width="9.5546875" style="342" customWidth="1"/>
    <col min="1291" max="1292" width="0" style="342" hidden="1" customWidth="1"/>
    <col min="1293" max="1536" width="8.88671875" style="342"/>
    <col min="1537" max="1537" width="0" style="342" hidden="1" customWidth="1"/>
    <col min="1538" max="1538" width="3.5546875" style="342" customWidth="1"/>
    <col min="1539" max="1539" width="7.21875" style="342" customWidth="1"/>
    <col min="1540" max="1542" width="9.109375" style="342" customWidth="1"/>
    <col min="1543" max="1543" width="6.5546875" style="342" customWidth="1"/>
    <col min="1544" max="1544" width="7.88671875" style="342" customWidth="1"/>
    <col min="1545" max="1545" width="6.5546875" style="342" customWidth="1"/>
    <col min="1546" max="1546" width="9.5546875" style="342" customWidth="1"/>
    <col min="1547" max="1548" width="0" style="342" hidden="1" customWidth="1"/>
    <col min="1549" max="1792" width="8.88671875" style="342"/>
    <col min="1793" max="1793" width="0" style="342" hidden="1" customWidth="1"/>
    <col min="1794" max="1794" width="3.5546875" style="342" customWidth="1"/>
    <col min="1795" max="1795" width="7.21875" style="342" customWidth="1"/>
    <col min="1796" max="1798" width="9.109375" style="342" customWidth="1"/>
    <col min="1799" max="1799" width="6.5546875" style="342" customWidth="1"/>
    <col min="1800" max="1800" width="7.88671875" style="342" customWidth="1"/>
    <col min="1801" max="1801" width="6.5546875" style="342" customWidth="1"/>
    <col min="1802" max="1802" width="9.5546875" style="342" customWidth="1"/>
    <col min="1803" max="1804" width="0" style="342" hidden="1" customWidth="1"/>
    <col min="1805" max="2048" width="8.88671875" style="342"/>
    <col min="2049" max="2049" width="0" style="342" hidden="1" customWidth="1"/>
    <col min="2050" max="2050" width="3.5546875" style="342" customWidth="1"/>
    <col min="2051" max="2051" width="7.21875" style="342" customWidth="1"/>
    <col min="2052" max="2054" width="9.109375" style="342" customWidth="1"/>
    <col min="2055" max="2055" width="6.5546875" style="342" customWidth="1"/>
    <col min="2056" max="2056" width="7.88671875" style="342" customWidth="1"/>
    <col min="2057" max="2057" width="6.5546875" style="342" customWidth="1"/>
    <col min="2058" max="2058" width="9.5546875" style="342" customWidth="1"/>
    <col min="2059" max="2060" width="0" style="342" hidden="1" customWidth="1"/>
    <col min="2061" max="2304" width="8.88671875" style="342"/>
    <col min="2305" max="2305" width="0" style="342" hidden="1" customWidth="1"/>
    <col min="2306" max="2306" width="3.5546875" style="342" customWidth="1"/>
    <col min="2307" max="2307" width="7.21875" style="342" customWidth="1"/>
    <col min="2308" max="2310" width="9.109375" style="342" customWidth="1"/>
    <col min="2311" max="2311" width="6.5546875" style="342" customWidth="1"/>
    <col min="2312" max="2312" width="7.88671875" style="342" customWidth="1"/>
    <col min="2313" max="2313" width="6.5546875" style="342" customWidth="1"/>
    <col min="2314" max="2314" width="9.5546875" style="342" customWidth="1"/>
    <col min="2315" max="2316" width="0" style="342" hidden="1" customWidth="1"/>
    <col min="2317" max="2560" width="8.88671875" style="342"/>
    <col min="2561" max="2561" width="0" style="342" hidden="1" customWidth="1"/>
    <col min="2562" max="2562" width="3.5546875" style="342" customWidth="1"/>
    <col min="2563" max="2563" width="7.21875" style="342" customWidth="1"/>
    <col min="2564" max="2566" width="9.109375" style="342" customWidth="1"/>
    <col min="2567" max="2567" width="6.5546875" style="342" customWidth="1"/>
    <col min="2568" max="2568" width="7.88671875" style="342" customWidth="1"/>
    <col min="2569" max="2569" width="6.5546875" style="342" customWidth="1"/>
    <col min="2570" max="2570" width="9.5546875" style="342" customWidth="1"/>
    <col min="2571" max="2572" width="0" style="342" hidden="1" customWidth="1"/>
    <col min="2573" max="2816" width="8.88671875" style="342"/>
    <col min="2817" max="2817" width="0" style="342" hidden="1" customWidth="1"/>
    <col min="2818" max="2818" width="3.5546875" style="342" customWidth="1"/>
    <col min="2819" max="2819" width="7.21875" style="342" customWidth="1"/>
    <col min="2820" max="2822" width="9.109375" style="342" customWidth="1"/>
    <col min="2823" max="2823" width="6.5546875" style="342" customWidth="1"/>
    <col min="2824" max="2824" width="7.88671875" style="342" customWidth="1"/>
    <col min="2825" max="2825" width="6.5546875" style="342" customWidth="1"/>
    <col min="2826" max="2826" width="9.5546875" style="342" customWidth="1"/>
    <col min="2827" max="2828" width="0" style="342" hidden="1" customWidth="1"/>
    <col min="2829" max="3072" width="8.88671875" style="342"/>
    <col min="3073" max="3073" width="0" style="342" hidden="1" customWidth="1"/>
    <col min="3074" max="3074" width="3.5546875" style="342" customWidth="1"/>
    <col min="3075" max="3075" width="7.21875" style="342" customWidth="1"/>
    <col min="3076" max="3078" width="9.109375" style="342" customWidth="1"/>
    <col min="3079" max="3079" width="6.5546875" style="342" customWidth="1"/>
    <col min="3080" max="3080" width="7.88671875" style="342" customWidth="1"/>
    <col min="3081" max="3081" width="6.5546875" style="342" customWidth="1"/>
    <col min="3082" max="3082" width="9.5546875" style="342" customWidth="1"/>
    <col min="3083" max="3084" width="0" style="342" hidden="1" customWidth="1"/>
    <col min="3085" max="3328" width="8.88671875" style="342"/>
    <col min="3329" max="3329" width="0" style="342" hidden="1" customWidth="1"/>
    <col min="3330" max="3330" width="3.5546875" style="342" customWidth="1"/>
    <col min="3331" max="3331" width="7.21875" style="342" customWidth="1"/>
    <col min="3332" max="3334" width="9.109375" style="342" customWidth="1"/>
    <col min="3335" max="3335" width="6.5546875" style="342" customWidth="1"/>
    <col min="3336" max="3336" width="7.88671875" style="342" customWidth="1"/>
    <col min="3337" max="3337" width="6.5546875" style="342" customWidth="1"/>
    <col min="3338" max="3338" width="9.5546875" style="342" customWidth="1"/>
    <col min="3339" max="3340" width="0" style="342" hidden="1" customWidth="1"/>
    <col min="3341" max="3584" width="8.88671875" style="342"/>
    <col min="3585" max="3585" width="0" style="342" hidden="1" customWidth="1"/>
    <col min="3586" max="3586" width="3.5546875" style="342" customWidth="1"/>
    <col min="3587" max="3587" width="7.21875" style="342" customWidth="1"/>
    <col min="3588" max="3590" width="9.109375" style="342" customWidth="1"/>
    <col min="3591" max="3591" width="6.5546875" style="342" customWidth="1"/>
    <col min="3592" max="3592" width="7.88671875" style="342" customWidth="1"/>
    <col min="3593" max="3593" width="6.5546875" style="342" customWidth="1"/>
    <col min="3594" max="3594" width="9.5546875" style="342" customWidth="1"/>
    <col min="3595" max="3596" width="0" style="342" hidden="1" customWidth="1"/>
    <col min="3597" max="3840" width="8.88671875" style="342"/>
    <col min="3841" max="3841" width="0" style="342" hidden="1" customWidth="1"/>
    <col min="3842" max="3842" width="3.5546875" style="342" customWidth="1"/>
    <col min="3843" max="3843" width="7.21875" style="342" customWidth="1"/>
    <col min="3844" max="3846" width="9.109375" style="342" customWidth="1"/>
    <col min="3847" max="3847" width="6.5546875" style="342" customWidth="1"/>
    <col min="3848" max="3848" width="7.88671875" style="342" customWidth="1"/>
    <col min="3849" max="3849" width="6.5546875" style="342" customWidth="1"/>
    <col min="3850" max="3850" width="9.5546875" style="342" customWidth="1"/>
    <col min="3851" max="3852" width="0" style="342" hidden="1" customWidth="1"/>
    <col min="3853" max="4096" width="8.88671875" style="342"/>
    <col min="4097" max="4097" width="0" style="342" hidden="1" customWidth="1"/>
    <col min="4098" max="4098" width="3.5546875" style="342" customWidth="1"/>
    <col min="4099" max="4099" width="7.21875" style="342" customWidth="1"/>
    <col min="4100" max="4102" width="9.109375" style="342" customWidth="1"/>
    <col min="4103" max="4103" width="6.5546875" style="342" customWidth="1"/>
    <col min="4104" max="4104" width="7.88671875" style="342" customWidth="1"/>
    <col min="4105" max="4105" width="6.5546875" style="342" customWidth="1"/>
    <col min="4106" max="4106" width="9.5546875" style="342" customWidth="1"/>
    <col min="4107" max="4108" width="0" style="342" hidden="1" customWidth="1"/>
    <col min="4109" max="4352" width="8.88671875" style="342"/>
    <col min="4353" max="4353" width="0" style="342" hidden="1" customWidth="1"/>
    <col min="4354" max="4354" width="3.5546875" style="342" customWidth="1"/>
    <col min="4355" max="4355" width="7.21875" style="342" customWidth="1"/>
    <col min="4356" max="4358" width="9.109375" style="342" customWidth="1"/>
    <col min="4359" max="4359" width="6.5546875" style="342" customWidth="1"/>
    <col min="4360" max="4360" width="7.88671875" style="342" customWidth="1"/>
    <col min="4361" max="4361" width="6.5546875" style="342" customWidth="1"/>
    <col min="4362" max="4362" width="9.5546875" style="342" customWidth="1"/>
    <col min="4363" max="4364" width="0" style="342" hidden="1" customWidth="1"/>
    <col min="4365" max="4608" width="8.88671875" style="342"/>
    <col min="4609" max="4609" width="0" style="342" hidden="1" customWidth="1"/>
    <col min="4610" max="4610" width="3.5546875" style="342" customWidth="1"/>
    <col min="4611" max="4611" width="7.21875" style="342" customWidth="1"/>
    <col min="4612" max="4614" width="9.109375" style="342" customWidth="1"/>
    <col min="4615" max="4615" width="6.5546875" style="342" customWidth="1"/>
    <col min="4616" max="4616" width="7.88671875" style="342" customWidth="1"/>
    <col min="4617" max="4617" width="6.5546875" style="342" customWidth="1"/>
    <col min="4618" max="4618" width="9.5546875" style="342" customWidth="1"/>
    <col min="4619" max="4620" width="0" style="342" hidden="1" customWidth="1"/>
    <col min="4621" max="4864" width="8.88671875" style="342"/>
    <col min="4865" max="4865" width="0" style="342" hidden="1" customWidth="1"/>
    <col min="4866" max="4866" width="3.5546875" style="342" customWidth="1"/>
    <col min="4867" max="4867" width="7.21875" style="342" customWidth="1"/>
    <col min="4868" max="4870" width="9.109375" style="342" customWidth="1"/>
    <col min="4871" max="4871" width="6.5546875" style="342" customWidth="1"/>
    <col min="4872" max="4872" width="7.88671875" style="342" customWidth="1"/>
    <col min="4873" max="4873" width="6.5546875" style="342" customWidth="1"/>
    <col min="4874" max="4874" width="9.5546875" style="342" customWidth="1"/>
    <col min="4875" max="4876" width="0" style="342" hidden="1" customWidth="1"/>
    <col min="4877" max="5120" width="8.88671875" style="342"/>
    <col min="5121" max="5121" width="0" style="342" hidden="1" customWidth="1"/>
    <col min="5122" max="5122" width="3.5546875" style="342" customWidth="1"/>
    <col min="5123" max="5123" width="7.21875" style="342" customWidth="1"/>
    <col min="5124" max="5126" width="9.109375" style="342" customWidth="1"/>
    <col min="5127" max="5127" width="6.5546875" style="342" customWidth="1"/>
    <col min="5128" max="5128" width="7.88671875" style="342" customWidth="1"/>
    <col min="5129" max="5129" width="6.5546875" style="342" customWidth="1"/>
    <col min="5130" max="5130" width="9.5546875" style="342" customWidth="1"/>
    <col min="5131" max="5132" width="0" style="342" hidden="1" customWidth="1"/>
    <col min="5133" max="5376" width="8.88671875" style="342"/>
    <col min="5377" max="5377" width="0" style="342" hidden="1" customWidth="1"/>
    <col min="5378" max="5378" width="3.5546875" style="342" customWidth="1"/>
    <col min="5379" max="5379" width="7.21875" style="342" customWidth="1"/>
    <col min="5380" max="5382" width="9.109375" style="342" customWidth="1"/>
    <col min="5383" max="5383" width="6.5546875" style="342" customWidth="1"/>
    <col min="5384" max="5384" width="7.88671875" style="342" customWidth="1"/>
    <col min="5385" max="5385" width="6.5546875" style="342" customWidth="1"/>
    <col min="5386" max="5386" width="9.5546875" style="342" customWidth="1"/>
    <col min="5387" max="5388" width="0" style="342" hidden="1" customWidth="1"/>
    <col min="5389" max="5632" width="8.88671875" style="342"/>
    <col min="5633" max="5633" width="0" style="342" hidden="1" customWidth="1"/>
    <col min="5634" max="5634" width="3.5546875" style="342" customWidth="1"/>
    <col min="5635" max="5635" width="7.21875" style="342" customWidth="1"/>
    <col min="5636" max="5638" width="9.109375" style="342" customWidth="1"/>
    <col min="5639" max="5639" width="6.5546875" style="342" customWidth="1"/>
    <col min="5640" max="5640" width="7.88671875" style="342" customWidth="1"/>
    <col min="5641" max="5641" width="6.5546875" style="342" customWidth="1"/>
    <col min="5642" max="5642" width="9.5546875" style="342" customWidth="1"/>
    <col min="5643" max="5644" width="0" style="342" hidden="1" customWidth="1"/>
    <col min="5645" max="5888" width="8.88671875" style="342"/>
    <col min="5889" max="5889" width="0" style="342" hidden="1" customWidth="1"/>
    <col min="5890" max="5890" width="3.5546875" style="342" customWidth="1"/>
    <col min="5891" max="5891" width="7.21875" style="342" customWidth="1"/>
    <col min="5892" max="5894" width="9.109375" style="342" customWidth="1"/>
    <col min="5895" max="5895" width="6.5546875" style="342" customWidth="1"/>
    <col min="5896" max="5896" width="7.88671875" style="342" customWidth="1"/>
    <col min="5897" max="5897" width="6.5546875" style="342" customWidth="1"/>
    <col min="5898" max="5898" width="9.5546875" style="342" customWidth="1"/>
    <col min="5899" max="5900" width="0" style="342" hidden="1" customWidth="1"/>
    <col min="5901" max="6144" width="8.88671875" style="342"/>
    <col min="6145" max="6145" width="0" style="342" hidden="1" customWidth="1"/>
    <col min="6146" max="6146" width="3.5546875" style="342" customWidth="1"/>
    <col min="6147" max="6147" width="7.21875" style="342" customWidth="1"/>
    <col min="6148" max="6150" width="9.109375" style="342" customWidth="1"/>
    <col min="6151" max="6151" width="6.5546875" style="342" customWidth="1"/>
    <col min="6152" max="6152" width="7.88671875" style="342" customWidth="1"/>
    <col min="6153" max="6153" width="6.5546875" style="342" customWidth="1"/>
    <col min="6154" max="6154" width="9.5546875" style="342" customWidth="1"/>
    <col min="6155" max="6156" width="0" style="342" hidden="1" customWidth="1"/>
    <col min="6157" max="6400" width="8.88671875" style="342"/>
    <col min="6401" max="6401" width="0" style="342" hidden="1" customWidth="1"/>
    <col min="6402" max="6402" width="3.5546875" style="342" customWidth="1"/>
    <col min="6403" max="6403" width="7.21875" style="342" customWidth="1"/>
    <col min="6404" max="6406" width="9.109375" style="342" customWidth="1"/>
    <col min="6407" max="6407" width="6.5546875" style="342" customWidth="1"/>
    <col min="6408" max="6408" width="7.88671875" style="342" customWidth="1"/>
    <col min="6409" max="6409" width="6.5546875" style="342" customWidth="1"/>
    <col min="6410" max="6410" width="9.5546875" style="342" customWidth="1"/>
    <col min="6411" max="6412" width="0" style="342" hidden="1" customWidth="1"/>
    <col min="6413" max="6656" width="8.88671875" style="342"/>
    <col min="6657" max="6657" width="0" style="342" hidden="1" customWidth="1"/>
    <col min="6658" max="6658" width="3.5546875" style="342" customWidth="1"/>
    <col min="6659" max="6659" width="7.21875" style="342" customWidth="1"/>
    <col min="6660" max="6662" width="9.109375" style="342" customWidth="1"/>
    <col min="6663" max="6663" width="6.5546875" style="342" customWidth="1"/>
    <col min="6664" max="6664" width="7.88671875" style="342" customWidth="1"/>
    <col min="6665" max="6665" width="6.5546875" style="342" customWidth="1"/>
    <col min="6666" max="6666" width="9.5546875" style="342" customWidth="1"/>
    <col min="6667" max="6668" width="0" style="342" hidden="1" customWidth="1"/>
    <col min="6669" max="6912" width="8.88671875" style="342"/>
    <col min="6913" max="6913" width="0" style="342" hidden="1" customWidth="1"/>
    <col min="6914" max="6914" width="3.5546875" style="342" customWidth="1"/>
    <col min="6915" max="6915" width="7.21875" style="342" customWidth="1"/>
    <col min="6916" max="6918" width="9.109375" style="342" customWidth="1"/>
    <col min="6919" max="6919" width="6.5546875" style="342" customWidth="1"/>
    <col min="6920" max="6920" width="7.88671875" style="342" customWidth="1"/>
    <col min="6921" max="6921" width="6.5546875" style="342" customWidth="1"/>
    <col min="6922" max="6922" width="9.5546875" style="342" customWidth="1"/>
    <col min="6923" max="6924" width="0" style="342" hidden="1" customWidth="1"/>
    <col min="6925" max="7168" width="8.88671875" style="342"/>
    <col min="7169" max="7169" width="0" style="342" hidden="1" customWidth="1"/>
    <col min="7170" max="7170" width="3.5546875" style="342" customWidth="1"/>
    <col min="7171" max="7171" width="7.21875" style="342" customWidth="1"/>
    <col min="7172" max="7174" width="9.109375" style="342" customWidth="1"/>
    <col min="7175" max="7175" width="6.5546875" style="342" customWidth="1"/>
    <col min="7176" max="7176" width="7.88671875" style="342" customWidth="1"/>
    <col min="7177" max="7177" width="6.5546875" style="342" customWidth="1"/>
    <col min="7178" max="7178" width="9.5546875" style="342" customWidth="1"/>
    <col min="7179" max="7180" width="0" style="342" hidden="1" customWidth="1"/>
    <col min="7181" max="7424" width="8.88671875" style="342"/>
    <col min="7425" max="7425" width="0" style="342" hidden="1" customWidth="1"/>
    <col min="7426" max="7426" width="3.5546875" style="342" customWidth="1"/>
    <col min="7427" max="7427" width="7.21875" style="342" customWidth="1"/>
    <col min="7428" max="7430" width="9.109375" style="342" customWidth="1"/>
    <col min="7431" max="7431" width="6.5546875" style="342" customWidth="1"/>
    <col min="7432" max="7432" width="7.88671875" style="342" customWidth="1"/>
    <col min="7433" max="7433" width="6.5546875" style="342" customWidth="1"/>
    <col min="7434" max="7434" width="9.5546875" style="342" customWidth="1"/>
    <col min="7435" max="7436" width="0" style="342" hidden="1" customWidth="1"/>
    <col min="7437" max="7680" width="8.88671875" style="342"/>
    <col min="7681" max="7681" width="0" style="342" hidden="1" customWidth="1"/>
    <col min="7682" max="7682" width="3.5546875" style="342" customWidth="1"/>
    <col min="7683" max="7683" width="7.21875" style="342" customWidth="1"/>
    <col min="7684" max="7686" width="9.109375" style="342" customWidth="1"/>
    <col min="7687" max="7687" width="6.5546875" style="342" customWidth="1"/>
    <col min="7688" max="7688" width="7.88671875" style="342" customWidth="1"/>
    <col min="7689" max="7689" width="6.5546875" style="342" customWidth="1"/>
    <col min="7690" max="7690" width="9.5546875" style="342" customWidth="1"/>
    <col min="7691" max="7692" width="0" style="342" hidden="1" customWidth="1"/>
    <col min="7693" max="7936" width="8.88671875" style="342"/>
    <col min="7937" max="7937" width="0" style="342" hidden="1" customWidth="1"/>
    <col min="7938" max="7938" width="3.5546875" style="342" customWidth="1"/>
    <col min="7939" max="7939" width="7.21875" style="342" customWidth="1"/>
    <col min="7940" max="7942" width="9.109375" style="342" customWidth="1"/>
    <col min="7943" max="7943" width="6.5546875" style="342" customWidth="1"/>
    <col min="7944" max="7944" width="7.88671875" style="342" customWidth="1"/>
    <col min="7945" max="7945" width="6.5546875" style="342" customWidth="1"/>
    <col min="7946" max="7946" width="9.5546875" style="342" customWidth="1"/>
    <col min="7947" max="7948" width="0" style="342" hidden="1" customWidth="1"/>
    <col min="7949" max="8192" width="8.88671875" style="342"/>
    <col min="8193" max="8193" width="0" style="342" hidden="1" customWidth="1"/>
    <col min="8194" max="8194" width="3.5546875" style="342" customWidth="1"/>
    <col min="8195" max="8195" width="7.21875" style="342" customWidth="1"/>
    <col min="8196" max="8198" width="9.109375" style="342" customWidth="1"/>
    <col min="8199" max="8199" width="6.5546875" style="342" customWidth="1"/>
    <col min="8200" max="8200" width="7.88671875" style="342" customWidth="1"/>
    <col min="8201" max="8201" width="6.5546875" style="342" customWidth="1"/>
    <col min="8202" max="8202" width="9.5546875" style="342" customWidth="1"/>
    <col min="8203" max="8204" width="0" style="342" hidden="1" customWidth="1"/>
    <col min="8205" max="8448" width="8.88671875" style="342"/>
    <col min="8449" max="8449" width="0" style="342" hidden="1" customWidth="1"/>
    <col min="8450" max="8450" width="3.5546875" style="342" customWidth="1"/>
    <col min="8451" max="8451" width="7.21875" style="342" customWidth="1"/>
    <col min="8452" max="8454" width="9.109375" style="342" customWidth="1"/>
    <col min="8455" max="8455" width="6.5546875" style="342" customWidth="1"/>
    <col min="8456" max="8456" width="7.88671875" style="342" customWidth="1"/>
    <col min="8457" max="8457" width="6.5546875" style="342" customWidth="1"/>
    <col min="8458" max="8458" width="9.5546875" style="342" customWidth="1"/>
    <col min="8459" max="8460" width="0" style="342" hidden="1" customWidth="1"/>
    <col min="8461" max="8704" width="8.88671875" style="342"/>
    <col min="8705" max="8705" width="0" style="342" hidden="1" customWidth="1"/>
    <col min="8706" max="8706" width="3.5546875" style="342" customWidth="1"/>
    <col min="8707" max="8707" width="7.21875" style="342" customWidth="1"/>
    <col min="8708" max="8710" width="9.109375" style="342" customWidth="1"/>
    <col min="8711" max="8711" width="6.5546875" style="342" customWidth="1"/>
    <col min="8712" max="8712" width="7.88671875" style="342" customWidth="1"/>
    <col min="8713" max="8713" width="6.5546875" style="342" customWidth="1"/>
    <col min="8714" max="8714" width="9.5546875" style="342" customWidth="1"/>
    <col min="8715" max="8716" width="0" style="342" hidden="1" customWidth="1"/>
    <col min="8717" max="8960" width="8.88671875" style="342"/>
    <col min="8961" max="8961" width="0" style="342" hidden="1" customWidth="1"/>
    <col min="8962" max="8962" width="3.5546875" style="342" customWidth="1"/>
    <col min="8963" max="8963" width="7.21875" style="342" customWidth="1"/>
    <col min="8964" max="8966" width="9.109375" style="342" customWidth="1"/>
    <col min="8967" max="8967" width="6.5546875" style="342" customWidth="1"/>
    <col min="8968" max="8968" width="7.88671875" style="342" customWidth="1"/>
    <col min="8969" max="8969" width="6.5546875" style="342" customWidth="1"/>
    <col min="8970" max="8970" width="9.5546875" style="342" customWidth="1"/>
    <col min="8971" max="8972" width="0" style="342" hidden="1" customWidth="1"/>
    <col min="8973" max="9216" width="8.88671875" style="342"/>
    <col min="9217" max="9217" width="0" style="342" hidden="1" customWidth="1"/>
    <col min="9218" max="9218" width="3.5546875" style="342" customWidth="1"/>
    <col min="9219" max="9219" width="7.21875" style="342" customWidth="1"/>
    <col min="9220" max="9222" width="9.109375" style="342" customWidth="1"/>
    <col min="9223" max="9223" width="6.5546875" style="342" customWidth="1"/>
    <col min="9224" max="9224" width="7.88671875" style="342" customWidth="1"/>
    <col min="9225" max="9225" width="6.5546875" style="342" customWidth="1"/>
    <col min="9226" max="9226" width="9.5546875" style="342" customWidth="1"/>
    <col min="9227" max="9228" width="0" style="342" hidden="1" customWidth="1"/>
    <col min="9229" max="9472" width="8.88671875" style="342"/>
    <col min="9473" max="9473" width="0" style="342" hidden="1" customWidth="1"/>
    <col min="9474" max="9474" width="3.5546875" style="342" customWidth="1"/>
    <col min="9475" max="9475" width="7.21875" style="342" customWidth="1"/>
    <col min="9476" max="9478" width="9.109375" style="342" customWidth="1"/>
    <col min="9479" max="9479" width="6.5546875" style="342" customWidth="1"/>
    <col min="9480" max="9480" width="7.88671875" style="342" customWidth="1"/>
    <col min="9481" max="9481" width="6.5546875" style="342" customWidth="1"/>
    <col min="9482" max="9482" width="9.5546875" style="342" customWidth="1"/>
    <col min="9483" max="9484" width="0" style="342" hidden="1" customWidth="1"/>
    <col min="9485" max="9728" width="8.88671875" style="342"/>
    <col min="9729" max="9729" width="0" style="342" hidden="1" customWidth="1"/>
    <col min="9730" max="9730" width="3.5546875" style="342" customWidth="1"/>
    <col min="9731" max="9731" width="7.21875" style="342" customWidth="1"/>
    <col min="9732" max="9734" width="9.109375" style="342" customWidth="1"/>
    <col min="9735" max="9735" width="6.5546875" style="342" customWidth="1"/>
    <col min="9736" max="9736" width="7.88671875" style="342" customWidth="1"/>
    <col min="9737" max="9737" width="6.5546875" style="342" customWidth="1"/>
    <col min="9738" max="9738" width="9.5546875" style="342" customWidth="1"/>
    <col min="9739" max="9740" width="0" style="342" hidden="1" customWidth="1"/>
    <col min="9741" max="9984" width="8.88671875" style="342"/>
    <col min="9985" max="9985" width="0" style="342" hidden="1" customWidth="1"/>
    <col min="9986" max="9986" width="3.5546875" style="342" customWidth="1"/>
    <col min="9987" max="9987" width="7.21875" style="342" customWidth="1"/>
    <col min="9988" max="9990" width="9.109375" style="342" customWidth="1"/>
    <col min="9991" max="9991" width="6.5546875" style="342" customWidth="1"/>
    <col min="9992" max="9992" width="7.88671875" style="342" customWidth="1"/>
    <col min="9993" max="9993" width="6.5546875" style="342" customWidth="1"/>
    <col min="9994" max="9994" width="9.5546875" style="342" customWidth="1"/>
    <col min="9995" max="9996" width="0" style="342" hidden="1" customWidth="1"/>
    <col min="9997" max="10240" width="8.88671875" style="342"/>
    <col min="10241" max="10241" width="0" style="342" hidden="1" customWidth="1"/>
    <col min="10242" max="10242" width="3.5546875" style="342" customWidth="1"/>
    <col min="10243" max="10243" width="7.21875" style="342" customWidth="1"/>
    <col min="10244" max="10246" width="9.109375" style="342" customWidth="1"/>
    <col min="10247" max="10247" width="6.5546875" style="342" customWidth="1"/>
    <col min="10248" max="10248" width="7.88671875" style="342" customWidth="1"/>
    <col min="10249" max="10249" width="6.5546875" style="342" customWidth="1"/>
    <col min="10250" max="10250" width="9.5546875" style="342" customWidth="1"/>
    <col min="10251" max="10252" width="0" style="342" hidden="1" customWidth="1"/>
    <col min="10253" max="10496" width="8.88671875" style="342"/>
    <col min="10497" max="10497" width="0" style="342" hidden="1" customWidth="1"/>
    <col min="10498" max="10498" width="3.5546875" style="342" customWidth="1"/>
    <col min="10499" max="10499" width="7.21875" style="342" customWidth="1"/>
    <col min="10500" max="10502" width="9.109375" style="342" customWidth="1"/>
    <col min="10503" max="10503" width="6.5546875" style="342" customWidth="1"/>
    <col min="10504" max="10504" width="7.88671875" style="342" customWidth="1"/>
    <col min="10505" max="10505" width="6.5546875" style="342" customWidth="1"/>
    <col min="10506" max="10506" width="9.5546875" style="342" customWidth="1"/>
    <col min="10507" max="10508" width="0" style="342" hidden="1" customWidth="1"/>
    <col min="10509" max="10752" width="8.88671875" style="342"/>
    <col min="10753" max="10753" width="0" style="342" hidden="1" customWidth="1"/>
    <col min="10754" max="10754" width="3.5546875" style="342" customWidth="1"/>
    <col min="10755" max="10755" width="7.21875" style="342" customWidth="1"/>
    <col min="10756" max="10758" width="9.109375" style="342" customWidth="1"/>
    <col min="10759" max="10759" width="6.5546875" style="342" customWidth="1"/>
    <col min="10760" max="10760" width="7.88671875" style="342" customWidth="1"/>
    <col min="10761" max="10761" width="6.5546875" style="342" customWidth="1"/>
    <col min="10762" max="10762" width="9.5546875" style="342" customWidth="1"/>
    <col min="10763" max="10764" width="0" style="342" hidden="1" customWidth="1"/>
    <col min="10765" max="11008" width="8.88671875" style="342"/>
    <col min="11009" max="11009" width="0" style="342" hidden="1" customWidth="1"/>
    <col min="11010" max="11010" width="3.5546875" style="342" customWidth="1"/>
    <col min="11011" max="11011" width="7.21875" style="342" customWidth="1"/>
    <col min="11012" max="11014" width="9.109375" style="342" customWidth="1"/>
    <col min="11015" max="11015" width="6.5546875" style="342" customWidth="1"/>
    <col min="11016" max="11016" width="7.88671875" style="342" customWidth="1"/>
    <col min="11017" max="11017" width="6.5546875" style="342" customWidth="1"/>
    <col min="11018" max="11018" width="9.5546875" style="342" customWidth="1"/>
    <col min="11019" max="11020" width="0" style="342" hidden="1" customWidth="1"/>
    <col min="11021" max="11264" width="8.88671875" style="342"/>
    <col min="11265" max="11265" width="0" style="342" hidden="1" customWidth="1"/>
    <col min="11266" max="11266" width="3.5546875" style="342" customWidth="1"/>
    <col min="11267" max="11267" width="7.21875" style="342" customWidth="1"/>
    <col min="11268" max="11270" width="9.109375" style="342" customWidth="1"/>
    <col min="11271" max="11271" width="6.5546875" style="342" customWidth="1"/>
    <col min="11272" max="11272" width="7.88671875" style="342" customWidth="1"/>
    <col min="11273" max="11273" width="6.5546875" style="342" customWidth="1"/>
    <col min="11274" max="11274" width="9.5546875" style="342" customWidth="1"/>
    <col min="11275" max="11276" width="0" style="342" hidden="1" customWidth="1"/>
    <col min="11277" max="11520" width="8.88671875" style="342"/>
    <col min="11521" max="11521" width="0" style="342" hidden="1" customWidth="1"/>
    <col min="11522" max="11522" width="3.5546875" style="342" customWidth="1"/>
    <col min="11523" max="11523" width="7.21875" style="342" customWidth="1"/>
    <col min="11524" max="11526" width="9.109375" style="342" customWidth="1"/>
    <col min="11527" max="11527" width="6.5546875" style="342" customWidth="1"/>
    <col min="11528" max="11528" width="7.88671875" style="342" customWidth="1"/>
    <col min="11529" max="11529" width="6.5546875" style="342" customWidth="1"/>
    <col min="11530" max="11530" width="9.5546875" style="342" customWidth="1"/>
    <col min="11531" max="11532" width="0" style="342" hidden="1" customWidth="1"/>
    <col min="11533" max="11776" width="8.88671875" style="342"/>
    <col min="11777" max="11777" width="0" style="342" hidden="1" customWidth="1"/>
    <col min="11778" max="11778" width="3.5546875" style="342" customWidth="1"/>
    <col min="11779" max="11779" width="7.21875" style="342" customWidth="1"/>
    <col min="11780" max="11782" width="9.109375" style="342" customWidth="1"/>
    <col min="11783" max="11783" width="6.5546875" style="342" customWidth="1"/>
    <col min="11784" max="11784" width="7.88671875" style="342" customWidth="1"/>
    <col min="11785" max="11785" width="6.5546875" style="342" customWidth="1"/>
    <col min="11786" max="11786" width="9.5546875" style="342" customWidth="1"/>
    <col min="11787" max="11788" width="0" style="342" hidden="1" customWidth="1"/>
    <col min="11789" max="12032" width="8.88671875" style="342"/>
    <col min="12033" max="12033" width="0" style="342" hidden="1" customWidth="1"/>
    <col min="12034" max="12034" width="3.5546875" style="342" customWidth="1"/>
    <col min="12035" max="12035" width="7.21875" style="342" customWidth="1"/>
    <col min="12036" max="12038" width="9.109375" style="342" customWidth="1"/>
    <col min="12039" max="12039" width="6.5546875" style="342" customWidth="1"/>
    <col min="12040" max="12040" width="7.88671875" style="342" customWidth="1"/>
    <col min="12041" max="12041" width="6.5546875" style="342" customWidth="1"/>
    <col min="12042" max="12042" width="9.5546875" style="342" customWidth="1"/>
    <col min="12043" max="12044" width="0" style="342" hidden="1" customWidth="1"/>
    <col min="12045" max="12288" width="8.88671875" style="342"/>
    <col min="12289" max="12289" width="0" style="342" hidden="1" customWidth="1"/>
    <col min="12290" max="12290" width="3.5546875" style="342" customWidth="1"/>
    <col min="12291" max="12291" width="7.21875" style="342" customWidth="1"/>
    <col min="12292" max="12294" width="9.109375" style="342" customWidth="1"/>
    <col min="12295" max="12295" width="6.5546875" style="342" customWidth="1"/>
    <col min="12296" max="12296" width="7.88671875" style="342" customWidth="1"/>
    <col min="12297" max="12297" width="6.5546875" style="342" customWidth="1"/>
    <col min="12298" max="12298" width="9.5546875" style="342" customWidth="1"/>
    <col min="12299" max="12300" width="0" style="342" hidden="1" customWidth="1"/>
    <col min="12301" max="12544" width="8.88671875" style="342"/>
    <col min="12545" max="12545" width="0" style="342" hidden="1" customWidth="1"/>
    <col min="12546" max="12546" width="3.5546875" style="342" customWidth="1"/>
    <col min="12547" max="12547" width="7.21875" style="342" customWidth="1"/>
    <col min="12548" max="12550" width="9.109375" style="342" customWidth="1"/>
    <col min="12551" max="12551" width="6.5546875" style="342" customWidth="1"/>
    <col min="12552" max="12552" width="7.88671875" style="342" customWidth="1"/>
    <col min="12553" max="12553" width="6.5546875" style="342" customWidth="1"/>
    <col min="12554" max="12554" width="9.5546875" style="342" customWidth="1"/>
    <col min="12555" max="12556" width="0" style="342" hidden="1" customWidth="1"/>
    <col min="12557" max="12800" width="8.88671875" style="342"/>
    <col min="12801" max="12801" width="0" style="342" hidden="1" customWidth="1"/>
    <col min="12802" max="12802" width="3.5546875" style="342" customWidth="1"/>
    <col min="12803" max="12803" width="7.21875" style="342" customWidth="1"/>
    <col min="12804" max="12806" width="9.109375" style="342" customWidth="1"/>
    <col min="12807" max="12807" width="6.5546875" style="342" customWidth="1"/>
    <col min="12808" max="12808" width="7.88671875" style="342" customWidth="1"/>
    <col min="12809" max="12809" width="6.5546875" style="342" customWidth="1"/>
    <col min="12810" max="12810" width="9.5546875" style="342" customWidth="1"/>
    <col min="12811" max="12812" width="0" style="342" hidden="1" customWidth="1"/>
    <col min="12813" max="13056" width="8.88671875" style="342"/>
    <col min="13057" max="13057" width="0" style="342" hidden="1" customWidth="1"/>
    <col min="13058" max="13058" width="3.5546875" style="342" customWidth="1"/>
    <col min="13059" max="13059" width="7.21875" style="342" customWidth="1"/>
    <col min="13060" max="13062" width="9.109375" style="342" customWidth="1"/>
    <col min="13063" max="13063" width="6.5546875" style="342" customWidth="1"/>
    <col min="13064" max="13064" width="7.88671875" style="342" customWidth="1"/>
    <col min="13065" max="13065" width="6.5546875" style="342" customWidth="1"/>
    <col min="13066" max="13066" width="9.5546875" style="342" customWidth="1"/>
    <col min="13067" max="13068" width="0" style="342" hidden="1" customWidth="1"/>
    <col min="13069" max="13312" width="8.88671875" style="342"/>
    <col min="13313" max="13313" width="0" style="342" hidden="1" customWidth="1"/>
    <col min="13314" max="13314" width="3.5546875" style="342" customWidth="1"/>
    <col min="13315" max="13315" width="7.21875" style="342" customWidth="1"/>
    <col min="13316" max="13318" width="9.109375" style="342" customWidth="1"/>
    <col min="13319" max="13319" width="6.5546875" style="342" customWidth="1"/>
    <col min="13320" max="13320" width="7.88671875" style="342" customWidth="1"/>
    <col min="13321" max="13321" width="6.5546875" style="342" customWidth="1"/>
    <col min="13322" max="13322" width="9.5546875" style="342" customWidth="1"/>
    <col min="13323" max="13324" width="0" style="342" hidden="1" customWidth="1"/>
    <col min="13325" max="13568" width="8.88671875" style="342"/>
    <col min="13569" max="13569" width="0" style="342" hidden="1" customWidth="1"/>
    <col min="13570" max="13570" width="3.5546875" style="342" customWidth="1"/>
    <col min="13571" max="13571" width="7.21875" style="342" customWidth="1"/>
    <col min="13572" max="13574" width="9.109375" style="342" customWidth="1"/>
    <col min="13575" max="13575" width="6.5546875" style="342" customWidth="1"/>
    <col min="13576" max="13576" width="7.88671875" style="342" customWidth="1"/>
    <col min="13577" max="13577" width="6.5546875" style="342" customWidth="1"/>
    <col min="13578" max="13578" width="9.5546875" style="342" customWidth="1"/>
    <col min="13579" max="13580" width="0" style="342" hidden="1" customWidth="1"/>
    <col min="13581" max="13824" width="8.88671875" style="342"/>
    <col min="13825" max="13825" width="0" style="342" hidden="1" customWidth="1"/>
    <col min="13826" max="13826" width="3.5546875" style="342" customWidth="1"/>
    <col min="13827" max="13827" width="7.21875" style="342" customWidth="1"/>
    <col min="13828" max="13830" width="9.109375" style="342" customWidth="1"/>
    <col min="13831" max="13831" width="6.5546875" style="342" customWidth="1"/>
    <col min="13832" max="13832" width="7.88671875" style="342" customWidth="1"/>
    <col min="13833" max="13833" width="6.5546875" style="342" customWidth="1"/>
    <col min="13834" max="13834" width="9.5546875" style="342" customWidth="1"/>
    <col min="13835" max="13836" width="0" style="342" hidden="1" customWidth="1"/>
    <col min="13837" max="14080" width="8.88671875" style="342"/>
    <col min="14081" max="14081" width="0" style="342" hidden="1" customWidth="1"/>
    <col min="14082" max="14082" width="3.5546875" style="342" customWidth="1"/>
    <col min="14083" max="14083" width="7.21875" style="342" customWidth="1"/>
    <col min="14084" max="14086" width="9.109375" style="342" customWidth="1"/>
    <col min="14087" max="14087" width="6.5546875" style="342" customWidth="1"/>
    <col min="14088" max="14088" width="7.88671875" style="342" customWidth="1"/>
    <col min="14089" max="14089" width="6.5546875" style="342" customWidth="1"/>
    <col min="14090" max="14090" width="9.5546875" style="342" customWidth="1"/>
    <col min="14091" max="14092" width="0" style="342" hidden="1" customWidth="1"/>
    <col min="14093" max="14336" width="8.88671875" style="342"/>
    <col min="14337" max="14337" width="0" style="342" hidden="1" customWidth="1"/>
    <col min="14338" max="14338" width="3.5546875" style="342" customWidth="1"/>
    <col min="14339" max="14339" width="7.21875" style="342" customWidth="1"/>
    <col min="14340" max="14342" width="9.109375" style="342" customWidth="1"/>
    <col min="14343" max="14343" width="6.5546875" style="342" customWidth="1"/>
    <col min="14344" max="14344" width="7.88671875" style="342" customWidth="1"/>
    <col min="14345" max="14345" width="6.5546875" style="342" customWidth="1"/>
    <col min="14346" max="14346" width="9.5546875" style="342" customWidth="1"/>
    <col min="14347" max="14348" width="0" style="342" hidden="1" customWidth="1"/>
    <col min="14349" max="14592" width="8.88671875" style="342"/>
    <col min="14593" max="14593" width="0" style="342" hidden="1" customWidth="1"/>
    <col min="14594" max="14594" width="3.5546875" style="342" customWidth="1"/>
    <col min="14595" max="14595" width="7.21875" style="342" customWidth="1"/>
    <col min="14596" max="14598" width="9.109375" style="342" customWidth="1"/>
    <col min="14599" max="14599" width="6.5546875" style="342" customWidth="1"/>
    <col min="14600" max="14600" width="7.88671875" style="342" customWidth="1"/>
    <col min="14601" max="14601" width="6.5546875" style="342" customWidth="1"/>
    <col min="14602" max="14602" width="9.5546875" style="342" customWidth="1"/>
    <col min="14603" max="14604" width="0" style="342" hidden="1" customWidth="1"/>
    <col min="14605" max="14848" width="8.88671875" style="342"/>
    <col min="14849" max="14849" width="0" style="342" hidden="1" customWidth="1"/>
    <col min="14850" max="14850" width="3.5546875" style="342" customWidth="1"/>
    <col min="14851" max="14851" width="7.21875" style="342" customWidth="1"/>
    <col min="14852" max="14854" width="9.109375" style="342" customWidth="1"/>
    <col min="14855" max="14855" width="6.5546875" style="342" customWidth="1"/>
    <col min="14856" max="14856" width="7.88671875" style="342" customWidth="1"/>
    <col min="14857" max="14857" width="6.5546875" style="342" customWidth="1"/>
    <col min="14858" max="14858" width="9.5546875" style="342" customWidth="1"/>
    <col min="14859" max="14860" width="0" style="342" hidden="1" customWidth="1"/>
    <col min="14861" max="15104" width="8.88671875" style="342"/>
    <col min="15105" max="15105" width="0" style="342" hidden="1" customWidth="1"/>
    <col min="15106" max="15106" width="3.5546875" style="342" customWidth="1"/>
    <col min="15107" max="15107" width="7.21875" style="342" customWidth="1"/>
    <col min="15108" max="15110" width="9.109375" style="342" customWidth="1"/>
    <col min="15111" max="15111" width="6.5546875" style="342" customWidth="1"/>
    <col min="15112" max="15112" width="7.88671875" style="342" customWidth="1"/>
    <col min="15113" max="15113" width="6.5546875" style="342" customWidth="1"/>
    <col min="15114" max="15114" width="9.5546875" style="342" customWidth="1"/>
    <col min="15115" max="15116" width="0" style="342" hidden="1" customWidth="1"/>
    <col min="15117" max="15360" width="8.88671875" style="342"/>
    <col min="15361" max="15361" width="0" style="342" hidden="1" customWidth="1"/>
    <col min="15362" max="15362" width="3.5546875" style="342" customWidth="1"/>
    <col min="15363" max="15363" width="7.21875" style="342" customWidth="1"/>
    <col min="15364" max="15366" width="9.109375" style="342" customWidth="1"/>
    <col min="15367" max="15367" width="6.5546875" style="342" customWidth="1"/>
    <col min="15368" max="15368" width="7.88671875" style="342" customWidth="1"/>
    <col min="15369" max="15369" width="6.5546875" style="342" customWidth="1"/>
    <col min="15370" max="15370" width="9.5546875" style="342" customWidth="1"/>
    <col min="15371" max="15372" width="0" style="342" hidden="1" customWidth="1"/>
    <col min="15373" max="15616" width="8.88671875" style="342"/>
    <col min="15617" max="15617" width="0" style="342" hidden="1" customWidth="1"/>
    <col min="15618" max="15618" width="3.5546875" style="342" customWidth="1"/>
    <col min="15619" max="15619" width="7.21875" style="342" customWidth="1"/>
    <col min="15620" max="15622" width="9.109375" style="342" customWidth="1"/>
    <col min="15623" max="15623" width="6.5546875" style="342" customWidth="1"/>
    <col min="15624" max="15624" width="7.88671875" style="342" customWidth="1"/>
    <col min="15625" max="15625" width="6.5546875" style="342" customWidth="1"/>
    <col min="15626" max="15626" width="9.5546875" style="342" customWidth="1"/>
    <col min="15627" max="15628" width="0" style="342" hidden="1" customWidth="1"/>
    <col min="15629" max="15872" width="8.88671875" style="342"/>
    <col min="15873" max="15873" width="0" style="342" hidden="1" customWidth="1"/>
    <col min="15874" max="15874" width="3.5546875" style="342" customWidth="1"/>
    <col min="15875" max="15875" width="7.21875" style="342" customWidth="1"/>
    <col min="15876" max="15878" width="9.109375" style="342" customWidth="1"/>
    <col min="15879" max="15879" width="6.5546875" style="342" customWidth="1"/>
    <col min="15880" max="15880" width="7.88671875" style="342" customWidth="1"/>
    <col min="15881" max="15881" width="6.5546875" style="342" customWidth="1"/>
    <col min="15882" max="15882" width="9.5546875" style="342" customWidth="1"/>
    <col min="15883" max="15884" width="0" style="342" hidden="1" customWidth="1"/>
    <col min="15885" max="16128" width="8.88671875" style="342"/>
    <col min="16129" max="16129" width="0" style="342" hidden="1" customWidth="1"/>
    <col min="16130" max="16130" width="3.5546875" style="342" customWidth="1"/>
    <col min="16131" max="16131" width="7.21875" style="342" customWidth="1"/>
    <col min="16132" max="16134" width="9.109375" style="342" customWidth="1"/>
    <col min="16135" max="16135" width="6.5546875" style="342" customWidth="1"/>
    <col min="16136" max="16136" width="7.88671875" style="342" customWidth="1"/>
    <col min="16137" max="16137" width="6.5546875" style="342" customWidth="1"/>
    <col min="16138" max="16138" width="9.5546875" style="342" customWidth="1"/>
    <col min="16139" max="16140" width="0" style="342" hidden="1" customWidth="1"/>
    <col min="16141" max="16384" width="8.88671875" style="342"/>
  </cols>
  <sheetData>
    <row r="1" spans="1:11" ht="48" customHeight="1">
      <c r="A1" s="341"/>
      <c r="B1" s="543" t="s">
        <v>196</v>
      </c>
      <c r="C1" s="543"/>
      <c r="D1" s="543"/>
      <c r="E1" s="543"/>
      <c r="F1" s="543"/>
      <c r="G1" s="543"/>
      <c r="H1" s="543"/>
      <c r="I1" s="543"/>
      <c r="J1" s="341"/>
      <c r="K1" s="341"/>
    </row>
    <row r="2" spans="1:11" ht="20.100000000000001" customHeight="1">
      <c r="A2" s="341"/>
      <c r="B2" s="544" t="s">
        <v>197</v>
      </c>
      <c r="C2" s="544"/>
      <c r="D2" s="544"/>
      <c r="E2" s="544"/>
      <c r="F2" s="544"/>
      <c r="G2" s="544"/>
      <c r="H2" s="544"/>
      <c r="I2" s="544"/>
      <c r="J2" s="544"/>
      <c r="K2" s="341"/>
    </row>
    <row r="3" spans="1:11" ht="20.100000000000001" customHeight="1" thickBot="1">
      <c r="A3" s="341"/>
      <c r="B3" s="545" t="s">
        <v>366</v>
      </c>
      <c r="C3" s="545"/>
      <c r="D3" s="545"/>
      <c r="E3" s="545"/>
      <c r="F3" s="545"/>
      <c r="G3" s="545"/>
      <c r="H3" s="545"/>
      <c r="I3" s="545"/>
      <c r="J3" s="545"/>
      <c r="K3" s="341"/>
    </row>
    <row r="4" spans="1:11" ht="18.95" customHeight="1">
      <c r="A4" s="341"/>
      <c r="B4" s="546" t="s">
        <v>178</v>
      </c>
      <c r="C4" s="546"/>
      <c r="D4" s="546" t="s">
        <v>316</v>
      </c>
      <c r="E4" s="546"/>
      <c r="F4" s="343" t="s">
        <v>198</v>
      </c>
      <c r="G4" s="546" t="s">
        <v>199</v>
      </c>
      <c r="H4" s="546"/>
      <c r="I4" s="546"/>
      <c r="J4" s="546"/>
      <c r="K4" s="341"/>
    </row>
    <row r="5" spans="1:11" ht="20.100000000000001" customHeight="1">
      <c r="A5" s="341"/>
      <c r="B5" s="548" t="s">
        <v>200</v>
      </c>
      <c r="C5" s="548"/>
      <c r="D5" s="548" t="s">
        <v>317</v>
      </c>
      <c r="E5" s="548"/>
      <c r="F5" s="344" t="s">
        <v>201</v>
      </c>
      <c r="G5" s="549">
        <v>6819</v>
      </c>
      <c r="H5" s="549"/>
      <c r="I5" s="549"/>
      <c r="J5" s="549"/>
      <c r="K5" s="341"/>
    </row>
    <row r="6" spans="1:11" ht="20.100000000000001" customHeight="1">
      <c r="A6" s="341"/>
      <c r="B6" s="548" t="s">
        <v>202</v>
      </c>
      <c r="C6" s="548"/>
      <c r="D6" s="548" t="s">
        <v>203</v>
      </c>
      <c r="E6" s="548"/>
      <c r="F6" s="344" t="s">
        <v>204</v>
      </c>
      <c r="G6" s="548" t="s">
        <v>205</v>
      </c>
      <c r="H6" s="548"/>
      <c r="I6" s="548"/>
      <c r="J6" s="548"/>
      <c r="K6" s="341"/>
    </row>
    <row r="7" spans="1:11" ht="14.1" customHeight="1" thickBot="1">
      <c r="A7" s="341"/>
      <c r="B7" s="341"/>
      <c r="C7" s="341"/>
      <c r="D7" s="341"/>
      <c r="E7" s="341"/>
      <c r="F7" s="341"/>
      <c r="G7" s="341"/>
      <c r="H7" s="341"/>
      <c r="I7" s="341"/>
      <c r="J7" s="345" t="s">
        <v>206</v>
      </c>
      <c r="K7" s="341"/>
    </row>
    <row r="8" spans="1:11" ht="20.100000000000001" customHeight="1">
      <c r="A8" s="341"/>
      <c r="B8" s="346" t="s">
        <v>207</v>
      </c>
      <c r="C8" s="346" t="s">
        <v>181</v>
      </c>
      <c r="D8" s="346" t="s">
        <v>208</v>
      </c>
      <c r="E8" s="346" t="s">
        <v>209</v>
      </c>
      <c r="F8" s="346" t="s">
        <v>210</v>
      </c>
      <c r="G8" s="346" t="s">
        <v>211</v>
      </c>
      <c r="H8" s="346" t="s">
        <v>212</v>
      </c>
      <c r="I8" s="346" t="s">
        <v>213</v>
      </c>
      <c r="J8" s="346" t="s">
        <v>214</v>
      </c>
      <c r="K8" s="341"/>
    </row>
    <row r="9" spans="1:11" ht="30" customHeight="1">
      <c r="A9" s="341"/>
      <c r="B9" s="347" t="s">
        <v>215</v>
      </c>
      <c r="C9" s="347" t="s">
        <v>216</v>
      </c>
      <c r="D9" s="348" t="s">
        <v>217</v>
      </c>
      <c r="E9" s="349">
        <v>12</v>
      </c>
      <c r="F9" s="349">
        <f>F10+E9</f>
        <v>6819</v>
      </c>
      <c r="G9" s="347" t="s">
        <v>218</v>
      </c>
      <c r="H9" s="347" t="s">
        <v>217</v>
      </c>
      <c r="I9" s="347" t="s">
        <v>219</v>
      </c>
      <c r="J9" s="347" t="s">
        <v>217</v>
      </c>
      <c r="K9" s="341"/>
    </row>
    <row r="10" spans="1:11" ht="30" customHeight="1">
      <c r="A10" s="341"/>
      <c r="B10" s="347" t="s">
        <v>220</v>
      </c>
      <c r="C10" s="347" t="s">
        <v>221</v>
      </c>
      <c r="D10" s="349">
        <v>1500</v>
      </c>
      <c r="E10" s="349"/>
      <c r="F10" s="349">
        <f t="shared" ref="F10:F19" si="0">F11-D10</f>
        <v>6807</v>
      </c>
      <c r="G10" s="347" t="s">
        <v>222</v>
      </c>
      <c r="H10" s="347" t="s">
        <v>358</v>
      </c>
      <c r="I10" s="347" t="s">
        <v>219</v>
      </c>
      <c r="J10" s="347" t="s">
        <v>217</v>
      </c>
      <c r="K10" s="341"/>
    </row>
    <row r="11" spans="1:11" ht="30" customHeight="1">
      <c r="A11" s="341"/>
      <c r="B11" s="347" t="s">
        <v>223</v>
      </c>
      <c r="C11" s="347" t="s">
        <v>224</v>
      </c>
      <c r="D11" s="349">
        <v>20000</v>
      </c>
      <c r="E11" s="349"/>
      <c r="F11" s="349">
        <f t="shared" si="0"/>
        <v>8307</v>
      </c>
      <c r="G11" s="347" t="s">
        <v>222</v>
      </c>
      <c r="H11" s="347" t="s">
        <v>359</v>
      </c>
      <c r="I11" s="347" t="s">
        <v>219</v>
      </c>
      <c r="J11" s="347" t="s">
        <v>217</v>
      </c>
      <c r="K11" s="341"/>
    </row>
    <row r="12" spans="1:11" ht="30" customHeight="1">
      <c r="A12" s="341"/>
      <c r="B12" s="347" t="s">
        <v>225</v>
      </c>
      <c r="C12" s="347" t="s">
        <v>226</v>
      </c>
      <c r="D12" s="349">
        <v>2000</v>
      </c>
      <c r="E12" s="349"/>
      <c r="F12" s="349">
        <f t="shared" si="0"/>
        <v>28307</v>
      </c>
      <c r="G12" s="347" t="s">
        <v>222</v>
      </c>
      <c r="H12" s="347" t="s">
        <v>360</v>
      </c>
      <c r="I12" s="347" t="s">
        <v>219</v>
      </c>
      <c r="J12" s="347" t="s">
        <v>217</v>
      </c>
      <c r="K12" s="341"/>
    </row>
    <row r="13" spans="1:11" ht="30" customHeight="1">
      <c r="A13" s="341"/>
      <c r="B13" s="347" t="s">
        <v>227</v>
      </c>
      <c r="C13" s="347" t="s">
        <v>228</v>
      </c>
      <c r="D13" s="349">
        <v>96093</v>
      </c>
      <c r="E13" s="349"/>
      <c r="F13" s="349">
        <f t="shared" si="0"/>
        <v>30307</v>
      </c>
      <c r="G13" s="347" t="s">
        <v>229</v>
      </c>
      <c r="H13" s="347" t="s">
        <v>361</v>
      </c>
      <c r="I13" s="347" t="s">
        <v>230</v>
      </c>
      <c r="J13" s="347" t="s">
        <v>217</v>
      </c>
      <c r="K13" s="341"/>
    </row>
    <row r="14" spans="1:11" ht="30" customHeight="1">
      <c r="A14" s="341"/>
      <c r="B14" s="347" t="s">
        <v>231</v>
      </c>
      <c r="C14" s="347" t="s">
        <v>232</v>
      </c>
      <c r="D14" s="349">
        <v>6730</v>
      </c>
      <c r="E14" s="349"/>
      <c r="F14" s="349">
        <f t="shared" si="0"/>
        <v>126400</v>
      </c>
      <c r="G14" s="347" t="s">
        <v>233</v>
      </c>
      <c r="H14" s="347" t="s">
        <v>362</v>
      </c>
      <c r="I14" s="347" t="s">
        <v>234</v>
      </c>
      <c r="J14" s="347" t="s">
        <v>217</v>
      </c>
      <c r="K14" s="341"/>
    </row>
    <row r="15" spans="1:11" ht="30" customHeight="1">
      <c r="A15" s="341"/>
      <c r="B15" s="347" t="s">
        <v>235</v>
      </c>
      <c r="C15" s="347" t="s">
        <v>236</v>
      </c>
      <c r="D15" s="349">
        <v>16960</v>
      </c>
      <c r="E15" s="349"/>
      <c r="F15" s="349">
        <f t="shared" si="0"/>
        <v>133130</v>
      </c>
      <c r="G15" s="347" t="s">
        <v>229</v>
      </c>
      <c r="H15" s="347" t="s">
        <v>363</v>
      </c>
      <c r="I15" s="347" t="s">
        <v>237</v>
      </c>
      <c r="J15" s="347" t="s">
        <v>217</v>
      </c>
      <c r="K15" s="341"/>
    </row>
    <row r="16" spans="1:11" ht="30" customHeight="1">
      <c r="A16" s="341"/>
      <c r="B16" s="347" t="s">
        <v>238</v>
      </c>
      <c r="C16" s="347" t="s">
        <v>236</v>
      </c>
      <c r="D16" s="349">
        <v>65840</v>
      </c>
      <c r="E16" s="349"/>
      <c r="F16" s="349">
        <f t="shared" si="0"/>
        <v>150090</v>
      </c>
      <c r="G16" s="347" t="s">
        <v>229</v>
      </c>
      <c r="H16" s="347" t="s">
        <v>363</v>
      </c>
      <c r="I16" s="347" t="s">
        <v>237</v>
      </c>
      <c r="J16" s="347" t="s">
        <v>217</v>
      </c>
      <c r="K16" s="341"/>
    </row>
    <row r="17" spans="1:11" ht="30" customHeight="1">
      <c r="A17" s="341"/>
      <c r="B17" s="347" t="s">
        <v>239</v>
      </c>
      <c r="C17" s="347" t="s">
        <v>236</v>
      </c>
      <c r="D17" s="349">
        <v>75630</v>
      </c>
      <c r="E17" s="349"/>
      <c r="F17" s="349">
        <f t="shared" si="0"/>
        <v>215930</v>
      </c>
      <c r="G17" s="347" t="s">
        <v>229</v>
      </c>
      <c r="H17" s="347" t="s">
        <v>363</v>
      </c>
      <c r="I17" s="347" t="s">
        <v>237</v>
      </c>
      <c r="J17" s="347" t="s">
        <v>217</v>
      </c>
      <c r="K17" s="341"/>
    </row>
    <row r="18" spans="1:11" ht="30" customHeight="1">
      <c r="A18" s="341"/>
      <c r="B18" s="347" t="s">
        <v>240</v>
      </c>
      <c r="C18" s="347" t="s">
        <v>236</v>
      </c>
      <c r="D18" s="349">
        <v>20380</v>
      </c>
      <c r="E18" s="349"/>
      <c r="F18" s="349">
        <f t="shared" si="0"/>
        <v>291560</v>
      </c>
      <c r="G18" s="347" t="s">
        <v>229</v>
      </c>
      <c r="H18" s="347" t="s">
        <v>363</v>
      </c>
      <c r="I18" s="347" t="s">
        <v>237</v>
      </c>
      <c r="J18" s="347" t="s">
        <v>217</v>
      </c>
      <c r="K18" s="341"/>
    </row>
    <row r="19" spans="1:11" ht="30" customHeight="1">
      <c r="A19" s="341"/>
      <c r="B19" s="347" t="s">
        <v>241</v>
      </c>
      <c r="C19" s="347" t="s">
        <v>242</v>
      </c>
      <c r="D19" s="349">
        <v>900</v>
      </c>
      <c r="E19" s="349"/>
      <c r="F19" s="349">
        <f t="shared" si="0"/>
        <v>311940</v>
      </c>
      <c r="G19" s="347" t="s">
        <v>243</v>
      </c>
      <c r="H19" s="347" t="s">
        <v>244</v>
      </c>
      <c r="I19" s="347" t="s">
        <v>219</v>
      </c>
      <c r="J19" s="347" t="s">
        <v>217</v>
      </c>
      <c r="K19" s="341"/>
    </row>
    <row r="20" spans="1:11" ht="30" customHeight="1">
      <c r="A20" s="341"/>
      <c r="B20" s="347" t="s">
        <v>245</v>
      </c>
      <c r="C20" s="347" t="s">
        <v>246</v>
      </c>
      <c r="D20" s="349"/>
      <c r="E20" s="349">
        <v>175000</v>
      </c>
      <c r="F20" s="349">
        <f>F21+E20</f>
        <v>312840</v>
      </c>
      <c r="G20" s="347" t="s">
        <v>247</v>
      </c>
      <c r="H20" s="347" t="s">
        <v>364</v>
      </c>
      <c r="I20" s="347" t="s">
        <v>248</v>
      </c>
      <c r="J20" s="347" t="s">
        <v>217</v>
      </c>
      <c r="K20" s="341"/>
    </row>
    <row r="21" spans="1:11" ht="30" customHeight="1">
      <c r="A21" s="341"/>
      <c r="B21" s="347" t="s">
        <v>249</v>
      </c>
      <c r="C21" s="347" t="s">
        <v>250</v>
      </c>
      <c r="D21" s="349">
        <v>61000</v>
      </c>
      <c r="E21" s="349"/>
      <c r="F21" s="349">
        <v>137840</v>
      </c>
      <c r="G21" s="347" t="s">
        <v>222</v>
      </c>
      <c r="H21" s="347" t="s">
        <v>365</v>
      </c>
      <c r="I21" s="347" t="s">
        <v>219</v>
      </c>
      <c r="J21" s="347" t="s">
        <v>217</v>
      </c>
      <c r="K21" s="341"/>
    </row>
    <row r="22" spans="1:11" ht="41.1" customHeight="1">
      <c r="A22" s="341"/>
      <c r="B22" s="547" t="s">
        <v>251</v>
      </c>
      <c r="C22" s="547"/>
      <c r="D22" s="547"/>
      <c r="E22" s="547"/>
      <c r="F22" s="547"/>
      <c r="G22" s="547"/>
      <c r="H22" s="547"/>
      <c r="I22" s="547"/>
      <c r="J22" s="547"/>
      <c r="K22" s="341"/>
    </row>
  </sheetData>
  <mergeCells count="13">
    <mergeCell ref="B22:J22"/>
    <mergeCell ref="B5:C5"/>
    <mergeCell ref="D5:E5"/>
    <mergeCell ref="G5:J5"/>
    <mergeCell ref="B6:C6"/>
    <mergeCell ref="D6:E6"/>
    <mergeCell ref="G6:J6"/>
    <mergeCell ref="B1:I1"/>
    <mergeCell ref="B2:J2"/>
    <mergeCell ref="B3:J3"/>
    <mergeCell ref="B4:C4"/>
    <mergeCell ref="D4:E4"/>
    <mergeCell ref="G4:J4"/>
  </mergeCells>
  <phoneticPr fontId="3" type="noConversion"/>
  <pageMargins left="0" right="0" top="0" bottom="0" header="0.5" footer="0.5"/>
  <pageSetup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8</vt:i4>
      </vt:variant>
    </vt:vector>
  </HeadingPairs>
  <TitlesOfParts>
    <vt:vector size="20" baseType="lpstr">
      <vt:lpstr>표지</vt:lpstr>
      <vt:lpstr>목차</vt:lpstr>
      <vt:lpstr>1.자금수지표총괄</vt:lpstr>
      <vt:lpstr>2.자금수지명세</vt:lpstr>
      <vt:lpstr>3.당월주요사항</vt:lpstr>
      <vt:lpstr>4.허가사항</vt:lpstr>
      <vt:lpstr>5.지출내역</vt:lpstr>
      <vt:lpstr>5.일일지출</vt:lpstr>
      <vt:lpstr>6.시재</vt:lpstr>
      <vt:lpstr>국민(846)_신고계좌</vt:lpstr>
      <vt:lpstr>우리(152_국민연금)</vt:lpstr>
      <vt:lpstr>농협(823)</vt:lpstr>
      <vt:lpstr>'1.자금수지표총괄'!Print_Area</vt:lpstr>
      <vt:lpstr>'2.자금수지명세'!Print_Area</vt:lpstr>
      <vt:lpstr>'4.허가사항'!Print_Area</vt:lpstr>
      <vt:lpstr>'5.지출내역'!Print_Area</vt:lpstr>
      <vt:lpstr>'6.시재'!Print_Area</vt:lpstr>
      <vt:lpstr>목차!Print_Area</vt:lpstr>
      <vt:lpstr>표지!Print_Area</vt:lpstr>
      <vt:lpstr>'5.일일지출'!Print_Titles</vt:lpstr>
    </vt:vector>
  </TitlesOfParts>
  <Company>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user</cp:lastModifiedBy>
  <cp:lastPrinted>2022-07-15T02:17:18Z</cp:lastPrinted>
  <dcterms:created xsi:type="dcterms:W3CDTF">2007-08-29T13:08:45Z</dcterms:created>
  <dcterms:modified xsi:type="dcterms:W3CDTF">2024-10-30T07:59:02Z</dcterms:modified>
</cp:coreProperties>
</file>