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관리위원\허가신청서 재정비(2024. 10)_판사님 Review후\"/>
    </mc:Choice>
  </mc:AlternateContent>
  <bookViews>
    <workbookView xWindow="28680" yWindow="-120" windowWidth="29040" windowHeight="15720" tabRatio="898"/>
  </bookViews>
  <sheets>
    <sheet name="표지" sheetId="1" r:id="rId1"/>
    <sheet name="목차" sheetId="2" r:id="rId2"/>
    <sheet name="목록작성기준" sheetId="3" r:id="rId3"/>
    <sheet name="목록총괄표" sheetId="4" r:id="rId4"/>
    <sheet name="담보권총괄표" sheetId="5" r:id="rId5"/>
    <sheet name="담보배분표" sheetId="6" r:id="rId6"/>
    <sheet name="담보권자의 목록" sheetId="7" r:id="rId7"/>
    <sheet name="회생채권자요약" sheetId="8" state="hidden" r:id="rId8"/>
    <sheet name="회생채권총괄" sheetId="9" r:id="rId9"/>
    <sheet name="회생채권개별" sheetId="10" r:id="rId10"/>
    <sheet name="조세총괄" sheetId="11" r:id="rId11"/>
    <sheet name="조세목록" sheetId="12" r:id="rId12"/>
    <sheet name="주주총괄" sheetId="13" r:id="rId13"/>
    <sheet name="주주목록" sheetId="14" r:id="rId14"/>
  </sheets>
  <externalReferences>
    <externalReference r:id="rId15"/>
    <externalReference r:id="rId16"/>
  </externalReferences>
  <definedNames>
    <definedName name="_xlnm.Print_Area" localSheetId="6">'담보권자의 목록'!$A$1:$G$19</definedName>
    <definedName name="_xlnm.Print_Area" localSheetId="4">담보권총괄표!$A$1:$N$33</definedName>
    <definedName name="_xlnm.Print_Area" localSheetId="5">담보배분표!$A$1:$N$14</definedName>
    <definedName name="_xlnm.Print_Area" localSheetId="2">목록작성기준!$A$1:$F$16</definedName>
    <definedName name="_xlnm.Print_Area" localSheetId="3">목록총괄표!$A$1:$F$18</definedName>
    <definedName name="_xlnm.Print_Area" localSheetId="1">목차!$A$1:$G$14</definedName>
    <definedName name="_xlnm.Print_Area" localSheetId="11">조세목록!$A$1:$H$49</definedName>
    <definedName name="_xlnm.Print_Area" localSheetId="10">조세총괄!$A$1:$H$35</definedName>
    <definedName name="_xlnm.Print_Area" localSheetId="13">주주목록!$A:$F</definedName>
    <definedName name="_xlnm.Print_Area" localSheetId="12">주주총괄!$A$1:$J$9</definedName>
    <definedName name="_xlnm.Print_Area" localSheetId="0">표지!$A$1:$L$11</definedName>
    <definedName name="_xlnm.Print_Area" localSheetId="9">회생채권개별!$A$1:$G$2186</definedName>
    <definedName name="_xlnm.Print_Area" localSheetId="8">회생채권총괄!$A:$J</definedName>
    <definedName name="_xlnm.Print_Area">#REF!</definedName>
    <definedName name="_xlnm.Print_Titles" localSheetId="6">'담보권자의 목록'!$2:$2</definedName>
    <definedName name="_xlnm.Print_Titles" localSheetId="4">담보권총괄표!$3:$4</definedName>
    <definedName name="_xlnm.Print_Titles" localSheetId="10">조세총괄!$2:$4</definedName>
    <definedName name="_xlnm.Print_Titles" localSheetId="12">주주총괄!$2:$4</definedName>
    <definedName name="_xlnm.Print_Titles" localSheetId="8">회생채권총괄!$4:$5</definedName>
    <definedName name="_xlnm.Print_Title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2" i="9" l="1"/>
  <c r="D109" i="9"/>
  <c r="H113" i="9"/>
  <c r="H54" i="9"/>
  <c r="K13" i="6"/>
  <c r="L30" i="5"/>
  <c r="L33" i="5" s="1"/>
  <c r="K30" i="5"/>
  <c r="K33" i="5" s="1"/>
  <c r="J7" i="11" l="1"/>
  <c r="G46" i="9" l="1"/>
  <c r="G538" i="9" l="1"/>
  <c r="G539" i="9"/>
  <c r="H539" i="9" s="1"/>
  <c r="G541" i="9" l="1"/>
  <c r="H538" i="9"/>
  <c r="H541" i="9" s="1"/>
  <c r="F45" i="9" l="1"/>
  <c r="H43" i="9"/>
  <c r="G45" i="9"/>
  <c r="G40" i="9"/>
  <c r="F40" i="9"/>
  <c r="H38" i="9"/>
  <c r="H37" i="9"/>
  <c r="F35" i="9"/>
  <c r="H33" i="9"/>
  <c r="G35" i="9"/>
  <c r="G30" i="9"/>
  <c r="F30" i="9"/>
  <c r="H28" i="9"/>
  <c r="H30" i="9" s="1"/>
  <c r="H27" i="9"/>
  <c r="F25" i="9"/>
  <c r="H23" i="9"/>
  <c r="G25" i="9"/>
  <c r="G20" i="9"/>
  <c r="F20" i="9"/>
  <c r="H18" i="9"/>
  <c r="H17" i="9"/>
  <c r="F54" i="10"/>
  <c r="F51" i="10"/>
  <c r="F62" i="10"/>
  <c r="F59" i="10"/>
  <c r="F46" i="10"/>
  <c r="F43" i="10"/>
  <c r="F38" i="10"/>
  <c r="F35" i="10"/>
  <c r="F30" i="10"/>
  <c r="H40" i="9" l="1"/>
  <c r="H32" i="9"/>
  <c r="H35" i="9" s="1"/>
  <c r="H42" i="9"/>
  <c r="H45" i="9" s="1"/>
  <c r="H20" i="9"/>
  <c r="H22" i="9"/>
  <c r="H25" i="9" s="1"/>
  <c r="F5" i="4"/>
  <c r="D13" i="4" s="1"/>
  <c r="E1755" i="14" l="1"/>
  <c r="D1755" i="14"/>
  <c r="C1755" i="14"/>
  <c r="B1755" i="14"/>
  <c r="D1753" i="14"/>
  <c r="D1752" i="14"/>
  <c r="F1750" i="14"/>
  <c r="E1746" i="14"/>
  <c r="D1746" i="14"/>
  <c r="C1746" i="14"/>
  <c r="B1746" i="14"/>
  <c r="D1744" i="14"/>
  <c r="D1743" i="14"/>
  <c r="F1741" i="14"/>
  <c r="E1737" i="14"/>
  <c r="D1737" i="14"/>
  <c r="C1737" i="14"/>
  <c r="B1737" i="14"/>
  <c r="D1735" i="14"/>
  <c r="D1734" i="14"/>
  <c r="F1732" i="14"/>
  <c r="E1728" i="14"/>
  <c r="D1728" i="14"/>
  <c r="C1728" i="14"/>
  <c r="B1728" i="14"/>
  <c r="D1726" i="14"/>
  <c r="D1725" i="14"/>
  <c r="F1723" i="14"/>
  <c r="E1719" i="14"/>
  <c r="D1719" i="14"/>
  <c r="C1719" i="14"/>
  <c r="B1719" i="14"/>
  <c r="D1717" i="14"/>
  <c r="D1716" i="14"/>
  <c r="F1714" i="14"/>
  <c r="E1710" i="14"/>
  <c r="D1710" i="14"/>
  <c r="C1710" i="14"/>
  <c r="B1710" i="14"/>
  <c r="D1708" i="14"/>
  <c r="D1707" i="14"/>
  <c r="F1705" i="14"/>
  <c r="E1701" i="14"/>
  <c r="D1701" i="14"/>
  <c r="C1701" i="14"/>
  <c r="B1701" i="14"/>
  <c r="D1699" i="14"/>
  <c r="D1698" i="14"/>
  <c r="F1696" i="14"/>
  <c r="E1692" i="14"/>
  <c r="D1692" i="14"/>
  <c r="C1692" i="14"/>
  <c r="B1692" i="14"/>
  <c r="D1690" i="14"/>
  <c r="D1689" i="14"/>
  <c r="F1687" i="14"/>
  <c r="E1683" i="14"/>
  <c r="D1683" i="14"/>
  <c r="C1683" i="14"/>
  <c r="B1683" i="14"/>
  <c r="D1681" i="14"/>
  <c r="D1680" i="14"/>
  <c r="F1678" i="14"/>
  <c r="E1674" i="14"/>
  <c r="D1674" i="14"/>
  <c r="C1674" i="14"/>
  <c r="B1674" i="14"/>
  <c r="D1672" i="14"/>
  <c r="D1671" i="14"/>
  <c r="F1669" i="14"/>
  <c r="E1665" i="14"/>
  <c r="D1665" i="14"/>
  <c r="C1665" i="14"/>
  <c r="B1665" i="14"/>
  <c r="D1663" i="14"/>
  <c r="D1662" i="14"/>
  <c r="F1660" i="14"/>
  <c r="E1656" i="14"/>
  <c r="D1656" i="14"/>
  <c r="C1656" i="14"/>
  <c r="B1656" i="14"/>
  <c r="D1654" i="14"/>
  <c r="D1653" i="14"/>
  <c r="F1651" i="14"/>
  <c r="E1647" i="14"/>
  <c r="D1647" i="14"/>
  <c r="C1647" i="14"/>
  <c r="B1647" i="14"/>
  <c r="D1645" i="14"/>
  <c r="D1644" i="14"/>
  <c r="F1642" i="14"/>
  <c r="E1638" i="14"/>
  <c r="D1638" i="14"/>
  <c r="C1638" i="14"/>
  <c r="B1638" i="14"/>
  <c r="D1636" i="14"/>
  <c r="D1635" i="14"/>
  <c r="F1633" i="14"/>
  <c r="E1629" i="14"/>
  <c r="D1629" i="14"/>
  <c r="C1629" i="14"/>
  <c r="B1629" i="14"/>
  <c r="D1627" i="14"/>
  <c r="D1626" i="14"/>
  <c r="F1624" i="14"/>
  <c r="E1620" i="14"/>
  <c r="D1620" i="14"/>
  <c r="C1620" i="14"/>
  <c r="B1620" i="14"/>
  <c r="D1618" i="14"/>
  <c r="D1617" i="14"/>
  <c r="F1615" i="14"/>
  <c r="E1611" i="14"/>
  <c r="D1611" i="14"/>
  <c r="C1611" i="14"/>
  <c r="B1611" i="14"/>
  <c r="D1609" i="14"/>
  <c r="D1608" i="14"/>
  <c r="F1606" i="14"/>
  <c r="E1602" i="14"/>
  <c r="D1602" i="14"/>
  <c r="C1602" i="14"/>
  <c r="B1602" i="14"/>
  <c r="D1600" i="14"/>
  <c r="D1599" i="14"/>
  <c r="F1597" i="14"/>
  <c r="E1593" i="14"/>
  <c r="D1593" i="14"/>
  <c r="C1593" i="14"/>
  <c r="B1593" i="14"/>
  <c r="D1591" i="14"/>
  <c r="D1590" i="14"/>
  <c r="F1588" i="14"/>
  <c r="E1584" i="14"/>
  <c r="D1584" i="14"/>
  <c r="C1584" i="14"/>
  <c r="B1584" i="14"/>
  <c r="D1582" i="14"/>
  <c r="D1581" i="14"/>
  <c r="F1579" i="14"/>
  <c r="E1575" i="14"/>
  <c r="D1575" i="14"/>
  <c r="C1575" i="14"/>
  <c r="B1575" i="14"/>
  <c r="D1573" i="14"/>
  <c r="D1572" i="14"/>
  <c r="F1570" i="14"/>
  <c r="E1566" i="14"/>
  <c r="D1566" i="14"/>
  <c r="C1566" i="14"/>
  <c r="B1566" i="14"/>
  <c r="D1564" i="14"/>
  <c r="D1563" i="14"/>
  <c r="F1561" i="14"/>
  <c r="E1557" i="14"/>
  <c r="D1557" i="14"/>
  <c r="C1557" i="14"/>
  <c r="B1557" i="14"/>
  <c r="D1555" i="14"/>
  <c r="D1554" i="14"/>
  <c r="F1552" i="14"/>
  <c r="E1548" i="14"/>
  <c r="D1548" i="14"/>
  <c r="C1548" i="14"/>
  <c r="B1548" i="14"/>
  <c r="D1546" i="14"/>
  <c r="D1545" i="14"/>
  <c r="F1543" i="14"/>
  <c r="E1539" i="14"/>
  <c r="D1539" i="14"/>
  <c r="C1539" i="14"/>
  <c r="B1539" i="14"/>
  <c r="D1537" i="14"/>
  <c r="D1536" i="14"/>
  <c r="F1534" i="14"/>
  <c r="E1530" i="14"/>
  <c r="D1530" i="14"/>
  <c r="C1530" i="14"/>
  <c r="B1530" i="14"/>
  <c r="D1528" i="14"/>
  <c r="D1527" i="14"/>
  <c r="F1525" i="14"/>
  <c r="E1521" i="14"/>
  <c r="D1521" i="14"/>
  <c r="C1521" i="14"/>
  <c r="B1521" i="14"/>
  <c r="D1519" i="14"/>
  <c r="D1518" i="14"/>
  <c r="F1516" i="14"/>
  <c r="E1512" i="14"/>
  <c r="D1512" i="14"/>
  <c r="C1512" i="14"/>
  <c r="B1512" i="14"/>
  <c r="D1510" i="14"/>
  <c r="D1509" i="14"/>
  <c r="F1507" i="14"/>
  <c r="E1503" i="14"/>
  <c r="D1503" i="14"/>
  <c r="C1503" i="14"/>
  <c r="B1503" i="14"/>
  <c r="D1501" i="14"/>
  <c r="D1500" i="14"/>
  <c r="F1498" i="14"/>
  <c r="E1494" i="14"/>
  <c r="D1494" i="14"/>
  <c r="C1494" i="14"/>
  <c r="B1494" i="14"/>
  <c r="D1492" i="14"/>
  <c r="D1491" i="14"/>
  <c r="F1489" i="14"/>
  <c r="E1485" i="14"/>
  <c r="D1485" i="14"/>
  <c r="C1485" i="14"/>
  <c r="B1485" i="14"/>
  <c r="D1483" i="14"/>
  <c r="D1482" i="14"/>
  <c r="F1480" i="14"/>
  <c r="E1476" i="14"/>
  <c r="D1476" i="14"/>
  <c r="C1476" i="14"/>
  <c r="B1476" i="14"/>
  <c r="D1474" i="14"/>
  <c r="D1473" i="14"/>
  <c r="F1471" i="14"/>
  <c r="E1467" i="14"/>
  <c r="D1467" i="14"/>
  <c r="C1467" i="14"/>
  <c r="B1467" i="14"/>
  <c r="D1465" i="14"/>
  <c r="D1464" i="14"/>
  <c r="F1462" i="14"/>
  <c r="E1458" i="14"/>
  <c r="D1458" i="14"/>
  <c r="C1458" i="14"/>
  <c r="B1458" i="14"/>
  <c r="D1456" i="14"/>
  <c r="D1455" i="14"/>
  <c r="F1453" i="14"/>
  <c r="E1449" i="14"/>
  <c r="D1449" i="14"/>
  <c r="C1449" i="14"/>
  <c r="B1449" i="14"/>
  <c r="D1447" i="14"/>
  <c r="D1446" i="14"/>
  <c r="F1444" i="14"/>
  <c r="E1440" i="14"/>
  <c r="D1440" i="14"/>
  <c r="C1440" i="14"/>
  <c r="B1440" i="14"/>
  <c r="D1438" i="14"/>
  <c r="D1437" i="14"/>
  <c r="F1435" i="14"/>
  <c r="E1431" i="14"/>
  <c r="D1431" i="14"/>
  <c r="C1431" i="14"/>
  <c r="B1431" i="14"/>
  <c r="D1429" i="14"/>
  <c r="D1428" i="14"/>
  <c r="F1426" i="14"/>
  <c r="E1422" i="14"/>
  <c r="D1422" i="14"/>
  <c r="C1422" i="14"/>
  <c r="B1422" i="14"/>
  <c r="D1420" i="14"/>
  <c r="D1419" i="14"/>
  <c r="F1417" i="14"/>
  <c r="E1413" i="14"/>
  <c r="D1413" i="14"/>
  <c r="C1413" i="14"/>
  <c r="B1413" i="14"/>
  <c r="D1411" i="14"/>
  <c r="D1410" i="14"/>
  <c r="F1408" i="14"/>
  <c r="E1404" i="14"/>
  <c r="D1404" i="14"/>
  <c r="C1404" i="14"/>
  <c r="B1404" i="14"/>
  <c r="D1402" i="14"/>
  <c r="D1401" i="14"/>
  <c r="F1399" i="14"/>
  <c r="E1395" i="14"/>
  <c r="D1395" i="14"/>
  <c r="C1395" i="14"/>
  <c r="B1395" i="14"/>
  <c r="D1393" i="14"/>
  <c r="D1392" i="14"/>
  <c r="F1390" i="14"/>
  <c r="E1386" i="14"/>
  <c r="D1386" i="14"/>
  <c r="C1386" i="14"/>
  <c r="B1386" i="14"/>
  <c r="D1384" i="14"/>
  <c r="D1383" i="14"/>
  <c r="F1381" i="14"/>
  <c r="E1377" i="14"/>
  <c r="D1377" i="14"/>
  <c r="C1377" i="14"/>
  <c r="B1377" i="14"/>
  <c r="D1375" i="14"/>
  <c r="D1374" i="14"/>
  <c r="F1372" i="14"/>
  <c r="E1368" i="14"/>
  <c r="D1368" i="14"/>
  <c r="C1368" i="14"/>
  <c r="B1368" i="14"/>
  <c r="D1366" i="14"/>
  <c r="D1365" i="14"/>
  <c r="F1363" i="14"/>
  <c r="E1359" i="14"/>
  <c r="D1359" i="14"/>
  <c r="C1359" i="14"/>
  <c r="B1359" i="14"/>
  <c r="D1357" i="14"/>
  <c r="D1356" i="14"/>
  <c r="F1354" i="14"/>
  <c r="E1350" i="14"/>
  <c r="D1350" i="14"/>
  <c r="C1350" i="14"/>
  <c r="B1350" i="14"/>
  <c r="D1348" i="14"/>
  <c r="D1347" i="14"/>
  <c r="F1345" i="14"/>
  <c r="E1341" i="14"/>
  <c r="D1341" i="14"/>
  <c r="C1341" i="14"/>
  <c r="B1341" i="14"/>
  <c r="D1339" i="14"/>
  <c r="D1338" i="14"/>
  <c r="F1336" i="14"/>
  <c r="E1332" i="14"/>
  <c r="D1332" i="14"/>
  <c r="C1332" i="14"/>
  <c r="B1332" i="14"/>
  <c r="D1330" i="14"/>
  <c r="D1329" i="14"/>
  <c r="F1327" i="14"/>
  <c r="E1323" i="14"/>
  <c r="D1323" i="14"/>
  <c r="C1323" i="14"/>
  <c r="B1323" i="14"/>
  <c r="D1321" i="14"/>
  <c r="D1320" i="14"/>
  <c r="F1318" i="14"/>
  <c r="E1314" i="14"/>
  <c r="D1314" i="14"/>
  <c r="C1314" i="14"/>
  <c r="B1314" i="14"/>
  <c r="D1312" i="14"/>
  <c r="D1311" i="14"/>
  <c r="F1309" i="14"/>
  <c r="E1305" i="14"/>
  <c r="D1305" i="14"/>
  <c r="C1305" i="14"/>
  <c r="B1305" i="14"/>
  <c r="D1303" i="14"/>
  <c r="D1302" i="14"/>
  <c r="F1300" i="14"/>
  <c r="E1296" i="14"/>
  <c r="D1296" i="14"/>
  <c r="C1296" i="14"/>
  <c r="B1296" i="14"/>
  <c r="D1294" i="14"/>
  <c r="D1293" i="14"/>
  <c r="F1291" i="14"/>
  <c r="E1287" i="14"/>
  <c r="D1287" i="14"/>
  <c r="C1287" i="14"/>
  <c r="B1287" i="14"/>
  <c r="D1285" i="14"/>
  <c r="D1284" i="14"/>
  <c r="F1282" i="14"/>
  <c r="E1278" i="14"/>
  <c r="D1278" i="14"/>
  <c r="C1278" i="14"/>
  <c r="B1278" i="14"/>
  <c r="D1276" i="14"/>
  <c r="D1275" i="14"/>
  <c r="F1273" i="14"/>
  <c r="E1269" i="14"/>
  <c r="D1269" i="14"/>
  <c r="C1269" i="14"/>
  <c r="B1269" i="14"/>
  <c r="D1267" i="14"/>
  <c r="D1266" i="14"/>
  <c r="F1264" i="14"/>
  <c r="E1260" i="14"/>
  <c r="D1260" i="14"/>
  <c r="C1260" i="14"/>
  <c r="B1260" i="14"/>
  <c r="D1258" i="14"/>
  <c r="D1257" i="14"/>
  <c r="F1255" i="14"/>
  <c r="E1251" i="14"/>
  <c r="D1251" i="14"/>
  <c r="C1251" i="14"/>
  <c r="B1251" i="14"/>
  <c r="D1249" i="14"/>
  <c r="D1248" i="14"/>
  <c r="F1246" i="14"/>
  <c r="E1242" i="14"/>
  <c r="D1242" i="14"/>
  <c r="C1242" i="14"/>
  <c r="B1242" i="14"/>
  <c r="D1240" i="14"/>
  <c r="D1239" i="14"/>
  <c r="F1237" i="14"/>
  <c r="E1233" i="14"/>
  <c r="D1233" i="14"/>
  <c r="C1233" i="14"/>
  <c r="B1233" i="14"/>
  <c r="D1231" i="14"/>
  <c r="D1230" i="14"/>
  <c r="F1228" i="14"/>
  <c r="E1224" i="14"/>
  <c r="D1224" i="14"/>
  <c r="C1224" i="14"/>
  <c r="B1224" i="14"/>
  <c r="D1222" i="14"/>
  <c r="D1221" i="14"/>
  <c r="F1219" i="14"/>
  <c r="E1215" i="14"/>
  <c r="D1215" i="14"/>
  <c r="C1215" i="14"/>
  <c r="B1215" i="14"/>
  <c r="D1213" i="14"/>
  <c r="D1212" i="14"/>
  <c r="F1210" i="14"/>
  <c r="E1206" i="14"/>
  <c r="D1206" i="14"/>
  <c r="C1206" i="14"/>
  <c r="B1206" i="14"/>
  <c r="D1204" i="14"/>
  <c r="D1203" i="14"/>
  <c r="F1201" i="14"/>
  <c r="E1197" i="14"/>
  <c r="D1197" i="14"/>
  <c r="C1197" i="14"/>
  <c r="B1197" i="14"/>
  <c r="D1195" i="14"/>
  <c r="D1194" i="14"/>
  <c r="F1192" i="14"/>
  <c r="E1188" i="14"/>
  <c r="D1188" i="14"/>
  <c r="C1188" i="14"/>
  <c r="B1188" i="14"/>
  <c r="D1186" i="14"/>
  <c r="D1185" i="14"/>
  <c r="F1183" i="14"/>
  <c r="E1179" i="14"/>
  <c r="D1179" i="14"/>
  <c r="C1179" i="14"/>
  <c r="B1179" i="14"/>
  <c r="D1177" i="14"/>
  <c r="D1176" i="14"/>
  <c r="F1174" i="14"/>
  <c r="E1170" i="14"/>
  <c r="D1170" i="14"/>
  <c r="C1170" i="14"/>
  <c r="B1170" i="14"/>
  <c r="D1168" i="14"/>
  <c r="D1167" i="14"/>
  <c r="F1165" i="14"/>
  <c r="E1161" i="14"/>
  <c r="D1161" i="14"/>
  <c r="C1161" i="14"/>
  <c r="B1161" i="14"/>
  <c r="D1159" i="14"/>
  <c r="D1158" i="14"/>
  <c r="F1156" i="14"/>
  <c r="E1152" i="14"/>
  <c r="D1152" i="14"/>
  <c r="C1152" i="14"/>
  <c r="B1152" i="14"/>
  <c r="D1150" i="14"/>
  <c r="D1149" i="14"/>
  <c r="F1147" i="14"/>
  <c r="E1143" i="14"/>
  <c r="D1143" i="14"/>
  <c r="C1143" i="14"/>
  <c r="B1143" i="14"/>
  <c r="D1141" i="14"/>
  <c r="D1140" i="14"/>
  <c r="F1138" i="14"/>
  <c r="E1134" i="14"/>
  <c r="D1134" i="14"/>
  <c r="C1134" i="14"/>
  <c r="B1134" i="14"/>
  <c r="D1132" i="14"/>
  <c r="D1131" i="14"/>
  <c r="F1129" i="14"/>
  <c r="E1125" i="14"/>
  <c r="D1125" i="14"/>
  <c r="C1125" i="14"/>
  <c r="B1125" i="14"/>
  <c r="D1123" i="14"/>
  <c r="D1122" i="14"/>
  <c r="F1120" i="14"/>
  <c r="E1116" i="14"/>
  <c r="D1116" i="14"/>
  <c r="C1116" i="14"/>
  <c r="B1116" i="14"/>
  <c r="D1114" i="14"/>
  <c r="D1113" i="14"/>
  <c r="F1111" i="14"/>
  <c r="E1107" i="14"/>
  <c r="D1107" i="14"/>
  <c r="C1107" i="14"/>
  <c r="B1107" i="14"/>
  <c r="D1105" i="14"/>
  <c r="D1104" i="14"/>
  <c r="F1102" i="14"/>
  <c r="E1098" i="14"/>
  <c r="D1098" i="14"/>
  <c r="C1098" i="14"/>
  <c r="B1098" i="14"/>
  <c r="D1096" i="14"/>
  <c r="D1095" i="14"/>
  <c r="F1093" i="14"/>
  <c r="E1089" i="14"/>
  <c r="D1089" i="14"/>
  <c r="C1089" i="14"/>
  <c r="B1089" i="14"/>
  <c r="D1087" i="14"/>
  <c r="D1086" i="14"/>
  <c r="F1084" i="14"/>
  <c r="E1080" i="14"/>
  <c r="D1080" i="14"/>
  <c r="C1080" i="14"/>
  <c r="B1080" i="14"/>
  <c r="D1078" i="14"/>
  <c r="D1077" i="14"/>
  <c r="F1075" i="14"/>
  <c r="E1071" i="14"/>
  <c r="D1071" i="14"/>
  <c r="C1071" i="14"/>
  <c r="B1071" i="14"/>
  <c r="D1069" i="14"/>
  <c r="D1068" i="14"/>
  <c r="F1066" i="14"/>
  <c r="E1062" i="14"/>
  <c r="D1062" i="14"/>
  <c r="C1062" i="14"/>
  <c r="B1062" i="14"/>
  <c r="D1060" i="14"/>
  <c r="D1059" i="14"/>
  <c r="F1057" i="14"/>
  <c r="E1053" i="14"/>
  <c r="D1053" i="14"/>
  <c r="C1053" i="14"/>
  <c r="B1053" i="14"/>
  <c r="D1051" i="14"/>
  <c r="D1050" i="14"/>
  <c r="F1048" i="14"/>
  <c r="E1044" i="14"/>
  <c r="D1044" i="14"/>
  <c r="C1044" i="14"/>
  <c r="B1044" i="14"/>
  <c r="D1042" i="14"/>
  <c r="D1041" i="14"/>
  <c r="F1039" i="14"/>
  <c r="E1035" i="14"/>
  <c r="D1035" i="14"/>
  <c r="C1035" i="14"/>
  <c r="B1035" i="14"/>
  <c r="D1033" i="14"/>
  <c r="D1032" i="14"/>
  <c r="F1030" i="14"/>
  <c r="E1026" i="14"/>
  <c r="D1026" i="14"/>
  <c r="C1026" i="14"/>
  <c r="B1026" i="14"/>
  <c r="D1024" i="14"/>
  <c r="D1023" i="14"/>
  <c r="F1021" i="14"/>
  <c r="E1017" i="14"/>
  <c r="D1017" i="14"/>
  <c r="C1017" i="14"/>
  <c r="B1017" i="14"/>
  <c r="D1015" i="14"/>
  <c r="D1014" i="14"/>
  <c r="F1012" i="14"/>
  <c r="E1008" i="14"/>
  <c r="D1008" i="14"/>
  <c r="C1008" i="14"/>
  <c r="B1008" i="14"/>
  <c r="D1006" i="14"/>
  <c r="D1005" i="14"/>
  <c r="F1003" i="14"/>
  <c r="E999" i="14"/>
  <c r="D999" i="14"/>
  <c r="C999" i="14"/>
  <c r="B999" i="14"/>
  <c r="D997" i="14"/>
  <c r="D996" i="14"/>
  <c r="F994" i="14"/>
  <c r="E990" i="14"/>
  <c r="D990" i="14"/>
  <c r="C990" i="14"/>
  <c r="B990" i="14"/>
  <c r="D988" i="14"/>
  <c r="D987" i="14"/>
  <c r="F985" i="14"/>
  <c r="E981" i="14"/>
  <c r="D981" i="14"/>
  <c r="C981" i="14"/>
  <c r="B981" i="14"/>
  <c r="D979" i="14"/>
  <c r="D978" i="14"/>
  <c r="F976" i="14"/>
  <c r="E972" i="14"/>
  <c r="D972" i="14"/>
  <c r="C972" i="14"/>
  <c r="B972" i="14"/>
  <c r="D970" i="14"/>
  <c r="D969" i="14"/>
  <c r="F967" i="14"/>
  <c r="E963" i="14"/>
  <c r="D963" i="14"/>
  <c r="C963" i="14"/>
  <c r="B963" i="14"/>
  <c r="D961" i="14"/>
  <c r="D960" i="14"/>
  <c r="F958" i="14"/>
  <c r="E954" i="14"/>
  <c r="D954" i="14"/>
  <c r="C954" i="14"/>
  <c r="B954" i="14"/>
  <c r="D952" i="14"/>
  <c r="D951" i="14"/>
  <c r="F949" i="14"/>
  <c r="E945" i="14"/>
  <c r="D945" i="14"/>
  <c r="C945" i="14"/>
  <c r="B945" i="14"/>
  <c r="D943" i="14"/>
  <c r="D942" i="14"/>
  <c r="F940" i="14"/>
  <c r="E936" i="14"/>
  <c r="D936" i="14"/>
  <c r="C936" i="14"/>
  <c r="B936" i="14"/>
  <c r="D934" i="14"/>
  <c r="D933" i="14"/>
  <c r="F931" i="14"/>
  <c r="E927" i="14"/>
  <c r="D927" i="14"/>
  <c r="C927" i="14"/>
  <c r="B927" i="14"/>
  <c r="D925" i="14"/>
  <c r="D924" i="14"/>
  <c r="F922" i="14"/>
  <c r="E918" i="14"/>
  <c r="D918" i="14"/>
  <c r="C918" i="14"/>
  <c r="B918" i="14"/>
  <c r="D916" i="14"/>
  <c r="D915" i="14"/>
  <c r="F913" i="14"/>
  <c r="E909" i="14"/>
  <c r="D909" i="14"/>
  <c r="C909" i="14"/>
  <c r="B909" i="14"/>
  <c r="D907" i="14"/>
  <c r="D906" i="14"/>
  <c r="F904" i="14"/>
  <c r="E900" i="14"/>
  <c r="D900" i="14"/>
  <c r="C900" i="14"/>
  <c r="B900" i="14"/>
  <c r="D898" i="14"/>
  <c r="D897" i="14"/>
  <c r="F895" i="14"/>
  <c r="E891" i="14"/>
  <c r="D891" i="14"/>
  <c r="C891" i="14"/>
  <c r="B891" i="14"/>
  <c r="D889" i="14"/>
  <c r="D888" i="14"/>
  <c r="F886" i="14"/>
  <c r="E882" i="14"/>
  <c r="D882" i="14"/>
  <c r="C882" i="14"/>
  <c r="B882" i="14"/>
  <c r="D880" i="14"/>
  <c r="D879" i="14"/>
  <c r="F877" i="14"/>
  <c r="E873" i="14"/>
  <c r="D873" i="14"/>
  <c r="C873" i="14"/>
  <c r="B873" i="14"/>
  <c r="D871" i="14"/>
  <c r="D870" i="14"/>
  <c r="F868" i="14"/>
  <c r="E864" i="14"/>
  <c r="D864" i="14"/>
  <c r="C864" i="14"/>
  <c r="B864" i="14"/>
  <c r="D862" i="14"/>
  <c r="D861" i="14"/>
  <c r="F859" i="14"/>
  <c r="E855" i="14"/>
  <c r="D855" i="14"/>
  <c r="C855" i="14"/>
  <c r="B855" i="14"/>
  <c r="D853" i="14"/>
  <c r="D852" i="14"/>
  <c r="F850" i="14"/>
  <c r="E846" i="14"/>
  <c r="D846" i="14"/>
  <c r="C846" i="14"/>
  <c r="B846" i="14"/>
  <c r="D844" i="14"/>
  <c r="D843" i="14"/>
  <c r="F841" i="14"/>
  <c r="E837" i="14"/>
  <c r="D837" i="14"/>
  <c r="C837" i="14"/>
  <c r="B837" i="14"/>
  <c r="D835" i="14"/>
  <c r="D834" i="14"/>
  <c r="F832" i="14"/>
  <c r="E828" i="14"/>
  <c r="D828" i="14"/>
  <c r="C828" i="14"/>
  <c r="B828" i="14"/>
  <c r="D826" i="14"/>
  <c r="D825" i="14"/>
  <c r="F823" i="14"/>
  <c r="E819" i="14"/>
  <c r="D819" i="14"/>
  <c r="C819" i="14"/>
  <c r="B819" i="14"/>
  <c r="D817" i="14"/>
  <c r="D816" i="14"/>
  <c r="F814" i="14"/>
  <c r="E810" i="14"/>
  <c r="D810" i="14"/>
  <c r="C810" i="14"/>
  <c r="B810" i="14"/>
  <c r="D808" i="14"/>
  <c r="D807" i="14"/>
  <c r="F805" i="14"/>
  <c r="E801" i="14"/>
  <c r="D801" i="14"/>
  <c r="C801" i="14"/>
  <c r="B801" i="14"/>
  <c r="D799" i="14"/>
  <c r="D798" i="14"/>
  <c r="F796" i="14"/>
  <c r="E792" i="14"/>
  <c r="D792" i="14"/>
  <c r="C792" i="14"/>
  <c r="B792" i="14"/>
  <c r="D790" i="14"/>
  <c r="D789" i="14"/>
  <c r="F787" i="14"/>
  <c r="E783" i="14"/>
  <c r="D783" i="14"/>
  <c r="C783" i="14"/>
  <c r="B783" i="14"/>
  <c r="D781" i="14"/>
  <c r="D780" i="14"/>
  <c r="F778" i="14"/>
  <c r="E774" i="14"/>
  <c r="D774" i="14"/>
  <c r="C774" i="14"/>
  <c r="B774" i="14"/>
  <c r="D772" i="14"/>
  <c r="D771" i="14"/>
  <c r="F769" i="14"/>
  <c r="E765" i="14"/>
  <c r="D765" i="14"/>
  <c r="C765" i="14"/>
  <c r="B765" i="14"/>
  <c r="D763" i="14"/>
  <c r="D762" i="14"/>
  <c r="F760" i="14"/>
  <c r="E756" i="14"/>
  <c r="D756" i="14"/>
  <c r="C756" i="14"/>
  <c r="B756" i="14"/>
  <c r="D754" i="14"/>
  <c r="D753" i="14"/>
  <c r="F751" i="14"/>
  <c r="E747" i="14"/>
  <c r="D747" i="14"/>
  <c r="C747" i="14"/>
  <c r="B747" i="14"/>
  <c r="D745" i="14"/>
  <c r="D744" i="14"/>
  <c r="F742" i="14"/>
  <c r="E738" i="14"/>
  <c r="D738" i="14"/>
  <c r="C738" i="14"/>
  <c r="B738" i="14"/>
  <c r="D736" i="14"/>
  <c r="D735" i="14"/>
  <c r="F733" i="14"/>
  <c r="E729" i="14"/>
  <c r="D729" i="14"/>
  <c r="C729" i="14"/>
  <c r="B729" i="14"/>
  <c r="D727" i="14"/>
  <c r="D726" i="14"/>
  <c r="F724" i="14"/>
  <c r="E720" i="14"/>
  <c r="D720" i="14"/>
  <c r="C720" i="14"/>
  <c r="B720" i="14"/>
  <c r="D718" i="14"/>
  <c r="D717" i="14"/>
  <c r="F715" i="14"/>
  <c r="E711" i="14"/>
  <c r="D711" i="14"/>
  <c r="C711" i="14"/>
  <c r="B711" i="14"/>
  <c r="D709" i="14"/>
  <c r="D708" i="14"/>
  <c r="F706" i="14"/>
  <c r="E702" i="14"/>
  <c r="D702" i="14"/>
  <c r="C702" i="14"/>
  <c r="B702" i="14"/>
  <c r="D700" i="14"/>
  <c r="D699" i="14"/>
  <c r="F697" i="14"/>
  <c r="E693" i="14"/>
  <c r="D693" i="14"/>
  <c r="C693" i="14"/>
  <c r="B693" i="14"/>
  <c r="D691" i="14"/>
  <c r="D690" i="14"/>
  <c r="F688" i="14"/>
  <c r="E684" i="14"/>
  <c r="D684" i="14"/>
  <c r="C684" i="14"/>
  <c r="B684" i="14"/>
  <c r="D682" i="14"/>
  <c r="D681" i="14"/>
  <c r="F679" i="14"/>
  <c r="E675" i="14"/>
  <c r="D675" i="14"/>
  <c r="C675" i="14"/>
  <c r="B675" i="14"/>
  <c r="D673" i="14"/>
  <c r="D672" i="14"/>
  <c r="F670" i="14"/>
  <c r="E666" i="14"/>
  <c r="D666" i="14"/>
  <c r="C666" i="14"/>
  <c r="B666" i="14"/>
  <c r="D664" i="14"/>
  <c r="D663" i="14"/>
  <c r="F661" i="14"/>
  <c r="E657" i="14"/>
  <c r="D657" i="14"/>
  <c r="C657" i="14"/>
  <c r="B657" i="14"/>
  <c r="D655" i="14"/>
  <c r="D654" i="14"/>
  <c r="F652" i="14"/>
  <c r="E648" i="14"/>
  <c r="D648" i="14"/>
  <c r="C648" i="14"/>
  <c r="B648" i="14"/>
  <c r="D646" i="14"/>
  <c r="D645" i="14"/>
  <c r="F643" i="14"/>
  <c r="E639" i="14"/>
  <c r="D639" i="14"/>
  <c r="C639" i="14"/>
  <c r="B639" i="14"/>
  <c r="D637" i="14"/>
  <c r="D636" i="14"/>
  <c r="F634" i="14"/>
  <c r="E630" i="14"/>
  <c r="D630" i="14"/>
  <c r="C630" i="14"/>
  <c r="B630" i="14"/>
  <c r="D628" i="14"/>
  <c r="D627" i="14"/>
  <c r="F625" i="14"/>
  <c r="E621" i="14"/>
  <c r="D621" i="14"/>
  <c r="C621" i="14"/>
  <c r="B621" i="14"/>
  <c r="D619" i="14"/>
  <c r="D618" i="14"/>
  <c r="F616" i="14"/>
  <c r="E612" i="14"/>
  <c r="D612" i="14"/>
  <c r="C612" i="14"/>
  <c r="B612" i="14"/>
  <c r="D610" i="14"/>
  <c r="D609" i="14"/>
  <c r="F607" i="14"/>
  <c r="E603" i="14"/>
  <c r="D603" i="14"/>
  <c r="C603" i="14"/>
  <c r="B603" i="14"/>
  <c r="D601" i="14"/>
  <c r="D600" i="14"/>
  <c r="F598" i="14"/>
  <c r="E594" i="14"/>
  <c r="D594" i="14"/>
  <c r="C594" i="14"/>
  <c r="B594" i="14"/>
  <c r="D592" i="14"/>
  <c r="D591" i="14"/>
  <c r="F589" i="14"/>
  <c r="E585" i="14"/>
  <c r="D585" i="14"/>
  <c r="C585" i="14"/>
  <c r="B585" i="14"/>
  <c r="D583" i="14"/>
  <c r="D582" i="14"/>
  <c r="F580" i="14"/>
  <c r="E576" i="14"/>
  <c r="D576" i="14"/>
  <c r="C576" i="14"/>
  <c r="B576" i="14"/>
  <c r="D574" i="14"/>
  <c r="D573" i="14"/>
  <c r="F571" i="14"/>
  <c r="E567" i="14"/>
  <c r="D567" i="14"/>
  <c r="C567" i="14"/>
  <c r="B567" i="14"/>
  <c r="D565" i="14"/>
  <c r="D564" i="14"/>
  <c r="F562" i="14"/>
  <c r="E558" i="14"/>
  <c r="D558" i="14"/>
  <c r="C558" i="14"/>
  <c r="B558" i="14"/>
  <c r="D556" i="14"/>
  <c r="D555" i="14"/>
  <c r="F553" i="14"/>
  <c r="E549" i="14"/>
  <c r="D549" i="14"/>
  <c r="C549" i="14"/>
  <c r="B549" i="14"/>
  <c r="D547" i="14"/>
  <c r="D546" i="14"/>
  <c r="F544" i="14"/>
  <c r="E540" i="14"/>
  <c r="D540" i="14"/>
  <c r="C540" i="14"/>
  <c r="B540" i="14"/>
  <c r="D538" i="14"/>
  <c r="D537" i="14"/>
  <c r="F535" i="14"/>
  <c r="E531" i="14"/>
  <c r="D531" i="14"/>
  <c r="C531" i="14"/>
  <c r="B531" i="14"/>
  <c r="D529" i="14"/>
  <c r="D528" i="14"/>
  <c r="F526" i="14"/>
  <c r="E522" i="14"/>
  <c r="D522" i="14"/>
  <c r="C522" i="14"/>
  <c r="B522" i="14"/>
  <c r="D520" i="14"/>
  <c r="D519" i="14"/>
  <c r="F517" i="14"/>
  <c r="E513" i="14"/>
  <c r="D513" i="14"/>
  <c r="C513" i="14"/>
  <c r="B513" i="14"/>
  <c r="D511" i="14"/>
  <c r="D510" i="14"/>
  <c r="F508" i="14"/>
  <c r="E504" i="14"/>
  <c r="D504" i="14"/>
  <c r="C504" i="14"/>
  <c r="B504" i="14"/>
  <c r="D502" i="14"/>
  <c r="D501" i="14"/>
  <c r="F499" i="14"/>
  <c r="E495" i="14"/>
  <c r="D495" i="14"/>
  <c r="C495" i="14"/>
  <c r="B495" i="14"/>
  <c r="D493" i="14"/>
  <c r="D492" i="14"/>
  <c r="F490" i="14"/>
  <c r="E486" i="14"/>
  <c r="D486" i="14"/>
  <c r="C486" i="14"/>
  <c r="B486" i="14"/>
  <c r="D484" i="14"/>
  <c r="D483" i="14"/>
  <c r="F481" i="14"/>
  <c r="E477" i="14"/>
  <c r="D477" i="14"/>
  <c r="C477" i="14"/>
  <c r="B477" i="14"/>
  <c r="D475" i="14"/>
  <c r="D474" i="14"/>
  <c r="F472" i="14"/>
  <c r="E468" i="14"/>
  <c r="D468" i="14"/>
  <c r="C468" i="14"/>
  <c r="B468" i="14"/>
  <c r="D466" i="14"/>
  <c r="D465" i="14"/>
  <c r="F463" i="14"/>
  <c r="E459" i="14"/>
  <c r="D459" i="14"/>
  <c r="C459" i="14"/>
  <c r="B459" i="14"/>
  <c r="D457" i="14"/>
  <c r="D456" i="14"/>
  <c r="F454" i="14"/>
  <c r="E450" i="14"/>
  <c r="D450" i="14"/>
  <c r="C450" i="14"/>
  <c r="B450" i="14"/>
  <c r="D448" i="14"/>
  <c r="D447" i="14"/>
  <c r="F445" i="14"/>
  <c r="E441" i="14"/>
  <c r="D441" i="14"/>
  <c r="C441" i="14"/>
  <c r="B441" i="14"/>
  <c r="D439" i="14"/>
  <c r="D438" i="14"/>
  <c r="F436" i="14"/>
  <c r="E432" i="14"/>
  <c r="D432" i="14"/>
  <c r="C432" i="14"/>
  <c r="B432" i="14"/>
  <c r="D430" i="14"/>
  <c r="D429" i="14"/>
  <c r="F427" i="14"/>
  <c r="E423" i="14"/>
  <c r="D423" i="14"/>
  <c r="C423" i="14"/>
  <c r="B423" i="14"/>
  <c r="D421" i="14"/>
  <c r="D420" i="14"/>
  <c r="F418" i="14"/>
  <c r="E414" i="14"/>
  <c r="D414" i="14"/>
  <c r="C414" i="14"/>
  <c r="B414" i="14"/>
  <c r="D412" i="14"/>
  <c r="D411" i="14"/>
  <c r="F409" i="14"/>
  <c r="E405" i="14"/>
  <c r="D405" i="14"/>
  <c r="C405" i="14"/>
  <c r="B405" i="14"/>
  <c r="D403" i="14"/>
  <c r="D402" i="14"/>
  <c r="F400" i="14"/>
  <c r="E396" i="14"/>
  <c r="D396" i="14"/>
  <c r="C396" i="14"/>
  <c r="B396" i="14"/>
  <c r="D394" i="14"/>
  <c r="D393" i="14"/>
  <c r="F391" i="14"/>
  <c r="E387" i="14"/>
  <c r="D387" i="14"/>
  <c r="C387" i="14"/>
  <c r="B387" i="14"/>
  <c r="D385" i="14"/>
  <c r="D384" i="14"/>
  <c r="F382" i="14"/>
  <c r="E378" i="14"/>
  <c r="D378" i="14"/>
  <c r="C378" i="14"/>
  <c r="B378" i="14"/>
  <c r="D376" i="14"/>
  <c r="D375" i="14"/>
  <c r="F373" i="14"/>
  <c r="E369" i="14"/>
  <c r="D369" i="14"/>
  <c r="C369" i="14"/>
  <c r="B369" i="14"/>
  <c r="D367" i="14"/>
  <c r="D366" i="14"/>
  <c r="F364" i="14"/>
  <c r="E360" i="14"/>
  <c r="D360" i="14"/>
  <c r="C360" i="14"/>
  <c r="B360" i="14"/>
  <c r="D358" i="14"/>
  <c r="D357" i="14"/>
  <c r="F355" i="14"/>
  <c r="E351" i="14"/>
  <c r="D351" i="14"/>
  <c r="C351" i="14"/>
  <c r="B351" i="14"/>
  <c r="D349" i="14"/>
  <c r="D348" i="14"/>
  <c r="F346" i="14"/>
  <c r="E342" i="14"/>
  <c r="D342" i="14"/>
  <c r="C342" i="14"/>
  <c r="B342" i="14"/>
  <c r="D340" i="14"/>
  <c r="D339" i="14"/>
  <c r="F337" i="14"/>
  <c r="E333" i="14"/>
  <c r="D333" i="14"/>
  <c r="C333" i="14"/>
  <c r="B333" i="14"/>
  <c r="D331" i="14"/>
  <c r="D330" i="14"/>
  <c r="F328" i="14"/>
  <c r="E324" i="14"/>
  <c r="D324" i="14"/>
  <c r="C324" i="14"/>
  <c r="B324" i="14"/>
  <c r="D322" i="14"/>
  <c r="D321" i="14"/>
  <c r="F319" i="14"/>
  <c r="E315" i="14"/>
  <c r="D315" i="14"/>
  <c r="C315" i="14"/>
  <c r="B315" i="14"/>
  <c r="D313" i="14"/>
  <c r="D312" i="14"/>
  <c r="F310" i="14"/>
  <c r="E306" i="14"/>
  <c r="D306" i="14"/>
  <c r="C306" i="14"/>
  <c r="B306" i="14"/>
  <c r="D304" i="14"/>
  <c r="D303" i="14"/>
  <c r="F301" i="14"/>
  <c r="E297" i="14"/>
  <c r="D297" i="14"/>
  <c r="C297" i="14"/>
  <c r="B297" i="14"/>
  <c r="D295" i="14"/>
  <c r="D294" i="14"/>
  <c r="F292" i="14"/>
  <c r="E288" i="14"/>
  <c r="D288" i="14"/>
  <c r="C288" i="14"/>
  <c r="B288" i="14"/>
  <c r="D286" i="14"/>
  <c r="D285" i="14"/>
  <c r="F283" i="14"/>
  <c r="E279" i="14"/>
  <c r="D279" i="14"/>
  <c r="C279" i="14"/>
  <c r="B279" i="14"/>
  <c r="D277" i="14"/>
  <c r="D276" i="14"/>
  <c r="F274" i="14"/>
  <c r="E270" i="14"/>
  <c r="D270" i="14"/>
  <c r="C270" i="14"/>
  <c r="B270" i="14"/>
  <c r="D268" i="14"/>
  <c r="D267" i="14"/>
  <c r="F265" i="14"/>
  <c r="E261" i="14"/>
  <c r="D261" i="14"/>
  <c r="C261" i="14"/>
  <c r="B261" i="14"/>
  <c r="D259" i="14"/>
  <c r="D258" i="14"/>
  <c r="F256" i="14"/>
  <c r="E252" i="14"/>
  <c r="D252" i="14"/>
  <c r="C252" i="14"/>
  <c r="B252" i="14"/>
  <c r="D250" i="14"/>
  <c r="D249" i="14"/>
  <c r="F247" i="14"/>
  <c r="E243" i="14"/>
  <c r="D243" i="14"/>
  <c r="C243" i="14"/>
  <c r="B243" i="14"/>
  <c r="D241" i="14"/>
  <c r="D240" i="14"/>
  <c r="F238" i="14"/>
  <c r="E234" i="14"/>
  <c r="D234" i="14"/>
  <c r="C234" i="14"/>
  <c r="B234" i="14"/>
  <c r="D232" i="14"/>
  <c r="D231" i="14"/>
  <c r="F229" i="14"/>
  <c r="E225" i="14"/>
  <c r="D225" i="14"/>
  <c r="C225" i="14"/>
  <c r="B225" i="14"/>
  <c r="D223" i="14"/>
  <c r="D222" i="14"/>
  <c r="F220" i="14"/>
  <c r="E216" i="14"/>
  <c r="D216" i="14"/>
  <c r="C216" i="14"/>
  <c r="B216" i="14"/>
  <c r="D214" i="14"/>
  <c r="D213" i="14"/>
  <c r="F211" i="14"/>
  <c r="E207" i="14"/>
  <c r="D207" i="14"/>
  <c r="C207" i="14"/>
  <c r="B207" i="14"/>
  <c r="D205" i="14"/>
  <c r="D204" i="14"/>
  <c r="F202" i="14"/>
  <c r="E198" i="14"/>
  <c r="D198" i="14"/>
  <c r="C198" i="14"/>
  <c r="B198" i="14"/>
  <c r="D196" i="14"/>
  <c r="D195" i="14"/>
  <c r="F193" i="14"/>
  <c r="E189" i="14"/>
  <c r="D189" i="14"/>
  <c r="C189" i="14"/>
  <c r="B189" i="14"/>
  <c r="D187" i="14"/>
  <c r="D186" i="14"/>
  <c r="F184" i="14"/>
  <c r="E180" i="14"/>
  <c r="D180" i="14"/>
  <c r="C180" i="14"/>
  <c r="B180" i="14"/>
  <c r="D178" i="14"/>
  <c r="D177" i="14"/>
  <c r="F175" i="14"/>
  <c r="E171" i="14"/>
  <c r="D171" i="14"/>
  <c r="C171" i="14"/>
  <c r="B171" i="14"/>
  <c r="D169" i="14"/>
  <c r="D168" i="14"/>
  <c r="F166" i="14"/>
  <c r="E162" i="14"/>
  <c r="D162" i="14"/>
  <c r="C162" i="14"/>
  <c r="B162" i="14"/>
  <c r="D160" i="14"/>
  <c r="D159" i="14"/>
  <c r="F157" i="14"/>
  <c r="E153" i="14"/>
  <c r="D153" i="14"/>
  <c r="C153" i="14"/>
  <c r="B153" i="14"/>
  <c r="D151" i="14"/>
  <c r="D150" i="14"/>
  <c r="F148" i="14"/>
  <c r="E144" i="14"/>
  <c r="D144" i="14"/>
  <c r="C144" i="14"/>
  <c r="B144" i="14"/>
  <c r="D142" i="14"/>
  <c r="D141" i="14"/>
  <c r="F139" i="14"/>
  <c r="E135" i="14"/>
  <c r="D135" i="14"/>
  <c r="C135" i="14"/>
  <c r="B135" i="14"/>
  <c r="D133" i="14"/>
  <c r="D132" i="14"/>
  <c r="F130" i="14"/>
  <c r="E126" i="14"/>
  <c r="D126" i="14"/>
  <c r="C126" i="14"/>
  <c r="B126" i="14"/>
  <c r="D124" i="14"/>
  <c r="D123" i="14"/>
  <c r="F121" i="14"/>
  <c r="E117" i="14"/>
  <c r="D117" i="14"/>
  <c r="C117" i="14"/>
  <c r="B117" i="14"/>
  <c r="D115" i="14"/>
  <c r="D114" i="14"/>
  <c r="F112" i="14"/>
  <c r="E108" i="14"/>
  <c r="D108" i="14"/>
  <c r="C108" i="14"/>
  <c r="B108" i="14"/>
  <c r="D106" i="14"/>
  <c r="D105" i="14"/>
  <c r="F103" i="14"/>
  <c r="E99" i="14"/>
  <c r="D99" i="14"/>
  <c r="C99" i="14"/>
  <c r="B99" i="14"/>
  <c r="D97" i="14"/>
  <c r="D96" i="14"/>
  <c r="F94" i="14"/>
  <c r="E90" i="14"/>
  <c r="D90" i="14"/>
  <c r="C90" i="14"/>
  <c r="B90" i="14"/>
  <c r="D88" i="14"/>
  <c r="D87" i="14"/>
  <c r="F85" i="14"/>
  <c r="E81" i="14"/>
  <c r="D81" i="14"/>
  <c r="C81" i="14"/>
  <c r="B81" i="14"/>
  <c r="D79" i="14"/>
  <c r="D78" i="14"/>
  <c r="F76" i="14"/>
  <c r="E72" i="14"/>
  <c r="D72" i="14"/>
  <c r="C72" i="14"/>
  <c r="B72" i="14"/>
  <c r="D70" i="14"/>
  <c r="D69" i="14"/>
  <c r="F67" i="14"/>
  <c r="E63" i="14"/>
  <c r="D63" i="14"/>
  <c r="C63" i="14"/>
  <c r="B63" i="14"/>
  <c r="D61" i="14"/>
  <c r="D60" i="14"/>
  <c r="F58" i="14"/>
  <c r="E54" i="14"/>
  <c r="D54" i="14"/>
  <c r="C54" i="14"/>
  <c r="B54" i="14"/>
  <c r="D52" i="14"/>
  <c r="D51" i="14"/>
  <c r="F49" i="14"/>
  <c r="E45" i="14"/>
  <c r="D45" i="14"/>
  <c r="C45" i="14"/>
  <c r="B45" i="14"/>
  <c r="D43" i="14"/>
  <c r="D42" i="14"/>
  <c r="F40" i="14"/>
  <c r="E36" i="14"/>
  <c r="C36" i="14"/>
  <c r="B36" i="14"/>
  <c r="D34" i="14"/>
  <c r="D33" i="14"/>
  <c r="F31" i="14"/>
  <c r="E27" i="14"/>
  <c r="C27" i="14"/>
  <c r="B27" i="14"/>
  <c r="D25" i="14"/>
  <c r="D24" i="14"/>
  <c r="F22" i="14"/>
  <c r="E18" i="14"/>
  <c r="C18" i="14"/>
  <c r="B18" i="14"/>
  <c r="D16" i="14"/>
  <c r="D15" i="14"/>
  <c r="F13" i="14"/>
  <c r="E9" i="14"/>
  <c r="C9" i="14"/>
  <c r="B9" i="14"/>
  <c r="D7" i="14"/>
  <c r="D6" i="14"/>
  <c r="F4" i="14"/>
  <c r="A1" i="14"/>
  <c r="I15" i="13"/>
  <c r="H15" i="13"/>
  <c r="G9" i="13"/>
  <c r="H8" i="13"/>
  <c r="D36" i="14" s="1"/>
  <c r="C8" i="13"/>
  <c r="H7" i="13"/>
  <c r="D27" i="14" s="1"/>
  <c r="C7" i="13"/>
  <c r="H6" i="13"/>
  <c r="D18" i="14" s="1"/>
  <c r="C6" i="13"/>
  <c r="H5" i="13"/>
  <c r="C5" i="13"/>
  <c r="J3" i="13"/>
  <c r="A3" i="13"/>
  <c r="A1" i="13"/>
  <c r="F43" i="12"/>
  <c r="F45" i="12" s="1"/>
  <c r="D42" i="12"/>
  <c r="F38" i="12"/>
  <c r="F40" i="12" s="1"/>
  <c r="D37" i="12"/>
  <c r="F33" i="12"/>
  <c r="F35" i="12" s="1"/>
  <c r="D32" i="12"/>
  <c r="F28" i="12"/>
  <c r="F30" i="12" s="1"/>
  <c r="D27" i="12"/>
  <c r="C24" i="12"/>
  <c r="C23" i="12"/>
  <c r="F10" i="12"/>
  <c r="F12" i="12" s="1"/>
  <c r="D9" i="12"/>
  <c r="C6" i="12"/>
  <c r="C5" i="12"/>
  <c r="G4" i="12"/>
  <c r="A1" i="12"/>
  <c r="G31" i="11"/>
  <c r="G34" i="11" s="1"/>
  <c r="G30" i="11"/>
  <c r="G28" i="11"/>
  <c r="G24" i="11"/>
  <c r="G20" i="11"/>
  <c r="G16" i="11"/>
  <c r="G12" i="11"/>
  <c r="G8" i="11"/>
  <c r="A3" i="11"/>
  <c r="A1" i="11"/>
  <c r="F483" i="10"/>
  <c r="F461" i="10"/>
  <c r="F439" i="10"/>
  <c r="F417" i="10"/>
  <c r="F395" i="10"/>
  <c r="F373" i="10"/>
  <c r="F351" i="10"/>
  <c r="F329" i="10"/>
  <c r="F306" i="10"/>
  <c r="F284" i="10"/>
  <c r="F262" i="10"/>
  <c r="F240" i="10"/>
  <c r="F218" i="10"/>
  <c r="F174" i="10"/>
  <c r="F152" i="10"/>
  <c r="F149" i="10"/>
  <c r="F130" i="10"/>
  <c r="F127" i="10"/>
  <c r="F108" i="10"/>
  <c r="F105" i="10"/>
  <c r="F83" i="10"/>
  <c r="F69" i="10"/>
  <c r="F67" i="10"/>
  <c r="F65" i="10"/>
  <c r="F14" i="10"/>
  <c r="F11" i="10"/>
  <c r="F9" i="10"/>
  <c r="G534" i="9"/>
  <c r="H534" i="9" s="1"/>
  <c r="G533" i="9"/>
  <c r="G529" i="9"/>
  <c r="H529" i="9" s="1"/>
  <c r="G528" i="9"/>
  <c r="G524" i="9"/>
  <c r="H524" i="9" s="1"/>
  <c r="G523" i="9"/>
  <c r="H523" i="9" s="1"/>
  <c r="G519" i="9"/>
  <c r="G518" i="9"/>
  <c r="H518" i="9" s="1"/>
  <c r="G514" i="9"/>
  <c r="H514" i="9" s="1"/>
  <c r="G513" i="9"/>
  <c r="H513" i="9" s="1"/>
  <c r="G509" i="9"/>
  <c r="H509" i="9" s="1"/>
  <c r="G508" i="9"/>
  <c r="G504" i="9"/>
  <c r="H504" i="9" s="1"/>
  <c r="G503" i="9"/>
  <c r="H503" i="9" s="1"/>
  <c r="G499" i="9"/>
  <c r="H499" i="9" s="1"/>
  <c r="G498" i="9"/>
  <c r="H498" i="9" s="1"/>
  <c r="G494" i="9"/>
  <c r="H494" i="9" s="1"/>
  <c r="G493" i="9"/>
  <c r="G489" i="9"/>
  <c r="H489" i="9" s="1"/>
  <c r="G488" i="9"/>
  <c r="G484" i="9"/>
  <c r="H484" i="9" s="1"/>
  <c r="G483" i="9"/>
  <c r="G479" i="9"/>
  <c r="H479" i="9" s="1"/>
  <c r="G478" i="9"/>
  <c r="H478" i="9" s="1"/>
  <c r="G474" i="9"/>
  <c r="H474" i="9" s="1"/>
  <c r="G473" i="9"/>
  <c r="G469" i="9"/>
  <c r="H469" i="9" s="1"/>
  <c r="G468" i="9"/>
  <c r="G464" i="9"/>
  <c r="H464" i="9" s="1"/>
  <c r="G463" i="9"/>
  <c r="H463" i="9" s="1"/>
  <c r="G459" i="9"/>
  <c r="G458" i="9"/>
  <c r="H458" i="9" s="1"/>
  <c r="G454" i="9"/>
  <c r="H454" i="9" s="1"/>
  <c r="G453" i="9"/>
  <c r="H453" i="9" s="1"/>
  <c r="G449" i="9"/>
  <c r="H449" i="9" s="1"/>
  <c r="G448" i="9"/>
  <c r="H448" i="9" s="1"/>
  <c r="G444" i="9"/>
  <c r="H444" i="9" s="1"/>
  <c r="G443" i="9"/>
  <c r="H443" i="9" s="1"/>
  <c r="G439" i="9"/>
  <c r="H439" i="9" s="1"/>
  <c r="G438" i="9"/>
  <c r="H438" i="9" s="1"/>
  <c r="G434" i="9"/>
  <c r="H434" i="9" s="1"/>
  <c r="G433" i="9"/>
  <c r="G429" i="9"/>
  <c r="H429" i="9" s="1"/>
  <c r="G428" i="9"/>
  <c r="G424" i="9"/>
  <c r="H424" i="9" s="1"/>
  <c r="G423" i="9"/>
  <c r="G419" i="9"/>
  <c r="H419" i="9" s="1"/>
  <c r="G418" i="9"/>
  <c r="H418" i="9" s="1"/>
  <c r="G414" i="9"/>
  <c r="H414" i="9" s="1"/>
  <c r="G413" i="9"/>
  <c r="G409" i="9"/>
  <c r="H409" i="9" s="1"/>
  <c r="G408" i="9"/>
  <c r="H408" i="9" s="1"/>
  <c r="G404" i="9"/>
  <c r="H404" i="9" s="1"/>
  <c r="G403" i="9"/>
  <c r="G399" i="9"/>
  <c r="H399" i="9" s="1"/>
  <c r="G398" i="9"/>
  <c r="G394" i="9"/>
  <c r="H394" i="9" s="1"/>
  <c r="G393" i="9"/>
  <c r="H393" i="9" s="1"/>
  <c r="G389" i="9"/>
  <c r="H389" i="9" s="1"/>
  <c r="G388" i="9"/>
  <c r="G384" i="9"/>
  <c r="G383" i="9"/>
  <c r="H383" i="9" s="1"/>
  <c r="G379" i="9"/>
  <c r="H379" i="9" s="1"/>
  <c r="G378" i="9"/>
  <c r="H378" i="9" s="1"/>
  <c r="G374" i="9"/>
  <c r="H374" i="9" s="1"/>
  <c r="G373" i="9"/>
  <c r="G369" i="9"/>
  <c r="H369" i="9" s="1"/>
  <c r="G368" i="9"/>
  <c r="H368" i="9" s="1"/>
  <c r="H364" i="9"/>
  <c r="G363" i="9"/>
  <c r="H363" i="9" s="1"/>
  <c r="G359" i="9"/>
  <c r="H359" i="9" s="1"/>
  <c r="G358" i="9"/>
  <c r="G354" i="9"/>
  <c r="H354" i="9" s="1"/>
  <c r="G353" i="9"/>
  <c r="H353" i="9" s="1"/>
  <c r="G349" i="9"/>
  <c r="H349" i="9" s="1"/>
  <c r="G348" i="9"/>
  <c r="G344" i="9"/>
  <c r="H344" i="9" s="1"/>
  <c r="G343" i="9"/>
  <c r="H343" i="9" s="1"/>
  <c r="G339" i="9"/>
  <c r="H339" i="9" s="1"/>
  <c r="G338" i="9"/>
  <c r="G334" i="9"/>
  <c r="H334" i="9" s="1"/>
  <c r="G333" i="9"/>
  <c r="G329" i="9"/>
  <c r="H329" i="9" s="1"/>
  <c r="G328" i="9"/>
  <c r="G324" i="9"/>
  <c r="H324" i="9" s="1"/>
  <c r="G323" i="9"/>
  <c r="G319" i="9"/>
  <c r="G318" i="9"/>
  <c r="H318" i="9" s="1"/>
  <c r="G314" i="9"/>
  <c r="H314" i="9" s="1"/>
  <c r="G313" i="9"/>
  <c r="H313" i="9" s="1"/>
  <c r="G309" i="9"/>
  <c r="H309" i="9" s="1"/>
  <c r="G308" i="9"/>
  <c r="G304" i="9"/>
  <c r="H304" i="9" s="1"/>
  <c r="G303" i="9"/>
  <c r="G299" i="9"/>
  <c r="H299" i="9" s="1"/>
  <c r="G298" i="9"/>
  <c r="H298" i="9" s="1"/>
  <c r="G294" i="9"/>
  <c r="H294" i="9" s="1"/>
  <c r="G293" i="9"/>
  <c r="H293" i="9" s="1"/>
  <c r="A292" i="9"/>
  <c r="A297" i="9" s="1"/>
  <c r="G289" i="9"/>
  <c r="H289" i="9" s="1"/>
  <c r="G288" i="9"/>
  <c r="C287" i="9"/>
  <c r="F291" i="9" s="1"/>
  <c r="G284" i="9"/>
  <c r="H284" i="9" s="1"/>
  <c r="G283" i="9"/>
  <c r="C282" i="9"/>
  <c r="F286" i="9" s="1"/>
  <c r="G279" i="9"/>
  <c r="H279" i="9" s="1"/>
  <c r="G278" i="9"/>
  <c r="C277" i="9"/>
  <c r="F281" i="9" s="1"/>
  <c r="G274" i="9"/>
  <c r="H274" i="9" s="1"/>
  <c r="G273" i="9"/>
  <c r="C272" i="9"/>
  <c r="F276" i="9" s="1"/>
  <c r="G269" i="9"/>
  <c r="H269" i="9" s="1"/>
  <c r="G268" i="9"/>
  <c r="C267" i="9"/>
  <c r="F271" i="9" s="1"/>
  <c r="G264" i="9"/>
  <c r="H264" i="9" s="1"/>
  <c r="G263" i="9"/>
  <c r="C262" i="9"/>
  <c r="F266" i="9" s="1"/>
  <c r="G259" i="9"/>
  <c r="H259" i="9" s="1"/>
  <c r="G258" i="9"/>
  <c r="C257" i="9"/>
  <c r="F261" i="9" s="1"/>
  <c r="G254" i="9"/>
  <c r="H254" i="9" s="1"/>
  <c r="G253" i="9"/>
  <c r="C252" i="9"/>
  <c r="F256" i="9" s="1"/>
  <c r="G249" i="9"/>
  <c r="H249" i="9" s="1"/>
  <c r="G248" i="9"/>
  <c r="C247" i="9"/>
  <c r="F251" i="9" s="1"/>
  <c r="G244" i="9"/>
  <c r="H244" i="9" s="1"/>
  <c r="G243" i="9"/>
  <c r="C242" i="9"/>
  <c r="F246" i="9" s="1"/>
  <c r="G239" i="9"/>
  <c r="H239" i="9" s="1"/>
  <c r="G238" i="9"/>
  <c r="C237" i="9"/>
  <c r="F241" i="9" s="1"/>
  <c r="G234" i="9"/>
  <c r="H234" i="9" s="1"/>
  <c r="G233" i="9"/>
  <c r="C232" i="9"/>
  <c r="F236" i="9" s="1"/>
  <c r="G229" i="9"/>
  <c r="H229" i="9" s="1"/>
  <c r="G228" i="9"/>
  <c r="C227" i="9"/>
  <c r="F231" i="9" s="1"/>
  <c r="G224" i="9"/>
  <c r="H224" i="9" s="1"/>
  <c r="G223" i="9"/>
  <c r="G226" i="9" s="1"/>
  <c r="C222" i="9"/>
  <c r="F226" i="9" s="1"/>
  <c r="G219" i="9"/>
  <c r="H219" i="9" s="1"/>
  <c r="G218" i="9"/>
  <c r="C217" i="9"/>
  <c r="F221" i="9" s="1"/>
  <c r="G214" i="9"/>
  <c r="H214" i="9" s="1"/>
  <c r="G213" i="9"/>
  <c r="C212" i="9"/>
  <c r="F216" i="9" s="1"/>
  <c r="G209" i="9"/>
  <c r="H209" i="9" s="1"/>
  <c r="G208" i="9"/>
  <c r="C207" i="9"/>
  <c r="F211" i="9" s="1"/>
  <c r="G204" i="9"/>
  <c r="H204" i="9" s="1"/>
  <c r="G203" i="9"/>
  <c r="C202" i="9"/>
  <c r="F206" i="9" s="1"/>
  <c r="G199" i="9"/>
  <c r="H199" i="9" s="1"/>
  <c r="G198" i="9"/>
  <c r="C197" i="9"/>
  <c r="F201" i="9" s="1"/>
  <c r="G194" i="9"/>
  <c r="H194" i="9" s="1"/>
  <c r="G193" i="9"/>
  <c r="C192" i="9"/>
  <c r="F196" i="9" s="1"/>
  <c r="G189" i="9"/>
  <c r="H189" i="9" s="1"/>
  <c r="G188" i="9"/>
  <c r="C187" i="9"/>
  <c r="F191" i="9" s="1"/>
  <c r="G180" i="9"/>
  <c r="H180" i="9" s="1"/>
  <c r="G179" i="9"/>
  <c r="F182" i="9"/>
  <c r="G175" i="9"/>
  <c r="H175" i="9" s="1"/>
  <c r="G174" i="9"/>
  <c r="F177" i="9"/>
  <c r="G170" i="9"/>
  <c r="H170" i="9" s="1"/>
  <c r="G169" i="9"/>
  <c r="F172" i="9"/>
  <c r="G165" i="9"/>
  <c r="H165" i="9" s="1"/>
  <c r="G164" i="9"/>
  <c r="F167" i="9"/>
  <c r="G160" i="9"/>
  <c r="H160" i="9" s="1"/>
  <c r="G159" i="9"/>
  <c r="C158" i="9"/>
  <c r="F162" i="9" s="1"/>
  <c r="G155" i="9"/>
  <c r="H155" i="9" s="1"/>
  <c r="G154" i="9"/>
  <c r="C153" i="9"/>
  <c r="F157" i="9" s="1"/>
  <c r="G150" i="9"/>
  <c r="H150" i="9" s="1"/>
  <c r="G149" i="9"/>
  <c r="C148" i="9"/>
  <c r="F186" i="9" s="1" a="1"/>
  <c r="F186" i="9" s="1"/>
  <c r="G145" i="9"/>
  <c r="H145" i="9" s="1"/>
  <c r="G144" i="9"/>
  <c r="C143" i="9"/>
  <c r="F147" i="9" s="1"/>
  <c r="G140" i="9"/>
  <c r="H140" i="9" s="1"/>
  <c r="G139" i="9"/>
  <c r="C138" i="9"/>
  <c r="F142" i="9" s="1"/>
  <c r="G131" i="9"/>
  <c r="H131" i="9" s="1"/>
  <c r="G130" i="9"/>
  <c r="F133" i="9"/>
  <c r="G126" i="9"/>
  <c r="H126" i="9" s="1"/>
  <c r="G125" i="9"/>
  <c r="F128" i="9"/>
  <c r="G121" i="9"/>
  <c r="H121" i="9" s="1"/>
  <c r="G120" i="9"/>
  <c r="F123" i="9"/>
  <c r="G116" i="9"/>
  <c r="H116" i="9" s="1"/>
  <c r="G115" i="9"/>
  <c r="F118" i="9"/>
  <c r="G111" i="9"/>
  <c r="H111" i="9" s="1"/>
  <c r="H110" i="9"/>
  <c r="E109" i="9"/>
  <c r="C109" i="9"/>
  <c r="F113" i="9" s="1"/>
  <c r="G106" i="9"/>
  <c r="H106" i="9" s="1"/>
  <c r="G105" i="9"/>
  <c r="H105" i="9" s="1"/>
  <c r="C104" i="9"/>
  <c r="F108" i="9" s="1"/>
  <c r="G97" i="9"/>
  <c r="H97" i="9" s="1"/>
  <c r="G96" i="9"/>
  <c r="H96" i="9" s="1"/>
  <c r="F99" i="9"/>
  <c r="G92" i="9"/>
  <c r="H92" i="9" s="1"/>
  <c r="G91" i="9"/>
  <c r="H91" i="9" s="1"/>
  <c r="F94" i="9"/>
  <c r="G87" i="9"/>
  <c r="H87" i="9" s="1"/>
  <c r="G86" i="9"/>
  <c r="F89" i="9"/>
  <c r="G82" i="9"/>
  <c r="H82" i="9" s="1"/>
  <c r="G81" i="9"/>
  <c r="H81" i="9" s="1"/>
  <c r="C80" i="9"/>
  <c r="F84" i="9" s="1"/>
  <c r="G77" i="9"/>
  <c r="H77" i="9" s="1"/>
  <c r="G76" i="9"/>
  <c r="H76" i="9" s="1"/>
  <c r="C75" i="9"/>
  <c r="F79" i="9" s="1"/>
  <c r="G72" i="9"/>
  <c r="H72" i="9" s="1"/>
  <c r="G71" i="9"/>
  <c r="H71" i="9" s="1"/>
  <c r="C70" i="9"/>
  <c r="F103" i="9" s="1" a="1"/>
  <c r="F103" i="9" s="1"/>
  <c r="H67" i="9"/>
  <c r="G66" i="9"/>
  <c r="H66" i="9" s="1"/>
  <c r="F64" i="9"/>
  <c r="H62" i="9"/>
  <c r="G61" i="9"/>
  <c r="H61" i="9" s="1"/>
  <c r="F59" i="9"/>
  <c r="H57" i="9"/>
  <c r="G56" i="9"/>
  <c r="H52" i="9"/>
  <c r="H51" i="9"/>
  <c r="E50" i="9"/>
  <c r="D50" i="9"/>
  <c r="C50" i="9"/>
  <c r="F49" i="9" s="1" a="1"/>
  <c r="F49" i="9" s="1"/>
  <c r="F15" i="9"/>
  <c r="H13" i="9"/>
  <c r="G10" i="9"/>
  <c r="F10" i="9"/>
  <c r="H8" i="9"/>
  <c r="H7" i="9"/>
  <c r="A4" i="9"/>
  <c r="A1" i="9"/>
  <c r="J49" i="8"/>
  <c r="I49" i="8"/>
  <c r="G49" i="8"/>
  <c r="I48" i="8"/>
  <c r="G48" i="8"/>
  <c r="K47" i="8"/>
  <c r="J47" i="8"/>
  <c r="I47" i="8"/>
  <c r="G47" i="8"/>
  <c r="I46" i="8"/>
  <c r="G46" i="8"/>
  <c r="I44" i="8"/>
  <c r="K43" i="8"/>
  <c r="K42" i="8"/>
  <c r="K49" i="8" s="1"/>
  <c r="K41" i="8"/>
  <c r="J41" i="8"/>
  <c r="J48" i="8" s="1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48" i="8" s="1"/>
  <c r="K21" i="8"/>
  <c r="K20" i="8"/>
  <c r="K19" i="8"/>
  <c r="K18" i="8"/>
  <c r="K17" i="8"/>
  <c r="K16" i="8"/>
  <c r="K15" i="8"/>
  <c r="K14" i="8"/>
  <c r="K13" i="8"/>
  <c r="J12" i="8"/>
  <c r="I12" i="8"/>
  <c r="K11" i="8"/>
  <c r="K10" i="8"/>
  <c r="K9" i="8"/>
  <c r="K8" i="8"/>
  <c r="I7" i="8"/>
  <c r="K6" i="8"/>
  <c r="K5" i="8"/>
  <c r="K4" i="8"/>
  <c r="K3" i="8"/>
  <c r="K7" i="8" s="1"/>
  <c r="K2" i="8"/>
  <c r="J2" i="8"/>
  <c r="J7" i="8" s="1"/>
  <c r="C18" i="7"/>
  <c r="F15" i="7"/>
  <c r="F14" i="7"/>
  <c r="F10" i="7"/>
  <c r="F9" i="7"/>
  <c r="D8" i="7"/>
  <c r="C7" i="7"/>
  <c r="C5" i="7"/>
  <c r="C4" i="7"/>
  <c r="G3" i="7"/>
  <c r="A1" i="7"/>
  <c r="A3" i="6"/>
  <c r="H30" i="5"/>
  <c r="H33" i="5" s="1"/>
  <c r="J17" i="5"/>
  <c r="I17" i="5"/>
  <c r="H17" i="5"/>
  <c r="A3" i="5"/>
  <c r="A1" i="5"/>
  <c r="E18" i="4"/>
  <c r="C18" i="4"/>
  <c r="C10" i="4"/>
  <c r="C5" i="4"/>
  <c r="A3" i="4"/>
  <c r="A2" i="4"/>
  <c r="A1" i="4" s="1"/>
  <c r="B4" i="2"/>
  <c r="A11" i="1"/>
  <c r="A10" i="1"/>
  <c r="O4" i="1"/>
  <c r="A2" i="1" s="1"/>
  <c r="A4" i="1"/>
  <c r="J46" i="8" l="1"/>
  <c r="G50" i="8"/>
  <c r="K12" i="8"/>
  <c r="K44" i="8"/>
  <c r="I50" i="8"/>
  <c r="G32" i="11"/>
  <c r="G33" i="11"/>
  <c r="G35" i="11" s="1"/>
  <c r="G100" i="9"/>
  <c r="G183" i="9"/>
  <c r="H183" i="9" s="1"/>
  <c r="G59" i="9"/>
  <c r="G134" i="9"/>
  <c r="D17" i="4"/>
  <c r="G177" i="9"/>
  <c r="H10" i="9"/>
  <c r="G336" i="9"/>
  <c r="G172" i="9"/>
  <c r="G361" i="9"/>
  <c r="H371" i="9"/>
  <c r="G162" i="9"/>
  <c r="G191" i="9"/>
  <c r="H366" i="9"/>
  <c r="H101" i="9"/>
  <c r="H184" i="9"/>
  <c r="H441" i="9"/>
  <c r="G231" i="9"/>
  <c r="H79" i="9"/>
  <c r="G311" i="9"/>
  <c r="G246" i="9"/>
  <c r="H69" i="9"/>
  <c r="G376" i="9"/>
  <c r="H501" i="9"/>
  <c r="G406" i="9"/>
  <c r="G241" i="9"/>
  <c r="G216" i="9"/>
  <c r="G276" i="9"/>
  <c r="G286" i="9"/>
  <c r="H74" i="9"/>
  <c r="H381" i="9"/>
  <c r="H296" i="9"/>
  <c r="G401" i="9"/>
  <c r="G182" i="9"/>
  <c r="G236" i="9"/>
  <c r="G351" i="9"/>
  <c r="G157" i="9"/>
  <c r="G211" i="9"/>
  <c r="G271" i="9"/>
  <c r="H446" i="9"/>
  <c r="G47" i="9"/>
  <c r="G221" i="9"/>
  <c r="G281" i="9"/>
  <c r="G306" i="9"/>
  <c r="G391" i="9"/>
  <c r="G511" i="9"/>
  <c r="G123" i="9"/>
  <c r="G142" i="9"/>
  <c r="G196" i="9"/>
  <c r="G256" i="9"/>
  <c r="G326" i="9"/>
  <c r="H411" i="9"/>
  <c r="H466" i="9"/>
  <c r="G89" i="9"/>
  <c r="G133" i="9"/>
  <c r="G152" i="9"/>
  <c r="G206" i="9"/>
  <c r="G266" i="9"/>
  <c r="G291" i="9"/>
  <c r="H356" i="9"/>
  <c r="H421" i="9"/>
  <c r="G431" i="9"/>
  <c r="G486" i="9"/>
  <c r="G531" i="9"/>
  <c r="F54" i="9"/>
  <c r="H64" i="9"/>
  <c r="H451" i="9"/>
  <c r="H506" i="9"/>
  <c r="H47" i="9"/>
  <c r="G251" i="9"/>
  <c r="H84" i="9"/>
  <c r="G128" i="9"/>
  <c r="F137" i="9" a="1"/>
  <c r="F137" i="9" s="1"/>
  <c r="G147" i="9"/>
  <c r="G201" i="9"/>
  <c r="G261" i="9"/>
  <c r="G331" i="9"/>
  <c r="G341" i="9"/>
  <c r="G416" i="9"/>
  <c r="G471" i="9"/>
  <c r="H526" i="9"/>
  <c r="G426" i="9"/>
  <c r="G491" i="9"/>
  <c r="G69" i="9"/>
  <c r="G456" i="9"/>
  <c r="H338" i="9"/>
  <c r="H341" i="9" s="1"/>
  <c r="G501" i="9"/>
  <c r="G451" i="9"/>
  <c r="G516" i="9"/>
  <c r="G356" i="9"/>
  <c r="H483" i="9"/>
  <c r="H486" i="9" s="1"/>
  <c r="G84" i="9"/>
  <c r="H528" i="9"/>
  <c r="H531" i="9" s="1"/>
  <c r="G296" i="9"/>
  <c r="G506" i="9"/>
  <c r="G366" i="9"/>
  <c r="H428" i="9"/>
  <c r="H431" i="9" s="1"/>
  <c r="G446" i="9"/>
  <c r="H303" i="9"/>
  <c r="H306" i="9" s="1"/>
  <c r="G74" i="9"/>
  <c r="G108" i="9"/>
  <c r="G396" i="9"/>
  <c r="H508" i="9"/>
  <c r="H511" i="9" s="1"/>
  <c r="G99" i="9"/>
  <c r="H388" i="9"/>
  <c r="H391" i="9" s="1"/>
  <c r="G15" i="9"/>
  <c r="G321" i="9"/>
  <c r="G346" i="9"/>
  <c r="H403" i="9"/>
  <c r="H406" i="9" s="1"/>
  <c r="G466" i="9"/>
  <c r="G118" i="9"/>
  <c r="H134" i="9"/>
  <c r="H373" i="9"/>
  <c r="H376" i="9" s="1"/>
  <c r="H323" i="9"/>
  <c r="H326" i="9" s="1"/>
  <c r="G441" i="9"/>
  <c r="G64" i="9"/>
  <c r="H423" i="9"/>
  <c r="H426" i="9" s="1"/>
  <c r="G526" i="9"/>
  <c r="G94" i="9"/>
  <c r="H86" i="9"/>
  <c r="H89" i="9" s="1"/>
  <c r="G301" i="9"/>
  <c r="G386" i="9"/>
  <c r="H488" i="9"/>
  <c r="H491" i="9" s="1"/>
  <c r="G79" i="9"/>
  <c r="G167" i="9"/>
  <c r="H308" i="9"/>
  <c r="H311" i="9" s="1"/>
  <c r="H516" i="9"/>
  <c r="G371" i="9"/>
  <c r="C15" i="4"/>
  <c r="H94" i="9"/>
  <c r="G135" i="9"/>
  <c r="G137" i="9" s="1"/>
  <c r="J50" i="8"/>
  <c r="A302" i="9"/>
  <c r="C297" i="9"/>
  <c r="F301" i="9" s="1"/>
  <c r="H316" i="9"/>
  <c r="H301" i="9"/>
  <c r="H108" i="9"/>
  <c r="H346" i="9"/>
  <c r="H99" i="9"/>
  <c r="H396" i="9"/>
  <c r="D1741" i="14"/>
  <c r="D1714" i="14"/>
  <c r="D1687" i="14"/>
  <c r="D1660" i="14"/>
  <c r="D1633" i="14"/>
  <c r="D1606" i="14"/>
  <c r="D1579" i="14"/>
  <c r="D1552" i="14"/>
  <c r="D1525" i="14"/>
  <c r="D1498" i="14"/>
  <c r="D1471" i="14"/>
  <c r="D1444" i="14"/>
  <c r="D1417" i="14"/>
  <c r="D1390" i="14"/>
  <c r="D1363" i="14"/>
  <c r="D1336" i="14"/>
  <c r="D1309" i="14"/>
  <c r="D1282" i="14"/>
  <c r="D1255" i="14"/>
  <c r="D1228" i="14"/>
  <c r="D1201" i="14"/>
  <c r="D1174" i="14"/>
  <c r="D1147" i="14"/>
  <c r="D1120" i="14"/>
  <c r="D1093" i="14"/>
  <c r="D1066" i="14"/>
  <c r="D1039" i="14"/>
  <c r="D1012" i="14"/>
  <c r="D985" i="14"/>
  <c r="D958" i="14"/>
  <c r="D931" i="14"/>
  <c r="D904" i="14"/>
  <c r="D877" i="14"/>
  <c r="D850" i="14"/>
  <c r="D823" i="14"/>
  <c r="D796" i="14"/>
  <c r="D769" i="14"/>
  <c r="D742" i="14"/>
  <c r="D715" i="14"/>
  <c r="D688" i="14"/>
  <c r="D661" i="14"/>
  <c r="D634" i="14"/>
  <c r="D607" i="14"/>
  <c r="D580" i="14"/>
  <c r="D553" i="14"/>
  <c r="D526" i="14"/>
  <c r="D499" i="14"/>
  <c r="D472" i="14"/>
  <c r="D445" i="14"/>
  <c r="D418" i="14"/>
  <c r="D391" i="14"/>
  <c r="D364" i="14"/>
  <c r="D337" i="14"/>
  <c r="D310" i="14"/>
  <c r="D283" i="14"/>
  <c r="D256" i="14"/>
  <c r="D229" i="14"/>
  <c r="D202" i="14"/>
  <c r="D175" i="14"/>
  <c r="D148" i="14"/>
  <c r="D121" i="14"/>
  <c r="D94" i="14"/>
  <c r="D67" i="14"/>
  <c r="D40" i="14"/>
  <c r="D13" i="14"/>
  <c r="D1750" i="14"/>
  <c r="D1723" i="14"/>
  <c r="D1696" i="14"/>
  <c r="D1669" i="14"/>
  <c r="D1642" i="14"/>
  <c r="D1615" i="14"/>
  <c r="D1588" i="14"/>
  <c r="D1561" i="14"/>
  <c r="D1534" i="14"/>
  <c r="D1507" i="14"/>
  <c r="D1480" i="14"/>
  <c r="D1453" i="14"/>
  <c r="D1426" i="14"/>
  <c r="D1399" i="14"/>
  <c r="D1372" i="14"/>
  <c r="D1345" i="14"/>
  <c r="D1318" i="14"/>
  <c r="D1291" i="14"/>
  <c r="D1264" i="14"/>
  <c r="D1237" i="14"/>
  <c r="D1210" i="14"/>
  <c r="D1183" i="14"/>
  <c r="D1156" i="14"/>
  <c r="D1129" i="14"/>
  <c r="D1102" i="14"/>
  <c r="D1075" i="14"/>
  <c r="D1048" i="14"/>
  <c r="D1021" i="14"/>
  <c r="D994" i="14"/>
  <c r="D967" i="14"/>
  <c r="D940" i="14"/>
  <c r="D913" i="14"/>
  <c r="D886" i="14"/>
  <c r="D859" i="14"/>
  <c r="D832" i="14"/>
  <c r="D805" i="14"/>
  <c r="D778" i="14"/>
  <c r="D751" i="14"/>
  <c r="D724" i="14"/>
  <c r="D697" i="14"/>
  <c r="D670" i="14"/>
  <c r="D643" i="14"/>
  <c r="D616" i="14"/>
  <c r="D589" i="14"/>
  <c r="D562" i="14"/>
  <c r="D535" i="14"/>
  <c r="D508" i="14"/>
  <c r="D481" i="14"/>
  <c r="D454" i="14"/>
  <c r="D427" i="14"/>
  <c r="D400" i="14"/>
  <c r="D373" i="14"/>
  <c r="D346" i="14"/>
  <c r="D319" i="14"/>
  <c r="D292" i="14"/>
  <c r="D265" i="14"/>
  <c r="D238" i="14"/>
  <c r="D211" i="14"/>
  <c r="D184" i="14"/>
  <c r="D157" i="14"/>
  <c r="D130" i="14"/>
  <c r="D103" i="14"/>
  <c r="D76" i="14"/>
  <c r="D49" i="14"/>
  <c r="D22" i="14"/>
  <c r="C4" i="12"/>
  <c r="D1732" i="14"/>
  <c r="D1705" i="14"/>
  <c r="D1678" i="14"/>
  <c r="D1651" i="14"/>
  <c r="D1624" i="14"/>
  <c r="D1597" i="14"/>
  <c r="D1570" i="14"/>
  <c r="D1543" i="14"/>
  <c r="D1516" i="14"/>
  <c r="D1489" i="14"/>
  <c r="D1462" i="14"/>
  <c r="D1435" i="14"/>
  <c r="D1408" i="14"/>
  <c r="D1381" i="14"/>
  <c r="D1354" i="14"/>
  <c r="D1327" i="14"/>
  <c r="D1300" i="14"/>
  <c r="D1273" i="14"/>
  <c r="D1246" i="14"/>
  <c r="D1219" i="14"/>
  <c r="D1192" i="14"/>
  <c r="D1165" i="14"/>
  <c r="D1138" i="14"/>
  <c r="D1111" i="14"/>
  <c r="D1084" i="14"/>
  <c r="D1057" i="14"/>
  <c r="D1030" i="14"/>
  <c r="D1003" i="14"/>
  <c r="D976" i="14"/>
  <c r="D949" i="14"/>
  <c r="D922" i="14"/>
  <c r="D895" i="14"/>
  <c r="D868" i="14"/>
  <c r="D841" i="14"/>
  <c r="D814" i="14"/>
  <c r="D787" i="14"/>
  <c r="D760" i="14"/>
  <c r="D733" i="14"/>
  <c r="D706" i="14"/>
  <c r="D679" i="14"/>
  <c r="D652" i="14"/>
  <c r="D625" i="14"/>
  <c r="D598" i="14"/>
  <c r="D571" i="14"/>
  <c r="D544" i="14"/>
  <c r="D517" i="14"/>
  <c r="D490" i="14"/>
  <c r="D463" i="14"/>
  <c r="D436" i="14"/>
  <c r="D409" i="14"/>
  <c r="D382" i="14"/>
  <c r="D355" i="14"/>
  <c r="D328" i="14"/>
  <c r="D301" i="14"/>
  <c r="D274" i="14"/>
  <c r="D247" i="14"/>
  <c r="D220" i="14"/>
  <c r="D193" i="14"/>
  <c r="D166" i="14"/>
  <c r="D139" i="14"/>
  <c r="D112" i="14"/>
  <c r="D85" i="14"/>
  <c r="D58" i="14"/>
  <c r="D31" i="14"/>
  <c r="D4" i="14"/>
  <c r="K46" i="8"/>
  <c r="K50" i="8" s="1"/>
  <c r="H56" i="9"/>
  <c r="C292" i="9"/>
  <c r="F296" i="9" s="1"/>
  <c r="H328" i="9"/>
  <c r="H331" i="9" s="1"/>
  <c r="H319" i="9"/>
  <c r="H321" i="9" s="1"/>
  <c r="H333" i="9"/>
  <c r="H336" i="9" s="1"/>
  <c r="H384" i="9"/>
  <c r="H386" i="9" s="1"/>
  <c r="H398" i="9"/>
  <c r="H401" i="9" s="1"/>
  <c r="H468" i="9"/>
  <c r="H471" i="9" s="1"/>
  <c r="G316" i="9"/>
  <c r="G381" i="9"/>
  <c r="G536" i="9"/>
  <c r="H533" i="9"/>
  <c r="H536" i="9" s="1"/>
  <c r="G481" i="9"/>
  <c r="H12" i="9"/>
  <c r="H15" i="9" s="1"/>
  <c r="H115" i="9"/>
  <c r="H118" i="9" s="1"/>
  <c r="H120" i="9"/>
  <c r="H123" i="9" s="1"/>
  <c r="H125" i="9"/>
  <c r="H128" i="9" s="1"/>
  <c r="H130" i="9"/>
  <c r="H133" i="9" s="1"/>
  <c r="H139" i="9"/>
  <c r="H142" i="9" s="1"/>
  <c r="H144" i="9"/>
  <c r="H147" i="9" s="1"/>
  <c r="H149" i="9"/>
  <c r="H152" i="9" s="1"/>
  <c r="H154" i="9"/>
  <c r="H157" i="9" s="1"/>
  <c r="H159" i="9"/>
  <c r="H162" i="9" s="1"/>
  <c r="H164" i="9"/>
  <c r="H167" i="9" s="1"/>
  <c r="H169" i="9"/>
  <c r="H172" i="9" s="1"/>
  <c r="H174" i="9"/>
  <c r="H177" i="9" s="1"/>
  <c r="H179" i="9"/>
  <c r="H182" i="9" s="1"/>
  <c r="H188" i="9"/>
  <c r="H191" i="9" s="1"/>
  <c r="H193" i="9"/>
  <c r="H196" i="9" s="1"/>
  <c r="H198" i="9"/>
  <c r="H201" i="9" s="1"/>
  <c r="H203" i="9"/>
  <c r="H206" i="9" s="1"/>
  <c r="H208" i="9"/>
  <c r="H211" i="9" s="1"/>
  <c r="H213" i="9"/>
  <c r="H216" i="9" s="1"/>
  <c r="H218" i="9"/>
  <c r="H221" i="9" s="1"/>
  <c r="H223" i="9"/>
  <c r="H226" i="9" s="1"/>
  <c r="H228" i="9"/>
  <c r="H231" i="9" s="1"/>
  <c r="H233" i="9"/>
  <c r="H236" i="9" s="1"/>
  <c r="H238" i="9"/>
  <c r="H241" i="9" s="1"/>
  <c r="H243" i="9"/>
  <c r="H246" i="9" s="1"/>
  <c r="H248" i="9"/>
  <c r="H251" i="9" s="1"/>
  <c r="H253" i="9"/>
  <c r="H256" i="9" s="1"/>
  <c r="H258" i="9"/>
  <c r="H261" i="9" s="1"/>
  <c r="H263" i="9"/>
  <c r="H266" i="9" s="1"/>
  <c r="H268" i="9"/>
  <c r="H271" i="9" s="1"/>
  <c r="H273" i="9"/>
  <c r="H276" i="9" s="1"/>
  <c r="H278" i="9"/>
  <c r="H281" i="9" s="1"/>
  <c r="H283" i="9"/>
  <c r="H286" i="9" s="1"/>
  <c r="H288" i="9"/>
  <c r="H291" i="9" s="1"/>
  <c r="H348" i="9"/>
  <c r="H351" i="9" s="1"/>
  <c r="G421" i="9"/>
  <c r="H481" i="9"/>
  <c r="G496" i="9"/>
  <c r="H493" i="9"/>
  <c r="H496" i="9" s="1"/>
  <c r="H135" i="9"/>
  <c r="G436" i="9"/>
  <c r="H433" i="9"/>
  <c r="H436" i="9" s="1"/>
  <c r="G521" i="9"/>
  <c r="H519" i="9"/>
  <c r="H521" i="9" s="1"/>
  <c r="G101" i="9"/>
  <c r="H358" i="9"/>
  <c r="H361" i="9" s="1"/>
  <c r="F152" i="9"/>
  <c r="G476" i="9"/>
  <c r="H473" i="9"/>
  <c r="H476" i="9" s="1"/>
  <c r="H413" i="9"/>
  <c r="H416" i="9" s="1"/>
  <c r="F74" i="9"/>
  <c r="G411" i="9"/>
  <c r="G461" i="9"/>
  <c r="H459" i="9"/>
  <c r="H461" i="9" s="1"/>
  <c r="C3" i="7"/>
  <c r="J44" i="8"/>
  <c r="H456" i="9"/>
  <c r="D9" i="14"/>
  <c r="H9" i="13"/>
  <c r="H46" i="9" l="1"/>
  <c r="H49" i="9" s="1"/>
  <c r="H59" i="9"/>
  <c r="H186" i="9"/>
  <c r="K134" i="9"/>
  <c r="K184" i="9"/>
  <c r="K135" i="9"/>
  <c r="K183" i="9"/>
  <c r="K101" i="9"/>
  <c r="K100" i="9"/>
  <c r="H100" i="9"/>
  <c r="G103" i="9"/>
  <c r="I8" i="13"/>
  <c r="I7" i="13"/>
  <c r="I6" i="13"/>
  <c r="D18" i="4"/>
  <c r="I5" i="13"/>
  <c r="I9" i="13" s="1"/>
  <c r="K47" i="9"/>
  <c r="G49" i="9"/>
  <c r="K46" i="9"/>
  <c r="A307" i="9"/>
  <c r="C302" i="9"/>
  <c r="F306" i="9" s="1"/>
  <c r="H137" i="9"/>
  <c r="G184" i="9"/>
  <c r="G186" i="9" s="1"/>
  <c r="H103" i="9" l="1"/>
  <c r="A312" i="9"/>
  <c r="C307" i="9"/>
  <c r="F311" i="9" s="1"/>
  <c r="A317" i="9" l="1"/>
  <c r="C312" i="9"/>
  <c r="F316" i="9" s="1"/>
  <c r="A322" i="9" l="1"/>
  <c r="C317" i="9"/>
  <c r="F321" i="9" s="1"/>
  <c r="A327" i="9" l="1"/>
  <c r="C322" i="9"/>
  <c r="F326" i="9" s="1"/>
  <c r="A332" i="9" l="1"/>
  <c r="C327" i="9"/>
  <c r="F331" i="9" s="1"/>
  <c r="A337" i="9" l="1"/>
  <c r="C332" i="9"/>
  <c r="F336" i="9" s="1"/>
  <c r="A342" i="9" l="1"/>
  <c r="C337" i="9"/>
  <c r="F341" i="9" s="1"/>
  <c r="A347" i="9" l="1"/>
  <c r="C342" i="9"/>
  <c r="F346" i="9" s="1"/>
  <c r="A352" i="9" l="1"/>
  <c r="C347" i="9"/>
  <c r="F351" i="9" s="1"/>
  <c r="A357" i="9" l="1"/>
  <c r="C352" i="9"/>
  <c r="F356" i="9" s="1"/>
  <c r="A362" i="9" l="1"/>
  <c r="C357" i="9"/>
  <c r="F361" i="9" s="1"/>
  <c r="C362" i="9" l="1"/>
  <c r="F366" i="9" s="1"/>
  <c r="A367" i="9"/>
  <c r="A372" i="9" l="1"/>
  <c r="C367" i="9"/>
  <c r="F371" i="9" s="1"/>
  <c r="A377" i="9" l="1"/>
  <c r="C372" i="9"/>
  <c r="F376" i="9" s="1"/>
  <c r="A382" i="9" l="1"/>
  <c r="C377" i="9"/>
  <c r="F381" i="9" s="1"/>
  <c r="A387" i="9" l="1"/>
  <c r="C382" i="9"/>
  <c r="F386" i="9" s="1"/>
  <c r="A392" i="9" l="1"/>
  <c r="C387" i="9"/>
  <c r="F391" i="9" s="1"/>
  <c r="A397" i="9" l="1"/>
  <c r="C392" i="9"/>
  <c r="F396" i="9" s="1"/>
  <c r="A402" i="9" l="1"/>
  <c r="C397" i="9"/>
  <c r="F401" i="9" s="1"/>
  <c r="A407" i="9" l="1"/>
  <c r="C402" i="9"/>
  <c r="F406" i="9" s="1"/>
  <c r="C407" i="9" l="1"/>
  <c r="F411" i="9" s="1"/>
  <c r="A412" i="9"/>
  <c r="A417" i="9" l="1"/>
  <c r="C412" i="9"/>
  <c r="F416" i="9" s="1"/>
  <c r="A422" i="9" l="1"/>
  <c r="C417" i="9"/>
  <c r="F421" i="9" s="1"/>
  <c r="A427" i="9" l="1"/>
  <c r="C422" i="9"/>
  <c r="F426" i="9" s="1"/>
  <c r="C427" i="9" l="1"/>
  <c r="F431" i="9" s="1"/>
  <c r="A432" i="9"/>
  <c r="A437" i="9" l="1"/>
  <c r="C432" i="9"/>
  <c r="F436" i="9" s="1"/>
  <c r="A442" i="9" l="1"/>
  <c r="C437" i="9"/>
  <c r="F441" i="9" s="1"/>
  <c r="A447" i="9" l="1"/>
  <c r="C442" i="9"/>
  <c r="F446" i="9" s="1"/>
  <c r="C447" i="9" l="1"/>
  <c r="F451" i="9" s="1"/>
  <c r="A452" i="9"/>
  <c r="C452" i="9" l="1"/>
  <c r="F456" i="9" s="1"/>
  <c r="A457" i="9"/>
  <c r="A462" i="9" l="1"/>
  <c r="C457" i="9"/>
  <c r="F461" i="9" s="1"/>
  <c r="A467" i="9" l="1"/>
  <c r="C462" i="9"/>
  <c r="F466" i="9" s="1"/>
  <c r="A472" i="9" l="1"/>
  <c r="C467" i="9"/>
  <c r="F471" i="9" s="1"/>
  <c r="A477" i="9" l="1"/>
  <c r="C472" i="9"/>
  <c r="F476" i="9" s="1"/>
  <c r="A482" i="9" l="1"/>
  <c r="C477" i="9"/>
  <c r="F481" i="9" s="1"/>
  <c r="A487" i="9" l="1"/>
  <c r="C482" i="9"/>
  <c r="F486" i="9" s="1"/>
  <c r="A492" i="9" l="1"/>
  <c r="C487" i="9"/>
  <c r="F491" i="9" s="1"/>
  <c r="A497" i="9" l="1"/>
  <c r="C492" i="9"/>
  <c r="F496" i="9" s="1"/>
  <c r="A502" i="9" l="1"/>
  <c r="C497" i="9"/>
  <c r="F501" i="9" s="1"/>
  <c r="A507" i="9" l="1"/>
  <c r="C502" i="9"/>
  <c r="F506" i="9" s="1"/>
  <c r="A512" i="9" l="1"/>
  <c r="C507" i="9"/>
  <c r="F511" i="9" s="1"/>
  <c r="A517" i="9" l="1"/>
  <c r="C512" i="9"/>
  <c r="F516" i="9" s="1"/>
  <c r="A522" i="9" l="1"/>
  <c r="C517" i="9"/>
  <c r="F521" i="9" s="1"/>
  <c r="A527" i="9" l="1"/>
  <c r="C522" i="9"/>
  <c r="F526" i="9" s="1"/>
  <c r="A532" i="9" l="1"/>
  <c r="C527" i="9"/>
  <c r="F531" i="9" s="1"/>
  <c r="C532" i="9" l="1"/>
  <c r="F536" i="9" s="1"/>
  <c r="A537" i="9"/>
  <c r="C537" i="9" l="1"/>
  <c r="F541" i="9" s="1"/>
  <c r="G542" i="9" l="1"/>
  <c r="D12" i="4" s="1"/>
  <c r="D14" i="4" s="1"/>
  <c r="D15" i="4" s="1"/>
  <c r="H542" i="9"/>
</calcChain>
</file>

<file path=xl/sharedStrings.xml><?xml version="1.0" encoding="utf-8"?>
<sst xmlns="http://schemas.openxmlformats.org/spreadsheetml/2006/main" count="4451" uniqueCount="498">
  <si>
    <t>03173</t>
  </si>
  <si>
    <t xml:space="preserve"> </t>
  </si>
  <si>
    <t>한국전력공사(사장 직무대행: 이정복)</t>
  </si>
  <si>
    <t>경기 파주시 월롱면 통일로 642번길 96</t>
  </si>
  <si>
    <t>2022.09.19.자 중소기업자금대출</t>
  </si>
  <si>
    <t>8. 벌금 · 조세채권자의 목록 총괄표</t>
  </si>
  <si>
    <t>2022.05.31.자 중소기업자금대출</t>
  </si>
  <si>
    <t>서울 송파구 올림픽로 102, 902호</t>
  </si>
  <si>
    <t>경기 김포시 양촌읍 황금로273번길 34</t>
  </si>
  <si>
    <t>경기 부천시 석천로453번길 64-12</t>
  </si>
  <si>
    <t>㈜동양전기안전관리(대표이사: 박현철)</t>
  </si>
  <si>
    <t>경기 이천시 마장면 마도로 191-23</t>
  </si>
  <si>
    <t>중소벤쳐기업진흥공단(이사장: 김학도)</t>
  </si>
  <si>
    <t>경기 고양시 일산서구 송포로391번길 76</t>
  </si>
  <si>
    <t>경기 양주시 광적면 부흥로 521-69</t>
  </si>
  <si>
    <t>인천 서구 로봇랜드로249번길 46-17</t>
  </si>
  <si>
    <t>사건번호</t>
  </si>
  <si>
    <t>58322</t>
  </si>
  <si>
    <t>원금</t>
  </si>
  <si>
    <t>비고</t>
  </si>
  <si>
    <t>합계</t>
  </si>
  <si>
    <t>순번</t>
  </si>
  <si>
    <t>법인</t>
  </si>
  <si>
    <t>전화번호</t>
  </si>
  <si>
    <t>서울 중구 을지로 79</t>
  </si>
  <si>
    <t>행정심판, 소송 계속 여부</t>
  </si>
  <si>
    <t>담보권 종류 및 목적물</t>
  </si>
  <si>
    <t>서울 종로구 종로1길 50</t>
  </si>
  <si>
    <t>주식·출자지분의 
종류</t>
  </si>
  <si>
    <t>㈜국민은행(은행장: 이재근)</t>
  </si>
  <si>
    <t>주주 지분권자의 목록 총괄표</t>
  </si>
  <si>
    <t>서울 중구 소공로 51</t>
  </si>
  <si>
    <t>집행권원, 종국판결 유무</t>
  </si>
  <si>
    <t>서울 중구 을지로 66</t>
  </si>
  <si>
    <t>사          건</t>
  </si>
  <si>
    <t>회생채권자의 목록 총괄표</t>
  </si>
  <si>
    <t>전남 나주시 전력로 55</t>
  </si>
  <si>
    <t>㈜우리은행(은행장: 이원덕)</t>
  </si>
  <si>
    <t xml:space="preserve">1) 57,584,184원 </t>
  </si>
  <si>
    <t>의결권인정액
(개시전 이자)</t>
  </si>
  <si>
    <t>2) 36,053,287원</t>
  </si>
  <si>
    <t>11. 주주 지분권자의 목록</t>
  </si>
  <si>
    <t>윤하연(하이엔코퍼레이션)</t>
  </si>
  <si>
    <t>2022.12.12. 차용금</t>
  </si>
  <si>
    <t>구무회(금화엔지니어링)</t>
  </si>
  <si>
    <t>㈜대양팩(대표이사: 이영자)</t>
  </si>
  <si>
    <t>회생담보권의 목록 총괄표</t>
  </si>
  <si>
    <t>노민호(세기포장.안전)</t>
  </si>
  <si>
    <t>채권액
(개시전 이자)</t>
  </si>
  <si>
    <t>경남 진주시 동진로 430</t>
  </si>
  <si>
    <t>1,043,537달러 포함</t>
  </si>
  <si>
    <t>12-4</t>
  </si>
  <si>
    <t>2022.07.11.자 자금대출
신용보증기간 보증서 발행
보증금액: 297,500,000(보증비율 85%)</t>
  </si>
  <si>
    <t>채권최고액: 3,960,000,000원</t>
  </si>
  <si>
    <t>서울 마포구 마포대로 63-8, 604호</t>
  </si>
  <si>
    <t>서울 종로구 새문안로3길 30</t>
  </si>
  <si>
    <t>--------------------------------------------------------------------------</t>
  </si>
  <si>
    <t>회생담보권자, 회생채권자, 벌금·조세채권자, 주주·지분권자의 목록 총괄표</t>
  </si>
  <si>
    <t>발생기간: 2018.12.28.~2023.05.17.
가수금(관계: 대표자)</t>
  </si>
  <si>
    <r>
      <t>주식</t>
    </r>
    <r>
      <rPr>
        <sz val="10"/>
        <color rgb="FF000000"/>
        <rFont val="굴림"/>
        <family val="3"/>
        <charset val="129"/>
      </rPr>
      <t>·출자지분의 종류와 수·액수</t>
    </r>
  </si>
  <si>
    <t>발생기간: 2015.02.12.~2023.05.17.
가수금(관계: 대표자의 배우자)</t>
  </si>
  <si>
    <t>2022.05.31.자 중소기업자금대출
4억 원 중 40,674,000원 신용대출</t>
  </si>
  <si>
    <t>9. 벌금 · 조세채권자의 목록</t>
  </si>
  <si>
    <t>㈜신신포장(대표이사: 오정식)</t>
  </si>
  <si>
    <t>발생기간: 2023.01.05.</t>
  </si>
  <si>
    <t>경기 파주시 조리읍 등원로 233</t>
  </si>
  <si>
    <t>발생기간: 2023.04.04.</t>
  </si>
  <si>
    <t>회생담보권 중 회생채권 인정액</t>
  </si>
  <si>
    <t>발생기간: 2021.08.01.</t>
  </si>
  <si>
    <t>2022.05.20.자 운영자금대출</t>
  </si>
  <si>
    <t>서울 영등포구 국제금융로8길 26</t>
  </si>
  <si>
    <t>발생기간: 2020.09.09.</t>
  </si>
  <si>
    <t>발생기간: 2022.04.01.</t>
  </si>
  <si>
    <t>발생기간: 2023.02.23.</t>
  </si>
  <si>
    <t>㈜우진플라임(대표이사: 김익환)</t>
  </si>
  <si>
    <t>2022.03.13.자 운영자금대출</t>
  </si>
  <si>
    <t>발생기간: 2022.05.16.</t>
  </si>
  <si>
    <t>7. 회 생 채 권 자 의  목 록</t>
  </si>
  <si>
    <t>발생기간: 2020.05.28.</t>
  </si>
  <si>
    <t>발생기간: 2023.04.01.</t>
  </si>
  <si>
    <t>발생기간: 2016.10.04.</t>
  </si>
  <si>
    <t>발생기간: 2023.01.03.</t>
  </si>
  <si>
    <t>6. 회생채권자의 목록 총괄표</t>
  </si>
  <si>
    <t>발생기간: 2021.08.17.</t>
  </si>
  <si>
    <t>발생기간: 2022.08.08.</t>
  </si>
  <si>
    <t>5. 담 보 권 자 의  목 록</t>
  </si>
  <si>
    <t>발생기간: 2022.11.28.</t>
  </si>
  <si>
    <t>인천 계양구 봉오대로894번길 19</t>
  </si>
  <si>
    <t>㈜우리카드(대표이사: 박완식)</t>
  </si>
  <si>
    <t>㈜한결이엔지(대표이사: 송한결)</t>
  </si>
  <si>
    <t>㈜태원엔앤드에프(대표이사: 최종일)</t>
  </si>
  <si>
    <t>㈜파켐코리아(대표이사: 박래권)</t>
  </si>
  <si>
    <t>경기 화성시 장안면 수정로 194</t>
  </si>
  <si>
    <t>발생기간: 2023.01.15.</t>
  </si>
  <si>
    <t>㈜케이비국민카드(대표이사: 이창권)</t>
  </si>
  <si>
    <t>한국파렛트풀㈜(대표이사: 서병륜)</t>
  </si>
  <si>
    <t>중소기업은행(은행장: 김성태)</t>
  </si>
  <si>
    <t>㈜대성물산(대표이사: 주기남)</t>
  </si>
  <si>
    <t>신한카드㈜(대표이사: 문동권)</t>
  </si>
  <si>
    <t>발생기간: 2023.01.01.</t>
  </si>
  <si>
    <t>경기 수원시 팔달구 효원로 295</t>
  </si>
  <si>
    <t>3. 회생담보권의 목록 총괄표</t>
  </si>
  <si>
    <t>4. 담 보 권 자 의  목 록</t>
  </si>
  <si>
    <t>서울 중구 을지로 100, A동</t>
  </si>
  <si>
    <t>발생기간: 2023.04.10.</t>
  </si>
  <si>
    <t>케이비캐피탈㈜(대표이사: 황수남)</t>
  </si>
  <si>
    <t>발생기간: 2023.01.31.</t>
  </si>
  <si>
    <t>발생기간: 2023.02.16.</t>
  </si>
  <si>
    <t>10. 주주 지분권자의 목록 총괄표</t>
  </si>
  <si>
    <t>발생기간: 2022.04.25.</t>
  </si>
  <si>
    <t>경기 김포시 대곶면 상마신기로 63</t>
  </si>
  <si>
    <t>발생기간: 2022.07.11.</t>
  </si>
  <si>
    <t>에스에이치켐㈜(대표이사: 명용태)</t>
  </si>
  <si>
    <t>경기 화성시 팔탄면 대평안길 68</t>
  </si>
  <si>
    <t>경기 광주시 초월읍 두들기길 9</t>
  </si>
  <si>
    <t>감정 미실시로 담보배분은 유보함.</t>
  </si>
  <si>
    <t>하나카드㈜(대표이사: 이호성)</t>
  </si>
  <si>
    <t>2017.08.31.자 중소기업자금대출
신용보증기금 보증서 발행
보증기간: 2017.08.31.~2023.08.25.
보증금액: 270,000,000(비율 90%)</t>
  </si>
  <si>
    <r>
      <t>성명</t>
    </r>
    <r>
      <rPr>
        <sz val="10"/>
        <color rgb="FF000000"/>
        <rFont val="굴림"/>
        <family val="3"/>
        <charset val="129"/>
      </rPr>
      <t>·명칭</t>
    </r>
  </si>
  <si>
    <t>18575</t>
  </si>
  <si>
    <t>18583</t>
  </si>
  <si>
    <t>의결권 액</t>
  </si>
  <si>
    <t>비   고</t>
  </si>
  <si>
    <t>18529</t>
  </si>
  <si>
    <t>10043</t>
  </si>
  <si>
    <t>목록번호</t>
  </si>
  <si>
    <t>03142</t>
  </si>
  <si>
    <t>05557</t>
  </si>
  <si>
    <t>12729</t>
  </si>
  <si>
    <t>08215</t>
  </si>
  <si>
    <t>연금보험료</t>
  </si>
  <si>
    <t>고용보험료</t>
  </si>
  <si>
    <t>개시전 이자</t>
  </si>
  <si>
    <t>04551</t>
  </si>
  <si>
    <t>담보설정현황</t>
  </si>
  <si>
    <t>10049</t>
  </si>
  <si>
    <t>대여금채권</t>
  </si>
  <si>
    <t>채권내용</t>
  </si>
  <si>
    <t>08216</t>
  </si>
  <si>
    <t>04632</t>
  </si>
  <si>
    <t>04541</t>
  </si>
  <si>
    <t>10949</t>
  </si>
  <si>
    <t>구상채권</t>
  </si>
  <si>
    <t>04538</t>
  </si>
  <si>
    <t>07331</t>
  </si>
  <si>
    <t>18576</t>
  </si>
  <si>
    <t>회생
채권자</t>
  </si>
  <si>
    <t>04157</t>
  </si>
  <si>
    <t>성명. 명칭</t>
  </si>
  <si>
    <t>(단위: 원)</t>
  </si>
  <si>
    <t>법률상관리인</t>
  </si>
  <si>
    <t>e-mail</t>
  </si>
  <si>
    <t>14445</t>
  </si>
  <si>
    <t>(원인)</t>
  </si>
  <si>
    <t>조사대상 아님</t>
  </si>
  <si>
    <t>주주·지분권자</t>
  </si>
  <si>
    <t>22756</t>
  </si>
  <si>
    <t>1. 원금</t>
  </si>
  <si>
    <t>가 산 세</t>
  </si>
  <si>
    <t>특수관계인채권</t>
  </si>
  <si>
    <t>담보권인정액</t>
  </si>
  <si>
    <t>50876</t>
  </si>
  <si>
    <t>채권자 주소</t>
  </si>
  <si>
    <t>우편번호</t>
  </si>
  <si>
    <t>16488</t>
  </si>
  <si>
    <t>1~3행 반복</t>
  </si>
  <si>
    <t>회생채권 합계</t>
  </si>
  <si>
    <t>구   분</t>
  </si>
  <si>
    <t>의결권인정액</t>
  </si>
  <si>
    <t>18417</t>
  </si>
  <si>
    <t>자동입력</t>
  </si>
  <si>
    <t>회생채권</t>
  </si>
  <si>
    <t>10205</t>
  </si>
  <si>
    <t> 의결권인정액</t>
  </si>
  <si>
    <t>주주·지분권</t>
  </si>
  <si>
    <t>건   수</t>
  </si>
  <si>
    <t>채권 내용</t>
  </si>
  <si>
    <t>여기까지 1개</t>
  </si>
  <si>
    <t>10364</t>
  </si>
  <si>
    <t>회생담보권</t>
  </si>
  <si>
    <t>주     소</t>
  </si>
  <si>
    <t>(내용)</t>
  </si>
  <si>
    <t xml:space="preserve">금   액 </t>
  </si>
  <si>
    <t>주주 지분권자</t>
  </si>
  <si>
    <t>개시전  이자</t>
  </si>
  <si>
    <t>성명·명칭</t>
  </si>
  <si>
    <t>가치평가액</t>
  </si>
  <si>
    <t>조세등 채권</t>
  </si>
  <si>
    <t>설정일자</t>
  </si>
  <si>
    <t>기초입력</t>
  </si>
  <si>
    <t>신고번호</t>
  </si>
  <si>
    <t>총 체납금</t>
  </si>
  <si>
    <t>21074</t>
  </si>
  <si>
    <t>설정금액</t>
  </si>
  <si>
    <t>배분잔액</t>
  </si>
  <si>
    <t>청구
권자</t>
  </si>
  <si>
    <t>기계기구</t>
  </si>
  <si>
    <t>상거래채권</t>
  </si>
  <si>
    <t>건강보험료</t>
  </si>
  <si>
    <t>채권번호</t>
  </si>
  <si>
    <t>주식 수</t>
  </si>
  <si>
    <t>개인/법인</t>
  </si>
  <si>
    <t>우선권 유무</t>
  </si>
  <si>
    <t>담보물 배분표</t>
  </si>
  <si>
    <t>17382</t>
  </si>
  <si>
    <t>1.원금</t>
  </si>
  <si>
    <t>부가가치세</t>
  </si>
  <si>
    <t>658.27㎡</t>
  </si>
  <si>
    <t>11423</t>
  </si>
  <si>
    <t>요양보험료</t>
  </si>
  <si>
    <t>본     세</t>
  </si>
  <si>
    <t>산재보험료</t>
  </si>
  <si>
    <t>최대주주의 모</t>
  </si>
  <si>
    <t>647.6㎡</t>
  </si>
  <si>
    <t>사내이사</t>
  </si>
  <si>
    <t>[근저당권]</t>
  </si>
  <si>
    <t>담보권자</t>
  </si>
  <si>
    <t>* 회생담보권 및 회생채권의 개시전 이자는 개시결정일 전일인 2024년 07월 30일까지 발생한 금액을 기준으로 계산하였습니다.</t>
  </si>
  <si>
    <r>
      <t xml:space="preserve">벌금 </t>
    </r>
    <r>
      <rPr>
        <b/>
        <sz val="11"/>
        <color rgb="FF000000"/>
        <rFont val="돋움"/>
        <family val="3"/>
        <charset val="129"/>
      </rPr>
      <t>·</t>
    </r>
    <r>
      <rPr>
        <b/>
        <sz val="11"/>
        <color rgb="FF000000"/>
        <rFont val="굴림"/>
        <family val="3"/>
        <charset val="129"/>
      </rPr>
      <t xml:space="preserve"> 조세채권자의 목록 </t>
    </r>
  </si>
  <si>
    <t>경기 화성시 팔탄면 현대기아로 15-27, 123호</t>
  </si>
  <si>
    <t>2. 회생담보권자, 회생채권자, 벌금·조세채권자의 목록</t>
  </si>
  <si>
    <t>경기 화성시 팔탄면 시청로 934-3, E동 206호</t>
  </si>
  <si>
    <t>회생담보권자, 회생채권자, 벌금·조세채권자의 목록 총괄표</t>
  </si>
  <si>
    <t>경기 화성시 10용사로 221, 105동 1004호</t>
  </si>
  <si>
    <t>서울 구로구 구로중앙로 197, C열 17동 124호</t>
  </si>
  <si>
    <t>경기 고양시 일산동구 무궁화로 43-15, 203동 6호</t>
  </si>
  <si>
    <t>2011.09.22.자 운영자금대출
신용보증기간 보증서 발행
보증금액: 255,000,000(보증비율 85%)</t>
  </si>
  <si>
    <t>2013.03.26.자 운영자금대출
신용보증기간 보증서 발행
보증금액: 135,000,000(보증비율 90%)</t>
  </si>
  <si>
    <t>2015.06.02.자 운영자금대출
신용보증기간 보증서 발행
보증금액: 323,000,000(보증비율 85%)</t>
  </si>
  <si>
    <t>* 본 목록표 작성은 회생절차 개시결정일인 2024년 07월 31일 기준으로 작성하였습니다.</t>
  </si>
  <si>
    <t>12-1</t>
  </si>
  <si>
    <t>12-2</t>
  </si>
  <si>
    <t>12-3</t>
  </si>
  <si>
    <t>8.</t>
  </si>
  <si>
    <t>2.</t>
  </si>
  <si>
    <t>2-2</t>
  </si>
  <si>
    <t>채권</t>
  </si>
  <si>
    <t>2-1</t>
  </si>
  <si>
    <t>원</t>
  </si>
  <si>
    <t>1.</t>
  </si>
  <si>
    <t>채권자</t>
  </si>
  <si>
    <t>본세</t>
  </si>
  <si>
    <t>개인</t>
  </si>
  <si>
    <t>발생일</t>
  </si>
  <si>
    <t>소계</t>
  </si>
  <si>
    <t>미정</t>
  </si>
  <si>
    <t>주 소</t>
  </si>
  <si>
    <t>가산세</t>
  </si>
  <si>
    <t>총합</t>
  </si>
  <si>
    <t>사건</t>
  </si>
  <si>
    <t>주소</t>
  </si>
  <si>
    <t>순위</t>
  </si>
  <si>
    <t>4</t>
  </si>
  <si>
    <t>채권액</t>
  </si>
  <si>
    <t>11.</t>
  </si>
  <si>
    <t>배분표</t>
  </si>
  <si>
    <t>9.</t>
  </si>
  <si>
    <t>2-3</t>
  </si>
  <si>
    <t>유형</t>
  </si>
  <si>
    <t>배분액</t>
  </si>
  <si>
    <t>■</t>
  </si>
  <si>
    <t>채무자</t>
  </si>
  <si>
    <t>우선권</t>
  </si>
  <si>
    <t>전소영</t>
  </si>
  <si>
    <t>담보1</t>
  </si>
  <si>
    <t>목적</t>
  </si>
  <si>
    <t>2-5</t>
  </si>
  <si>
    <t>6.</t>
  </si>
  <si>
    <t>5.</t>
  </si>
  <si>
    <t>1-2</t>
  </si>
  <si>
    <t>1-1</t>
  </si>
  <si>
    <t>1-3</t>
  </si>
  <si>
    <t>10.</t>
  </si>
  <si>
    <t>김준연</t>
  </si>
  <si>
    <t>1-5</t>
  </si>
  <si>
    <t>1-4</t>
  </si>
  <si>
    <t xml:space="preserve"> 사건</t>
  </si>
  <si>
    <t>7.</t>
  </si>
  <si>
    <t>지분율</t>
  </si>
  <si>
    <t>이종근</t>
  </si>
  <si>
    <t>3.</t>
  </si>
  <si>
    <t>보통주</t>
  </si>
  <si>
    <t>ㅁ</t>
  </si>
  <si>
    <t>가액</t>
  </si>
  <si>
    <t>합 계</t>
  </si>
  <si>
    <t>주식</t>
  </si>
  <si>
    <t>2</t>
  </si>
  <si>
    <t>설정자</t>
  </si>
  <si>
    <t>4.</t>
  </si>
  <si>
    <t>2-4</t>
  </si>
  <si>
    <t>조세등</t>
  </si>
  <si>
    <t>공담</t>
  </si>
  <si>
    <t>5</t>
  </si>
  <si>
    <t>박영민</t>
  </si>
  <si>
    <t>-------------------------------------</t>
  </si>
  <si>
    <t>2. 회생담보권자, 회생채권자, 벌금·조세채권자, 주주·지분권자의 목록</t>
  </si>
  <si>
    <t>18-3</t>
  </si>
  <si>
    <r>
      <t xml:space="preserve">벌금 </t>
    </r>
    <r>
      <rPr>
        <b/>
        <sz val="11"/>
        <color rgb="FF000000"/>
        <rFont val="돋움"/>
        <family val="3"/>
        <charset val="129"/>
      </rPr>
      <t>·</t>
    </r>
    <r>
      <rPr>
        <b/>
        <sz val="11"/>
        <color rgb="FF000000"/>
        <rFont val="굴림"/>
        <family val="3"/>
        <charset val="129"/>
      </rPr>
      <t xml:space="preserve"> 조세채권자의 목록 총괄표</t>
    </r>
  </si>
  <si>
    <t>경남 김해시 진례면 서부로826번길 26-20</t>
  </si>
  <si>
    <t>서울 구로구 경인로55길 51, B동 118호</t>
  </si>
  <si>
    <t>지분율 41.51% 주주이자 
최대주주의 부</t>
  </si>
  <si>
    <t>인천 계양구 효서로 381, 212동 1510호</t>
  </si>
  <si>
    <t>18-2</t>
  </si>
  <si>
    <t>18-4</t>
  </si>
  <si>
    <t>9-1</t>
  </si>
  <si>
    <t>9-3</t>
  </si>
  <si>
    <t>9-2</t>
  </si>
  <si>
    <t>2022.09.19.</t>
  </si>
  <si>
    <t>2016.10.04.</t>
  </si>
  <si>
    <t>2023.05.31.</t>
  </si>
  <si>
    <t>2020.05.28.</t>
  </si>
  <si>
    <t>소송 계속 여부</t>
  </si>
  <si>
    <t>2021.08.01.</t>
  </si>
  <si>
    <t>4. 담보물 배분표</t>
  </si>
  <si>
    <t>회생채권자의 목록</t>
  </si>
  <si>
    <t>목       차</t>
  </si>
  <si>
    <t>2013.01.05.</t>
  </si>
  <si>
    <t>출자지분의
액수</t>
  </si>
  <si>
    <t>담보권자의 목록</t>
  </si>
  <si>
    <t>2015.06.02.</t>
  </si>
  <si>
    <t>신용카드 사용대금</t>
  </si>
  <si>
    <t>2020.09.09.</t>
  </si>
  <si>
    <t>2022.04.25.</t>
  </si>
  <si>
    <t>김지환(경진산업)</t>
  </si>
  <si>
    <t>담보권의 원인·내용</t>
  </si>
  <si>
    <t>2013.01.03.</t>
  </si>
  <si>
    <t>2023.02.16.</t>
  </si>
  <si>
    <t>2023.02.23.</t>
  </si>
  <si>
    <t>여기서부터 끌기</t>
  </si>
  <si>
    <t>2011.09.22.</t>
  </si>
  <si>
    <t>2022.07.11.</t>
  </si>
  <si>
    <t>2022.05.16.</t>
  </si>
  <si>
    <t>2023.01.31.</t>
  </si>
  <si>
    <t>담보물  소재지</t>
  </si>
  <si>
    <t>2023.01.01.</t>
  </si>
  <si>
    <t>의결권인정액
(원금)</t>
  </si>
  <si>
    <t>2022.05.20.</t>
  </si>
  <si>
    <t>토지면적/
건물면적</t>
  </si>
  <si>
    <t>1~23 끌어내리기</t>
  </si>
  <si>
    <t>장두경(삼성스프링)</t>
  </si>
  <si>
    <t>㈜우리은행 합계</t>
  </si>
  <si>
    <t>홍태수(동명화학)</t>
  </si>
  <si>
    <t>2023.04.04.</t>
  </si>
  <si>
    <t>2020.03.13.</t>
  </si>
  <si>
    <t>김중훈(삼원그라텍)</t>
  </si>
  <si>
    <t>5~9행부터 내리기</t>
  </si>
  <si>
    <t>오희석(태양고무)</t>
  </si>
  <si>
    <t>담보권의 목적·가액</t>
  </si>
  <si>
    <t>2017.08.31.</t>
  </si>
  <si>
    <t>2022.12.12.</t>
  </si>
  <si>
    <t>2023.04.01.</t>
  </si>
  <si>
    <t>기본 높이 31.5</t>
  </si>
  <si>
    <t>2022.07.01.</t>
  </si>
  <si>
    <t>2022.11.28.</t>
  </si>
  <si>
    <t>2013.01.15.</t>
  </si>
  <si>
    <t>청구채권의
원인·내용</t>
  </si>
  <si>
    <t>민인성(피앤피)</t>
  </si>
  <si>
    <t>회생담보권 인정액</t>
  </si>
  <si>
    <t>조세등 채권의 합계</t>
  </si>
  <si>
    <t>중소기업은행 합계</t>
  </si>
  <si>
    <t>개인 사건은 숨기기</t>
  </si>
  <si>
    <t>2021.08.17.</t>
  </si>
  <si>
    <t>공장 및 광업재단</t>
  </si>
  <si>
    <t>3.개시후 이자</t>
  </si>
  <si>
    <t>목록 작성 기준</t>
  </si>
  <si>
    <t>개인 사건엔 기입 X</t>
  </si>
  <si>
    <t>2022.05.31.</t>
  </si>
  <si>
    <t>2013.03.26.</t>
  </si>
  <si>
    <t>개인 채무자면 숨기기</t>
  </si>
  <si>
    <t>2015.02.12.</t>
  </si>
  <si>
    <t>1. 목록 작성 기준</t>
  </si>
  <si>
    <t>1주당 발행가액</t>
  </si>
  <si>
    <t>2023.04.10.</t>
  </si>
  <si>
    <t>2022.08.08.</t>
  </si>
  <si>
    <t>2018.12.28.</t>
  </si>
  <si>
    <t>회생채권
의결권인정액</t>
  </si>
  <si>
    <t>가치평가 및 배분</t>
  </si>
  <si>
    <t>채권액
(원금)</t>
  </si>
  <si>
    <t>주주 지분권 합계</t>
  </si>
  <si>
    <t>2.개시전 이자</t>
  </si>
  <si>
    <t>회생담보권 합계</t>
  </si>
  <si>
    <t>주주 지분권자의 목록</t>
  </si>
  <si>
    <t>김신환(대영화학)</t>
  </si>
  <si>
    <t>2022.04.01.</t>
  </si>
  <si>
    <t>2. 개시전 이자</t>
  </si>
  <si>
    <t>회생채권의 원인·내용</t>
  </si>
  <si>
    <t>국민건강보험공단 소계</t>
  </si>
  <si>
    <t>3. 개시후 이자</t>
  </si>
  <si>
    <t>2021.3.31.</t>
  </si>
  <si>
    <t>2022.5.20.</t>
  </si>
  <si>
    <t>미등기임원(부사장)</t>
  </si>
  <si>
    <t>* 조세채권의 목록 작성 기준일 확인된 사항만 기재하였습니다.</t>
  </si>
  <si>
    <t>2023.05.31.자
자동차(그랜져HG) 운용리스 위약금</t>
  </si>
  <si>
    <t>2023.05.31.자
자동차(제네시스G90) 운용리스 위약금</t>
  </si>
  <si>
    <t>9</t>
    <phoneticPr fontId="27" type="noConversion"/>
  </si>
  <si>
    <t>9-2</t>
    <phoneticPr fontId="27" type="noConversion"/>
  </si>
  <si>
    <t>9-3</t>
    <phoneticPr fontId="27" type="noConversion"/>
  </si>
  <si>
    <t>9-1</t>
    <phoneticPr fontId="27" type="noConversion"/>
  </si>
  <si>
    <t>12</t>
    <phoneticPr fontId="27" type="noConversion"/>
  </si>
  <si>
    <t>12-1</t>
    <phoneticPr fontId="27" type="noConversion"/>
  </si>
  <si>
    <t>18-1</t>
    <phoneticPr fontId="27" type="noConversion"/>
  </si>
  <si>
    <t>18</t>
    <phoneticPr fontId="27" type="noConversion"/>
  </si>
  <si>
    <t>소계</t>
    <phoneticPr fontId="27" type="noConversion"/>
  </si>
  <si>
    <t>회생채권</t>
    <phoneticPr fontId="27" type="noConversion"/>
  </si>
  <si>
    <t>총평가액
0원
선순위배분액
0원
당배분액
0원
배분후잔액
0원</t>
    <phoneticPr fontId="27" type="noConversion"/>
  </si>
  <si>
    <t>1-2</t>
    <phoneticPr fontId="27" type="noConversion"/>
  </si>
  <si>
    <t>1-3</t>
    <phoneticPr fontId="27" type="noConversion"/>
  </si>
  <si>
    <t>1-4</t>
    <phoneticPr fontId="27" type="noConversion"/>
  </si>
  <si>
    <t>1-5</t>
    <phoneticPr fontId="27" type="noConversion"/>
  </si>
  <si>
    <t>1-6</t>
  </si>
  <si>
    <t>1-6</t>
    <phoneticPr fontId="27" type="noConversion"/>
  </si>
  <si>
    <t>1-7</t>
  </si>
  <si>
    <t>1-7</t>
    <phoneticPr fontId="27" type="noConversion"/>
  </si>
  <si>
    <t>1-8</t>
  </si>
  <si>
    <t>1-8</t>
    <phoneticPr fontId="27" type="noConversion"/>
  </si>
  <si>
    <t>회생담보권 중 회생채권 인정액 :</t>
    <phoneticPr fontId="27" type="noConversion"/>
  </si>
  <si>
    <t>대여금채권</t>
    <phoneticPr fontId="27" type="noConversion"/>
  </si>
  <si>
    <t>(1)</t>
    <phoneticPr fontId="27" type="noConversion"/>
  </si>
  <si>
    <t>회생채권
인정액</t>
    <phoneticPr fontId="27" type="noConversion"/>
  </si>
  <si>
    <t>어음번호 00320240425000022132
1. 어음발행일: 2024. 3. 29.
2. 어음만기일: 2024. 7. 24.
3. 금액: 9,100,000원
4. 최초수취인: ㈜아이비퀸</t>
    <phoneticPr fontId="27" type="noConversion"/>
  </si>
  <si>
    <t>어음번호 00320240527000020362 
1. 어음발행일: 2024. 5. 27.
2. 어음만기일: 2024. 8. 25.
3. 금액: 6,500,000원
4. 최초수취인: ㈜아이비퀸</t>
    <phoneticPr fontId="27" type="noConversion"/>
  </si>
  <si>
    <t>어음번호 00320240625000014704
1. 어음발행일: 2024. 6. 25.
2. 어음만기일: 2024. 9. 23.
3. 금액: 3,000,000원
4. 최초수취인: ㈜아이비퀸</t>
    <phoneticPr fontId="27" type="noConversion"/>
  </si>
  <si>
    <t>어음번호 00320240425000022145 
1. 어음발행일: 2024. 3. 31.
2. 어음만기일: 2024. 7. 24.
3. 금액: 10,675,214원
4. 최초수취인: 고딘솔텍㈜</t>
    <phoneticPr fontId="27" type="noConversion"/>
  </si>
  <si>
    <t>어음번호 00320240527000020375
1. 어음발행일: 2024. 5. 27.
2. 어음만기일: 2024. 8. 25.
3. 금액: 9,064,143원
4. 최초수취인: 고딘솔텍㈜</t>
    <phoneticPr fontId="27" type="noConversion"/>
  </si>
  <si>
    <t>어음번호 00320240625000014717
1. 어음발행일: 2024. 6. 25.
2. 어음만기일: 2024. 9. 23.
3. 금액: 4,739,438원
4. 최초수취인: 고딘솔텍㈜</t>
    <phoneticPr fontId="27" type="noConversion"/>
  </si>
  <si>
    <t>US달러</t>
    <phoneticPr fontId="27" type="noConversion"/>
  </si>
  <si>
    <t>사모사채인수계약 2023. 6. 26.</t>
    <phoneticPr fontId="27" type="noConversion"/>
  </si>
  <si>
    <t>사모사채인수계약 
2023. 6. 26. 체결</t>
    <phoneticPr fontId="27" type="noConversion"/>
  </si>
  <si>
    <t>채무자회사의 관계회사</t>
    <phoneticPr fontId="27" type="noConversion"/>
  </si>
  <si>
    <t xml:space="preserve"> 1. 원금</t>
    <phoneticPr fontId="27" type="noConversion"/>
  </si>
  <si>
    <t xml:space="preserve"> 2. 개시전 이자</t>
    <phoneticPr fontId="27" type="noConversion"/>
  </si>
  <si>
    <t>2023년 2기 확정 부가가치세 및
2024년 1기 예정 부가가치세</t>
    <phoneticPr fontId="27" type="noConversion"/>
  </si>
  <si>
    <t>1</t>
    <phoneticPr fontId="27" type="noConversion"/>
  </si>
  <si>
    <t>(2023년 2기 및 2024년 1기)</t>
    <phoneticPr fontId="27" type="noConversion"/>
  </si>
  <si>
    <t xml:space="preserve">대표이사이자
지분율 49.62% 최대주주
</t>
    <phoneticPr fontId="27" type="noConversion"/>
  </si>
  <si>
    <t>신용보증기금보증서 담보</t>
    <phoneticPr fontId="27" type="noConversion"/>
  </si>
  <si>
    <t>이전 상호는 C-HUA LIGHTING CO., LTD.
 원화 계산은 중소기업은행 개시결정 전일자 최종고시 전신환 매도율 환율 1,371.20원 기준</t>
    <phoneticPr fontId="27" type="noConversion"/>
  </si>
  <si>
    <t>이전 상호는 LINYI DINGSHENG INTERNATIONAL TRADE CO.,LTD
원화 계산은 중소기업은행 개시결정 전일자 최종고시 전신환 매도율 환율 1,371.20원 기준</t>
    <phoneticPr fontId="27" type="noConversion"/>
  </si>
  <si>
    <t>사모사채</t>
    <phoneticPr fontId="27" type="noConversion"/>
  </si>
  <si>
    <t>특수관계인채권</t>
    <phoneticPr fontId="27" type="noConversion"/>
  </si>
  <si>
    <t>US$909,098.04
(1,246,555,232)</t>
    <phoneticPr fontId="27" type="noConversion"/>
  </si>
  <si>
    <t>US$134,439.21
(184,343,044)</t>
    <phoneticPr fontId="27" type="noConversion"/>
  </si>
  <si>
    <t>184,343,044
(US$134,439.21 포함)</t>
    <phoneticPr fontId="27" type="noConversion"/>
  </si>
  <si>
    <t>1,246,555,232
(US$909,098.04 포함)</t>
    <phoneticPr fontId="27" type="noConversion"/>
  </si>
  <si>
    <t>US$134439.21</t>
    <phoneticPr fontId="27" type="noConversion"/>
  </si>
  <si>
    <t>원(US$134,439.21 포함)</t>
    <phoneticPr fontId="27" type="noConversion"/>
  </si>
  <si>
    <t>US$909098.04</t>
    <phoneticPr fontId="27" type="noConversion"/>
  </si>
  <si>
    <t>원 (US$909,098.04 포함)</t>
    <phoneticPr fontId="27" type="noConversion"/>
  </si>
  <si>
    <t>별첨 : 감정평가서, 등기부등본, 인터넷차량시세표, 어음발행 명세</t>
    <phoneticPr fontId="27" type="noConversion"/>
  </si>
  <si>
    <r>
      <t>20</t>
    </r>
    <r>
      <rPr>
        <sz val="11"/>
        <color rgb="FF000000"/>
        <rFont val="SimSun"/>
        <charset val="134"/>
      </rPr>
      <t>○○</t>
    </r>
    <r>
      <rPr>
        <sz val="11"/>
        <color rgb="FF000000"/>
        <rFont val="돋움"/>
        <family val="3"/>
        <charset val="129"/>
      </rPr>
      <t>회합100</t>
    </r>
    <r>
      <rPr>
        <sz val="11"/>
        <color rgb="FF000000"/>
        <rFont val="SimSun"/>
        <charset val="134"/>
      </rPr>
      <t>○○○</t>
    </r>
    <phoneticPr fontId="27" type="noConversion"/>
  </si>
  <si>
    <r>
      <rPr>
        <sz val="11"/>
        <color rgb="FF000000"/>
        <rFont val="SimSun"/>
        <charset val="134"/>
      </rPr>
      <t>○○○○</t>
    </r>
    <r>
      <rPr>
        <sz val="11"/>
        <color rgb="FF000000"/>
        <rFont val="돋움"/>
        <family val="3"/>
        <charset val="129"/>
      </rPr>
      <t xml:space="preserve"> 주식회사</t>
    </r>
    <phoneticPr fontId="27" type="noConversion"/>
  </si>
  <si>
    <r>
      <t>20</t>
    </r>
    <r>
      <rPr>
        <b/>
        <sz val="18"/>
        <color rgb="FF000000"/>
        <rFont val="SimSun"/>
        <charset val="134"/>
      </rPr>
      <t>○○</t>
    </r>
    <r>
      <rPr>
        <b/>
        <sz val="18"/>
        <color rgb="FF000000"/>
        <rFont val="돋움"/>
        <family val="3"/>
        <charset val="129"/>
      </rPr>
      <t xml:space="preserve">. </t>
    </r>
    <r>
      <rPr>
        <b/>
        <sz val="18"/>
        <color rgb="FF000000"/>
        <rFont val="SimSun"/>
        <charset val="134"/>
      </rPr>
      <t>○○</t>
    </r>
    <r>
      <rPr>
        <b/>
        <sz val="18"/>
        <color rgb="FF000000"/>
        <rFont val="돋움"/>
        <family val="3"/>
        <charset val="129"/>
      </rPr>
      <t xml:space="preserve">. </t>
    </r>
    <r>
      <rPr>
        <b/>
        <sz val="18"/>
        <color rgb="FF000000"/>
        <rFont val="SimSun"/>
        <charset val="134"/>
      </rPr>
      <t>○○</t>
    </r>
    <r>
      <rPr>
        <b/>
        <sz val="18"/>
        <color rgb="FF000000"/>
        <rFont val="돋움"/>
        <family val="3"/>
        <charset val="129"/>
      </rPr>
      <t>.</t>
    </r>
    <phoneticPr fontId="27" type="noConversion"/>
  </si>
  <si>
    <t>○○○</t>
    <phoneticPr fontId="27" type="noConversion"/>
  </si>
  <si>
    <r>
      <t>서울회생법원 제</t>
    </r>
    <r>
      <rPr>
        <sz val="14"/>
        <color rgb="FF000000"/>
        <rFont val="SimSun"/>
        <charset val="134"/>
      </rPr>
      <t>○○</t>
    </r>
    <r>
      <rPr>
        <sz val="14"/>
        <color rgb="FF000000"/>
        <rFont val="돋움"/>
        <family val="3"/>
        <charset val="129"/>
      </rPr>
      <t>부(</t>
    </r>
    <r>
      <rPr>
        <sz val="14"/>
        <color rgb="FF000000"/>
        <rFont val="SimSun"/>
        <charset val="134"/>
      </rPr>
      <t>○</t>
    </r>
    <r>
      <rPr>
        <sz val="14"/>
        <color rgb="FF000000"/>
        <rFont val="돋움"/>
        <family val="3"/>
        <charset val="129"/>
      </rPr>
      <t>)</t>
    </r>
    <phoneticPr fontId="27" type="noConversion"/>
  </si>
  <si>
    <t>**은행(은행장 ***)</t>
    <phoneticPr fontId="27" type="noConversion"/>
  </si>
  <si>
    <t>서울특별시 ***구 **로 **</t>
    <phoneticPr fontId="27" type="noConversion"/>
  </si>
  <si>
    <t>(1) 경기도 ***시 **동 *** 대지</t>
    <phoneticPr fontId="27" type="noConversion"/>
  </si>
  <si>
    <t>(2) **도 ***시 **동 *** 건물</t>
    <phoneticPr fontId="27" type="noConversion"/>
  </si>
  <si>
    <t>(1) **도 ***시 **동 *** 대지</t>
    <phoneticPr fontId="27" type="noConversion"/>
  </si>
  <si>
    <t>***은행</t>
    <phoneticPr fontId="27" type="noConversion"/>
  </si>
  <si>
    <t>설정순위: 1순위, 2순위</t>
    <phoneticPr fontId="27" type="noConversion"/>
  </si>
  <si>
    <t>(1)***시 **동 *** 대지
(2)***시 **동 *** 건물</t>
    <phoneticPr fontId="27" type="noConversion"/>
  </si>
  <si>
    <t>****은행
(은행장 ***)</t>
    <phoneticPr fontId="27" type="noConversion"/>
  </si>
  <si>
    <t>서울특별시 **구 **로 **</t>
    <phoneticPr fontId="27" type="noConversion"/>
  </si>
  <si>
    <t>****은행 소계</t>
    <phoneticPr fontId="27" type="noConversion"/>
  </si>
  <si>
    <t xml:space="preserve">  1. 원금</t>
    <phoneticPr fontId="27" type="noConversion"/>
  </si>
  <si>
    <t xml:space="preserve">  2. 개시전 이자</t>
    <phoneticPr fontId="27" type="noConversion"/>
  </si>
  <si>
    <t>이전 상호는 C-HUA LIGHTING CO., LTD.
원화 계산은 ****은행 개시결정 전일자 최종고시 전신환 매도율 환율 1,371.20원 기준</t>
    <phoneticPr fontId="27" type="noConversion"/>
  </si>
  <si>
    <t>**2021제13차**전문 유한회사
(이사 장은재)</t>
    <phoneticPr fontId="27" type="noConversion"/>
  </si>
  <si>
    <t xml:space="preserve">서울특별시 **구 **로 **8, 2층 </t>
    <phoneticPr fontId="27" type="noConversion"/>
  </si>
  <si>
    <t>㈜**스토리(대표이사 ***)</t>
    <phoneticPr fontId="27" type="noConversion"/>
  </si>
  <si>
    <t>㈜***탑
(대표이사 ***)</t>
    <phoneticPr fontId="27" type="noConversion"/>
  </si>
  <si>
    <t>㈜***탑 소계</t>
    <phoneticPr fontId="27" type="noConversion"/>
  </si>
  <si>
    <t>어음번호  00320240527000020388
1. 어음발행일: 2024. 5. 27.
2. 어음만기일: 2024. 8. 25.
3. 금액: 121,534,945원
4. 최초수취인 : ㈜***탑</t>
    <phoneticPr fontId="27" type="noConversion"/>
  </si>
  <si>
    <t>어음번호 00320240425000022721
1. 어음발행일: 2024. 3. 31.
2. 어음만기일: 2024. 7. 24.
3. 금액: 97,557,491원
4. 최초수취인 : ㈜***탑</t>
    <phoneticPr fontId="27" type="noConversion"/>
  </si>
  <si>
    <t>이전 상호는 LINYI DINGSHENG INTERNATIONAL TRADE CO.,LTD
원화 계산은 ****은행 개시결정 전일자 최종고시 전신환 매도율 환율 1,371.20원 기준</t>
    <phoneticPr fontId="27" type="noConversion"/>
  </si>
  <si>
    <t>(U$1,043,537.25포함)</t>
    <phoneticPr fontId="27" type="noConversion"/>
  </si>
  <si>
    <t>11,151,749,663
(US$1,043,537.25 포함)</t>
    <phoneticPr fontId="27" type="noConversion"/>
  </si>
  <si>
    <t>사모사채</t>
    <phoneticPr fontId="27" type="noConversion"/>
  </si>
  <si>
    <t>20OO회합100OOO 회생</t>
    <phoneticPr fontId="27" type="noConversion"/>
  </si>
  <si>
    <t>OOOO 주식회사</t>
    <phoneticPr fontId="27" type="noConversion"/>
  </si>
  <si>
    <t>어음번호  00320240527000020388
1. 어음발행일: 2024. 5. 27.
2. 어음만기일: 2024. 8. 25.
3. 금액: 121,534,945원
4. 최초수취인 : ㈜OOO탑</t>
    <phoneticPr fontId="27" type="noConversion"/>
  </si>
  <si>
    <t>어음번호 00320240425000022721
1. 어음발행일: 2024. 3. 31.
2. 어음만기일: 2024. 7. 24.
3. 금액: 97,557,491원
4. 최초수취인 : ㈜OOO탑</t>
    <phoneticPr fontId="27" type="noConversion"/>
  </si>
  <si>
    <t>어음번호 00320240425000022132
1. 어음발행일: 2024. 3. 29.
2. 어음만기일: 2024. 7. 24.
3. 금액: 9,100,000원
4. 최초수취인: ㈜OOO</t>
    <phoneticPr fontId="27" type="noConversion"/>
  </si>
  <si>
    <t>어음번호 00320240527000020362 
1. 어음발행일: 2024. 5. 27.
2. 어음만기일: 2024. 8. 25.
3. 금액: 6,500,000원
4. 최초수취인: ㈜OOO퀸</t>
    <phoneticPr fontId="27" type="noConversion"/>
  </si>
  <si>
    <t>어음번호 00320240625000014704
1. 어음발행일: 2024. 6. 25.
2. 어음만기일: 2024. 9. 23.
3. 금액: 3,000,000원
4. 최초수취인: ㈜OOO퀸</t>
    <phoneticPr fontId="27" type="noConversion"/>
  </si>
  <si>
    <t>OOO세무서</t>
    <phoneticPr fontId="27" type="noConversion"/>
  </si>
  <si>
    <t>OO시 OO로 OO (OO동 OOO-2)</t>
    <phoneticPr fontId="27" type="noConversion"/>
  </si>
  <si>
    <t>OO도 OO시 OO로 OO</t>
    <phoneticPr fontId="27" type="noConversion"/>
  </si>
  <si>
    <r>
      <t>O</t>
    </r>
    <r>
      <rPr>
        <sz val="11"/>
        <color rgb="FF000000"/>
        <rFont val="돋움"/>
        <family val="3"/>
        <charset val="129"/>
      </rPr>
      <t>O</t>
    </r>
    <r>
      <rPr>
        <sz val="11"/>
        <color rgb="FF000000"/>
        <rFont val="돋움"/>
        <family val="3"/>
        <charset val="129"/>
      </rPr>
      <t>광</t>
    </r>
    <phoneticPr fontId="27" type="noConversion"/>
  </si>
  <si>
    <r>
      <t>O</t>
    </r>
    <r>
      <rPr>
        <sz val="11"/>
        <color rgb="FF000000"/>
        <rFont val="돋움"/>
        <family val="3"/>
        <charset val="129"/>
      </rPr>
      <t>O</t>
    </r>
    <r>
      <rPr>
        <sz val="11"/>
        <color rgb="FF000000"/>
        <rFont val="돋움"/>
        <family val="3"/>
        <charset val="129"/>
      </rPr>
      <t>영</t>
    </r>
    <phoneticPr fontId="27" type="noConversion"/>
  </si>
  <si>
    <r>
      <t>O</t>
    </r>
    <r>
      <rPr>
        <sz val="11"/>
        <color rgb="FF000000"/>
        <rFont val="돋움"/>
        <family val="3"/>
        <charset val="129"/>
      </rPr>
      <t>O</t>
    </r>
    <r>
      <rPr>
        <sz val="11"/>
        <color rgb="FF000000"/>
        <rFont val="돋움"/>
        <family val="3"/>
        <charset val="129"/>
      </rPr>
      <t>훈</t>
    </r>
    <phoneticPr fontId="27" type="noConversion"/>
  </si>
  <si>
    <r>
      <t>O</t>
    </r>
    <r>
      <rPr>
        <sz val="11"/>
        <color rgb="FF000000"/>
        <rFont val="돋움"/>
        <family val="3"/>
        <charset val="129"/>
      </rPr>
      <t>O</t>
    </r>
    <r>
      <rPr>
        <sz val="11"/>
        <color rgb="FF000000"/>
        <rFont val="돋움"/>
        <family val="3"/>
        <charset val="129"/>
      </rPr>
      <t>나</t>
    </r>
    <phoneticPr fontId="27" type="noConversion"/>
  </si>
  <si>
    <t>OO도 OOO시 OO읍 OO로OOO번길 OO OO아파트 OOO동 OOO호</t>
    <phoneticPr fontId="27" type="noConversion"/>
  </si>
  <si>
    <t>OO시 OO구 OOOO2로 OO OOO동 OOOO호</t>
    <phoneticPr fontId="27" type="noConversion"/>
  </si>
  <si>
    <t>경기 OO시 OO읍 OO로 OOO, OOO동 OOOO호</t>
    <phoneticPr fontId="27" type="noConversion"/>
  </si>
  <si>
    <t>OO시 OOO구 OOOO2로 OO OOO동 OOOO호</t>
    <phoneticPr fontId="27" type="noConversion"/>
  </si>
  <si>
    <t>국민건강보험공단
서울강원지역본부
(이사장 OOO)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</si>
</sst>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1" formatCode="_-* #,##0_-;\-* #,##0_-;_-* &quot;-&quot;_-;_-@_-"/>
    <numFmt numFmtId="176" formatCode="#,##0_ "/>
    <numFmt numFmtId="177" formatCode="#,##0_);[Red]\(#,##0\)"/>
    <numFmt numFmtId="178" formatCode="#,##0.0"/>
    <numFmt numFmtId="179" formatCode="0_ "/>
    <numFmt numFmtId="180" formatCode="\-#\-"/>
    <numFmt numFmtId="181" formatCode="#,##0_ &quot;원&quot;"/>
    <numFmt numFmtId="182" formatCode="#,###"/>
    <numFmt numFmtId="183" formatCode="00000"/>
    <numFmt numFmtId="184" formatCode="mm&quot;월&quot;\ dd&quot;일&quot;"/>
    <numFmt numFmtId="185" formatCode="#,###&quot;주&quot;"/>
    <numFmt numFmtId="186" formatCode="#,###&quot;원&quot;"/>
    <numFmt numFmtId="187" formatCode="&quot;주&quot;&quot;식&quot;#"/>
    <numFmt numFmtId="188" formatCode="#\-#"/>
    <numFmt numFmtId="189" formatCode="#,##0.00_ "/>
    <numFmt numFmtId="190" formatCode="&quot;US$&quot;#,##0.00_);\(&quot;US$&quot;#,##0.00\)"/>
  </numFmts>
  <fonts count="3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28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color rgb="FF000000"/>
      <name val="굴림"/>
      <family val="3"/>
      <charset val="129"/>
    </font>
    <font>
      <sz val="8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14"/>
      <color rgb="FF000000"/>
      <name val="돋움"/>
      <family val="3"/>
      <charset val="129"/>
    </font>
    <font>
      <b/>
      <sz val="22"/>
      <color rgb="FF000000"/>
      <name val="돋움"/>
      <family val="3"/>
      <charset val="129"/>
    </font>
    <font>
      <sz val="9"/>
      <color rgb="FF000000"/>
      <name val="굴림"/>
      <family val="3"/>
      <charset val="129"/>
    </font>
    <font>
      <b/>
      <sz val="20"/>
      <color rgb="FF000000"/>
      <name val="돋움"/>
      <family val="3"/>
      <charset val="129"/>
    </font>
    <font>
      <sz val="18"/>
      <color rgb="FF000000"/>
      <name val="돋움"/>
      <family val="3"/>
      <charset val="129"/>
    </font>
    <font>
      <sz val="11"/>
      <color rgb="FF000000"/>
      <name val="Malgun Gothic Semilight"/>
      <family val="2"/>
      <charset val="129"/>
    </font>
    <font>
      <sz val="10"/>
      <color rgb="FF000000"/>
      <name val="굴림체"/>
      <family val="3"/>
      <charset val="129"/>
    </font>
    <font>
      <b/>
      <sz val="18"/>
      <color rgb="FF000000"/>
      <name val="돋움"/>
      <family val="3"/>
      <charset val="129"/>
    </font>
    <font>
      <b/>
      <sz val="26"/>
      <color rgb="FF000000"/>
      <name val="돋움"/>
      <family val="3"/>
      <charset val="129"/>
    </font>
    <font>
      <sz val="20"/>
      <color rgb="FF000000"/>
      <name val="굴림"/>
      <family val="3"/>
      <charset val="129"/>
    </font>
    <font>
      <sz val="8.5"/>
      <color rgb="FF000000"/>
      <name val="굴림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SimSun"/>
      <charset val="134"/>
    </font>
    <font>
      <b/>
      <sz val="18"/>
      <color rgb="FF000000"/>
      <name val="SimSun"/>
      <charset val="134"/>
    </font>
    <font>
      <sz val="14"/>
      <color rgb="FF000000"/>
      <name val="SimSun"/>
      <charset val="134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2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9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</cellStyleXfs>
  <cellXfs count="628">
    <xf numFmtId="0" fontId="0" fillId="0" borderId="0" xfId="0">
      <alignment vertical="center"/>
    </xf>
    <xf numFmtId="0" fontId="26" fillId="0" borderId="0" xfId="6" applyAlignment="1">
      <alignment vertical="center"/>
    </xf>
    <xf numFmtId="0" fontId="26" fillId="0" borderId="0" xfId="5">
      <alignment vertical="center"/>
    </xf>
    <xf numFmtId="0" fontId="2" fillId="0" borderId="0" xfId="5" applyFont="1">
      <alignment vertical="center"/>
    </xf>
    <xf numFmtId="0" fontId="3" fillId="0" borderId="1" xfId="6" applyFont="1" applyBorder="1" applyAlignment="1">
      <alignment vertical="center"/>
    </xf>
    <xf numFmtId="0" fontId="3" fillId="0" borderId="0" xfId="6" applyFont="1" applyAlignment="1">
      <alignment vertical="center"/>
    </xf>
    <xf numFmtId="0" fontId="4" fillId="0" borderId="0" xfId="5" applyFont="1">
      <alignment vertical="center"/>
    </xf>
    <xf numFmtId="41" fontId="26" fillId="0" borderId="0" xfId="6" applyNumberFormat="1" applyAlignment="1">
      <alignment vertical="center"/>
    </xf>
    <xf numFmtId="0" fontId="26" fillId="0" borderId="0" xfId="5" applyAlignment="1">
      <alignment horizontal="right" vertical="center"/>
    </xf>
    <xf numFmtId="0" fontId="3" fillId="0" borderId="0" xfId="6" applyFont="1" applyAlignment="1">
      <alignment horizontal="center" vertical="center"/>
    </xf>
    <xf numFmtId="49" fontId="26" fillId="0" borderId="0" xfId="5" applyNumberFormat="1" applyAlignment="1">
      <alignment horizontal="center" vertical="center"/>
    </xf>
    <xf numFmtId="49" fontId="5" fillId="0" borderId="0" xfId="5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6" fillId="0" borderId="0" xfId="5" applyFont="1" applyAlignment="1">
      <alignment horizontal="right" vertical="center"/>
    </xf>
    <xf numFmtId="49" fontId="5" fillId="0" borderId="0" xfId="5" applyNumberFormat="1" applyFont="1">
      <alignment vertical="center"/>
    </xf>
    <xf numFmtId="0" fontId="5" fillId="0" borderId="0" xfId="7" applyFont="1" applyAlignment="1">
      <alignment horizontal="center" vertical="center" wrapText="1"/>
    </xf>
    <xf numFmtId="0" fontId="5" fillId="0" borderId="0" xfId="5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4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7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49" fontId="8" fillId="0" borderId="0" xfId="5" applyNumberFormat="1" applyFont="1">
      <alignment vertical="center"/>
    </xf>
    <xf numFmtId="0" fontId="7" fillId="0" borderId="0" xfId="7" applyFont="1"/>
    <xf numFmtId="177" fontId="7" fillId="0" borderId="7" xfId="0" applyNumberFormat="1" applyFont="1" applyBorder="1">
      <alignment vertical="center"/>
    </xf>
    <xf numFmtId="177" fontId="7" fillId="0" borderId="9" xfId="0" applyNumberFormat="1" applyFont="1" applyBorder="1" applyAlignment="1">
      <alignment horizontal="right" vertical="center" wrapText="1"/>
    </xf>
    <xf numFmtId="0" fontId="7" fillId="0" borderId="0" xfId="6" applyFont="1" applyAlignment="1">
      <alignment vertical="center"/>
    </xf>
    <xf numFmtId="0" fontId="7" fillId="0" borderId="0" xfId="6" applyFont="1" applyAlignment="1">
      <alignment horizontal="right" vertical="center"/>
    </xf>
    <xf numFmtId="0" fontId="9" fillId="0" borderId="0" xfId="6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center" vertical="center" wrapText="1"/>
    </xf>
    <xf numFmtId="49" fontId="5" fillId="0" borderId="0" xfId="5" applyNumberFormat="1" applyFont="1" applyAlignment="1">
      <alignment horizontal="left" vertical="center"/>
    </xf>
    <xf numFmtId="177" fontId="7" fillId="0" borderId="0" xfId="0" applyNumberFormat="1" applyFont="1">
      <alignment vertical="center"/>
    </xf>
    <xf numFmtId="0" fontId="7" fillId="0" borderId="10" xfId="7" applyFont="1" applyBorder="1" applyAlignment="1">
      <alignment vertical="center" wrapText="1"/>
    </xf>
    <xf numFmtId="0" fontId="7" fillId="0" borderId="11" xfId="7" applyFont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41" fontId="7" fillId="0" borderId="3" xfId="2" applyFont="1" applyBorder="1">
      <alignment vertical="center"/>
    </xf>
    <xf numFmtId="41" fontId="7" fillId="0" borderId="10" xfId="2" applyFont="1" applyBorder="1">
      <alignment vertical="center"/>
    </xf>
    <xf numFmtId="0" fontId="10" fillId="0" borderId="0" xfId="0" applyFont="1" applyAlignment="1">
      <alignment horizontal="right" vertical="center"/>
    </xf>
    <xf numFmtId="0" fontId="4" fillId="0" borderId="0" xfId="4" applyFont="1">
      <alignment vertical="center"/>
    </xf>
    <xf numFmtId="0" fontId="26" fillId="0" borderId="0" xfId="7"/>
    <xf numFmtId="0" fontId="4" fillId="0" borderId="1" xfId="7" applyFont="1" applyBorder="1" applyAlignment="1">
      <alignment horizontal="right" vertical="center"/>
    </xf>
    <xf numFmtId="0" fontId="7" fillId="0" borderId="10" xfId="7" applyFont="1" applyBorder="1" applyAlignment="1">
      <alignment horizontal="center" vertical="center" wrapText="1"/>
    </xf>
    <xf numFmtId="0" fontId="7" fillId="0" borderId="2" xfId="7" applyFont="1" applyBorder="1" applyAlignment="1">
      <alignment horizontal="center" vertical="center" wrapText="1"/>
    </xf>
    <xf numFmtId="0" fontId="7" fillId="0" borderId="1" xfId="7" applyFont="1" applyBorder="1" applyAlignment="1">
      <alignment horizontal="center" vertical="center" wrapText="1"/>
    </xf>
    <xf numFmtId="0" fontId="7" fillId="0" borderId="11" xfId="7" applyFont="1" applyBorder="1" applyAlignment="1">
      <alignment horizontal="center" vertical="center" wrapText="1"/>
    </xf>
    <xf numFmtId="0" fontId="7" fillId="0" borderId="11" xfId="7" applyFont="1" applyBorder="1" applyAlignment="1">
      <alignment horizontal="right" vertical="center"/>
    </xf>
    <xf numFmtId="41" fontId="11" fillId="0" borderId="0" xfId="7" applyNumberFormat="1" applyFont="1"/>
    <xf numFmtId="178" fontId="26" fillId="0" borderId="0" xfId="2" applyNumberFormat="1" applyAlignment="1"/>
    <xf numFmtId="0" fontId="4" fillId="0" borderId="0" xfId="4" applyFont="1" applyAlignment="1">
      <alignment horizontal="center" vertical="center"/>
    </xf>
    <xf numFmtId="41" fontId="7" fillId="0" borderId="11" xfId="2" applyFont="1" applyBorder="1" applyAlignment="1">
      <alignment horizontal="right" vertical="center"/>
    </xf>
    <xf numFmtId="0" fontId="7" fillId="0" borderId="12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6" fontId="7" fillId="0" borderId="11" xfId="7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83" fontId="9" fillId="2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9" fillId="0" borderId="5" xfId="0" applyNumberFormat="1" applyFont="1" applyBorder="1">
      <alignment vertical="center"/>
    </xf>
    <xf numFmtId="0" fontId="9" fillId="0" borderId="5" xfId="0" applyFont="1" applyBorder="1">
      <alignment vertical="center"/>
    </xf>
    <xf numFmtId="0" fontId="7" fillId="0" borderId="0" xfId="0" applyFont="1" applyAlignment="1">
      <alignment horizontal="distributed" vertical="center" wrapText="1"/>
    </xf>
    <xf numFmtId="0" fontId="7" fillId="0" borderId="12" xfId="7" applyFont="1" applyBorder="1" applyAlignment="1">
      <alignment horizontal="left" vertical="center"/>
    </xf>
    <xf numFmtId="0" fontId="7" fillId="0" borderId="4" xfId="7" applyFont="1" applyBorder="1" applyAlignment="1">
      <alignment horizontal="left" vertical="center"/>
    </xf>
    <xf numFmtId="0" fontId="7" fillId="0" borderId="0" xfId="7" applyFont="1" applyAlignment="1">
      <alignment vertical="center"/>
    </xf>
    <xf numFmtId="0" fontId="7" fillId="0" borderId="13" xfId="7" applyFont="1" applyBorder="1" applyAlignment="1">
      <alignment horizontal="left" vertical="center"/>
    </xf>
    <xf numFmtId="41" fontId="9" fillId="0" borderId="0" xfId="0" applyNumberFormat="1" applyFont="1">
      <alignment vertical="center"/>
    </xf>
    <xf numFmtId="0" fontId="9" fillId="0" borderId="5" xfId="0" quotePrefix="1" applyFont="1" applyBorder="1" applyAlignment="1">
      <alignment horizontal="center" vertical="center"/>
    </xf>
    <xf numFmtId="49" fontId="9" fillId="3" borderId="5" xfId="0" applyNumberFormat="1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18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/>
    </xf>
    <xf numFmtId="41" fontId="7" fillId="0" borderId="0" xfId="2" applyFont="1">
      <alignment vertical="center"/>
    </xf>
    <xf numFmtId="0" fontId="12" fillId="0" borderId="0" xfId="0" applyFont="1">
      <alignment vertical="center"/>
    </xf>
    <xf numFmtId="41" fontId="12" fillId="0" borderId="0" xfId="2" applyFont="1">
      <alignment vertical="center"/>
    </xf>
    <xf numFmtId="180" fontId="1" fillId="0" borderId="0" xfId="0" applyNumberFormat="1" applyFont="1" applyAlignment="1">
      <alignment horizontal="left" vertical="center"/>
    </xf>
    <xf numFmtId="41" fontId="26" fillId="0" borderId="0" xfId="2">
      <alignment vertical="center"/>
    </xf>
    <xf numFmtId="0" fontId="7" fillId="0" borderId="5" xfId="0" applyFont="1" applyBorder="1" applyAlignment="1">
      <alignment vertical="center" wrapText="1"/>
    </xf>
    <xf numFmtId="0" fontId="7" fillId="0" borderId="0" xfId="4" applyFont="1" applyAlignment="1">
      <alignment horizontal="center" vertical="center"/>
    </xf>
    <xf numFmtId="0" fontId="10" fillId="0" borderId="15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177" fontId="10" fillId="0" borderId="15" xfId="0" applyNumberFormat="1" applyFont="1" applyBorder="1" applyAlignment="1">
      <alignment vertical="center" wrapText="1"/>
    </xf>
    <xf numFmtId="177" fontId="10" fillId="0" borderId="15" xfId="0" applyNumberFormat="1" applyFont="1" applyBorder="1">
      <alignment vertical="center"/>
    </xf>
    <xf numFmtId="177" fontId="10" fillId="0" borderId="9" xfId="0" applyNumberFormat="1" applyFont="1" applyBorder="1" applyAlignment="1">
      <alignment vertical="center" wrapText="1"/>
    </xf>
    <xf numFmtId="177" fontId="10" fillId="0" borderId="9" xfId="0" applyNumberFormat="1" applyFont="1" applyBorder="1">
      <alignment vertical="center"/>
    </xf>
    <xf numFmtId="177" fontId="10" fillId="0" borderId="14" xfId="0" applyNumberFormat="1" applyFont="1" applyBorder="1" applyAlignment="1">
      <alignment vertical="center" wrapText="1"/>
    </xf>
    <xf numFmtId="177" fontId="10" fillId="0" borderId="14" xfId="0" applyNumberFormat="1" applyFont="1" applyBorder="1">
      <alignment vertical="center"/>
    </xf>
    <xf numFmtId="49" fontId="8" fillId="0" borderId="0" xfId="5" quotePrefix="1" applyNumberFormat="1" applyFont="1" applyAlignment="1">
      <alignment horizontal="center" vertical="center"/>
    </xf>
    <xf numFmtId="176" fontId="7" fillId="0" borderId="10" xfId="7" applyNumberFormat="1" applyFont="1" applyBorder="1" applyAlignment="1">
      <alignment vertical="center"/>
    </xf>
    <xf numFmtId="176" fontId="7" fillId="0" borderId="11" xfId="7" applyNumberFormat="1" applyFont="1" applyBorder="1" applyAlignment="1">
      <alignment vertical="center"/>
    </xf>
    <xf numFmtId="176" fontId="7" fillId="0" borderId="12" xfId="7" applyNumberFormat="1" applyFont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quotePrefix="1" applyFont="1" applyFill="1" applyBorder="1" applyAlignment="1">
      <alignment horizontal="center" vertical="center"/>
    </xf>
    <xf numFmtId="49" fontId="9" fillId="4" borderId="5" xfId="0" applyNumberFormat="1" applyFont="1" applyFill="1" applyBorder="1" applyAlignment="1">
      <alignment horizontal="left" vertical="center" wrapText="1"/>
    </xf>
    <xf numFmtId="0" fontId="9" fillId="4" borderId="5" xfId="0" applyFont="1" applyFill="1" applyBorder="1">
      <alignment vertical="center"/>
    </xf>
    <xf numFmtId="49" fontId="9" fillId="4" borderId="5" xfId="0" applyNumberFormat="1" applyFont="1" applyFill="1" applyBorder="1" applyAlignment="1">
      <alignment horizontal="center" vertical="center"/>
    </xf>
    <xf numFmtId="41" fontId="9" fillId="4" borderId="5" xfId="2" applyFont="1" applyFill="1" applyBorder="1">
      <alignment vertical="center"/>
    </xf>
    <xf numFmtId="176" fontId="9" fillId="4" borderId="5" xfId="0" applyNumberFormat="1" applyFont="1" applyFill="1" applyBorder="1">
      <alignment vertical="center"/>
    </xf>
    <xf numFmtId="0" fontId="9" fillId="4" borderId="0" xfId="0" applyFont="1" applyFill="1">
      <alignment vertical="center"/>
    </xf>
    <xf numFmtId="0" fontId="13" fillId="5" borderId="16" xfId="6" applyFont="1" applyFill="1" applyBorder="1" applyAlignment="1">
      <alignment horizontal="center" vertical="center" wrapText="1"/>
    </xf>
    <xf numFmtId="0" fontId="13" fillId="5" borderId="17" xfId="6" applyFont="1" applyFill="1" applyBorder="1" applyAlignment="1">
      <alignment horizontal="center" vertical="center" wrapText="1"/>
    </xf>
    <xf numFmtId="0" fontId="7" fillId="5" borderId="17" xfId="0" applyFont="1" applyFill="1" applyBorder="1">
      <alignment vertical="center"/>
    </xf>
    <xf numFmtId="0" fontId="7" fillId="0" borderId="18" xfId="0" applyFont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right" vertical="center" wrapText="1"/>
    </xf>
    <xf numFmtId="0" fontId="7" fillId="0" borderId="7" xfId="4" applyFont="1" applyBorder="1" applyAlignment="1">
      <alignment horizontal="left" vertical="center"/>
    </xf>
    <xf numFmtId="0" fontId="7" fillId="0" borderId="0" xfId="4" applyFont="1" applyAlignment="1">
      <alignment horizontal="right" vertical="center"/>
    </xf>
    <xf numFmtId="177" fontId="10" fillId="0" borderId="9" xfId="2" applyNumberFormat="1" applyFont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41" fontId="9" fillId="6" borderId="5" xfId="2" applyFont="1" applyFill="1" applyBorder="1">
      <alignment vertical="center"/>
    </xf>
    <xf numFmtId="0" fontId="9" fillId="6" borderId="5" xfId="0" applyFont="1" applyFill="1" applyBorder="1">
      <alignment vertical="center"/>
    </xf>
    <xf numFmtId="0" fontId="9" fillId="6" borderId="5" xfId="2" applyNumberFormat="1" applyFont="1" applyFill="1" applyBorder="1">
      <alignment vertical="center"/>
    </xf>
    <xf numFmtId="176" fontId="9" fillId="6" borderId="0" xfId="0" applyNumberFormat="1" applyFont="1" applyFill="1">
      <alignment vertical="center"/>
    </xf>
    <xf numFmtId="41" fontId="9" fillId="6" borderId="0" xfId="0" applyNumberFormat="1" applyFont="1" applyFill="1">
      <alignment vertical="center"/>
    </xf>
    <xf numFmtId="0" fontId="9" fillId="6" borderId="0" xfId="0" applyFont="1" applyFill="1">
      <alignment vertical="center"/>
    </xf>
    <xf numFmtId="0" fontId="14" fillId="0" borderId="0" xfId="7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4" applyFont="1">
      <alignment vertical="center"/>
    </xf>
    <xf numFmtId="0" fontId="0" fillId="0" borderId="0" xfId="4" applyFont="1">
      <alignment vertical="center"/>
    </xf>
    <xf numFmtId="0" fontId="0" fillId="0" borderId="0" xfId="4" applyFont="1" applyAlignment="1">
      <alignment horizontal="left" vertical="center"/>
    </xf>
    <xf numFmtId="0" fontId="0" fillId="0" borderId="10" xfId="4" applyFont="1" applyBorder="1">
      <alignment vertical="center"/>
    </xf>
    <xf numFmtId="0" fontId="0" fillId="0" borderId="20" xfId="4" applyFont="1" applyBorder="1">
      <alignment vertical="center"/>
    </xf>
    <xf numFmtId="0" fontId="16" fillId="0" borderId="0" xfId="4" applyFont="1" applyAlignment="1">
      <alignment horizontal="center" vertical="center"/>
    </xf>
    <xf numFmtId="0" fontId="8" fillId="0" borderId="0" xfId="4" applyFont="1">
      <alignment vertical="center"/>
    </xf>
    <xf numFmtId="0" fontId="5" fillId="0" borderId="0" xfId="5" applyFont="1" applyAlignment="1">
      <alignment horizontal="center" vertical="center"/>
    </xf>
    <xf numFmtId="0" fontId="26" fillId="0" borderId="0" xfId="5" applyAlignment="1">
      <alignment horizontal="center" vertical="center"/>
    </xf>
    <xf numFmtId="0" fontId="0" fillId="0" borderId="19" xfId="4" applyFont="1" applyBorder="1">
      <alignment vertical="center"/>
    </xf>
    <xf numFmtId="0" fontId="0" fillId="0" borderId="5" xfId="4" applyFont="1" applyBorder="1">
      <alignment vertical="center"/>
    </xf>
    <xf numFmtId="0" fontId="0" fillId="0" borderId="21" xfId="4" applyFont="1" applyBorder="1">
      <alignment vertical="center"/>
    </xf>
    <xf numFmtId="0" fontId="7" fillId="0" borderId="7" xfId="4" applyFont="1" applyBorder="1">
      <alignment vertical="center"/>
    </xf>
    <xf numFmtId="49" fontId="0" fillId="0" borderId="0" xfId="0" quotePrefix="1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6" fontId="0" fillId="0" borderId="22" xfId="0" applyNumberFormat="1" applyBorder="1" applyAlignment="1">
      <alignment horizontal="right" vertical="center"/>
    </xf>
    <xf numFmtId="0" fontId="7" fillId="0" borderId="4" xfId="7" applyFont="1" applyBorder="1" applyAlignment="1">
      <alignment vertical="center"/>
    </xf>
    <xf numFmtId="0" fontId="7" fillId="0" borderId="11" xfId="7" applyFont="1" applyBorder="1" applyAlignment="1">
      <alignment vertical="center"/>
    </xf>
    <xf numFmtId="0" fontId="7" fillId="0" borderId="3" xfId="7" applyFont="1" applyBorder="1" applyAlignment="1">
      <alignment vertical="center"/>
    </xf>
    <xf numFmtId="0" fontId="7" fillId="0" borderId="7" xfId="7" applyFont="1" applyBorder="1" applyAlignment="1">
      <alignment vertical="center"/>
    </xf>
    <xf numFmtId="0" fontId="7" fillId="0" borderId="8" xfId="7" applyFont="1" applyBorder="1" applyAlignment="1">
      <alignment vertical="center"/>
    </xf>
    <xf numFmtId="14" fontId="9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77" fontId="7" fillId="0" borderId="23" xfId="6" applyNumberFormat="1" applyFont="1" applyBorder="1" applyAlignment="1">
      <alignment horizontal="right" vertical="center" wrapText="1"/>
    </xf>
    <xf numFmtId="0" fontId="14" fillId="0" borderId="0" xfId="6" applyFont="1" applyAlignment="1">
      <alignment vertical="center"/>
    </xf>
    <xf numFmtId="14" fontId="9" fillId="4" borderId="5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9" fillId="3" borderId="15" xfId="0" applyFont="1" applyFill="1" applyBorder="1">
      <alignment vertical="center"/>
    </xf>
    <xf numFmtId="49" fontId="9" fillId="3" borderId="15" xfId="0" applyNumberFormat="1" applyFont="1" applyFill="1" applyBorder="1" applyAlignment="1">
      <alignment horizontal="center" vertical="center"/>
    </xf>
    <xf numFmtId="0" fontId="9" fillId="0" borderId="15" xfId="0" applyFont="1" applyBorder="1">
      <alignment vertical="center"/>
    </xf>
    <xf numFmtId="41" fontId="9" fillId="6" borderId="15" xfId="2" applyFont="1" applyFill="1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176" fontId="7" fillId="0" borderId="5" xfId="3" applyNumberFormat="1" applyFont="1" applyBorder="1" applyAlignment="1">
      <alignment horizontal="right" vertical="center"/>
    </xf>
    <xf numFmtId="176" fontId="7" fillId="5" borderId="16" xfId="2" applyNumberFormat="1" applyFont="1" applyFill="1" applyBorder="1">
      <alignment vertical="center"/>
    </xf>
    <xf numFmtId="0" fontId="7" fillId="0" borderId="5" xfId="4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 wrapText="1"/>
    </xf>
    <xf numFmtId="176" fontId="7" fillId="0" borderId="14" xfId="3" applyNumberFormat="1" applyFont="1" applyBorder="1" applyAlignment="1">
      <alignment horizontal="right" vertical="center"/>
    </xf>
    <xf numFmtId="176" fontId="7" fillId="5" borderId="16" xfId="2" applyNumberFormat="1" applyFont="1" applyFill="1" applyBorder="1" applyAlignment="1">
      <alignment horizontal="right" vertical="center"/>
    </xf>
    <xf numFmtId="10" fontId="7" fillId="5" borderId="19" xfId="1" applyNumberFormat="1" applyFont="1" applyFill="1" applyBorder="1" applyAlignment="1">
      <alignment horizontal="right" vertical="center"/>
    </xf>
    <xf numFmtId="0" fontId="7" fillId="0" borderId="3" xfId="6" applyFont="1" applyBorder="1" applyAlignment="1">
      <alignment horizontal="center" vertical="center" wrapText="1"/>
    </xf>
    <xf numFmtId="0" fontId="13" fillId="5" borderId="26" xfId="6" applyFont="1" applyFill="1" applyBorder="1" applyAlignment="1">
      <alignment horizontal="center" vertical="center" wrapText="1"/>
    </xf>
    <xf numFmtId="0" fontId="7" fillId="0" borderId="0" xfId="7" applyFont="1" applyAlignment="1">
      <alignment horizontal="right" vertical="center"/>
    </xf>
    <xf numFmtId="0" fontId="9" fillId="4" borderId="15" xfId="0" applyFont="1" applyFill="1" applyBorder="1">
      <alignment vertical="center"/>
    </xf>
    <xf numFmtId="49" fontId="9" fillId="4" borderId="15" xfId="0" applyNumberFormat="1" applyFont="1" applyFill="1" applyBorder="1" applyAlignment="1">
      <alignment horizontal="center" vertical="center"/>
    </xf>
    <xf numFmtId="41" fontId="9" fillId="4" borderId="15" xfId="2" applyFont="1" applyFill="1" applyBorder="1">
      <alignment vertical="center"/>
    </xf>
    <xf numFmtId="0" fontId="9" fillId="4" borderId="5" xfId="2" applyNumberFormat="1" applyFont="1" applyFill="1" applyBorder="1">
      <alignment vertical="center"/>
    </xf>
    <xf numFmtId="176" fontId="7" fillId="0" borderId="9" xfId="6" applyNumberFormat="1" applyFont="1" applyBorder="1" applyAlignment="1">
      <alignment horizontal="right" vertical="center" wrapText="1"/>
    </xf>
    <xf numFmtId="0" fontId="7" fillId="0" borderId="2" xfId="6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176" fontId="0" fillId="5" borderId="27" xfId="0" applyNumberFormat="1" applyFill="1" applyBorder="1" applyAlignment="1">
      <alignment horizontal="center" vertical="center"/>
    </xf>
    <xf numFmtId="181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6" fontId="0" fillId="0" borderId="29" xfId="0" applyNumberFormat="1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176" fontId="0" fillId="0" borderId="27" xfId="0" applyNumberFormat="1" applyBorder="1" applyAlignment="1">
      <alignment horizontal="right" vertical="center"/>
    </xf>
    <xf numFmtId="0" fontId="0" fillId="5" borderId="29" xfId="0" applyFill="1" applyBorder="1" applyAlignment="1">
      <alignment horizontal="center" vertical="center"/>
    </xf>
    <xf numFmtId="176" fontId="0" fillId="5" borderId="29" xfId="0" applyNumberFormat="1" applyFill="1" applyBorder="1" applyAlignment="1">
      <alignment horizontal="right" vertical="center"/>
    </xf>
    <xf numFmtId="0" fontId="10" fillId="0" borderId="5" xfId="4" applyFont="1" applyBorder="1">
      <alignment vertical="center"/>
    </xf>
    <xf numFmtId="0" fontId="10" fillId="0" borderId="5" xfId="4" applyFont="1" applyBorder="1" applyAlignment="1">
      <alignment horizontal="center" vertical="center"/>
    </xf>
    <xf numFmtId="176" fontId="10" fillId="0" borderId="5" xfId="4" applyNumberFormat="1" applyFont="1" applyBorder="1" applyAlignment="1">
      <alignment horizontal="right" vertical="center"/>
    </xf>
    <xf numFmtId="0" fontId="7" fillId="5" borderId="26" xfId="6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/>
    </xf>
    <xf numFmtId="177" fontId="7" fillId="0" borderId="15" xfId="6" applyNumberFormat="1" applyFont="1" applyBorder="1" applyAlignment="1">
      <alignment horizontal="right" vertical="center" wrapText="1"/>
    </xf>
    <xf numFmtId="0" fontId="11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5" borderId="25" xfId="6" applyFont="1" applyFill="1" applyBorder="1" applyAlignment="1">
      <alignment horizontal="center" vertical="center" wrapText="1"/>
    </xf>
    <xf numFmtId="0" fontId="13" fillId="5" borderId="31" xfId="6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7" fontId="26" fillId="0" borderId="0" xfId="6" applyNumberFormat="1" applyAlignment="1">
      <alignment vertical="center"/>
    </xf>
    <xf numFmtId="0" fontId="5" fillId="0" borderId="0" xfId="5" applyFont="1" applyAlignment="1">
      <alignment horizontal="left" vertical="center"/>
    </xf>
    <xf numFmtId="0" fontId="9" fillId="0" borderId="5" xfId="0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9" xfId="0" applyFont="1" applyBorder="1">
      <alignment vertical="center"/>
    </xf>
    <xf numFmtId="177" fontId="11" fillId="0" borderId="15" xfId="0" applyNumberFormat="1" applyFont="1" applyBorder="1">
      <alignment vertical="center"/>
    </xf>
    <xf numFmtId="0" fontId="11" fillId="0" borderId="1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0" fillId="0" borderId="14" xfId="0" applyBorder="1">
      <alignment vertical="center"/>
    </xf>
    <xf numFmtId="177" fontId="11" fillId="0" borderId="14" xfId="0" applyNumberFormat="1" applyFont="1" applyBorder="1">
      <alignment vertical="center"/>
    </xf>
    <xf numFmtId="0" fontId="11" fillId="0" borderId="14" xfId="0" applyFont="1" applyBorder="1">
      <alignment vertical="center"/>
    </xf>
    <xf numFmtId="0" fontId="11" fillId="0" borderId="34" xfId="0" applyFont="1" applyBorder="1">
      <alignment vertical="center"/>
    </xf>
    <xf numFmtId="0" fontId="5" fillId="0" borderId="0" xfId="5" quotePrefix="1" applyFont="1">
      <alignment vertical="center"/>
    </xf>
    <xf numFmtId="49" fontId="5" fillId="0" borderId="0" xfId="5" quotePrefix="1" applyNumberFormat="1" applyFont="1" applyAlignment="1">
      <alignment horizontal="center" vertical="center"/>
    </xf>
    <xf numFmtId="0" fontId="10" fillId="0" borderId="5" xfId="4" applyFont="1" applyBorder="1" applyAlignment="1">
      <alignment horizontal="center" vertical="center" wrapText="1"/>
    </xf>
    <xf numFmtId="176" fontId="10" fillId="0" borderId="5" xfId="4" applyNumberFormat="1" applyFont="1" applyBorder="1" applyAlignment="1">
      <alignment horizontal="center" vertical="center" wrapText="1"/>
    </xf>
    <xf numFmtId="10" fontId="7" fillId="0" borderId="8" xfId="1" applyNumberFormat="1" applyFont="1" applyBorder="1" applyAlignment="1">
      <alignment horizontal="right" vertical="center"/>
    </xf>
    <xf numFmtId="0" fontId="7" fillId="0" borderId="10" xfId="7" applyFont="1" applyBorder="1" applyAlignment="1">
      <alignment vertical="center"/>
    </xf>
    <xf numFmtId="3" fontId="7" fillId="0" borderId="11" xfId="7" applyNumberFormat="1" applyFont="1" applyBorder="1" applyAlignment="1">
      <alignment horizontal="center" vertical="center"/>
    </xf>
    <xf numFmtId="0" fontId="19" fillId="0" borderId="0" xfId="6" applyFont="1" applyAlignment="1">
      <alignment vertical="center"/>
    </xf>
    <xf numFmtId="0" fontId="19" fillId="4" borderId="0" xfId="6" applyFont="1" applyFill="1" applyAlignment="1">
      <alignment horizontal="center" vertical="center"/>
    </xf>
    <xf numFmtId="0" fontId="19" fillId="4" borderId="3" xfId="6" applyFont="1" applyFill="1" applyBorder="1" applyAlignment="1">
      <alignment horizontal="center" vertical="center"/>
    </xf>
    <xf numFmtId="177" fontId="7" fillId="0" borderId="9" xfId="6" applyNumberFormat="1" applyFont="1" applyBorder="1" applyAlignment="1">
      <alignment horizontal="right" vertical="center" wrapText="1"/>
    </xf>
    <xf numFmtId="0" fontId="7" fillId="0" borderId="10" xfId="6" applyFont="1" applyBorder="1" applyAlignment="1">
      <alignment horizontal="center" vertical="center" wrapText="1"/>
    </xf>
    <xf numFmtId="177" fontId="7" fillId="0" borderId="5" xfId="0" applyNumberFormat="1" applyFont="1" applyBorder="1" applyAlignment="1">
      <alignment horizontal="right" vertical="center" wrapText="1"/>
    </xf>
    <xf numFmtId="0" fontId="7" fillId="0" borderId="0" xfId="6" applyFont="1" applyAlignment="1">
      <alignment horizontal="center" vertical="center"/>
    </xf>
    <xf numFmtId="177" fontId="7" fillId="0" borderId="29" xfId="0" applyNumberFormat="1" applyFont="1" applyBorder="1" applyAlignment="1">
      <alignment horizontal="right" vertical="center" wrapText="1"/>
    </xf>
    <xf numFmtId="0" fontId="7" fillId="5" borderId="3" xfId="6" applyFont="1" applyFill="1" applyBorder="1" applyAlignment="1">
      <alignment horizontal="center" vertical="center" wrapText="1"/>
    </xf>
    <xf numFmtId="177" fontId="7" fillId="5" borderId="9" xfId="0" applyNumberFormat="1" applyFont="1" applyFill="1" applyBorder="1" applyAlignment="1">
      <alignment horizontal="right" vertical="center" wrapText="1"/>
    </xf>
    <xf numFmtId="0" fontId="7" fillId="5" borderId="35" xfId="6" applyFont="1" applyFill="1" applyBorder="1" applyAlignment="1">
      <alignment horizontal="center" vertical="center" wrapText="1"/>
    </xf>
    <xf numFmtId="177" fontId="7" fillId="5" borderId="29" xfId="0" applyNumberFormat="1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right" vertical="center"/>
    </xf>
    <xf numFmtId="0" fontId="4" fillId="0" borderId="0" xfId="6" applyFont="1"/>
    <xf numFmtId="0" fontId="4" fillId="0" borderId="10" xfId="0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12" xfId="0" applyFont="1" applyBorder="1" applyAlignment="1">
      <alignment horizontal="left" vertical="center"/>
    </xf>
    <xf numFmtId="10" fontId="7" fillId="0" borderId="5" xfId="1" applyNumberFormat="1" applyFont="1" applyBorder="1" applyAlignment="1">
      <alignment horizontal="right" vertical="center"/>
    </xf>
    <xf numFmtId="0" fontId="7" fillId="0" borderId="23" xfId="6" applyFont="1" applyBorder="1" applyAlignment="1">
      <alignment horizontal="center" vertical="center" wrapText="1"/>
    </xf>
    <xf numFmtId="0" fontId="7" fillId="0" borderId="9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7" fillId="0" borderId="14" xfId="6" applyFont="1" applyBorder="1" applyAlignment="1">
      <alignment horizontal="center" vertical="center" wrapText="1"/>
    </xf>
    <xf numFmtId="0" fontId="7" fillId="5" borderId="19" xfId="6" applyFont="1" applyFill="1" applyBorder="1" applyAlignment="1">
      <alignment horizontal="center" vertical="center" wrapText="1"/>
    </xf>
    <xf numFmtId="0" fontId="7" fillId="5" borderId="16" xfId="6" applyFont="1" applyFill="1" applyBorder="1" applyAlignment="1">
      <alignment horizontal="center" vertical="center" wrapText="1"/>
    </xf>
    <xf numFmtId="0" fontId="7" fillId="5" borderId="17" xfId="6" applyFont="1" applyFill="1" applyBorder="1" applyAlignment="1">
      <alignment horizontal="center" vertical="center" wrapText="1"/>
    </xf>
    <xf numFmtId="0" fontId="7" fillId="0" borderId="23" xfId="6" applyFont="1" applyBorder="1" applyAlignment="1">
      <alignment horizontal="right" vertical="center" wrapText="1"/>
    </xf>
    <xf numFmtId="0" fontId="7" fillId="0" borderId="3" xfId="6" applyFont="1" applyBorder="1" applyAlignment="1">
      <alignment horizontal="left" vertical="center" wrapText="1"/>
    </xf>
    <xf numFmtId="182" fontId="7" fillId="0" borderId="9" xfId="6" applyNumberFormat="1" applyFont="1" applyBorder="1" applyAlignment="1">
      <alignment horizontal="right" vertical="center" wrapText="1"/>
    </xf>
    <xf numFmtId="0" fontId="7" fillId="0" borderId="37" xfId="6" applyFont="1" applyBorder="1" applyAlignment="1">
      <alignment horizontal="center" vertical="center" wrapText="1"/>
    </xf>
    <xf numFmtId="176" fontId="7" fillId="0" borderId="37" xfId="6" applyNumberFormat="1" applyFont="1" applyBorder="1" applyAlignment="1">
      <alignment horizontal="right" vertical="center" wrapText="1"/>
    </xf>
    <xf numFmtId="0" fontId="7" fillId="0" borderId="9" xfId="6" applyFont="1" applyBorder="1" applyAlignment="1">
      <alignment horizontal="right" vertical="center" wrapText="1"/>
    </xf>
    <xf numFmtId="0" fontId="7" fillId="0" borderId="15" xfId="6" applyFont="1" applyBorder="1" applyAlignment="1">
      <alignment horizontal="center" vertical="center" wrapText="1"/>
    </xf>
    <xf numFmtId="0" fontId="7" fillId="0" borderId="38" xfId="6" applyFont="1" applyBorder="1" applyAlignment="1">
      <alignment horizontal="center" vertical="center" wrapText="1"/>
    </xf>
    <xf numFmtId="176" fontId="7" fillId="0" borderId="38" xfId="6" applyNumberFormat="1" applyFont="1" applyBorder="1" applyAlignment="1">
      <alignment horizontal="right" vertical="center" wrapText="1"/>
    </xf>
    <xf numFmtId="176" fontId="7" fillId="0" borderId="15" xfId="6" applyNumberFormat="1" applyFont="1" applyBorder="1" applyAlignment="1">
      <alignment horizontal="right" vertical="center" wrapText="1"/>
    </xf>
    <xf numFmtId="0" fontId="7" fillId="0" borderId="39" xfId="6" applyFont="1" applyBorder="1" applyAlignment="1">
      <alignment horizontal="center" vertical="center" wrapText="1"/>
    </xf>
    <xf numFmtId="176" fontId="7" fillId="0" borderId="39" xfId="6" applyNumberFormat="1" applyFont="1" applyBorder="1" applyAlignment="1">
      <alignment horizontal="right" vertical="center" wrapText="1"/>
    </xf>
    <xf numFmtId="182" fontId="7" fillId="0" borderId="34" xfId="6" applyNumberFormat="1" applyFont="1" applyBorder="1" applyAlignment="1">
      <alignment horizontal="right" vertical="center" wrapText="1"/>
    </xf>
    <xf numFmtId="184" fontId="26" fillId="0" borderId="0" xfId="6" applyNumberFormat="1" applyAlignment="1">
      <alignment vertical="center"/>
    </xf>
    <xf numFmtId="0" fontId="26" fillId="0" borderId="0" xfId="6" applyAlignment="1">
      <alignment horizontal="center" vertical="center"/>
    </xf>
    <xf numFmtId="0" fontId="26" fillId="0" borderId="0" xfId="6" applyAlignment="1">
      <alignment horizontal="right" vertical="center"/>
    </xf>
    <xf numFmtId="185" fontId="7" fillId="0" borderId="1" xfId="0" applyNumberFormat="1" applyFont="1" applyBorder="1" applyAlignment="1">
      <alignment horizontal="right" vertical="center" wrapText="1"/>
    </xf>
    <xf numFmtId="186" fontId="7" fillId="0" borderId="1" xfId="0" applyNumberFormat="1" applyFont="1" applyBorder="1" applyAlignment="1">
      <alignment horizontal="right" vertical="center"/>
    </xf>
    <xf numFmtId="187" fontId="7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7" fillId="0" borderId="34" xfId="6" applyFont="1" applyBorder="1" applyAlignment="1">
      <alignment horizontal="left" vertical="center" wrapText="1"/>
    </xf>
    <xf numFmtId="0" fontId="7" fillId="5" borderId="40" xfId="0" applyFont="1" applyFill="1" applyBorder="1" applyAlignment="1">
      <alignment horizontal="center" vertical="center"/>
    </xf>
    <xf numFmtId="0" fontId="7" fillId="0" borderId="6" xfId="7" applyFont="1" applyBorder="1" applyAlignment="1">
      <alignment vertical="center"/>
    </xf>
    <xf numFmtId="0" fontId="10" fillId="0" borderId="9" xfId="4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44" xfId="0" applyFont="1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9" xfId="4" applyFont="1" applyBorder="1" applyAlignment="1">
      <alignment vertical="center" wrapText="1"/>
    </xf>
    <xf numFmtId="0" fontId="10" fillId="0" borderId="14" xfId="4" applyFont="1" applyBorder="1" applyAlignment="1">
      <alignment vertical="center" wrapText="1"/>
    </xf>
    <xf numFmtId="176" fontId="10" fillId="0" borderId="15" xfId="4" applyNumberFormat="1" applyFont="1" applyBorder="1" applyAlignment="1">
      <alignment vertical="center" wrapText="1"/>
    </xf>
    <xf numFmtId="176" fontId="10" fillId="0" borderId="9" xfId="4" applyNumberFormat="1" applyFont="1" applyBorder="1" applyAlignment="1">
      <alignment vertical="center" wrapText="1"/>
    </xf>
    <xf numFmtId="176" fontId="10" fillId="0" borderId="14" xfId="4" applyNumberFormat="1" applyFont="1" applyBorder="1" applyAlignment="1">
      <alignment vertical="center" wrapText="1"/>
    </xf>
    <xf numFmtId="0" fontId="10" fillId="0" borderId="15" xfId="4" applyFont="1" applyBorder="1" applyAlignment="1">
      <alignment vertical="center" wrapText="1"/>
    </xf>
    <xf numFmtId="176" fontId="7" fillId="0" borderId="11" xfId="0" applyNumberFormat="1" applyFont="1" applyBorder="1" applyAlignment="1">
      <alignment horizontal="right" vertical="center"/>
    </xf>
    <xf numFmtId="0" fontId="20" fillId="0" borderId="45" xfId="0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vertical="center" wrapText="1"/>
    </xf>
    <xf numFmtId="177" fontId="10" fillId="0" borderId="37" xfId="0" applyNumberFormat="1" applyFont="1" applyBorder="1">
      <alignment vertical="center"/>
    </xf>
    <xf numFmtId="0" fontId="7" fillId="0" borderId="4" xfId="0" applyFont="1" applyBorder="1" applyAlignment="1">
      <alignment vertical="center" wrapText="1"/>
    </xf>
    <xf numFmtId="41" fontId="7" fillId="0" borderId="11" xfId="7" applyNumberFormat="1" applyFont="1" applyBorder="1" applyAlignment="1">
      <alignment horizontal="center" vertical="center"/>
    </xf>
    <xf numFmtId="176" fontId="7" fillId="0" borderId="0" xfId="6" applyNumberFormat="1" applyFont="1" applyAlignment="1">
      <alignment horizontal="right" vertical="center" wrapText="1"/>
    </xf>
    <xf numFmtId="3" fontId="19" fillId="0" borderId="0" xfId="6" applyNumberFormat="1" applyFont="1" applyAlignment="1">
      <alignment vertical="center"/>
    </xf>
    <xf numFmtId="3" fontId="9" fillId="0" borderId="0" xfId="6" applyNumberFormat="1" applyFont="1" applyAlignment="1">
      <alignment vertical="center"/>
    </xf>
    <xf numFmtId="3" fontId="3" fillId="0" borderId="0" xfId="6" applyNumberFormat="1" applyFont="1" applyAlignment="1">
      <alignment vertical="center"/>
    </xf>
    <xf numFmtId="176" fontId="11" fillId="0" borderId="0" xfId="6" applyNumberFormat="1" applyFont="1" applyAlignment="1">
      <alignment vertical="center"/>
    </xf>
    <xf numFmtId="0" fontId="3" fillId="0" borderId="46" xfId="6" applyFont="1" applyBorder="1" applyAlignment="1">
      <alignment horizontal="left" vertical="center"/>
    </xf>
    <xf numFmtId="0" fontId="3" fillId="0" borderId="47" xfId="6" applyFont="1" applyBorder="1" applyAlignment="1">
      <alignment horizontal="left" vertical="center"/>
    </xf>
    <xf numFmtId="0" fontId="26" fillId="0" borderId="9" xfId="6" applyBorder="1" applyAlignment="1">
      <alignment horizontal="right" vertical="center"/>
    </xf>
    <xf numFmtId="0" fontId="7" fillId="0" borderId="73" xfId="7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7" fillId="0" borderId="15" xfId="6" applyFont="1" applyBorder="1" applyAlignment="1">
      <alignment horizontal="right" vertical="center" wrapText="1"/>
    </xf>
    <xf numFmtId="0" fontId="4" fillId="0" borderId="15" xfId="0" quotePrefix="1" applyFont="1" applyBorder="1" applyAlignment="1">
      <alignment horizontal="center" vertical="center"/>
    </xf>
    <xf numFmtId="3" fontId="11" fillId="0" borderId="0" xfId="6" applyNumberFormat="1" applyFont="1" applyAlignment="1">
      <alignment vertical="center"/>
    </xf>
    <xf numFmtId="0" fontId="11" fillId="0" borderId="0" xfId="6" applyFont="1" applyAlignment="1">
      <alignment vertical="center"/>
    </xf>
    <xf numFmtId="176" fontId="17" fillId="0" borderId="9" xfId="6" applyNumberFormat="1" applyFont="1" applyBorder="1" applyAlignment="1">
      <alignment horizontal="right" vertical="center" wrapText="1"/>
    </xf>
    <xf numFmtId="182" fontId="17" fillId="0" borderId="9" xfId="6" applyNumberFormat="1" applyFont="1" applyBorder="1" applyAlignment="1">
      <alignment horizontal="right" vertical="center" wrapText="1"/>
    </xf>
    <xf numFmtId="176" fontId="17" fillId="0" borderId="39" xfId="6" applyNumberFormat="1" applyFont="1" applyBorder="1" applyAlignment="1">
      <alignment horizontal="right" vertical="center" wrapText="1"/>
    </xf>
    <xf numFmtId="189" fontId="7" fillId="0" borderId="0" xfId="0" quotePrefix="1" applyNumberFormat="1" applyFont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6" applyFont="1" applyBorder="1" applyAlignment="1">
      <alignment horizontal="center" vertical="center" wrapText="1"/>
    </xf>
    <xf numFmtId="190" fontId="11" fillId="0" borderId="0" xfId="6" applyNumberFormat="1" applyFont="1" applyAlignment="1">
      <alignment vertical="center"/>
    </xf>
    <xf numFmtId="2" fontId="26" fillId="0" borderId="0" xfId="6" applyNumberFormat="1" applyAlignment="1">
      <alignment vertical="center"/>
    </xf>
    <xf numFmtId="0" fontId="26" fillId="0" borderId="22" xfId="4" applyFont="1" applyBorder="1">
      <alignment vertical="center"/>
    </xf>
    <xf numFmtId="0" fontId="26" fillId="0" borderId="41" xfId="4" applyFont="1" applyBorder="1">
      <alignment vertical="center"/>
    </xf>
    <xf numFmtId="0" fontId="28" fillId="0" borderId="22" xfId="4" applyFont="1" applyBorder="1">
      <alignment vertical="center"/>
    </xf>
    <xf numFmtId="0" fontId="7" fillId="0" borderId="15" xfId="6" applyFont="1" applyBorder="1" applyAlignment="1">
      <alignment horizontal="left" vertical="center" wrapText="1"/>
    </xf>
    <xf numFmtId="0" fontId="26" fillId="0" borderId="5" xfId="0" applyFont="1" applyBorder="1">
      <alignment vertical="center"/>
    </xf>
    <xf numFmtId="0" fontId="18" fillId="0" borderId="0" xfId="4" applyFont="1" applyAlignment="1">
      <alignment horizontal="center" vertical="center"/>
    </xf>
    <xf numFmtId="0" fontId="15" fillId="0" borderId="0" xfId="4" applyFont="1">
      <alignment vertical="center"/>
    </xf>
    <xf numFmtId="0" fontId="0" fillId="0" borderId="2" xfId="4" applyFont="1" applyBorder="1" applyAlignment="1">
      <alignment horizontal="center" vertical="center"/>
    </xf>
    <xf numFmtId="0" fontId="0" fillId="0" borderId="13" xfId="4" applyFont="1" applyBorder="1" applyAlignment="1">
      <alignment horizontal="center" vertical="center"/>
    </xf>
    <xf numFmtId="14" fontId="22" fillId="0" borderId="0" xfId="4" applyNumberFormat="1" applyFont="1" applyAlignment="1">
      <alignment horizontal="center" vertical="center"/>
    </xf>
    <xf numFmtId="0" fontId="5" fillId="0" borderId="0" xfId="5" applyFont="1" applyAlignment="1">
      <alignment horizontal="left" vertical="center"/>
    </xf>
    <xf numFmtId="0" fontId="5" fillId="0" borderId="0" xfId="5" applyFont="1">
      <alignment vertical="center"/>
    </xf>
    <xf numFmtId="0" fontId="0" fillId="0" borderId="0" xfId="0">
      <alignment vertical="center"/>
    </xf>
    <xf numFmtId="0" fontId="14" fillId="0" borderId="0" xfId="5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0" fillId="5" borderId="42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176" fontId="10" fillId="0" borderId="5" xfId="0" applyNumberFormat="1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vertical="center" wrapText="1"/>
    </xf>
    <xf numFmtId="177" fontId="10" fillId="0" borderId="9" xfId="0" applyNumberFormat="1" applyFont="1" applyBorder="1" applyAlignment="1">
      <alignment vertical="center" wrapText="1"/>
    </xf>
    <xf numFmtId="177" fontId="10" fillId="0" borderId="14" xfId="0" applyNumberFormat="1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179" fontId="10" fillId="0" borderId="3" xfId="4" applyNumberFormat="1" applyFont="1" applyBorder="1" applyAlignment="1">
      <alignment horizontal="center" vertical="top" wrapText="1"/>
    </xf>
    <xf numFmtId="179" fontId="10" fillId="0" borderId="4" xfId="4" applyNumberFormat="1" applyFont="1" applyBorder="1" applyAlignment="1">
      <alignment horizontal="center" vertical="top" wrapText="1"/>
    </xf>
    <xf numFmtId="179" fontId="10" fillId="0" borderId="2" xfId="4" applyNumberFormat="1" applyFont="1" applyBorder="1" applyAlignment="1">
      <alignment horizontal="center" vertical="center" wrapText="1"/>
    </xf>
    <xf numFmtId="179" fontId="10" fillId="0" borderId="1" xfId="4" applyNumberFormat="1" applyFont="1" applyBorder="1" applyAlignment="1">
      <alignment horizontal="center" vertical="center" wrapText="1"/>
    </xf>
    <xf numFmtId="179" fontId="10" fillId="0" borderId="3" xfId="4" applyNumberFormat="1" applyFont="1" applyBorder="1" applyAlignment="1">
      <alignment horizontal="center" vertical="center" wrapText="1"/>
    </xf>
    <xf numFmtId="179" fontId="10" fillId="0" borderId="0" xfId="4" applyNumberFormat="1" applyFont="1" applyAlignment="1">
      <alignment horizontal="center" vertical="center" wrapText="1"/>
    </xf>
    <xf numFmtId="179" fontId="10" fillId="0" borderId="13" xfId="4" applyNumberFormat="1" applyFont="1" applyBorder="1" applyAlignment="1">
      <alignment horizontal="center" vertical="center" wrapText="1"/>
    </xf>
    <xf numFmtId="179" fontId="10" fillId="0" borderId="4" xfId="4" applyNumberFormat="1" applyFont="1" applyBorder="1" applyAlignment="1">
      <alignment horizontal="center" vertical="center" wrapText="1"/>
    </xf>
    <xf numFmtId="179" fontId="10" fillId="0" borderId="0" xfId="4" applyNumberFormat="1" applyFont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10" fillId="0" borderId="1" xfId="4" applyFont="1" applyBorder="1" applyAlignment="1">
      <alignment horizontal="left" vertical="center"/>
    </xf>
    <xf numFmtId="0" fontId="7" fillId="0" borderId="10" xfId="4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0" fontId="7" fillId="0" borderId="12" xfId="4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0" fillId="0" borderId="15" xfId="4" applyFont="1" applyBorder="1" applyAlignment="1">
      <alignment horizontal="center" vertical="center" wrapText="1"/>
    </xf>
    <xf numFmtId="0" fontId="10" fillId="0" borderId="14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179" fontId="10" fillId="0" borderId="15" xfId="4" applyNumberFormat="1" applyFont="1" applyBorder="1" applyAlignment="1">
      <alignment horizontal="center" vertical="center" wrapText="1"/>
    </xf>
    <xf numFmtId="179" fontId="10" fillId="0" borderId="14" xfId="4" applyNumberFormat="1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176" fontId="10" fillId="0" borderId="15" xfId="4" applyNumberFormat="1" applyFont="1" applyBorder="1" applyAlignment="1">
      <alignment horizontal="center" vertical="center" wrapText="1"/>
    </xf>
    <xf numFmtId="179" fontId="10" fillId="0" borderId="9" xfId="4" applyNumberFormat="1" applyFont="1" applyBorder="1" applyAlignment="1">
      <alignment horizontal="center" vertical="center" wrapText="1"/>
    </xf>
    <xf numFmtId="179" fontId="10" fillId="0" borderId="6" xfId="4" applyNumberFormat="1" applyFont="1" applyBorder="1" applyAlignment="1">
      <alignment horizontal="center" vertical="top" wrapText="1"/>
    </xf>
    <xf numFmtId="179" fontId="10" fillId="0" borderId="7" xfId="4" applyNumberFormat="1" applyFont="1" applyBorder="1" applyAlignment="1">
      <alignment horizontal="center" vertical="top" wrapText="1"/>
    </xf>
    <xf numFmtId="179" fontId="10" fillId="0" borderId="8" xfId="4" applyNumberFormat="1" applyFont="1" applyBorder="1" applyAlignment="1">
      <alignment horizontal="center" vertical="top" wrapText="1"/>
    </xf>
    <xf numFmtId="0" fontId="18" fillId="0" borderId="0" xfId="7" applyFont="1" applyAlignment="1">
      <alignment horizontal="center" vertical="center"/>
    </xf>
    <xf numFmtId="0" fontId="14" fillId="0" borderId="0" xfId="7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2" xfId="7" applyFont="1" applyBorder="1" applyAlignment="1">
      <alignment horizontal="left" vertical="center" wrapText="1"/>
    </xf>
    <xf numFmtId="0" fontId="10" fillId="0" borderId="1" xfId="7" applyFont="1" applyBorder="1" applyAlignment="1">
      <alignment horizontal="left" vertical="center" wrapText="1"/>
    </xf>
    <xf numFmtId="0" fontId="10" fillId="0" borderId="13" xfId="7" applyFont="1" applyBorder="1" applyAlignment="1">
      <alignment horizontal="left" vertical="center" wrapText="1"/>
    </xf>
    <xf numFmtId="0" fontId="10" fillId="0" borderId="6" xfId="7" applyFont="1" applyBorder="1" applyAlignment="1">
      <alignment horizontal="left" vertical="center" wrapText="1"/>
    </xf>
    <xf numFmtId="0" fontId="10" fillId="0" borderId="7" xfId="7" applyFont="1" applyBorder="1" applyAlignment="1">
      <alignment horizontal="left" vertical="center" wrapText="1"/>
    </xf>
    <xf numFmtId="0" fontId="10" fillId="0" borderId="8" xfId="7" applyFont="1" applyBorder="1" applyAlignment="1">
      <alignment horizontal="left" vertical="center" wrapText="1"/>
    </xf>
    <xf numFmtId="0" fontId="7" fillId="0" borderId="2" xfId="7" applyFont="1" applyBorder="1" applyAlignment="1">
      <alignment horizontal="center" vertical="center" wrapText="1"/>
    </xf>
    <xf numFmtId="0" fontId="7" fillId="0" borderId="13" xfId="7" applyFont="1" applyBorder="1" applyAlignment="1">
      <alignment horizontal="center" vertical="center" wrapText="1"/>
    </xf>
    <xf numFmtId="0" fontId="7" fillId="0" borderId="6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wrapText="1"/>
    </xf>
    <xf numFmtId="0" fontId="7" fillId="0" borderId="5" xfId="7" applyFont="1" applyBorder="1" applyAlignment="1">
      <alignment horizontal="center" vertical="center" wrapText="1"/>
    </xf>
    <xf numFmtId="0" fontId="7" fillId="0" borderId="14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justify" vertical="center" wrapText="1"/>
    </xf>
    <xf numFmtId="0" fontId="7" fillId="0" borderId="11" xfId="7" applyFont="1" applyBorder="1" applyAlignment="1">
      <alignment horizontal="justify" vertical="center" wrapText="1"/>
    </xf>
    <xf numFmtId="0" fontId="7" fillId="0" borderId="12" xfId="7" applyFont="1" applyBorder="1" applyAlignment="1">
      <alignment horizontal="justify" vertical="center" wrapText="1"/>
    </xf>
    <xf numFmtId="0" fontId="7" fillId="0" borderId="14" xfId="7" applyFont="1" applyBorder="1" applyAlignment="1">
      <alignment horizontal="justify" vertical="center" wrapText="1"/>
    </xf>
    <xf numFmtId="0" fontId="7" fillId="0" borderId="23" xfId="6" applyFont="1" applyBorder="1" applyAlignment="1">
      <alignment vertical="center" wrapText="1"/>
    </xf>
    <xf numFmtId="0" fontId="7" fillId="0" borderId="9" xfId="6" applyFont="1" applyBorder="1" applyAlignment="1">
      <alignment vertical="center" wrapText="1"/>
    </xf>
    <xf numFmtId="0" fontId="7" fillId="0" borderId="36" xfId="6" applyFont="1" applyBorder="1" applyAlignment="1">
      <alignment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left" vertical="center" wrapText="1"/>
    </xf>
    <xf numFmtId="0" fontId="10" fillId="0" borderId="56" xfId="0" applyFont="1" applyBorder="1" applyAlignment="1">
      <alignment horizontal="left" vertical="center" wrapText="1"/>
    </xf>
    <xf numFmtId="0" fontId="7" fillId="0" borderId="50" xfId="6" applyFont="1" applyBorder="1" applyAlignment="1">
      <alignment horizontal="right" vertical="center" wrapText="1"/>
    </xf>
    <xf numFmtId="0" fontId="7" fillId="0" borderId="11" xfId="6" applyFont="1" applyBorder="1" applyAlignment="1">
      <alignment horizontal="right" vertical="center" wrapText="1"/>
    </xf>
    <xf numFmtId="0" fontId="7" fillId="0" borderId="1" xfId="6" applyFont="1" applyBorder="1" applyAlignment="1">
      <alignment horizontal="right" vertical="center" wrapText="1"/>
    </xf>
    <xf numFmtId="0" fontId="7" fillId="0" borderId="51" xfId="6" applyFont="1" applyBorder="1" applyAlignment="1">
      <alignment horizontal="right" vertical="center" wrapText="1"/>
    </xf>
    <xf numFmtId="0" fontId="7" fillId="0" borderId="52" xfId="6" quotePrefix="1" applyFont="1" applyBorder="1" applyAlignment="1">
      <alignment horizontal="left" vertical="center" wrapText="1"/>
    </xf>
    <xf numFmtId="0" fontId="7" fillId="0" borderId="12" xfId="6" applyFont="1" applyBorder="1" applyAlignment="1">
      <alignment horizontal="left" vertical="center" wrapText="1"/>
    </xf>
    <xf numFmtId="0" fontId="7" fillId="0" borderId="13" xfId="6" applyFont="1" applyBorder="1" applyAlignment="1">
      <alignment horizontal="left" vertical="center" wrapText="1"/>
    </xf>
    <xf numFmtId="0" fontId="7" fillId="0" borderId="53" xfId="6" applyFont="1" applyBorder="1" applyAlignment="1">
      <alignment horizontal="left" vertical="center" wrapText="1"/>
    </xf>
    <xf numFmtId="0" fontId="7" fillId="0" borderId="2" xfId="6" applyFont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7" fillId="0" borderId="13" xfId="6" applyFont="1" applyBorder="1" applyAlignment="1">
      <alignment horizontal="center" vertical="center" wrapText="1"/>
    </xf>
    <xf numFmtId="0" fontId="7" fillId="0" borderId="3" xfId="6" applyFont="1" applyBorder="1" applyAlignment="1">
      <alignment horizontal="center" vertical="center" wrapText="1"/>
    </xf>
    <xf numFmtId="0" fontId="7" fillId="0" borderId="0" xfId="6" applyFont="1" applyAlignment="1">
      <alignment horizontal="center" vertical="center" wrapText="1"/>
    </xf>
    <xf numFmtId="0" fontId="7" fillId="0" borderId="4" xfId="6" applyFont="1" applyBorder="1" applyAlignment="1">
      <alignment horizontal="center" vertical="center" wrapText="1"/>
    </xf>
    <xf numFmtId="0" fontId="7" fillId="0" borderId="65" xfId="6" applyFont="1" applyBorder="1" applyAlignment="1">
      <alignment horizontal="center" vertical="center" wrapText="1"/>
    </xf>
    <xf numFmtId="0" fontId="7" fillId="0" borderId="62" xfId="6" applyFont="1" applyBorder="1" applyAlignment="1">
      <alignment horizontal="center" vertical="center" wrapText="1"/>
    </xf>
    <xf numFmtId="0" fontId="7" fillId="0" borderId="63" xfId="6" applyFont="1" applyBorder="1" applyAlignment="1">
      <alignment horizontal="center" vertical="center" wrapText="1"/>
    </xf>
    <xf numFmtId="0" fontId="17" fillId="0" borderId="64" xfId="0" applyFont="1" applyBorder="1" applyAlignment="1">
      <alignment horizontal="left" vertical="center" wrapText="1"/>
    </xf>
    <xf numFmtId="0" fontId="3" fillId="0" borderId="55" xfId="0" applyFont="1" applyBorder="1" applyAlignment="1">
      <alignment horizontal="left" vertical="center" wrapText="1"/>
    </xf>
    <xf numFmtId="0" fontId="3" fillId="0" borderId="56" xfId="0" applyFont="1" applyBorder="1" applyAlignment="1">
      <alignment horizontal="left" vertical="center" wrapText="1"/>
    </xf>
    <xf numFmtId="0" fontId="3" fillId="0" borderId="40" xfId="6" quotePrefix="1" applyFont="1" applyBorder="1" applyAlignment="1">
      <alignment horizontal="center" vertical="center"/>
    </xf>
    <xf numFmtId="0" fontId="3" fillId="0" borderId="48" xfId="6" quotePrefix="1" applyFont="1" applyBorder="1" applyAlignment="1">
      <alignment horizontal="center" vertical="center"/>
    </xf>
    <xf numFmtId="0" fontId="3" fillId="0" borderId="49" xfId="6" quotePrefix="1" applyFont="1" applyBorder="1" applyAlignment="1">
      <alignment horizontal="center" vertical="center"/>
    </xf>
    <xf numFmtId="0" fontId="11" fillId="0" borderId="55" xfId="0" applyFont="1" applyBorder="1" applyAlignment="1">
      <alignment horizontal="left" vertical="center" wrapText="1"/>
    </xf>
    <xf numFmtId="0" fontId="11" fillId="0" borderId="56" xfId="0" applyFont="1" applyBorder="1" applyAlignment="1">
      <alignment horizontal="left" vertical="center" wrapText="1"/>
    </xf>
    <xf numFmtId="0" fontId="0" fillId="0" borderId="55" xfId="0" applyBorder="1">
      <alignment vertical="center"/>
    </xf>
    <xf numFmtId="0" fontId="3" fillId="0" borderId="40" xfId="6" applyFont="1" applyBorder="1" applyAlignment="1">
      <alignment horizontal="center" vertical="center"/>
    </xf>
    <xf numFmtId="0" fontId="3" fillId="0" borderId="48" xfId="6" applyFont="1" applyBorder="1" applyAlignment="1">
      <alignment horizontal="center" vertical="center"/>
    </xf>
    <xf numFmtId="0" fontId="3" fillId="0" borderId="49" xfId="6" applyFont="1" applyBorder="1" applyAlignment="1">
      <alignment horizontal="center" vertical="center"/>
    </xf>
    <xf numFmtId="0" fontId="7" fillId="0" borderId="52" xfId="6" applyFont="1" applyBorder="1" applyAlignment="1">
      <alignment horizontal="left" vertical="center" wrapText="1"/>
    </xf>
    <xf numFmtId="0" fontId="17" fillId="0" borderId="54" xfId="0" applyFont="1" applyBorder="1" applyAlignment="1">
      <alignment horizontal="left" vertical="center" wrapText="1"/>
    </xf>
    <xf numFmtId="0" fontId="7" fillId="0" borderId="23" xfId="6" applyFont="1" applyBorder="1" applyAlignment="1">
      <alignment horizontal="center" vertical="center" wrapText="1"/>
    </xf>
    <xf numFmtId="0" fontId="7" fillId="0" borderId="9" xfId="6" applyFont="1" applyBorder="1" applyAlignment="1">
      <alignment horizontal="center" vertical="center" wrapText="1"/>
    </xf>
    <xf numFmtId="0" fontId="7" fillId="0" borderId="36" xfId="6" applyFont="1" applyBorder="1" applyAlignment="1">
      <alignment horizontal="center" vertical="center" wrapText="1"/>
    </xf>
    <xf numFmtId="0" fontId="17" fillId="0" borderId="55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21" fillId="3" borderId="23" xfId="0" applyFont="1" applyFill="1" applyBorder="1" applyAlignment="1">
      <alignment horizontal="left" vertical="center" wrapText="1" shrinkToFit="1"/>
    </xf>
    <xf numFmtId="0" fontId="21" fillId="3" borderId="9" xfId="0" applyFont="1" applyFill="1" applyBorder="1" applyAlignment="1">
      <alignment horizontal="left" vertical="center" wrapText="1" shrinkToFit="1"/>
    </xf>
    <xf numFmtId="0" fontId="21" fillId="3" borderId="36" xfId="0" applyFont="1" applyFill="1" applyBorder="1" applyAlignment="1">
      <alignment horizontal="left" vertical="center" wrapText="1" shrinkToFit="1"/>
    </xf>
    <xf numFmtId="0" fontId="7" fillId="0" borderId="7" xfId="6" applyFont="1" applyBorder="1" applyAlignment="1">
      <alignment horizontal="right" vertical="center" wrapText="1"/>
    </xf>
    <xf numFmtId="49" fontId="7" fillId="0" borderId="8" xfId="6" applyNumberFormat="1" applyFont="1" applyBorder="1" applyAlignment="1">
      <alignment horizontal="left" vertical="center" wrapText="1"/>
    </xf>
    <xf numFmtId="49" fontId="7" fillId="0" borderId="12" xfId="6" applyNumberFormat="1" applyFont="1" applyBorder="1" applyAlignment="1">
      <alignment horizontal="left" vertical="center" wrapText="1"/>
    </xf>
    <xf numFmtId="49" fontId="7" fillId="0" borderId="53" xfId="6" applyNumberFormat="1" applyFont="1" applyBorder="1" applyAlignment="1">
      <alignment horizontal="left" vertical="center" wrapText="1"/>
    </xf>
    <xf numFmtId="0" fontId="18" fillId="0" borderId="0" xfId="6" applyFont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7" fillId="0" borderId="62" xfId="6" applyFont="1" applyBorder="1" applyAlignment="1">
      <alignment horizontal="left" vertical="center"/>
    </xf>
    <xf numFmtId="0" fontId="7" fillId="5" borderId="31" xfId="6" applyFont="1" applyFill="1" applyBorder="1" applyAlignment="1">
      <alignment horizontal="center" vertical="center" wrapText="1"/>
    </xf>
    <xf numFmtId="0" fontId="7" fillId="5" borderId="19" xfId="0" applyFont="1" applyFill="1" applyBorder="1">
      <alignment vertical="center"/>
    </xf>
    <xf numFmtId="49" fontId="7" fillId="0" borderId="52" xfId="6" applyNumberFormat="1" applyFont="1" applyBorder="1" applyAlignment="1">
      <alignment horizontal="left" vertical="center" wrapText="1"/>
    </xf>
    <xf numFmtId="0" fontId="3" fillId="0" borderId="54" xfId="0" applyFont="1" applyBorder="1" applyAlignment="1">
      <alignment vertical="center" wrapText="1"/>
    </xf>
    <xf numFmtId="0" fontId="3" fillId="0" borderId="55" xfId="0" applyFont="1" applyBorder="1" applyAlignment="1">
      <alignment vertical="center" wrapText="1"/>
    </xf>
    <xf numFmtId="0" fontId="7" fillId="0" borderId="10" xfId="6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64" xfId="0" applyFont="1" applyBorder="1" applyAlignment="1">
      <alignment horizontal="left" vertical="center" wrapText="1"/>
    </xf>
    <xf numFmtId="0" fontId="7" fillId="0" borderId="25" xfId="6" applyFont="1" applyBorder="1" applyAlignment="1">
      <alignment horizontal="right" vertical="center" wrapText="1"/>
    </xf>
    <xf numFmtId="0" fontId="7" fillId="0" borderId="3" xfId="6" applyFont="1" applyBorder="1" applyAlignment="1">
      <alignment horizontal="right" vertical="center" wrapText="1"/>
    </xf>
    <xf numFmtId="0" fontId="7" fillId="0" borderId="6" xfId="6" applyFont="1" applyBorder="1" applyAlignment="1">
      <alignment horizontal="right" vertical="center" wrapText="1"/>
    </xf>
    <xf numFmtId="49" fontId="7" fillId="0" borderId="59" xfId="6" quotePrefix="1" applyNumberFormat="1" applyFont="1" applyBorder="1" applyAlignment="1">
      <alignment horizontal="left" vertical="center" wrapText="1"/>
    </xf>
    <xf numFmtId="49" fontId="7" fillId="0" borderId="4" xfId="6" applyNumberFormat="1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9" fillId="0" borderId="57" xfId="6" applyFont="1" applyBorder="1" applyAlignment="1">
      <alignment horizontal="center" vertical="center"/>
    </xf>
    <xf numFmtId="0" fontId="9" fillId="0" borderId="58" xfId="6" applyFont="1" applyBorder="1" applyAlignment="1">
      <alignment horizontal="center" vertical="center"/>
    </xf>
    <xf numFmtId="0" fontId="9" fillId="0" borderId="59" xfId="6" applyFont="1" applyBorder="1" applyAlignment="1">
      <alignment horizontal="center" vertical="center"/>
    </xf>
    <xf numFmtId="0" fontId="9" fillId="0" borderId="60" xfId="6" applyFont="1" applyBorder="1" applyAlignment="1">
      <alignment horizontal="center" vertical="center"/>
    </xf>
    <xf numFmtId="0" fontId="9" fillId="0" borderId="0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61" xfId="6" applyFont="1" applyBorder="1" applyAlignment="1">
      <alignment horizontal="center" vertical="center"/>
    </xf>
    <xf numFmtId="0" fontId="9" fillId="0" borderId="62" xfId="6" applyFont="1" applyBorder="1" applyAlignment="1">
      <alignment horizontal="center" vertical="center"/>
    </xf>
    <xf numFmtId="0" fontId="9" fillId="0" borderId="63" xfId="6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 wrapText="1"/>
    </xf>
    <xf numFmtId="0" fontId="17" fillId="0" borderId="54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17" fontId="3" fillId="0" borderId="40" xfId="6" quotePrefix="1" applyNumberFormat="1" applyFont="1" applyBorder="1" applyAlignment="1">
      <alignment horizontal="center" vertical="center"/>
    </xf>
    <xf numFmtId="17" fontId="3" fillId="0" borderId="48" xfId="6" applyNumberFormat="1" applyFont="1" applyBorder="1" applyAlignment="1">
      <alignment horizontal="center" vertical="center"/>
    </xf>
    <xf numFmtId="17" fontId="3" fillId="0" borderId="49" xfId="6" applyNumberFormat="1" applyFont="1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56" xfId="0" applyBorder="1">
      <alignment vertical="center"/>
    </xf>
    <xf numFmtId="0" fontId="0" fillId="0" borderId="55" xfId="0" applyBorder="1" applyAlignment="1"/>
    <xf numFmtId="0" fontId="7" fillId="0" borderId="14" xfId="6" applyFont="1" applyBorder="1" applyAlignment="1">
      <alignment horizontal="center" vertical="center" wrapText="1"/>
    </xf>
    <xf numFmtId="0" fontId="7" fillId="0" borderId="11" xfId="7" applyFont="1" applyBorder="1" applyAlignment="1">
      <alignment horizontal="center" vertical="center" wrapText="1"/>
    </xf>
    <xf numFmtId="0" fontId="7" fillId="0" borderId="6" xfId="7" applyFont="1" applyBorder="1" applyAlignment="1">
      <alignment horizontal="left" vertical="center" wrapText="1"/>
    </xf>
    <xf numFmtId="0" fontId="7" fillId="0" borderId="7" xfId="7" applyFont="1" applyBorder="1" applyAlignment="1">
      <alignment horizontal="left" vertical="center" wrapText="1"/>
    </xf>
    <xf numFmtId="0" fontId="7" fillId="0" borderId="8" xfId="7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shrinkToFit="1"/>
    </xf>
    <xf numFmtId="0" fontId="7" fillId="0" borderId="11" xfId="7" applyFont="1" applyBorder="1" applyAlignment="1">
      <alignment horizontal="center" vertical="center" shrinkToFit="1"/>
    </xf>
    <xf numFmtId="0" fontId="7" fillId="0" borderId="10" xfId="7" quotePrefix="1" applyFont="1" applyBorder="1" applyAlignment="1">
      <alignment horizontal="center" vertical="center"/>
    </xf>
    <xf numFmtId="0" fontId="7" fillId="0" borderId="11" xfId="7" applyFont="1" applyBorder="1" applyAlignment="1">
      <alignment horizontal="center" vertical="center"/>
    </xf>
    <xf numFmtId="17" fontId="7" fillId="0" borderId="10" xfId="0" quotePrefix="1" applyNumberFormat="1" applyFont="1" applyBorder="1" applyAlignment="1">
      <alignment horizontal="center" vertical="center"/>
    </xf>
    <xf numFmtId="188" fontId="7" fillId="0" borderId="10" xfId="0" quotePrefix="1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0" fontId="7" fillId="0" borderId="7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58" fontId="7" fillId="0" borderId="10" xfId="0" quotePrefix="1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84" fontId="7" fillId="0" borderId="10" xfId="0" quotePrefix="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10" xfId="7" applyFont="1" applyBorder="1" applyAlignment="1">
      <alignment horizontal="center" vertical="center" wrapText="1"/>
    </xf>
    <xf numFmtId="0" fontId="17" fillId="0" borderId="11" xfId="7" applyFont="1" applyBorder="1" applyAlignment="1">
      <alignment horizontal="center" vertical="center" wrapText="1"/>
    </xf>
    <xf numFmtId="0" fontId="17" fillId="0" borderId="12" xfId="7" applyFont="1" applyBorder="1" applyAlignment="1">
      <alignment horizontal="center" vertical="center" wrapText="1"/>
    </xf>
    <xf numFmtId="0" fontId="25" fillId="0" borderId="6" xfId="7" applyFont="1" applyBorder="1" applyAlignment="1">
      <alignment horizontal="center" vertical="center" wrapText="1"/>
    </xf>
    <xf numFmtId="0" fontId="25" fillId="0" borderId="7" xfId="7" applyFont="1" applyBorder="1" applyAlignment="1">
      <alignment horizontal="center" vertical="center" wrapText="1"/>
    </xf>
    <xf numFmtId="0" fontId="25" fillId="0" borderId="8" xfId="7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 shrinkToFit="1"/>
    </xf>
    <xf numFmtId="0" fontId="0" fillId="0" borderId="11" xfId="0" applyBorder="1">
      <alignment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7" fillId="0" borderId="54" xfId="6" applyFont="1" applyBorder="1" applyAlignment="1">
      <alignment horizontal="center" vertical="center" wrapText="1"/>
    </xf>
    <xf numFmtId="0" fontId="7" fillId="0" borderId="55" xfId="6" applyFont="1" applyBorder="1" applyAlignment="1">
      <alignment horizontal="center" vertical="center" wrapText="1"/>
    </xf>
    <xf numFmtId="0" fontId="7" fillId="0" borderId="18" xfId="6" applyFont="1" applyBorder="1" applyAlignment="1">
      <alignment horizontal="center" vertical="center" wrapText="1"/>
    </xf>
    <xf numFmtId="0" fontId="3" fillId="0" borderId="70" xfId="6" applyFont="1" applyBorder="1" applyAlignment="1">
      <alignment horizontal="center" vertical="center"/>
    </xf>
    <xf numFmtId="49" fontId="7" fillId="0" borderId="52" xfId="6" quotePrefix="1" applyNumberFormat="1" applyFont="1" applyBorder="1" applyAlignment="1">
      <alignment horizontal="left" vertical="center" wrapText="1"/>
    </xf>
    <xf numFmtId="0" fontId="24" fillId="0" borderId="0" xfId="6" applyFont="1" applyAlignment="1">
      <alignment horizontal="center" vertical="center"/>
    </xf>
    <xf numFmtId="0" fontId="7" fillId="5" borderId="54" xfId="0" applyFont="1" applyFill="1" applyBorder="1">
      <alignment vertical="center"/>
    </xf>
    <xf numFmtId="0" fontId="7" fillId="5" borderId="55" xfId="0" applyFont="1" applyFill="1" applyBorder="1">
      <alignment vertical="center"/>
    </xf>
    <xf numFmtId="0" fontId="7" fillId="5" borderId="56" xfId="0" applyFont="1" applyFill="1" applyBorder="1">
      <alignment vertical="center"/>
    </xf>
    <xf numFmtId="0" fontId="7" fillId="5" borderId="57" xfId="6" applyFont="1" applyFill="1" applyBorder="1" applyAlignment="1">
      <alignment horizontal="center" vertical="center" wrapText="1"/>
    </xf>
    <xf numFmtId="0" fontId="7" fillId="5" borderId="58" xfId="6" applyFont="1" applyFill="1" applyBorder="1" applyAlignment="1">
      <alignment horizontal="center" vertical="center" wrapText="1"/>
    </xf>
    <xf numFmtId="0" fontId="7" fillId="5" borderId="59" xfId="6" applyFont="1" applyFill="1" applyBorder="1" applyAlignment="1">
      <alignment horizontal="center" vertical="center" wrapText="1"/>
    </xf>
    <xf numFmtId="0" fontId="7" fillId="5" borderId="60" xfId="6" applyFont="1" applyFill="1" applyBorder="1" applyAlignment="1">
      <alignment horizontal="center" vertical="center" wrapText="1"/>
    </xf>
    <xf numFmtId="0" fontId="7" fillId="5" borderId="0" xfId="6" applyFont="1" applyFill="1" applyAlignment="1">
      <alignment horizontal="center" vertical="center" wrapText="1"/>
    </xf>
    <xf numFmtId="0" fontId="7" fillId="5" borderId="4" xfId="6" applyFont="1" applyFill="1" applyBorder="1" applyAlignment="1">
      <alignment horizontal="center" vertical="center" wrapText="1"/>
    </xf>
    <xf numFmtId="0" fontId="7" fillId="5" borderId="61" xfId="6" applyFont="1" applyFill="1" applyBorder="1" applyAlignment="1">
      <alignment horizontal="center" vertical="center" wrapText="1"/>
    </xf>
    <xf numFmtId="0" fontId="7" fillId="5" borderId="62" xfId="6" applyFont="1" applyFill="1" applyBorder="1" applyAlignment="1">
      <alignment horizontal="center" vertical="center" wrapText="1"/>
    </xf>
    <xf numFmtId="0" fontId="7" fillId="5" borderId="63" xfId="6" applyFont="1" applyFill="1" applyBorder="1" applyAlignment="1">
      <alignment horizontal="center" vertical="center" wrapText="1"/>
    </xf>
    <xf numFmtId="0" fontId="13" fillId="5" borderId="71" xfId="6" applyFont="1" applyFill="1" applyBorder="1" applyAlignment="1">
      <alignment horizontal="center" vertical="center" wrapText="1"/>
    </xf>
    <xf numFmtId="0" fontId="13" fillId="5" borderId="19" xfId="6" applyFont="1" applyFill="1" applyBorder="1" applyAlignment="1">
      <alignment horizontal="center" vertical="center" wrapText="1"/>
    </xf>
    <xf numFmtId="0" fontId="7" fillId="0" borderId="2" xfId="6" applyFont="1" applyBorder="1" applyAlignment="1">
      <alignment horizontal="right" vertical="center" wrapText="1"/>
    </xf>
    <xf numFmtId="0" fontId="7" fillId="0" borderId="5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64" xfId="6" applyFont="1" applyBorder="1" applyAlignment="1">
      <alignment horizontal="center" vertical="center" wrapText="1"/>
    </xf>
    <xf numFmtId="0" fontId="7" fillId="0" borderId="32" xfId="6" applyFont="1" applyBorder="1" applyAlignment="1">
      <alignment horizontal="right" vertical="center" wrapText="1"/>
    </xf>
    <xf numFmtId="0" fontId="7" fillId="0" borderId="48" xfId="6" applyFont="1" applyBorder="1" applyAlignment="1">
      <alignment horizontal="right" vertical="center" wrapText="1"/>
    </xf>
    <xf numFmtId="0" fontId="7" fillId="0" borderId="49" xfId="6" applyFont="1" applyBorder="1" applyAlignment="1">
      <alignment horizontal="right" vertical="center" wrapText="1"/>
    </xf>
    <xf numFmtId="0" fontId="7" fillId="0" borderId="56" xfId="0" applyFont="1" applyBorder="1" applyAlignment="1">
      <alignment horizontal="center" vertical="center"/>
    </xf>
    <xf numFmtId="0" fontId="7" fillId="0" borderId="5" xfId="7" applyFont="1" applyBorder="1" applyAlignment="1">
      <alignment horizontal="justify" vertical="center" wrapText="1"/>
    </xf>
    <xf numFmtId="0" fontId="7" fillId="0" borderId="2" xfId="7" applyFont="1" applyBorder="1" applyAlignment="1">
      <alignment horizontal="left" vertical="center" wrapText="1"/>
    </xf>
    <xf numFmtId="0" fontId="7" fillId="0" borderId="1" xfId="7" applyFont="1" applyBorder="1" applyAlignment="1">
      <alignment horizontal="left" vertical="center" wrapText="1"/>
    </xf>
    <xf numFmtId="0" fontId="7" fillId="0" borderId="13" xfId="7" applyFont="1" applyBorder="1" applyAlignment="1">
      <alignment horizontal="left" vertical="center" wrapText="1"/>
    </xf>
    <xf numFmtId="0" fontId="7" fillId="0" borderId="10" xfId="7" applyFont="1" applyBorder="1" applyAlignment="1">
      <alignment horizontal="left" vertical="center" wrapText="1"/>
    </xf>
    <xf numFmtId="0" fontId="7" fillId="0" borderId="11" xfId="7" applyFont="1" applyBorder="1" applyAlignment="1">
      <alignment horizontal="left" vertical="center" wrapText="1"/>
    </xf>
    <xf numFmtId="0" fontId="7" fillId="0" borderId="12" xfId="7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7" fillId="5" borderId="49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left" vertical="center"/>
    </xf>
    <xf numFmtId="0" fontId="7" fillId="0" borderId="29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72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</cellXfs>
  <cellStyles count="8">
    <cellStyle name="백분율" xfId="1" builtinId="5"/>
    <cellStyle name="쉼표 [0]" xfId="2" builtinId="6"/>
    <cellStyle name="쉼표 [0] 2" xfId="3"/>
    <cellStyle name="표준" xfId="0" builtinId="0"/>
    <cellStyle name="표준 3" xfId="4"/>
    <cellStyle name="표준_개시결정목록" xfId="5"/>
    <cellStyle name="표준_이강안-목록" xfId="6"/>
    <cellStyle name="표준_이호신-목록" xfId="7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8</xdr:row>
      <xdr:rowOff>0</xdr:rowOff>
    </xdr:from>
    <xdr:to>
      <xdr:col>12</xdr:col>
      <xdr:colOff>371475</xdr:colOff>
      <xdr:row>11</xdr:row>
      <xdr:rowOff>209550</xdr:rowOff>
    </xdr:to>
    <xdr:pic>
      <xdr:nvPicPr>
        <xdr:cNvPr id="12313" name="그림 1">
          <a:extLst>
            <a:ext uri="{FF2B5EF4-FFF2-40B4-BE49-F238E27FC236}">
              <a16:creationId xmlns:a16="http://schemas.microsoft.com/office/drawing/2014/main" id="{00000000-0008-0000-0A00-0000193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1630025" y="8734425"/>
          <a:ext cx="2981325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209550</xdr:colOff>
      <xdr:row>16</xdr:row>
      <xdr:rowOff>133350</xdr:rowOff>
    </xdr:from>
    <xdr:to>
      <xdr:col>12</xdr:col>
      <xdr:colOff>381000</xdr:colOff>
      <xdr:row>20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11630025" y="9782175"/>
          <a:ext cx="299085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5</xdr:row>
      <xdr:rowOff>238125</xdr:rowOff>
    </xdr:from>
    <xdr:to>
      <xdr:col>15</xdr:col>
      <xdr:colOff>152400</xdr:colOff>
      <xdr:row>8</xdr:row>
      <xdr:rowOff>247649</xdr:rowOff>
    </xdr:to>
    <xdr:pic>
      <xdr:nvPicPr>
        <xdr:cNvPr id="8217" name="그림 1">
          <a:extLst>
            <a:ext uri="{FF2B5EF4-FFF2-40B4-BE49-F238E27FC236}">
              <a16:creationId xmlns:a16="http://schemas.microsoft.com/office/drawing/2014/main" id="{00000000-0008-0000-0B00-0000192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353550" y="6648450"/>
          <a:ext cx="2914650" cy="895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285750</xdr:colOff>
      <xdr:row>23</xdr:row>
      <xdr:rowOff>238125</xdr:rowOff>
    </xdr:from>
    <xdr:to>
      <xdr:col>15</xdr:col>
      <xdr:colOff>152400</xdr:colOff>
      <xdr:row>26</xdr:row>
      <xdr:rowOff>247649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9353550" y="11372851"/>
          <a:ext cx="291465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2103\Desktop\scan\https:\d.docs.live.net\3a89e293b1dcad8b\&#48148;&#53461;%20&#54868;&#47732;\&#48120;&#47000;&#47196;\&#46020;&#49328;\&#51452;&#49885;&#54924;&#49324;%20&#45796;&#51060;&#50724;&#51652;\&#52292;&#44428;&#51088;&#47785;&#47197;\&#52292;&#44428;&#51088;%20&#47785;&#47197;%200603(&#49688;&#51221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2103\Desktop\scan\&#53685;&#54633;%20&#47928;&#49436;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목록작성기준"/>
      <sheetName val="목록총괄표"/>
      <sheetName val="담보권총괄표"/>
      <sheetName val="담보배분표"/>
      <sheetName val="담보권자의 목록"/>
      <sheetName val="회생채권총괄"/>
      <sheetName val="회생채권자요약"/>
      <sheetName val="회생채권개별"/>
      <sheetName val="조세총괄"/>
      <sheetName val="조세목록"/>
      <sheetName val="주주총괄"/>
      <sheetName val="주주목록"/>
    </sheetNames>
    <sheetDataSet>
      <sheetData sheetId="0">
        <row r="5">
          <cell r="O5" t="str">
            <v>주식회사 다이오진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">
          <cell r="J1" t="str">
            <v>채권액
(개시전 이자)</v>
          </cell>
        </row>
        <row r="2">
          <cell r="J2" t="str">
            <v/>
          </cell>
        </row>
        <row r="7">
          <cell r="J7">
            <v>0</v>
          </cell>
        </row>
        <row r="12">
          <cell r="J12">
            <v>0</v>
          </cell>
        </row>
        <row r="41">
          <cell r="J41" t="str">
            <v/>
          </cell>
        </row>
        <row r="44">
          <cell r="J44">
            <v>0</v>
          </cell>
        </row>
        <row r="46">
          <cell r="J46">
            <v>0</v>
          </cell>
        </row>
        <row r="47">
          <cell r="J47">
            <v>0</v>
          </cell>
        </row>
        <row r="48">
          <cell r="J48">
            <v>0</v>
          </cell>
        </row>
        <row r="49">
          <cell r="J49">
            <v>0</v>
          </cell>
        </row>
        <row r="50">
          <cell r="J50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생채권총괄 (3)"/>
      <sheetName val="Sheet1"/>
      <sheetName val="회생채권총괄 (2)"/>
      <sheetName val="회생채권총괄"/>
    </sheetNames>
    <sheetDataSet>
      <sheetData sheetId="0">
        <row r="75">
          <cell r="G75">
            <v>87055000</v>
          </cell>
        </row>
        <row r="80">
          <cell r="G80">
            <v>76165017</v>
          </cell>
        </row>
        <row r="85">
          <cell r="G85">
            <v>75644544</v>
          </cell>
        </row>
        <row r="90">
          <cell r="G90">
            <v>40628495</v>
          </cell>
        </row>
        <row r="95">
          <cell r="G95">
            <v>33840000</v>
          </cell>
        </row>
        <row r="100">
          <cell r="G100">
            <v>28540000</v>
          </cell>
        </row>
        <row r="105">
          <cell r="G105">
            <v>26400000</v>
          </cell>
        </row>
        <row r="110">
          <cell r="G110">
            <v>25473600</v>
          </cell>
        </row>
        <row r="115">
          <cell r="G115">
            <v>20000000</v>
          </cell>
        </row>
        <row r="120">
          <cell r="G120">
            <v>18780620</v>
          </cell>
        </row>
        <row r="125">
          <cell r="G125">
            <v>16280000</v>
          </cell>
        </row>
        <row r="130">
          <cell r="G130">
            <v>15000000</v>
          </cell>
        </row>
        <row r="135">
          <cell r="G135">
            <v>14033333</v>
          </cell>
        </row>
        <row r="140">
          <cell r="G140">
            <v>11000000</v>
          </cell>
        </row>
        <row r="145">
          <cell r="G145">
            <v>7920000</v>
          </cell>
        </row>
        <row r="150">
          <cell r="G150">
            <v>7903697</v>
          </cell>
        </row>
        <row r="155">
          <cell r="G155">
            <v>6710000</v>
          </cell>
        </row>
        <row r="160">
          <cell r="G160">
            <v>6107228</v>
          </cell>
        </row>
        <row r="165">
          <cell r="G165">
            <v>5607360</v>
          </cell>
        </row>
        <row r="170">
          <cell r="G170">
            <v>5223900</v>
          </cell>
        </row>
        <row r="175">
          <cell r="G175">
            <v>5150000</v>
          </cell>
        </row>
        <row r="180">
          <cell r="G180">
            <v>5088600</v>
          </cell>
        </row>
        <row r="185">
          <cell r="G185">
            <v>4968000</v>
          </cell>
        </row>
        <row r="190">
          <cell r="G190">
            <v>4905900</v>
          </cell>
        </row>
        <row r="195">
          <cell r="G195">
            <v>4660574</v>
          </cell>
        </row>
        <row r="200">
          <cell r="G200">
            <v>4335000</v>
          </cell>
        </row>
        <row r="205">
          <cell r="G205">
            <v>4000000</v>
          </cell>
        </row>
        <row r="210">
          <cell r="G210">
            <v>4000000</v>
          </cell>
        </row>
        <row r="215">
          <cell r="G215">
            <v>3480000</v>
          </cell>
        </row>
        <row r="220">
          <cell r="G220">
            <v>3288610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spDef>
    <a:lnDef>
      <a:spPr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w="med" len="med"/>
          <a:tailEnd w="med" len="med"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P11"/>
  <sheetViews>
    <sheetView tabSelected="1" view="pageBreakPreview" zoomScaleNormal="100" zoomScaleSheetLayoutView="100" workbookViewId="0">
      <selection activeCell="O9" sqref="O9"/>
    </sheetView>
  </sheetViews>
  <sheetFormatPr defaultColWidth="9" defaultRowHeight="13.5"/>
  <cols>
    <col min="1" max="1" width="4.109375" style="130" customWidth="1"/>
    <col min="2" max="2" width="8.33203125" style="130" customWidth="1"/>
    <col min="3" max="3" width="6.77734375" style="130" customWidth="1"/>
    <col min="4" max="4" width="5.109375" style="130" customWidth="1"/>
    <col min="5" max="5" width="8" style="130" customWidth="1"/>
    <col min="6" max="6" width="9.33203125" style="130" customWidth="1"/>
    <col min="7" max="7" width="5.33203125" style="130" customWidth="1"/>
    <col min="8" max="8" width="20.5546875" style="130" customWidth="1"/>
    <col min="9" max="9" width="17.77734375" style="130" customWidth="1"/>
    <col min="10" max="11" width="9" style="130"/>
    <col min="12" max="12" width="7.5546875" style="130" customWidth="1"/>
    <col min="13" max="13" width="9" style="130"/>
    <col min="14" max="14" width="12.33203125" style="130" bestFit="1" customWidth="1"/>
    <col min="15" max="15" width="18.77734375" style="130" bestFit="1" customWidth="1"/>
    <col min="16" max="16384" width="9" style="130"/>
  </cols>
  <sheetData>
    <row r="1" spans="1:16" ht="24.95" customHeight="1">
      <c r="A1" s="334" t="s">
        <v>453</v>
      </c>
      <c r="B1" s="334"/>
      <c r="C1" s="334"/>
      <c r="D1" s="334"/>
      <c r="E1" s="334"/>
      <c r="F1" s="334"/>
    </row>
    <row r="2" spans="1:16" ht="24.95" customHeight="1">
      <c r="A2" s="334" t="str">
        <f>"사건번호: "&amp;O3&amp;"  "&amp;O4</f>
        <v>사건번호: 20○○회합100○○○  회생</v>
      </c>
      <c r="B2" s="334"/>
      <c r="C2" s="334"/>
      <c r="D2" s="334"/>
      <c r="E2" s="334"/>
      <c r="F2" s="334"/>
      <c r="G2" s="334"/>
      <c r="H2" s="131"/>
      <c r="N2" s="335" t="s">
        <v>189</v>
      </c>
      <c r="O2" s="336"/>
    </row>
    <row r="3" spans="1:16" ht="39.950000000000003" customHeight="1">
      <c r="A3" s="129"/>
      <c r="B3" s="129"/>
      <c r="C3" s="129"/>
      <c r="D3" s="129"/>
      <c r="E3" s="129"/>
      <c r="F3" s="129"/>
      <c r="G3" s="129"/>
      <c r="H3" s="131"/>
      <c r="N3" s="140" t="s">
        <v>16</v>
      </c>
      <c r="O3" s="328" t="s">
        <v>449</v>
      </c>
    </row>
    <row r="4" spans="1:16" ht="39.950000000000003" customHeight="1">
      <c r="A4" s="333" t="str">
        <f>IF($O$7="개인","회생담보권, 회생채권, 벌금·조세채권의 목록","회생담보권, 회생채권, 벌금·조세채권자, 주식·지분권자의 목록")</f>
        <v>회생담보권, 회생채권, 벌금·조세채권자, 주식·지분권자의 목록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N4" s="139" t="s">
        <v>276</v>
      </c>
      <c r="O4" s="138" t="str">
        <f>IF(MID(O3,5,1)="간","간이회생","회생")</f>
        <v>회생</v>
      </c>
      <c r="P4" s="130" t="s">
        <v>170</v>
      </c>
    </row>
    <row r="5" spans="1:16" ht="39.950000000000003" customHeight="1">
      <c r="A5" s="333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N5" s="132" t="s">
        <v>261</v>
      </c>
      <c r="O5" s="329" t="s">
        <v>450</v>
      </c>
    </row>
    <row r="6" spans="1:16" ht="39.950000000000003" customHeight="1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N6" s="132" t="s">
        <v>150</v>
      </c>
      <c r="O6" s="330" t="s">
        <v>452</v>
      </c>
      <c r="P6" s="130" t="s">
        <v>365</v>
      </c>
    </row>
    <row r="7" spans="1:16" ht="39.950000000000003" customHeight="1">
      <c r="A7" s="337" t="s">
        <v>451</v>
      </c>
      <c r="B7" s="337"/>
      <c r="C7" s="337"/>
      <c r="D7" s="337"/>
      <c r="E7" s="337"/>
      <c r="F7" s="337"/>
      <c r="G7" s="337"/>
      <c r="H7" s="337"/>
      <c r="I7" s="337"/>
      <c r="J7" s="337"/>
      <c r="K7" s="337"/>
      <c r="L7" s="337"/>
      <c r="N7" s="132" t="s">
        <v>201</v>
      </c>
      <c r="O7" s="133" t="s">
        <v>22</v>
      </c>
    </row>
    <row r="8" spans="1:16" ht="39.950000000000003" customHeight="1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</row>
    <row r="9" spans="1:16" ht="39.950000000000003" customHeight="1">
      <c r="E9" s="135"/>
      <c r="F9" s="135"/>
      <c r="G9" s="135"/>
      <c r="H9" s="135"/>
      <c r="I9" s="135"/>
      <c r="J9" s="135"/>
    </row>
    <row r="10" spans="1:16" ht="35.1" customHeight="1">
      <c r="A10" s="333" t="str">
        <f>IF($O$7="개인","채무자(법률상관리인)  ","채무자  ")&amp;O5</f>
        <v>채무자  ○○○○ 주식회사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</row>
    <row r="11" spans="1:16" ht="35.1" customHeight="1">
      <c r="A11" s="333" t="str">
        <f>IF($O$7="개인","","법률상관리인 "&amp;O6)</f>
        <v>법률상관리인 ○○○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</row>
  </sheetData>
  <mergeCells count="8">
    <mergeCell ref="A10:L10"/>
    <mergeCell ref="A11:L11"/>
    <mergeCell ref="A1:F1"/>
    <mergeCell ref="A2:G2"/>
    <mergeCell ref="N2:O2"/>
    <mergeCell ref="A4:L4"/>
    <mergeCell ref="A5:L5"/>
    <mergeCell ref="A7:L7"/>
  </mergeCells>
  <phoneticPr fontId="27" type="noConversion"/>
  <dataValidations count="1">
    <dataValidation type="list" allowBlank="1" showInputMessage="1" showErrorMessage="1" sqref="O7">
      <formula1>"개인, 법인"</formula1>
    </dataValidation>
  </dataValidations>
  <printOptions horizontalCentered="1"/>
  <pageMargins left="0.78694444894790649" right="0.78694444894790649" top="0.98416668176651001" bottom="0.7086111307144165" header="0.51138889789581299" footer="0.511388897895812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I18"/>
  <sheetViews>
    <sheetView view="pageBreakPreview" zoomScaleNormal="100" zoomScaleSheetLayoutView="100" workbookViewId="0">
      <selection activeCell="D20" sqref="D20"/>
    </sheetView>
  </sheetViews>
  <sheetFormatPr defaultColWidth="8.88671875" defaultRowHeight="22.5" customHeight="1"/>
  <cols>
    <col min="1" max="1" width="5.109375" style="10" customWidth="1"/>
    <col min="2" max="2" width="15.77734375" style="2" customWidth="1"/>
    <col min="3" max="3" width="13.5546875" style="2" customWidth="1"/>
    <col min="4" max="4" width="22.5546875" style="2" customWidth="1"/>
    <col min="5" max="5" width="17.5546875" style="2" customWidth="1"/>
    <col min="6" max="6" width="25.88671875" style="8" customWidth="1"/>
    <col min="7" max="7" width="6.6640625" style="137" customWidth="1"/>
    <col min="8" max="16384" width="8.88671875" style="2"/>
  </cols>
  <sheetData>
    <row r="1" spans="1:9" ht="39" customHeight="1">
      <c r="A1" s="341" t="s">
        <v>315</v>
      </c>
      <c r="B1" s="341"/>
      <c r="C1" s="341"/>
      <c r="D1" s="341"/>
      <c r="E1" s="341"/>
      <c r="F1" s="341"/>
      <c r="G1" s="341"/>
    </row>
    <row r="2" spans="1:9" ht="24.75" customHeight="1">
      <c r="A2" s="11"/>
      <c r="B2" s="12"/>
      <c r="C2" s="12"/>
      <c r="D2" s="12"/>
      <c r="E2" s="12"/>
      <c r="F2" s="13"/>
      <c r="G2" s="12"/>
    </row>
    <row r="3" spans="1:9" ht="30" customHeight="1">
      <c r="A3" s="11" t="s">
        <v>239</v>
      </c>
      <c r="B3" s="207" t="s">
        <v>364</v>
      </c>
      <c r="C3" s="12"/>
      <c r="D3" s="223" t="s">
        <v>56</v>
      </c>
      <c r="E3" s="12"/>
      <c r="F3" s="13"/>
      <c r="G3" s="136">
        <v>1</v>
      </c>
    </row>
    <row r="4" spans="1:9" s="3" customFormat="1" ht="30" customHeight="1">
      <c r="A4" s="11" t="s">
        <v>234</v>
      </c>
      <c r="B4" s="16" t="str">
        <f>IF(표지!$O$7="개인","회생담보권자, 회생채권자, 벌금·조세채권자의 목록 총괄표","회생담보권자, 회생채권자, 벌금·조세채권자, 주주·지분권자의 목록 총괄표")</f>
        <v>회생담보권자, 회생채권자, 벌금·조세채권자, 주주·지분권자의 목록 총괄표</v>
      </c>
      <c r="C4" s="14"/>
      <c r="D4" s="14"/>
      <c r="E4" s="14"/>
      <c r="F4" s="29" t="s">
        <v>294</v>
      </c>
      <c r="G4" s="136">
        <v>2</v>
      </c>
      <c r="H4" s="2"/>
      <c r="I4" s="2"/>
    </row>
    <row r="5" spans="1:9" s="3" customFormat="1" ht="30" customHeight="1">
      <c r="A5" s="11" t="s">
        <v>280</v>
      </c>
      <c r="B5" s="338" t="s">
        <v>46</v>
      </c>
      <c r="C5" s="338"/>
      <c r="D5" s="142" t="s">
        <v>56</v>
      </c>
      <c r="E5" s="29"/>
      <c r="F5" s="29"/>
      <c r="G5" s="136">
        <v>4</v>
      </c>
      <c r="H5" s="2"/>
      <c r="I5" s="2"/>
    </row>
    <row r="6" spans="1:9" s="3" customFormat="1" ht="30" customHeight="1">
      <c r="A6" s="224" t="s">
        <v>288</v>
      </c>
      <c r="B6" s="16" t="s">
        <v>203</v>
      </c>
      <c r="C6" s="14"/>
      <c r="D6" s="142" t="s">
        <v>56</v>
      </c>
      <c r="E6" s="29"/>
      <c r="F6" s="29"/>
      <c r="G6" s="136">
        <v>6</v>
      </c>
      <c r="H6" s="2"/>
      <c r="I6" s="2"/>
    </row>
    <row r="7" spans="1:9" s="3" customFormat="1" ht="30" customHeight="1">
      <c r="A7" s="11" t="s">
        <v>268</v>
      </c>
      <c r="B7" s="16" t="s">
        <v>318</v>
      </c>
      <c r="C7" s="14"/>
      <c r="D7" s="142" t="s">
        <v>56</v>
      </c>
      <c r="E7" s="29"/>
      <c r="F7" s="29"/>
      <c r="G7" s="136">
        <v>8</v>
      </c>
      <c r="H7" s="2"/>
      <c r="I7" s="2"/>
    </row>
    <row r="8" spans="1:9" s="3" customFormat="1" ht="30" customHeight="1">
      <c r="A8" s="11" t="s">
        <v>267</v>
      </c>
      <c r="B8" s="16" t="s">
        <v>35</v>
      </c>
      <c r="C8" s="14"/>
      <c r="D8" s="142" t="s">
        <v>56</v>
      </c>
      <c r="E8" s="29"/>
      <c r="F8" s="29"/>
      <c r="G8" s="136">
        <v>10</v>
      </c>
      <c r="H8" s="2"/>
      <c r="I8" s="2"/>
    </row>
    <row r="9" spans="1:9" s="3" customFormat="1" ht="30" customHeight="1">
      <c r="A9" s="11" t="s">
        <v>277</v>
      </c>
      <c r="B9" s="339" t="s">
        <v>314</v>
      </c>
      <c r="C9" s="340"/>
      <c r="D9" s="142" t="s">
        <v>56</v>
      </c>
      <c r="E9" s="29"/>
      <c r="F9" s="29"/>
      <c r="G9" s="136">
        <v>30</v>
      </c>
      <c r="H9" s="2"/>
      <c r="I9" s="2"/>
    </row>
    <row r="10" spans="1:9" ht="30" customHeight="1">
      <c r="A10" s="11" t="s">
        <v>233</v>
      </c>
      <c r="B10" s="16" t="s">
        <v>297</v>
      </c>
      <c r="C10" s="15"/>
      <c r="D10" s="142" t="s">
        <v>56</v>
      </c>
      <c r="E10" s="29"/>
      <c r="F10" s="29"/>
      <c r="G10" s="136">
        <v>131</v>
      </c>
    </row>
    <row r="11" spans="1:9" ht="30" customHeight="1">
      <c r="A11" s="96" t="s">
        <v>256</v>
      </c>
      <c r="B11" s="16" t="s">
        <v>218</v>
      </c>
      <c r="C11" s="15"/>
      <c r="D11" s="142" t="s">
        <v>56</v>
      </c>
      <c r="E11" s="29"/>
      <c r="F11" s="29"/>
      <c r="G11" s="136">
        <v>133</v>
      </c>
    </row>
    <row r="12" spans="1:9" ht="30" customHeight="1">
      <c r="A12" s="96" t="s">
        <v>272</v>
      </c>
      <c r="B12" s="16" t="s">
        <v>30</v>
      </c>
      <c r="C12" s="6"/>
      <c r="D12" s="142" t="s">
        <v>56</v>
      </c>
      <c r="E12" s="29"/>
      <c r="F12" s="29"/>
      <c r="G12" s="136">
        <v>137</v>
      </c>
      <c r="H12" s="2" t="s">
        <v>360</v>
      </c>
    </row>
    <row r="13" spans="1:9" ht="30" customHeight="1">
      <c r="A13" s="224" t="s">
        <v>254</v>
      </c>
      <c r="B13" s="16" t="s">
        <v>381</v>
      </c>
      <c r="C13" s="6"/>
      <c r="D13" s="142" t="s">
        <v>56</v>
      </c>
      <c r="E13" s="29"/>
      <c r="F13" s="29"/>
      <c r="G13" s="136">
        <v>139</v>
      </c>
      <c r="H13" s="2" t="s">
        <v>360</v>
      </c>
    </row>
    <row r="14" spans="1:9" ht="22.5" customHeight="1">
      <c r="A14" s="38" t="s">
        <v>448</v>
      </c>
    </row>
    <row r="17" spans="1:2" ht="22.5" customHeight="1">
      <c r="A17" s="10" t="s">
        <v>22</v>
      </c>
      <c r="B17" s="2" t="s">
        <v>57</v>
      </c>
    </row>
    <row r="18" spans="1:2" ht="22.5" customHeight="1">
      <c r="A18" s="10" t="s">
        <v>242</v>
      </c>
      <c r="B18" s="2" t="s">
        <v>222</v>
      </c>
    </row>
  </sheetData>
  <mergeCells count="3">
    <mergeCell ref="B5:C5"/>
    <mergeCell ref="B9:C9"/>
    <mergeCell ref="A1:G1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H21"/>
  <sheetViews>
    <sheetView view="pageBreakPreview" zoomScaleNormal="77" zoomScaleSheetLayoutView="100" workbookViewId="0">
      <selection activeCell="C23" sqref="C23"/>
    </sheetView>
  </sheetViews>
  <sheetFormatPr defaultColWidth="8.88671875" defaultRowHeight="13.5"/>
  <cols>
    <col min="1" max="1" width="8.5546875" customWidth="1"/>
    <col min="2" max="2" width="27.21875" customWidth="1"/>
    <col min="3" max="3" width="10.77734375" customWidth="1"/>
    <col min="4" max="4" width="18.5546875" style="143" customWidth="1"/>
    <col min="5" max="5" width="28.5546875" customWidth="1"/>
    <col min="6" max="6" width="15.77734375" customWidth="1"/>
    <col min="7" max="16384" width="8.88671875" style="1"/>
  </cols>
  <sheetData>
    <row r="1" spans="1:7" ht="30" customHeight="1">
      <c r="A1" s="342" t="s">
        <v>370</v>
      </c>
      <c r="B1" s="342"/>
      <c r="C1" s="342"/>
      <c r="D1" s="342"/>
      <c r="E1" s="342"/>
      <c r="F1" s="342"/>
    </row>
    <row r="2" spans="1:7" ht="20.100000000000001" customHeight="1">
      <c r="A2" s="212"/>
      <c r="B2" s="212"/>
      <c r="C2" s="212"/>
      <c r="D2" s="212"/>
      <c r="E2" s="212"/>
      <c r="F2" s="212"/>
    </row>
    <row r="3" spans="1:7" ht="20.100000000000001" customHeight="1">
      <c r="A3" s="212"/>
      <c r="B3" s="212"/>
      <c r="C3" s="212"/>
      <c r="D3" s="212"/>
      <c r="E3" s="212"/>
      <c r="F3" s="212"/>
    </row>
    <row r="4" spans="1:7" ht="20.100000000000001" customHeight="1">
      <c r="A4" s="14" t="s">
        <v>229</v>
      </c>
      <c r="B4" s="16"/>
      <c r="C4" s="14"/>
      <c r="D4" s="14"/>
      <c r="E4" s="14"/>
      <c r="F4" s="29"/>
      <c r="G4" s="136"/>
    </row>
    <row r="5" spans="1:7" ht="20.100000000000001" customHeight="1">
      <c r="A5" s="14"/>
      <c r="B5" s="16"/>
      <c r="C5" s="14"/>
      <c r="D5" s="14"/>
      <c r="E5" s="14"/>
      <c r="F5" s="29"/>
      <c r="G5" s="136"/>
    </row>
    <row r="6" spans="1:7" ht="20.100000000000001" customHeight="1">
      <c r="A6" s="11"/>
      <c r="B6" s="338"/>
      <c r="C6" s="338"/>
      <c r="D6" s="142"/>
      <c r="E6" s="29"/>
      <c r="F6" s="29"/>
      <c r="G6" s="136"/>
    </row>
    <row r="7" spans="1:7" ht="20.100000000000001" customHeight="1">
      <c r="A7" s="14" t="s">
        <v>217</v>
      </c>
      <c r="B7" s="16"/>
      <c r="C7" s="14"/>
      <c r="D7" s="142"/>
      <c r="E7" s="29"/>
      <c r="F7" s="29"/>
      <c r="G7" s="136"/>
    </row>
    <row r="8" spans="1:7" ht="20.100000000000001" customHeight="1">
      <c r="A8" s="14"/>
      <c r="B8" s="16"/>
      <c r="C8" s="14"/>
      <c r="D8" s="142"/>
      <c r="E8" s="29"/>
      <c r="F8" s="29"/>
      <c r="G8" s="136"/>
    </row>
    <row r="9" spans="1:7" ht="20.100000000000001" customHeight="1">
      <c r="A9" s="14"/>
      <c r="B9" s="16"/>
      <c r="C9" s="14"/>
      <c r="D9" s="142"/>
      <c r="E9" s="29"/>
      <c r="F9" s="29"/>
      <c r="G9" s="136"/>
    </row>
    <row r="10" spans="1:7" ht="20.100000000000001" customHeight="1">
      <c r="A10" s="14" t="s">
        <v>391</v>
      </c>
      <c r="B10" s="16"/>
      <c r="C10" s="14"/>
      <c r="D10" s="142"/>
      <c r="E10" s="29"/>
      <c r="F10" s="29"/>
      <c r="G10" s="136"/>
    </row>
    <row r="11" spans="1:7" ht="20.100000000000001" customHeight="1">
      <c r="D11"/>
    </row>
    <row r="12" spans="1:7" ht="20.100000000000001" customHeight="1">
      <c r="D12"/>
    </row>
    <row r="13" spans="1:7" s="2" customFormat="1" ht="20.100000000000001" customHeight="1">
      <c r="A13"/>
      <c r="B13"/>
      <c r="C13"/>
      <c r="D13"/>
      <c r="E13"/>
      <c r="F13"/>
    </row>
    <row r="14" spans="1:7" ht="20.100000000000001" customHeight="1">
      <c r="D14"/>
    </row>
    <row r="15" spans="1:7" ht="20.100000000000001" customHeight="1">
      <c r="D15"/>
    </row>
    <row r="16" spans="1:7" ht="20.100000000000001" customHeight="1">
      <c r="D16"/>
    </row>
    <row r="17" spans="4:8" ht="20.100000000000001" customHeight="1"/>
    <row r="18" spans="4:8" ht="20.100000000000001" customHeight="1"/>
    <row r="19" spans="4:8" ht="20.100000000000001" customHeight="1"/>
    <row r="20" spans="4:8" customFormat="1" ht="20.100000000000001" customHeight="1">
      <c r="D20" s="143"/>
      <c r="G20" s="1"/>
      <c r="H20" s="1"/>
    </row>
    <row r="21" spans="4:8">
      <c r="D21" s="143" t="s">
        <v>282</v>
      </c>
    </row>
  </sheetData>
  <mergeCells count="2">
    <mergeCell ref="B6:C6"/>
    <mergeCell ref="A1:F1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fitToHeight="0" orientation="landscape" r:id="rId1"/>
  <headerFooter>
    <oddFooter>&amp;C&amp;"맑은 고딕,Regular"&amp;P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G22"/>
  <sheetViews>
    <sheetView view="pageBreakPreview" topLeftCell="A2" zoomScaleNormal="77" zoomScaleSheetLayoutView="100" workbookViewId="0">
      <selection activeCell="D18" sqref="D18"/>
    </sheetView>
  </sheetViews>
  <sheetFormatPr defaultColWidth="8.88671875" defaultRowHeight="13.5"/>
  <cols>
    <col min="1" max="1" width="8.5546875" customWidth="1"/>
    <col min="2" max="2" width="27.21875" customWidth="1"/>
    <col min="3" max="3" width="10.77734375" customWidth="1"/>
    <col min="4" max="4" width="18.5546875" style="143" customWidth="1"/>
    <col min="5" max="5" width="28.5546875" customWidth="1"/>
    <col min="6" max="6" width="15.77734375" customWidth="1"/>
    <col min="7" max="16384" width="8.88671875" style="1"/>
  </cols>
  <sheetData>
    <row r="1" spans="1:6" ht="399.95" customHeight="1">
      <c r="A1" s="342" t="str">
        <f>A2</f>
        <v>2. 회생담보권자, 회생채권자, 벌금·조세채권자, 주주·지분권자의 목록</v>
      </c>
      <c r="B1" s="342"/>
      <c r="C1" s="342"/>
      <c r="D1" s="342"/>
      <c r="E1" s="342"/>
      <c r="F1" s="342"/>
    </row>
    <row r="2" spans="1:6" ht="65.25" customHeight="1">
      <c r="A2" s="342" t="str">
        <f>IF(표지!$O$7="개인",목록총괄표!B22,목록총괄표!B21)</f>
        <v>2. 회생담보권자, 회생채권자, 벌금·조세채권자, 주주·지분권자의 목록</v>
      </c>
      <c r="B2" s="342"/>
      <c r="C2" s="342"/>
      <c r="D2" s="342"/>
      <c r="E2" s="342"/>
      <c r="F2" s="342"/>
    </row>
    <row r="3" spans="1:6" ht="31.5" customHeight="1">
      <c r="A3" t="str">
        <f>"채무자: "&amp;표지!$O$5</f>
        <v>채무자: ○○○○ 주식회사</v>
      </c>
      <c r="B3" s="184"/>
      <c r="F3" s="144" t="s">
        <v>149</v>
      </c>
    </row>
    <row r="4" spans="1:6" ht="30" customHeight="1">
      <c r="A4" s="357" t="s">
        <v>167</v>
      </c>
      <c r="B4" s="358"/>
      <c r="C4" s="185" t="s">
        <v>175</v>
      </c>
      <c r="D4" s="186" t="s">
        <v>182</v>
      </c>
      <c r="E4" s="358" t="s">
        <v>122</v>
      </c>
      <c r="F4" s="359"/>
    </row>
    <row r="5" spans="1:6" ht="30" customHeight="1">
      <c r="A5" s="351" t="s">
        <v>179</v>
      </c>
      <c r="B5" s="352"/>
      <c r="C5" s="145">
        <f>MAX(담보권총괄표!A5:A29)</f>
        <v>1</v>
      </c>
      <c r="D5" s="146">
        <v>0</v>
      </c>
      <c r="E5" s="147" t="s">
        <v>415</v>
      </c>
      <c r="F5" s="187">
        <f>담보권총괄표!K33</f>
        <v>2700000000</v>
      </c>
    </row>
    <row r="6" spans="1:6" s="245" customFormat="1" ht="30" hidden="1" customHeight="1">
      <c r="A6" s="364" t="s">
        <v>171</v>
      </c>
      <c r="B6" s="242" t="s">
        <v>136</v>
      </c>
      <c r="C6" s="145">
        <v>7</v>
      </c>
      <c r="D6" s="244">
        <v>3148591704</v>
      </c>
      <c r="E6" s="353"/>
      <c r="F6" s="354"/>
    </row>
    <row r="7" spans="1:6" s="245" customFormat="1" ht="30" hidden="1" customHeight="1">
      <c r="A7" s="365"/>
      <c r="B7" s="242" t="s">
        <v>142</v>
      </c>
      <c r="C7" s="145">
        <v>1</v>
      </c>
      <c r="D7" s="244">
        <v>850000000</v>
      </c>
      <c r="E7" s="246"/>
      <c r="F7" s="280"/>
    </row>
    <row r="8" spans="1:6" s="245" customFormat="1" ht="30" hidden="1" customHeight="1">
      <c r="A8" s="365"/>
      <c r="B8" s="242" t="s">
        <v>197</v>
      </c>
      <c r="C8" s="145">
        <v>75</v>
      </c>
      <c r="D8" s="244">
        <v>3994112060.1999998</v>
      </c>
      <c r="E8" s="353" t="s">
        <v>50</v>
      </c>
      <c r="F8" s="354"/>
    </row>
    <row r="9" spans="1:6" s="245" customFormat="1" ht="30" hidden="1" customHeight="1">
      <c r="A9" s="365"/>
      <c r="B9" s="242" t="s">
        <v>159</v>
      </c>
      <c r="C9" s="145">
        <v>5</v>
      </c>
      <c r="D9" s="244">
        <v>399763553</v>
      </c>
      <c r="E9" s="246"/>
      <c r="F9" s="280"/>
    </row>
    <row r="10" spans="1:6" s="245" customFormat="1" ht="30" hidden="1" customHeight="1">
      <c r="A10" s="365"/>
      <c r="B10" s="242" t="s">
        <v>67</v>
      </c>
      <c r="C10" s="145">
        <f>MAX(담보권총괄표!A10:A34)</f>
        <v>0</v>
      </c>
      <c r="D10" s="244">
        <v>0</v>
      </c>
      <c r="E10" s="353"/>
      <c r="F10" s="354"/>
    </row>
    <row r="11" spans="1:6" s="245" customFormat="1" ht="30" hidden="1" customHeight="1">
      <c r="A11" s="365"/>
      <c r="B11" s="242" t="s">
        <v>197</v>
      </c>
      <c r="C11" s="145">
        <v>3</v>
      </c>
      <c r="D11" s="244">
        <v>262171231</v>
      </c>
      <c r="E11" s="246"/>
      <c r="F11" s="280"/>
    </row>
    <row r="12" spans="1:6" s="245" customFormat="1" ht="38.25" customHeight="1">
      <c r="A12" s="365"/>
      <c r="B12" s="242" t="s">
        <v>403</v>
      </c>
      <c r="C12" s="243">
        <v>89</v>
      </c>
      <c r="D12" s="244">
        <f>회생채권총괄!G542</f>
        <v>8820155859</v>
      </c>
      <c r="E12" s="355"/>
      <c r="F12" s="356"/>
    </row>
    <row r="13" spans="1:6" s="245" customFormat="1" ht="38.25" customHeight="1">
      <c r="A13" s="365"/>
      <c r="B13" s="242" t="s">
        <v>67</v>
      </c>
      <c r="C13" s="316" t="s">
        <v>417</v>
      </c>
      <c r="D13" s="312">
        <f>F5</f>
        <v>2700000000</v>
      </c>
      <c r="E13" s="313"/>
      <c r="F13" s="314"/>
    </row>
    <row r="14" spans="1:6" s="245" customFormat="1" ht="38.25" customHeight="1">
      <c r="A14" s="366"/>
      <c r="B14" s="242" t="s">
        <v>402</v>
      </c>
      <c r="C14" s="311">
        <v>89</v>
      </c>
      <c r="D14" s="312">
        <f>D12+D13</f>
        <v>11520155859</v>
      </c>
      <c r="E14" s="313"/>
      <c r="F14" s="314"/>
    </row>
    <row r="15" spans="1:6" s="2" customFormat="1" ht="30" customHeight="1">
      <c r="A15" s="360" t="s">
        <v>284</v>
      </c>
      <c r="B15" s="361"/>
      <c r="C15" s="192">
        <f>C5+C12</f>
        <v>90</v>
      </c>
      <c r="D15" s="193">
        <f>SUM(D5,D14)</f>
        <v>11520155859</v>
      </c>
      <c r="E15" s="362"/>
      <c r="F15" s="363"/>
    </row>
    <row r="16" spans="1:6">
      <c r="D16" s="148"/>
    </row>
    <row r="17" spans="1:7" ht="30" customHeight="1">
      <c r="A17" s="347" t="s">
        <v>187</v>
      </c>
      <c r="B17" s="348"/>
      <c r="C17" s="190">
        <v>2</v>
      </c>
      <c r="D17" s="191">
        <f>조세총괄!G35</f>
        <v>61794850</v>
      </c>
      <c r="E17" s="345" t="s">
        <v>154</v>
      </c>
      <c r="F17" s="346"/>
    </row>
    <row r="18" spans="1:7" ht="30" customHeight="1">
      <c r="A18" s="343" t="s">
        <v>174</v>
      </c>
      <c r="B18" s="344"/>
      <c r="C18" s="188">
        <f>MAX(주주총괄!C5:C8)</f>
        <v>4</v>
      </c>
      <c r="D18" s="189">
        <f>주주총괄!H9</f>
        <v>1500000000</v>
      </c>
      <c r="E18" s="349" t="str">
        <f>TEXT(주주총괄!G9,"###,###주")&amp;", 1주당 금액 "&amp;TEXT(주주총괄!L4,"###,###원")&amp;", 조사대상 아님"</f>
        <v>15,000,000주, 1주당 금액 100원, 조사대상 아님</v>
      </c>
      <c r="F18" s="350"/>
      <c r="G18" s="1" t="s">
        <v>368</v>
      </c>
    </row>
    <row r="19" spans="1:7" ht="20.100000000000001" customHeight="1"/>
    <row r="20" spans="1:7" ht="20.100000000000001" customHeight="1"/>
    <row r="21" spans="1:7" ht="20.100000000000001" customHeight="1">
      <c r="A21" t="s">
        <v>22</v>
      </c>
      <c r="B21" t="s">
        <v>295</v>
      </c>
    </row>
    <row r="22" spans="1:7" ht="20.100000000000001" customHeight="1">
      <c r="A22" t="s">
        <v>242</v>
      </c>
      <c r="B22" t="s">
        <v>220</v>
      </c>
    </row>
  </sheetData>
  <mergeCells count="16">
    <mergeCell ref="A1:F1"/>
    <mergeCell ref="A2:F2"/>
    <mergeCell ref="A4:B4"/>
    <mergeCell ref="E4:F4"/>
    <mergeCell ref="A15:B15"/>
    <mergeCell ref="E15:F15"/>
    <mergeCell ref="A6:A14"/>
    <mergeCell ref="A18:B18"/>
    <mergeCell ref="E17:F17"/>
    <mergeCell ref="A17:B17"/>
    <mergeCell ref="E18:F18"/>
    <mergeCell ref="A5:B5"/>
    <mergeCell ref="E6:F6"/>
    <mergeCell ref="E10:F10"/>
    <mergeCell ref="E12:F12"/>
    <mergeCell ref="E8:F8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fitToHeight="0" orientation="landscape" r:id="rId1"/>
  <headerFooter>
    <oddFooter>&amp;C&amp;"맑은 고딕,Regular"&amp;P</oddFooter>
  </headerFooter>
  <rowBreaks count="1" manualBreakCount="1">
    <brk id="1" max="104857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N33"/>
  <sheetViews>
    <sheetView view="pageBreakPreview" zoomScaleNormal="100" zoomScaleSheetLayoutView="100" workbookViewId="0">
      <selection activeCell="H6" sqref="H6"/>
    </sheetView>
  </sheetViews>
  <sheetFormatPr defaultColWidth="8.6640625" defaultRowHeight="13.5"/>
  <cols>
    <col min="1" max="1" width="3.6640625" bestFit="1" customWidth="1"/>
    <col min="2" max="2" width="3.5546875" customWidth="1"/>
    <col min="3" max="3" width="9.33203125" customWidth="1"/>
    <col min="4" max="4" width="9.77734375" customWidth="1"/>
    <col min="5" max="5" width="17.77734375" customWidth="1"/>
    <col min="6" max="6" width="8.33203125" customWidth="1"/>
    <col min="7" max="7" width="9.44140625" customWidth="1"/>
    <col min="8" max="8" width="10.88671875" customWidth="1"/>
    <col min="9" max="10" width="5.109375" customWidth="1"/>
    <col min="11" max="11" width="10.44140625" customWidth="1"/>
    <col min="12" max="12" width="10.77734375" customWidth="1"/>
    <col min="13" max="13" width="3.21875" customWidth="1"/>
    <col min="14" max="14" width="11.21875" customWidth="1"/>
    <col min="16" max="16" width="11.21875" bestFit="1" customWidth="1"/>
  </cols>
  <sheetData>
    <row r="1" spans="1:14" ht="399.95" customHeight="1">
      <c r="A1" s="385" t="str">
        <f>B2</f>
        <v>3. 회생담보권의 목록 총괄표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</row>
    <row r="2" spans="1:14" ht="24.75" customHeight="1">
      <c r="B2" s="387" t="s">
        <v>101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</row>
    <row r="3" spans="1:14" ht="20.100000000000001" customHeight="1">
      <c r="A3" s="386" t="str">
        <f>"채무자: "&amp;표지!$O$5</f>
        <v>채무자: ○○○○ 주식회사</v>
      </c>
      <c r="B3" s="386"/>
      <c r="C3" s="386"/>
      <c r="D3" s="386"/>
      <c r="E3" s="202"/>
      <c r="F3" s="202"/>
      <c r="G3" s="202"/>
      <c r="H3" s="202"/>
      <c r="I3" s="202"/>
      <c r="J3" s="202"/>
      <c r="K3" s="202"/>
      <c r="L3" s="202"/>
      <c r="M3" s="202"/>
      <c r="N3" s="45" t="s">
        <v>149</v>
      </c>
    </row>
    <row r="4" spans="1:14" ht="27.75" customHeight="1">
      <c r="A4" s="201" t="s">
        <v>21</v>
      </c>
      <c r="B4" s="36" t="s">
        <v>125</v>
      </c>
      <c r="C4" s="36" t="s">
        <v>216</v>
      </c>
      <c r="D4" s="36" t="s">
        <v>250</v>
      </c>
      <c r="E4" s="36" t="s">
        <v>26</v>
      </c>
      <c r="F4" s="36" t="s">
        <v>376</v>
      </c>
      <c r="G4" s="36" t="s">
        <v>137</v>
      </c>
      <c r="H4" s="36" t="s">
        <v>253</v>
      </c>
      <c r="I4" s="37" t="s">
        <v>160</v>
      </c>
      <c r="J4" s="37" t="s">
        <v>168</v>
      </c>
      <c r="K4" s="37" t="s">
        <v>418</v>
      </c>
      <c r="L4" s="37" t="s">
        <v>375</v>
      </c>
      <c r="M4" s="36" t="s">
        <v>262</v>
      </c>
      <c r="N4" s="36" t="s">
        <v>122</v>
      </c>
    </row>
    <row r="5" spans="1:14" ht="14.65" customHeight="1">
      <c r="A5" s="382">
        <v>1</v>
      </c>
      <c r="B5" s="367" t="s">
        <v>264</v>
      </c>
      <c r="C5" s="367" t="s">
        <v>454</v>
      </c>
      <c r="D5" s="367" t="s">
        <v>455</v>
      </c>
      <c r="E5" s="88" t="s">
        <v>215</v>
      </c>
      <c r="F5" s="369" t="s">
        <v>404</v>
      </c>
      <c r="G5" s="288" t="s">
        <v>136</v>
      </c>
      <c r="H5" s="88"/>
      <c r="I5" s="90"/>
      <c r="J5" s="90"/>
      <c r="K5" s="90"/>
      <c r="L5" s="90"/>
      <c r="M5" s="91"/>
      <c r="N5" s="370" t="s">
        <v>115</v>
      </c>
    </row>
    <row r="6" spans="1:14">
      <c r="A6" s="383"/>
      <c r="B6" s="367"/>
      <c r="C6" s="367"/>
      <c r="D6" s="367"/>
      <c r="E6" s="79" t="s">
        <v>456</v>
      </c>
      <c r="F6" s="369"/>
      <c r="G6" s="288" t="s">
        <v>157</v>
      </c>
      <c r="H6" s="119">
        <v>2700000000</v>
      </c>
      <c r="I6" s="92"/>
      <c r="J6" s="92"/>
      <c r="K6" s="119">
        <v>2700000000</v>
      </c>
      <c r="L6" s="119">
        <v>2700000000</v>
      </c>
      <c r="M6" s="93"/>
      <c r="N6" s="371"/>
    </row>
    <row r="7" spans="1:14">
      <c r="A7" s="383"/>
      <c r="B7" s="367"/>
      <c r="C7" s="367"/>
      <c r="D7" s="367"/>
      <c r="E7" s="79" t="s">
        <v>457</v>
      </c>
      <c r="F7" s="369"/>
      <c r="G7" s="289"/>
      <c r="H7" s="116"/>
      <c r="I7" s="92"/>
      <c r="J7" s="92"/>
      <c r="K7" s="92"/>
      <c r="L7" s="92"/>
      <c r="M7" s="93"/>
      <c r="N7" s="371"/>
    </row>
    <row r="8" spans="1:14" ht="14.65" customHeight="1">
      <c r="A8" s="383"/>
      <c r="B8" s="367"/>
      <c r="C8" s="367"/>
      <c r="D8" s="367"/>
      <c r="E8" s="79"/>
      <c r="F8" s="369"/>
      <c r="G8" s="288" t="s">
        <v>384</v>
      </c>
      <c r="H8" s="79"/>
      <c r="I8" s="92"/>
      <c r="J8" s="92"/>
      <c r="K8" s="92"/>
      <c r="L8" s="92"/>
      <c r="M8" s="93"/>
      <c r="N8" s="371"/>
    </row>
    <row r="9" spans="1:14" ht="14.65" customHeight="1">
      <c r="A9" s="383"/>
      <c r="B9" s="367"/>
      <c r="C9" s="367"/>
      <c r="D9" s="367"/>
      <c r="E9" s="79" t="s">
        <v>53</v>
      </c>
      <c r="F9" s="369"/>
      <c r="G9" s="289"/>
      <c r="H9" s="79"/>
      <c r="I9" s="92"/>
      <c r="J9" s="92"/>
      <c r="K9" s="92"/>
      <c r="L9" s="92"/>
      <c r="M9" s="93"/>
      <c r="N9" s="371"/>
    </row>
    <row r="10" spans="1:14" ht="14.65" customHeight="1">
      <c r="A10" s="383"/>
      <c r="B10" s="367"/>
      <c r="C10" s="367"/>
      <c r="D10" s="367"/>
      <c r="E10" s="79" t="s">
        <v>460</v>
      </c>
      <c r="F10" s="369"/>
      <c r="G10" s="288" t="s">
        <v>387</v>
      </c>
      <c r="H10" s="79"/>
      <c r="I10" s="92"/>
      <c r="J10" s="92"/>
      <c r="K10" s="92"/>
      <c r="L10" s="92"/>
      <c r="M10" s="93"/>
      <c r="N10" s="371"/>
    </row>
    <row r="11" spans="1:14" ht="14.65" customHeight="1">
      <c r="A11" s="383"/>
      <c r="B11" s="367"/>
      <c r="C11" s="367"/>
      <c r="D11" s="367"/>
      <c r="E11" s="79"/>
      <c r="F11" s="369"/>
      <c r="G11" s="79"/>
      <c r="H11" s="79"/>
      <c r="I11" s="92"/>
      <c r="J11" s="92"/>
      <c r="K11" s="92"/>
      <c r="L11" s="92"/>
      <c r="M11" s="93"/>
      <c r="N11" s="371"/>
    </row>
    <row r="12" spans="1:14" ht="14.65" customHeight="1">
      <c r="A12" s="383"/>
      <c r="B12" s="367"/>
      <c r="C12" s="367"/>
      <c r="D12" s="367"/>
      <c r="E12" s="79"/>
      <c r="F12" s="369"/>
      <c r="G12" s="79"/>
      <c r="H12" s="92"/>
      <c r="I12" s="92"/>
      <c r="J12" s="92"/>
      <c r="K12" s="92"/>
      <c r="L12" s="92"/>
      <c r="M12" s="93"/>
      <c r="N12" s="371"/>
    </row>
    <row r="13" spans="1:14">
      <c r="A13" s="383"/>
      <c r="B13" s="367"/>
      <c r="C13" s="367"/>
      <c r="D13" s="367"/>
      <c r="E13" s="79"/>
      <c r="F13" s="369"/>
      <c r="G13" s="79"/>
      <c r="H13" s="79"/>
      <c r="I13" s="92"/>
      <c r="J13" s="92"/>
      <c r="K13" s="92"/>
      <c r="L13" s="92"/>
      <c r="M13" s="93"/>
      <c r="N13" s="371"/>
    </row>
    <row r="14" spans="1:14">
      <c r="A14" s="383"/>
      <c r="B14" s="367"/>
      <c r="C14" s="367"/>
      <c r="D14" s="367"/>
      <c r="E14" s="79"/>
      <c r="F14" s="369"/>
      <c r="G14" s="79"/>
      <c r="H14" s="79"/>
      <c r="I14" s="92"/>
      <c r="J14" s="92"/>
      <c r="K14" s="92"/>
      <c r="L14" s="92"/>
      <c r="M14" s="93"/>
      <c r="N14" s="371"/>
    </row>
    <row r="15" spans="1:14">
      <c r="A15" s="383"/>
      <c r="B15" s="367"/>
      <c r="C15" s="367"/>
      <c r="D15" s="367"/>
      <c r="E15" s="79"/>
      <c r="F15" s="369"/>
      <c r="G15" s="79"/>
      <c r="H15" s="79"/>
      <c r="I15" s="92"/>
      <c r="J15" s="92"/>
      <c r="K15" s="92"/>
      <c r="L15" s="92"/>
      <c r="M15" s="93"/>
      <c r="N15" s="371"/>
    </row>
    <row r="16" spans="1:14" ht="10.5" customHeight="1">
      <c r="A16" s="383"/>
      <c r="B16" s="367"/>
      <c r="C16" s="367"/>
      <c r="D16" s="367"/>
      <c r="E16" s="79"/>
      <c r="F16" s="369"/>
      <c r="G16" s="79"/>
      <c r="H16" s="79"/>
      <c r="I16" s="92"/>
      <c r="J16" s="92"/>
      <c r="K16" s="92"/>
      <c r="L16" s="92"/>
      <c r="M16" s="93"/>
      <c r="N16" s="371"/>
    </row>
    <row r="17" spans="1:14" ht="19.5" hidden="1" customHeight="1">
      <c r="A17" s="384"/>
      <c r="B17" s="367"/>
      <c r="C17" s="367"/>
      <c r="D17" s="367"/>
      <c r="E17" s="89"/>
      <c r="F17" s="369"/>
      <c r="G17" s="297" t="s">
        <v>244</v>
      </c>
      <c r="H17" s="298">
        <f>H6+H8+H10</f>
        <v>2700000000</v>
      </c>
      <c r="I17" s="298">
        <f t="shared" ref="I17:J17" si="0">I6+I8+I10</f>
        <v>0</v>
      </c>
      <c r="J17" s="298">
        <f t="shared" si="0"/>
        <v>0</v>
      </c>
      <c r="K17" s="298"/>
      <c r="L17" s="298"/>
      <c r="M17" s="299"/>
      <c r="N17" s="372"/>
    </row>
    <row r="18" spans="1:14" ht="21.75" hidden="1" customHeight="1">
      <c r="A18" s="382"/>
      <c r="B18" s="367"/>
      <c r="C18" s="367"/>
      <c r="D18" s="367"/>
      <c r="E18" s="368"/>
      <c r="F18" s="369"/>
      <c r="G18" s="88"/>
      <c r="H18" s="88"/>
      <c r="I18" s="90"/>
      <c r="J18" s="90"/>
      <c r="K18" s="90"/>
      <c r="L18" s="90"/>
      <c r="M18" s="91"/>
      <c r="N18" s="370"/>
    </row>
    <row r="19" spans="1:14" ht="21.75" hidden="1" customHeight="1">
      <c r="A19" s="383"/>
      <c r="B19" s="367"/>
      <c r="C19" s="367"/>
      <c r="D19" s="367"/>
      <c r="E19" s="368"/>
      <c r="F19" s="369"/>
      <c r="G19" s="79"/>
      <c r="H19" s="119"/>
      <c r="I19" s="92"/>
      <c r="J19" s="92"/>
      <c r="K19" s="92"/>
      <c r="L19" s="92"/>
      <c r="M19" s="93"/>
      <c r="N19" s="371"/>
    </row>
    <row r="20" spans="1:14" ht="21.75" hidden="1" customHeight="1">
      <c r="A20" s="383"/>
      <c r="B20" s="367"/>
      <c r="C20" s="367"/>
      <c r="D20" s="367"/>
      <c r="E20" s="368"/>
      <c r="F20" s="369"/>
      <c r="G20" s="116"/>
      <c r="H20" s="116"/>
      <c r="I20" s="92"/>
      <c r="J20" s="92"/>
      <c r="K20" s="92"/>
      <c r="L20" s="92"/>
      <c r="M20" s="93"/>
      <c r="N20" s="371"/>
    </row>
    <row r="21" spans="1:14" ht="21.75" hidden="1" customHeight="1">
      <c r="A21" s="383"/>
      <c r="B21" s="367"/>
      <c r="C21" s="367"/>
      <c r="D21" s="367"/>
      <c r="E21" s="368"/>
      <c r="F21" s="369"/>
      <c r="G21" s="79"/>
      <c r="H21" s="79"/>
      <c r="I21" s="92"/>
      <c r="J21" s="92"/>
      <c r="K21" s="92"/>
      <c r="L21" s="92"/>
      <c r="M21" s="93"/>
      <c r="N21" s="371"/>
    </row>
    <row r="22" spans="1:14" ht="21.75" hidden="1" customHeight="1">
      <c r="A22" s="383"/>
      <c r="B22" s="367"/>
      <c r="C22" s="367"/>
      <c r="D22" s="367"/>
      <c r="E22" s="368"/>
      <c r="F22" s="369"/>
      <c r="G22" s="79"/>
      <c r="H22" s="79"/>
      <c r="I22" s="92"/>
      <c r="J22" s="92"/>
      <c r="K22" s="92"/>
      <c r="L22" s="92"/>
      <c r="M22" s="93"/>
      <c r="N22" s="371"/>
    </row>
    <row r="23" spans="1:14" ht="21.75" hidden="1" customHeight="1">
      <c r="A23" s="383"/>
      <c r="B23" s="367"/>
      <c r="C23" s="367"/>
      <c r="D23" s="367"/>
      <c r="E23" s="368"/>
      <c r="F23" s="369"/>
      <c r="G23" s="79"/>
      <c r="H23" s="79"/>
      <c r="I23" s="92"/>
      <c r="J23" s="92"/>
      <c r="K23" s="92"/>
      <c r="L23" s="92"/>
      <c r="M23" s="93"/>
      <c r="N23" s="371"/>
    </row>
    <row r="24" spans="1:14" ht="21.75" hidden="1" customHeight="1">
      <c r="A24" s="383"/>
      <c r="B24" s="367"/>
      <c r="C24" s="367"/>
      <c r="D24" s="367"/>
      <c r="E24" s="368"/>
      <c r="F24" s="369"/>
      <c r="G24" s="79"/>
      <c r="H24" s="79"/>
      <c r="I24" s="92"/>
      <c r="J24" s="92"/>
      <c r="K24" s="92"/>
      <c r="L24" s="92"/>
      <c r="M24" s="93"/>
      <c r="N24" s="371"/>
    </row>
    <row r="25" spans="1:14" ht="5.25" hidden="1" customHeight="1">
      <c r="A25" s="383"/>
      <c r="B25" s="367"/>
      <c r="C25" s="367"/>
      <c r="D25" s="367"/>
      <c r="E25" s="368"/>
      <c r="F25" s="369"/>
      <c r="G25" s="79"/>
      <c r="H25" s="92"/>
      <c r="I25" s="92"/>
      <c r="J25" s="92"/>
      <c r="K25" s="92"/>
      <c r="L25" s="92"/>
      <c r="M25" s="93"/>
      <c r="N25" s="371"/>
    </row>
    <row r="26" spans="1:14" ht="21.75" hidden="1" customHeight="1">
      <c r="A26" s="383"/>
      <c r="B26" s="367"/>
      <c r="C26" s="367"/>
      <c r="D26" s="367"/>
      <c r="E26" s="368"/>
      <c r="F26" s="369"/>
      <c r="G26" s="79"/>
      <c r="H26" s="79"/>
      <c r="I26" s="92"/>
      <c r="J26" s="92"/>
      <c r="K26" s="92"/>
      <c r="L26" s="92"/>
      <c r="M26" s="93"/>
      <c r="N26" s="371"/>
    </row>
    <row r="27" spans="1:14" ht="21.75" hidden="1" customHeight="1">
      <c r="A27" s="383"/>
      <c r="B27" s="367"/>
      <c r="C27" s="367"/>
      <c r="D27" s="367"/>
      <c r="E27" s="368"/>
      <c r="F27" s="369"/>
      <c r="G27" s="79"/>
      <c r="H27" s="79"/>
      <c r="I27" s="92"/>
      <c r="J27" s="92"/>
      <c r="K27" s="92"/>
      <c r="L27" s="92"/>
      <c r="M27" s="93"/>
      <c r="N27" s="371"/>
    </row>
    <row r="28" spans="1:14" ht="21.75" hidden="1" customHeight="1">
      <c r="A28" s="383"/>
      <c r="B28" s="367"/>
      <c r="C28" s="367"/>
      <c r="D28" s="367"/>
      <c r="E28" s="368"/>
      <c r="F28" s="369"/>
      <c r="G28" s="79"/>
      <c r="H28" s="79"/>
      <c r="I28" s="92"/>
      <c r="J28" s="92"/>
      <c r="K28" s="92"/>
      <c r="L28" s="92"/>
      <c r="M28" s="93"/>
      <c r="N28" s="371"/>
    </row>
    <row r="29" spans="1:14" ht="21.75" hidden="1" customHeight="1">
      <c r="A29" s="384"/>
      <c r="B29" s="367"/>
      <c r="C29" s="367"/>
      <c r="D29" s="367"/>
      <c r="E29" s="368"/>
      <c r="F29" s="369"/>
      <c r="G29" s="89"/>
      <c r="H29" s="89"/>
      <c r="I29" s="94"/>
      <c r="J29" s="94"/>
      <c r="K29" s="94"/>
      <c r="L29" s="94"/>
      <c r="M29" s="95"/>
      <c r="N29" s="372"/>
    </row>
    <row r="30" spans="1:14">
      <c r="A30" s="373" t="s">
        <v>380</v>
      </c>
      <c r="B30" s="374"/>
      <c r="C30" s="374"/>
      <c r="D30" s="374"/>
      <c r="E30" s="374"/>
      <c r="F30" s="375"/>
      <c r="G30" s="216" t="s">
        <v>205</v>
      </c>
      <c r="H30" s="215">
        <f>H6+H19</f>
        <v>2700000000</v>
      </c>
      <c r="I30" s="213"/>
      <c r="J30" s="213"/>
      <c r="K30" s="215">
        <f>K6+K19</f>
        <v>2700000000</v>
      </c>
      <c r="L30" s="215">
        <f>L6+L19</f>
        <v>2700000000</v>
      </c>
      <c r="M30" s="213"/>
      <c r="N30" s="213"/>
    </row>
    <row r="31" spans="1:14">
      <c r="A31" s="376"/>
      <c r="B31" s="377"/>
      <c r="C31" s="377"/>
      <c r="D31" s="377"/>
      <c r="E31" s="377"/>
      <c r="F31" s="378"/>
      <c r="G31" s="217" t="s">
        <v>379</v>
      </c>
      <c r="H31" s="214"/>
      <c r="I31" s="214"/>
      <c r="J31" s="214"/>
      <c r="K31" s="214"/>
      <c r="L31" s="214"/>
      <c r="M31" s="214"/>
      <c r="N31" s="214"/>
    </row>
    <row r="32" spans="1:14">
      <c r="A32" s="376"/>
      <c r="B32" s="377"/>
      <c r="C32" s="377"/>
      <c r="D32" s="377"/>
      <c r="E32" s="377"/>
      <c r="F32" s="378"/>
      <c r="G32" s="222" t="s">
        <v>363</v>
      </c>
      <c r="H32" s="222"/>
      <c r="I32" s="222"/>
      <c r="J32" s="222"/>
      <c r="K32" s="222"/>
      <c r="L32" s="222"/>
      <c r="M32" s="214"/>
      <c r="N32" s="214"/>
    </row>
    <row r="33" spans="1:14">
      <c r="A33" s="379"/>
      <c r="B33" s="380"/>
      <c r="C33" s="380"/>
      <c r="D33" s="380"/>
      <c r="E33" s="380"/>
      <c r="F33" s="381"/>
      <c r="G33" s="218" t="s">
        <v>284</v>
      </c>
      <c r="H33" s="220">
        <f>H30</f>
        <v>2700000000</v>
      </c>
      <c r="I33" s="221"/>
      <c r="J33" s="221"/>
      <c r="K33" s="220">
        <f>K30</f>
        <v>2700000000</v>
      </c>
      <c r="L33" s="220">
        <f>L30</f>
        <v>2700000000</v>
      </c>
      <c r="M33" s="219"/>
      <c r="N33" s="219"/>
    </row>
  </sheetData>
  <mergeCells count="17">
    <mergeCell ref="A5:A17"/>
    <mergeCell ref="A1:N1"/>
    <mergeCell ref="A3:D3"/>
    <mergeCell ref="C5:C17"/>
    <mergeCell ref="B5:B17"/>
    <mergeCell ref="F5:F17"/>
    <mergeCell ref="B2:N2"/>
    <mergeCell ref="D5:D17"/>
    <mergeCell ref="N5:N17"/>
    <mergeCell ref="D18:D29"/>
    <mergeCell ref="E18:E29"/>
    <mergeCell ref="F18:F29"/>
    <mergeCell ref="N18:N29"/>
    <mergeCell ref="A30:F33"/>
    <mergeCell ref="A18:A29"/>
    <mergeCell ref="B18:B29"/>
    <mergeCell ref="C18:C29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scale="94" fitToHeight="0" orientation="landscape" r:id="rId1"/>
  <headerFooter>
    <oddFooter>&amp;C&amp;"맑은 고딕,Regular"&amp;P</oddFooter>
  </headerFooter>
  <rowBreaks count="1" manualBreakCount="1">
    <brk id="1" max="104857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Q14"/>
  <sheetViews>
    <sheetView view="pageBreakPreview" topLeftCell="A4" zoomScaleNormal="100" zoomScaleSheetLayoutView="100" workbookViewId="0">
      <selection activeCell="G7" sqref="G7"/>
    </sheetView>
  </sheetViews>
  <sheetFormatPr defaultColWidth="8.88671875" defaultRowHeight="23.1" customHeight="1"/>
  <cols>
    <col min="1" max="1" width="19.44140625" style="46" bestFit="1" customWidth="1"/>
    <col min="2" max="2" width="9.33203125" style="46" customWidth="1"/>
    <col min="3" max="3" width="8.33203125" style="46" customWidth="1"/>
    <col min="4" max="4" width="4.33203125" style="46" customWidth="1"/>
    <col min="5" max="5" width="3.77734375" style="46" bestFit="1" customWidth="1"/>
    <col min="6" max="6" width="7.109375" style="56" customWidth="1"/>
    <col min="7" max="7" width="8.109375" style="46" customWidth="1"/>
    <col min="8" max="8" width="3.77734375" style="56" bestFit="1" customWidth="1"/>
    <col min="9" max="9" width="7.44140625" style="46" bestFit="1" customWidth="1"/>
    <col min="10" max="10" width="5" style="46" bestFit="1" customWidth="1"/>
    <col min="11" max="11" width="9.44140625" style="56" bestFit="1" customWidth="1"/>
    <col min="12" max="12" width="5" style="56" bestFit="1" customWidth="1"/>
    <col min="13" max="13" width="6.21875" style="56" bestFit="1" customWidth="1"/>
    <col min="14" max="14" width="7.6640625" style="46" bestFit="1" customWidth="1"/>
    <col min="15" max="16384" width="8.88671875" style="46"/>
  </cols>
  <sheetData>
    <row r="1" spans="1:17" ht="399.95" customHeight="1">
      <c r="A1" s="402" t="s">
        <v>313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</row>
    <row r="2" spans="1:17" ht="20.100000000000001" customHeight="1">
      <c r="A2" s="397" t="s">
        <v>313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</row>
    <row r="3" spans="1:17" ht="23.1" customHeight="1">
      <c r="A3" s="141" t="str">
        <f>"채무자: "&amp;표지!$O$5</f>
        <v>채무자: ○○○○ 주식회사</v>
      </c>
      <c r="B3" s="141"/>
      <c r="C3" s="141"/>
      <c r="D3" s="117"/>
      <c r="E3" s="117"/>
      <c r="F3" s="405"/>
      <c r="G3" s="405"/>
      <c r="H3" s="405"/>
      <c r="I3" s="405"/>
      <c r="J3" s="405"/>
      <c r="K3" s="405"/>
      <c r="L3" s="405"/>
      <c r="M3" s="87"/>
      <c r="N3" s="118" t="s">
        <v>149</v>
      </c>
    </row>
    <row r="4" spans="1:17" ht="23.1" customHeight="1">
      <c r="A4" s="406" t="s">
        <v>333</v>
      </c>
      <c r="B4" s="406"/>
      <c r="C4" s="406" t="s">
        <v>337</v>
      </c>
      <c r="D4" s="406"/>
      <c r="E4" s="408" t="s">
        <v>134</v>
      </c>
      <c r="F4" s="409"/>
      <c r="G4" s="409"/>
      <c r="H4" s="410"/>
      <c r="I4" s="411" t="s">
        <v>186</v>
      </c>
      <c r="J4" s="408" t="s">
        <v>255</v>
      </c>
      <c r="K4" s="409"/>
      <c r="L4" s="409"/>
      <c r="M4" s="410"/>
      <c r="N4" s="403" t="s">
        <v>19</v>
      </c>
      <c r="O4" s="46" t="s">
        <v>196</v>
      </c>
      <c r="Q4" s="46" t="s">
        <v>362</v>
      </c>
    </row>
    <row r="5" spans="1:17" ht="26.25" customHeight="1">
      <c r="A5" s="407"/>
      <c r="B5" s="407"/>
      <c r="C5" s="407"/>
      <c r="D5" s="407"/>
      <c r="E5" s="225" t="s">
        <v>251</v>
      </c>
      <c r="F5" s="225" t="s">
        <v>188</v>
      </c>
      <c r="G5" s="225" t="s">
        <v>240</v>
      </c>
      <c r="H5" s="225" t="s">
        <v>291</v>
      </c>
      <c r="I5" s="404"/>
      <c r="J5" s="226" t="s">
        <v>287</v>
      </c>
      <c r="K5" s="226" t="s">
        <v>193</v>
      </c>
      <c r="L5" s="225" t="s">
        <v>259</v>
      </c>
      <c r="M5" s="225" t="s">
        <v>194</v>
      </c>
      <c r="N5" s="404"/>
    </row>
    <row r="6" spans="1:17" ht="26.25" customHeight="1">
      <c r="A6" s="390" t="s">
        <v>458</v>
      </c>
      <c r="B6" s="391"/>
      <c r="C6" s="390" t="s">
        <v>213</v>
      </c>
      <c r="D6" s="394"/>
      <c r="E6" s="284">
        <v>1</v>
      </c>
      <c r="F6" s="284" t="s">
        <v>388</v>
      </c>
      <c r="G6" s="284" t="s">
        <v>459</v>
      </c>
      <c r="H6" s="295"/>
      <c r="I6" s="293"/>
      <c r="J6" s="290"/>
      <c r="K6" s="292">
        <v>3240000000</v>
      </c>
      <c r="L6" s="292"/>
      <c r="M6" s="292"/>
      <c r="N6" s="406" t="s">
        <v>115</v>
      </c>
    </row>
    <row r="7" spans="1:17" ht="26.25" customHeight="1">
      <c r="A7" s="392" t="s">
        <v>457</v>
      </c>
      <c r="B7" s="393"/>
      <c r="C7" s="392" t="s">
        <v>207</v>
      </c>
      <c r="D7" s="395"/>
      <c r="E7" s="284">
        <v>2</v>
      </c>
      <c r="F7" s="284" t="s">
        <v>389</v>
      </c>
      <c r="G7" s="284" t="s">
        <v>459</v>
      </c>
      <c r="H7" s="290"/>
      <c r="I7" s="293"/>
      <c r="J7" s="290"/>
      <c r="K7" s="293">
        <v>720000000</v>
      </c>
      <c r="L7" s="293"/>
      <c r="M7" s="293"/>
      <c r="N7" s="412"/>
    </row>
    <row r="8" spans="1:17" ht="26.25" customHeight="1">
      <c r="A8" s="388"/>
      <c r="B8" s="396"/>
      <c r="C8" s="388"/>
      <c r="D8" s="389"/>
      <c r="E8" s="290"/>
      <c r="F8" s="290"/>
      <c r="G8" s="290"/>
      <c r="H8" s="290"/>
      <c r="I8" s="293"/>
      <c r="J8" s="290"/>
      <c r="K8" s="293"/>
      <c r="L8" s="293"/>
      <c r="M8" s="293"/>
      <c r="N8" s="412"/>
    </row>
    <row r="9" spans="1:17" ht="26.25" customHeight="1">
      <c r="A9" s="388"/>
      <c r="B9" s="396"/>
      <c r="C9" s="388"/>
      <c r="D9" s="389"/>
      <c r="E9" s="290"/>
      <c r="F9" s="290"/>
      <c r="G9" s="290"/>
      <c r="H9" s="290"/>
      <c r="I9" s="293"/>
      <c r="J9" s="290"/>
      <c r="K9" s="293"/>
      <c r="L9" s="293"/>
      <c r="M9" s="293"/>
      <c r="N9" s="412"/>
    </row>
    <row r="10" spans="1:17" ht="26.25" customHeight="1">
      <c r="A10" s="388"/>
      <c r="B10" s="396"/>
      <c r="C10" s="388"/>
      <c r="D10" s="389"/>
      <c r="E10" s="290"/>
      <c r="F10" s="290"/>
      <c r="G10" s="290"/>
      <c r="H10" s="290"/>
      <c r="I10" s="293"/>
      <c r="J10" s="290"/>
      <c r="K10" s="293"/>
      <c r="L10" s="293"/>
      <c r="M10" s="293"/>
      <c r="N10" s="412"/>
    </row>
    <row r="11" spans="1:17" ht="26.25" customHeight="1">
      <c r="A11" s="388"/>
      <c r="B11" s="396"/>
      <c r="C11" s="388"/>
      <c r="D11" s="389"/>
      <c r="E11" s="290"/>
      <c r="F11" s="290"/>
      <c r="G11" s="290"/>
      <c r="H11" s="290"/>
      <c r="I11" s="293"/>
      <c r="J11" s="290"/>
      <c r="K11" s="293"/>
      <c r="L11" s="293"/>
      <c r="M11" s="293"/>
      <c r="N11" s="412"/>
    </row>
    <row r="12" spans="1:17" ht="23.1" customHeight="1">
      <c r="A12" s="413"/>
      <c r="B12" s="414"/>
      <c r="C12" s="413"/>
      <c r="D12" s="415"/>
      <c r="E12" s="291"/>
      <c r="F12" s="291"/>
      <c r="G12" s="291"/>
      <c r="H12" s="291"/>
      <c r="I12" s="294"/>
      <c r="J12" s="291"/>
      <c r="K12" s="294"/>
      <c r="L12" s="294"/>
      <c r="M12" s="294"/>
      <c r="N12" s="407"/>
    </row>
    <row r="13" spans="1:17" ht="23.1" customHeight="1">
      <c r="A13" s="399" t="s">
        <v>284</v>
      </c>
      <c r="B13" s="400"/>
      <c r="C13" s="400"/>
      <c r="D13" s="400"/>
      <c r="E13" s="400"/>
      <c r="F13" s="400"/>
      <c r="G13" s="400"/>
      <c r="H13" s="401"/>
      <c r="I13" s="195" t="s">
        <v>245</v>
      </c>
      <c r="J13" s="169"/>
      <c r="K13" s="196">
        <f>SUM(K6:K7)</f>
        <v>3960000000</v>
      </c>
      <c r="L13" s="196"/>
      <c r="M13" s="196"/>
      <c r="N13" s="194"/>
    </row>
    <row r="14" spans="1:17" ht="23.1" customHeight="1">
      <c r="A14" s="398"/>
      <c r="B14" s="398"/>
      <c r="C14" s="398"/>
      <c r="D14" s="398"/>
      <c r="E14" s="398"/>
      <c r="F14" s="398"/>
      <c r="G14" s="398"/>
      <c r="H14" s="398"/>
      <c r="I14" s="398"/>
      <c r="J14" s="398"/>
      <c r="K14" s="398"/>
      <c r="L14" s="398"/>
      <c r="M14" s="398"/>
      <c r="N14" s="398"/>
    </row>
  </sheetData>
  <mergeCells count="26">
    <mergeCell ref="A2:M2"/>
    <mergeCell ref="A14:N14"/>
    <mergeCell ref="A13:H13"/>
    <mergeCell ref="A1:N1"/>
    <mergeCell ref="N4:N5"/>
    <mergeCell ref="F3:L3"/>
    <mergeCell ref="A4:B5"/>
    <mergeCell ref="C4:D5"/>
    <mergeCell ref="E4:H4"/>
    <mergeCell ref="I4:I5"/>
    <mergeCell ref="J4:M4"/>
    <mergeCell ref="N6:N12"/>
    <mergeCell ref="A11:B11"/>
    <mergeCell ref="A12:B12"/>
    <mergeCell ref="C12:D12"/>
    <mergeCell ref="C11:D11"/>
    <mergeCell ref="C10:D10"/>
    <mergeCell ref="A6:B6"/>
    <mergeCell ref="A7:B7"/>
    <mergeCell ref="C6:D6"/>
    <mergeCell ref="C7:D7"/>
    <mergeCell ref="A10:B10"/>
    <mergeCell ref="A9:B9"/>
    <mergeCell ref="A8:B8"/>
    <mergeCell ref="C9:D9"/>
    <mergeCell ref="C8:D8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fitToHeight="0" orientation="landscape" r:id="rId1"/>
  <headerFooter>
    <oddFooter>&amp;C&amp;"맑은 고딕,Regular"&amp;P</oddFooter>
  </headerFooter>
  <rowBreaks count="2" manualBreakCount="2">
    <brk id="1" max="1048575" man="1"/>
    <brk id="15" max="104857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J19"/>
  <sheetViews>
    <sheetView view="pageBreakPreview" topLeftCell="A4" zoomScale="120" zoomScaleNormal="100" zoomScaleSheetLayoutView="120" workbookViewId="0">
      <selection activeCell="C16" sqref="C16:G16"/>
    </sheetView>
  </sheetViews>
  <sheetFormatPr defaultColWidth="8.88671875" defaultRowHeight="39.950000000000003" customHeight="1"/>
  <cols>
    <col min="1" max="2" width="7.77734375" style="47" customWidth="1"/>
    <col min="3" max="3" width="6.77734375" style="47" customWidth="1"/>
    <col min="4" max="4" width="4.77734375" style="47" customWidth="1"/>
    <col min="5" max="5" width="10.77734375" style="47" customWidth="1"/>
    <col min="6" max="6" width="14.77734375" style="47" customWidth="1"/>
    <col min="7" max="7" width="20.77734375" style="47" customWidth="1"/>
    <col min="8" max="8" width="9.6640625" style="47" customWidth="1"/>
    <col min="9" max="16384" width="8.88671875" style="47"/>
  </cols>
  <sheetData>
    <row r="1" spans="1:10" ht="399.95" customHeight="1">
      <c r="A1" s="416" t="str">
        <f>A2</f>
        <v>5. 담 보 권 자 의  목 록</v>
      </c>
      <c r="B1" s="416"/>
      <c r="C1" s="416"/>
      <c r="D1" s="416"/>
      <c r="E1" s="416"/>
      <c r="F1" s="416"/>
      <c r="G1" s="416"/>
    </row>
    <row r="2" spans="1:10" ht="25.5">
      <c r="A2" s="417" t="s">
        <v>85</v>
      </c>
      <c r="B2" s="417"/>
      <c r="C2" s="417"/>
      <c r="D2" s="417"/>
      <c r="E2" s="417"/>
      <c r="F2" s="417"/>
      <c r="G2" s="417"/>
      <c r="I2" s="47" t="s">
        <v>102</v>
      </c>
      <c r="J2" s="48"/>
    </row>
    <row r="3" spans="1:10" ht="13.5">
      <c r="A3" s="418" t="s">
        <v>34</v>
      </c>
      <c r="B3" s="418"/>
      <c r="C3" s="419" t="str">
        <f>표지!$O$3&amp;"  "&amp;표지!O4</f>
        <v>20○○회합100○○○  회생</v>
      </c>
      <c r="D3" s="420"/>
      <c r="E3" s="420"/>
      <c r="F3" s="25" t="s">
        <v>261</v>
      </c>
      <c r="G3" s="25" t="str">
        <f>표지!$O$5</f>
        <v>○○○○ 주식회사</v>
      </c>
      <c r="H3"/>
    </row>
    <row r="4" spans="1:10" ht="13.5">
      <c r="A4" s="421" t="s">
        <v>146</v>
      </c>
      <c r="B4" s="25" t="s">
        <v>185</v>
      </c>
      <c r="C4" s="419" t="str">
        <f>담보권총괄표!C5</f>
        <v>**은행(은행장 ***)</v>
      </c>
      <c r="D4" s="420"/>
      <c r="E4" s="420"/>
      <c r="F4" s="420"/>
      <c r="G4" s="424"/>
      <c r="H4"/>
    </row>
    <row r="5" spans="1:10" ht="13.5">
      <c r="A5" s="422"/>
      <c r="B5" s="25" t="s">
        <v>180</v>
      </c>
      <c r="C5" s="419" t="str">
        <f>담보권총괄표!D5</f>
        <v>서울특별시 ***구 **로 **</v>
      </c>
      <c r="D5" s="420"/>
      <c r="E5" s="420"/>
      <c r="F5" s="420"/>
      <c r="G5" s="424"/>
      <c r="H5"/>
    </row>
    <row r="6" spans="1:10" ht="13.5">
      <c r="A6" s="423"/>
      <c r="B6" s="25" t="s">
        <v>23</v>
      </c>
      <c r="C6" s="419"/>
      <c r="D6" s="420"/>
      <c r="E6" s="420"/>
      <c r="F6" s="25" t="s">
        <v>151</v>
      </c>
      <c r="G6" s="25"/>
      <c r="H6"/>
    </row>
    <row r="7" spans="1:10" ht="13.5">
      <c r="A7" s="418" t="s">
        <v>125</v>
      </c>
      <c r="B7" s="418"/>
      <c r="C7" s="419" t="str">
        <f>담보권총괄표!B5</f>
        <v>담보1</v>
      </c>
      <c r="D7" s="420"/>
      <c r="E7" s="420"/>
      <c r="F7" s="25" t="s">
        <v>190</v>
      </c>
      <c r="G7" s="25"/>
      <c r="H7"/>
    </row>
    <row r="8" spans="1:10" ht="13.5">
      <c r="A8" s="428" t="s">
        <v>324</v>
      </c>
      <c r="B8" s="429"/>
      <c r="C8" s="17" t="s">
        <v>153</v>
      </c>
      <c r="D8" s="425" t="str">
        <f>담보권총괄표!G5</f>
        <v>대여금채권</v>
      </c>
      <c r="E8" s="425"/>
      <c r="F8" s="426"/>
      <c r="G8" s="427"/>
      <c r="H8"/>
    </row>
    <row r="9" spans="1:10" ht="13.5">
      <c r="A9" s="430"/>
      <c r="B9" s="431"/>
      <c r="C9" s="18" t="s">
        <v>181</v>
      </c>
      <c r="D9" s="19" t="s">
        <v>260</v>
      </c>
      <c r="E9" s="68" t="s">
        <v>18</v>
      </c>
      <c r="F9" s="59">
        <f>담보권총괄표!H6</f>
        <v>2700000000</v>
      </c>
      <c r="G9" s="21" t="s">
        <v>238</v>
      </c>
      <c r="H9"/>
    </row>
    <row r="10" spans="1:10" ht="13.5">
      <c r="A10" s="430"/>
      <c r="B10" s="431"/>
      <c r="C10" s="18"/>
      <c r="D10" s="19" t="s">
        <v>260</v>
      </c>
      <c r="E10" s="68" t="s">
        <v>132</v>
      </c>
      <c r="F10" s="59">
        <f>담보권총괄표!H8</f>
        <v>0</v>
      </c>
      <c r="G10" s="21" t="s">
        <v>238</v>
      </c>
      <c r="H10"/>
    </row>
    <row r="11" spans="1:10" ht="13.5">
      <c r="A11" s="432"/>
      <c r="B11" s="433"/>
      <c r="C11" s="18"/>
      <c r="D11" s="19"/>
      <c r="E11" s="20"/>
      <c r="F11" s="60"/>
      <c r="G11" s="21"/>
      <c r="H11"/>
    </row>
    <row r="12" spans="1:10" ht="25.5" customHeight="1">
      <c r="A12" s="428" t="s">
        <v>347</v>
      </c>
      <c r="B12" s="429"/>
      <c r="C12" s="418" t="s">
        <v>265</v>
      </c>
      <c r="D12" s="418"/>
      <c r="E12" s="434" t="s">
        <v>461</v>
      </c>
      <c r="F12" s="435"/>
      <c r="G12" s="436"/>
      <c r="H12"/>
    </row>
    <row r="13" spans="1:10" ht="13.5">
      <c r="A13" s="432"/>
      <c r="B13" s="433"/>
      <c r="C13" s="418" t="s">
        <v>283</v>
      </c>
      <c r="D13" s="418"/>
      <c r="E13" s="97"/>
      <c r="F13" s="98">
        <v>0</v>
      </c>
      <c r="G13" s="99" t="s">
        <v>238</v>
      </c>
      <c r="H13"/>
    </row>
    <row r="14" spans="1:10" ht="13.5">
      <c r="A14" s="447" t="s">
        <v>357</v>
      </c>
      <c r="B14" s="448"/>
      <c r="C14" s="50"/>
      <c r="D14" s="51"/>
      <c r="E14" s="24"/>
      <c r="F14" s="296">
        <f>담보권총괄표!I6</f>
        <v>0</v>
      </c>
      <c r="G14" s="72" t="s">
        <v>238</v>
      </c>
    </row>
    <row r="15" spans="1:10" ht="13.5">
      <c r="A15" s="449" t="s">
        <v>121</v>
      </c>
      <c r="B15" s="447"/>
      <c r="C15" s="49"/>
      <c r="D15" s="52"/>
      <c r="E15" s="53"/>
      <c r="F15" s="59">
        <f>담보권총괄표!J6</f>
        <v>0</v>
      </c>
      <c r="G15" s="69" t="s">
        <v>238</v>
      </c>
      <c r="H15" s="54"/>
    </row>
    <row r="16" spans="1:10" ht="25.5" customHeight="1">
      <c r="A16" s="450" t="s">
        <v>32</v>
      </c>
      <c r="B16" s="445"/>
      <c r="C16" s="451"/>
      <c r="D16" s="452"/>
      <c r="E16" s="452"/>
      <c r="F16" s="452"/>
      <c r="G16" s="453"/>
    </row>
    <row r="17" spans="1:8" ht="13.5">
      <c r="A17" s="449" t="s">
        <v>311</v>
      </c>
      <c r="B17" s="449"/>
      <c r="C17" s="454"/>
      <c r="D17" s="454"/>
      <c r="E17" s="454"/>
      <c r="F17" s="454"/>
      <c r="G17" s="454"/>
    </row>
    <row r="18" spans="1:8" ht="13.5">
      <c r="A18" s="443" t="s">
        <v>19</v>
      </c>
      <c r="B18" s="444"/>
      <c r="C18" s="437" t="str">
        <f>담보권총괄표!N5</f>
        <v>감정 미실시로 담보배분은 유보함.</v>
      </c>
      <c r="D18" s="438"/>
      <c r="E18" s="438"/>
      <c r="F18" s="438"/>
      <c r="G18" s="439"/>
      <c r="H18" s="55"/>
    </row>
    <row r="19" spans="1:8" ht="13.5">
      <c r="A19" s="445"/>
      <c r="B19" s="446"/>
      <c r="C19" s="440"/>
      <c r="D19" s="441"/>
      <c r="E19" s="441"/>
      <c r="F19" s="441"/>
      <c r="G19" s="442"/>
      <c r="H19" s="55"/>
    </row>
  </sheetData>
  <mergeCells count="25">
    <mergeCell ref="A12:B13"/>
    <mergeCell ref="C12:D12"/>
    <mergeCell ref="E12:G12"/>
    <mergeCell ref="C13:D13"/>
    <mergeCell ref="C18:G19"/>
    <mergeCell ref="A18:B19"/>
    <mergeCell ref="A14:B14"/>
    <mergeCell ref="A15:B15"/>
    <mergeCell ref="A16:B16"/>
    <mergeCell ref="C16:G16"/>
    <mergeCell ref="A17:B17"/>
    <mergeCell ref="C17:G17"/>
    <mergeCell ref="A7:B7"/>
    <mergeCell ref="C7:E7"/>
    <mergeCell ref="D8:E8"/>
    <mergeCell ref="F8:G8"/>
    <mergeCell ref="A8:B11"/>
    <mergeCell ref="A1:G1"/>
    <mergeCell ref="A2:G2"/>
    <mergeCell ref="A3:B3"/>
    <mergeCell ref="C3:E3"/>
    <mergeCell ref="A4:A6"/>
    <mergeCell ref="C4:G4"/>
    <mergeCell ref="C5:G5"/>
    <mergeCell ref="C6:E6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fitToHeight="0" orientation="landscape" r:id="rId1"/>
  <headerFooter>
    <oddFooter>&amp;C&amp;"맑은 고딕,Regular"&amp;P</oddFooter>
  </headerFooter>
  <rowBreaks count="1" manualBreakCount="1">
    <brk id="1" max="104857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  <pageSetUpPr fitToPage="1"/>
  </sheetPr>
  <dimension ref="A1:N55"/>
  <sheetViews>
    <sheetView zoomScaleNormal="100" zoomScaleSheetLayoutView="75" workbookViewId="0">
      <pane xSplit="4" ySplit="1" topLeftCell="E2" activePane="bottomRight" state="frozen"/>
      <selection pane="topRight"/>
      <selection pane="bottomLeft"/>
      <selection pane="bottomRight" activeCell="N10" sqref="N10"/>
    </sheetView>
  </sheetViews>
  <sheetFormatPr defaultColWidth="8.88671875" defaultRowHeight="30" customHeight="1"/>
  <cols>
    <col min="1" max="1" width="4.44140625" style="78" bestFit="1" customWidth="1"/>
    <col min="2" max="2" width="4.21875" style="76" bestFit="1" customWidth="1"/>
    <col min="3" max="3" width="6.77734375" style="76" customWidth="1"/>
    <col min="4" max="4" width="20.109375" style="76" bestFit="1" customWidth="1"/>
    <col min="5" max="5" width="23.6640625" style="76" customWidth="1"/>
    <col min="6" max="6" width="7.5546875" style="77" customWidth="1"/>
    <col min="7" max="7" width="12.33203125" style="78" bestFit="1" customWidth="1"/>
    <col min="8" max="8" width="17.109375" style="76" customWidth="1"/>
    <col min="9" max="9" width="14.5546875" style="126" customWidth="1"/>
    <col min="10" max="10" width="12.5546875" style="126" customWidth="1"/>
    <col min="11" max="11" width="14.5546875" style="126" customWidth="1"/>
    <col min="12" max="12" width="12.5546875" style="126" customWidth="1"/>
    <col min="13" max="13" width="10.44140625" style="76" customWidth="1"/>
    <col min="14" max="14" width="41" style="76" customWidth="1"/>
    <col min="15" max="15" width="11.5546875" style="76" customWidth="1"/>
    <col min="16" max="16" width="8.88671875" style="76"/>
    <col min="17" max="17" width="12.6640625" style="76" bestFit="1" customWidth="1"/>
    <col min="18" max="16384" width="8.88671875" style="76"/>
  </cols>
  <sheetData>
    <row r="1" spans="1:14" ht="30" customHeight="1">
      <c r="A1" s="63" t="s">
        <v>21</v>
      </c>
      <c r="B1" s="63" t="s">
        <v>258</v>
      </c>
      <c r="C1" s="63" t="s">
        <v>199</v>
      </c>
      <c r="D1" s="63" t="s">
        <v>240</v>
      </c>
      <c r="E1" s="63" t="s">
        <v>162</v>
      </c>
      <c r="F1" s="64" t="s">
        <v>163</v>
      </c>
      <c r="G1" s="166" t="s">
        <v>243</v>
      </c>
      <c r="H1" s="63" t="s">
        <v>176</v>
      </c>
      <c r="I1" s="120" t="s">
        <v>377</v>
      </c>
      <c r="J1" s="120" t="s">
        <v>48</v>
      </c>
      <c r="K1" s="120" t="s">
        <v>335</v>
      </c>
      <c r="L1" s="120" t="s">
        <v>39</v>
      </c>
      <c r="M1" s="63" t="s">
        <v>262</v>
      </c>
      <c r="N1" s="63" t="s">
        <v>19</v>
      </c>
    </row>
    <row r="2" spans="1:14" ht="48">
      <c r="A2" s="65">
        <v>1</v>
      </c>
      <c r="B2" s="65" t="s">
        <v>236</v>
      </c>
      <c r="C2" s="74" t="s">
        <v>270</v>
      </c>
      <c r="D2" s="75" t="s">
        <v>96</v>
      </c>
      <c r="E2" s="162" t="s">
        <v>24</v>
      </c>
      <c r="F2" s="163" t="s">
        <v>140</v>
      </c>
      <c r="G2" s="155" t="s">
        <v>348</v>
      </c>
      <c r="H2" s="164" t="s">
        <v>136</v>
      </c>
      <c r="I2" s="165">
        <v>300000000</v>
      </c>
      <c r="J2" s="122" t="str">
        <f>""</f>
        <v/>
      </c>
      <c r="K2" s="121">
        <f>I2</f>
        <v>300000000</v>
      </c>
      <c r="L2" s="123"/>
      <c r="M2" s="66"/>
      <c r="N2" s="208" t="s">
        <v>117</v>
      </c>
    </row>
    <row r="3" spans="1:14" ht="30" customHeight="1">
      <c r="A3" s="65">
        <v>1</v>
      </c>
      <c r="B3" s="65" t="s">
        <v>236</v>
      </c>
      <c r="C3" s="74" t="s">
        <v>269</v>
      </c>
      <c r="D3" s="75" t="s">
        <v>96</v>
      </c>
      <c r="E3" s="162" t="s">
        <v>24</v>
      </c>
      <c r="F3" s="163" t="s">
        <v>140</v>
      </c>
      <c r="G3" s="155" t="s">
        <v>366</v>
      </c>
      <c r="H3" s="164" t="s">
        <v>136</v>
      </c>
      <c r="I3" s="165">
        <v>399550769</v>
      </c>
      <c r="J3" s="122"/>
      <c r="K3" s="121">
        <f t="shared" ref="K3:K39" si="0">I3</f>
        <v>399550769</v>
      </c>
      <c r="L3" s="123"/>
      <c r="M3" s="66"/>
      <c r="N3" s="67" t="s">
        <v>6</v>
      </c>
    </row>
    <row r="4" spans="1:14" ht="30" customHeight="1">
      <c r="A4" s="65">
        <v>1</v>
      </c>
      <c r="B4" s="65" t="s">
        <v>236</v>
      </c>
      <c r="C4" s="74" t="s">
        <v>271</v>
      </c>
      <c r="D4" s="75" t="s">
        <v>96</v>
      </c>
      <c r="E4" s="162" t="s">
        <v>24</v>
      </c>
      <c r="F4" s="163" t="s">
        <v>140</v>
      </c>
      <c r="G4" s="155" t="s">
        <v>366</v>
      </c>
      <c r="H4" s="164" t="s">
        <v>136</v>
      </c>
      <c r="I4" s="165">
        <v>40674000</v>
      </c>
      <c r="J4" s="122"/>
      <c r="K4" s="121">
        <f t="shared" si="0"/>
        <v>40674000</v>
      </c>
      <c r="L4" s="123"/>
      <c r="M4" s="66"/>
      <c r="N4" s="208" t="s">
        <v>61</v>
      </c>
    </row>
    <row r="5" spans="1:14" ht="30" customHeight="1">
      <c r="A5" s="65">
        <v>1</v>
      </c>
      <c r="B5" s="65" t="s">
        <v>236</v>
      </c>
      <c r="C5" s="74" t="s">
        <v>275</v>
      </c>
      <c r="D5" s="75" t="s">
        <v>96</v>
      </c>
      <c r="E5" s="162" t="s">
        <v>24</v>
      </c>
      <c r="F5" s="163" t="s">
        <v>140</v>
      </c>
      <c r="G5" s="155" t="s">
        <v>307</v>
      </c>
      <c r="H5" s="164" t="s">
        <v>136</v>
      </c>
      <c r="I5" s="165">
        <v>340000000</v>
      </c>
      <c r="J5" s="122"/>
      <c r="K5" s="121">
        <f t="shared" si="0"/>
        <v>340000000</v>
      </c>
      <c r="L5" s="123"/>
      <c r="M5" s="66"/>
      <c r="N5" s="67" t="s">
        <v>4</v>
      </c>
    </row>
    <row r="6" spans="1:14" ht="30" customHeight="1">
      <c r="A6" s="65">
        <v>1</v>
      </c>
      <c r="B6" s="65" t="s">
        <v>236</v>
      </c>
      <c r="C6" s="74" t="s">
        <v>274</v>
      </c>
      <c r="D6" s="75" t="s">
        <v>96</v>
      </c>
      <c r="E6" s="162" t="s">
        <v>24</v>
      </c>
      <c r="F6" s="163" t="s">
        <v>140</v>
      </c>
      <c r="G6" s="155" t="s">
        <v>350</v>
      </c>
      <c r="H6" s="164" t="s">
        <v>136</v>
      </c>
      <c r="I6" s="165">
        <v>25930990</v>
      </c>
      <c r="J6" s="122"/>
      <c r="K6" s="121">
        <f t="shared" si="0"/>
        <v>25930990</v>
      </c>
      <c r="L6" s="123"/>
      <c r="M6" s="66"/>
      <c r="N6" s="67" t="s">
        <v>320</v>
      </c>
    </row>
    <row r="7" spans="1:14" s="107" customFormat="1" ht="30" customHeight="1">
      <c r="A7" s="100"/>
      <c r="B7" s="100"/>
      <c r="C7" s="101"/>
      <c r="D7" s="102" t="s">
        <v>359</v>
      </c>
      <c r="E7" s="178"/>
      <c r="F7" s="179"/>
      <c r="G7" s="159"/>
      <c r="H7" s="178"/>
      <c r="I7" s="180">
        <f>SUM(I2:I6)</f>
        <v>1106155759</v>
      </c>
      <c r="J7" s="180">
        <f t="shared" ref="J7:K7" si="1">SUM(J2:J6)</f>
        <v>0</v>
      </c>
      <c r="K7" s="180">
        <f t="shared" si="1"/>
        <v>1106155759</v>
      </c>
      <c r="L7" s="181"/>
      <c r="M7" s="106"/>
      <c r="N7" s="103"/>
    </row>
    <row r="8" spans="1:14" ht="36">
      <c r="A8" s="65">
        <v>2</v>
      </c>
      <c r="B8" s="65" t="s">
        <v>236</v>
      </c>
      <c r="C8" s="74" t="s">
        <v>237</v>
      </c>
      <c r="D8" s="75" t="s">
        <v>37</v>
      </c>
      <c r="E8" s="162" t="s">
        <v>31</v>
      </c>
      <c r="F8" s="163" t="s">
        <v>139</v>
      </c>
      <c r="G8" s="155" t="s">
        <v>319</v>
      </c>
      <c r="H8" s="164" t="s">
        <v>136</v>
      </c>
      <c r="I8" s="165">
        <v>380000000</v>
      </c>
      <c r="J8" s="122"/>
      <c r="K8" s="121">
        <f t="shared" si="0"/>
        <v>380000000</v>
      </c>
      <c r="L8" s="123"/>
      <c r="M8" s="66"/>
      <c r="N8" s="208" t="s">
        <v>228</v>
      </c>
    </row>
    <row r="9" spans="1:14" ht="36">
      <c r="A9" s="65">
        <v>2</v>
      </c>
      <c r="B9" s="65" t="s">
        <v>236</v>
      </c>
      <c r="C9" s="74" t="s">
        <v>235</v>
      </c>
      <c r="D9" s="75" t="s">
        <v>37</v>
      </c>
      <c r="E9" s="162" t="s">
        <v>31</v>
      </c>
      <c r="F9" s="163" t="s">
        <v>139</v>
      </c>
      <c r="G9" s="155" t="s">
        <v>367</v>
      </c>
      <c r="H9" s="164" t="s">
        <v>136</v>
      </c>
      <c r="I9" s="165">
        <v>150000000</v>
      </c>
      <c r="J9" s="122"/>
      <c r="K9" s="121">
        <f t="shared" si="0"/>
        <v>150000000</v>
      </c>
      <c r="L9" s="123"/>
      <c r="M9" s="66"/>
      <c r="N9" s="208" t="s">
        <v>227</v>
      </c>
    </row>
    <row r="10" spans="1:14" ht="30" customHeight="1">
      <c r="A10" s="65">
        <v>2</v>
      </c>
      <c r="B10" s="65" t="s">
        <v>236</v>
      </c>
      <c r="C10" s="74" t="s">
        <v>257</v>
      </c>
      <c r="D10" s="75" t="s">
        <v>37</v>
      </c>
      <c r="E10" s="162" t="s">
        <v>31</v>
      </c>
      <c r="F10" s="163" t="s">
        <v>139</v>
      </c>
      <c r="G10" s="155" t="s">
        <v>336</v>
      </c>
      <c r="H10" s="164" t="s">
        <v>136</v>
      </c>
      <c r="I10" s="165">
        <v>259000000</v>
      </c>
      <c r="J10" s="122"/>
      <c r="K10" s="121">
        <f t="shared" si="0"/>
        <v>259000000</v>
      </c>
      <c r="L10" s="123"/>
      <c r="M10" s="66"/>
      <c r="N10" s="67" t="s">
        <v>69</v>
      </c>
    </row>
    <row r="11" spans="1:14" ht="36">
      <c r="A11" s="65">
        <v>2</v>
      </c>
      <c r="B11" s="65" t="s">
        <v>236</v>
      </c>
      <c r="C11" s="74" t="s">
        <v>289</v>
      </c>
      <c r="D11" s="75" t="s">
        <v>37</v>
      </c>
      <c r="E11" s="162" t="s">
        <v>31</v>
      </c>
      <c r="F11" s="163" t="s">
        <v>139</v>
      </c>
      <c r="G11" s="155" t="s">
        <v>329</v>
      </c>
      <c r="H11" s="164" t="s">
        <v>136</v>
      </c>
      <c r="I11" s="165">
        <v>300000000</v>
      </c>
      <c r="J11" s="122"/>
      <c r="K11" s="121">
        <f t="shared" si="0"/>
        <v>300000000</v>
      </c>
      <c r="L11" s="123"/>
      <c r="M11" s="66"/>
      <c r="N11" s="208" t="s">
        <v>226</v>
      </c>
    </row>
    <row r="12" spans="1:14" s="107" customFormat="1" ht="30" customHeight="1">
      <c r="A12" s="100"/>
      <c r="B12" s="100"/>
      <c r="C12" s="101"/>
      <c r="D12" s="102" t="s">
        <v>340</v>
      </c>
      <c r="E12" s="178"/>
      <c r="F12" s="179"/>
      <c r="G12" s="159"/>
      <c r="H12" s="178"/>
      <c r="I12" s="180">
        <f>SUM(I8:I11)</f>
        <v>1089000000</v>
      </c>
      <c r="J12" s="180">
        <f t="shared" ref="J12:K12" si="2">SUM(J8:J11)</f>
        <v>0</v>
      </c>
      <c r="K12" s="180">
        <f t="shared" si="2"/>
        <v>1089000000</v>
      </c>
      <c r="L12" s="181"/>
      <c r="M12" s="106"/>
      <c r="N12" s="103"/>
    </row>
    <row r="13" spans="1:14" ht="36">
      <c r="A13" s="65">
        <v>3</v>
      </c>
      <c r="B13" s="65" t="s">
        <v>236</v>
      </c>
      <c r="C13" s="74">
        <v>3</v>
      </c>
      <c r="D13" s="75" t="s">
        <v>29</v>
      </c>
      <c r="E13" s="162" t="s">
        <v>70</v>
      </c>
      <c r="F13" s="163" t="s">
        <v>144</v>
      </c>
      <c r="G13" s="155" t="s">
        <v>352</v>
      </c>
      <c r="H13" s="164" t="s">
        <v>136</v>
      </c>
      <c r="I13" s="165">
        <v>350000000</v>
      </c>
      <c r="J13" s="122"/>
      <c r="K13" s="121">
        <f t="shared" si="0"/>
        <v>350000000</v>
      </c>
      <c r="L13" s="123"/>
      <c r="M13" s="66"/>
      <c r="N13" s="208" t="s">
        <v>52</v>
      </c>
    </row>
    <row r="14" spans="1:14" ht="30" customHeight="1">
      <c r="A14" s="65">
        <v>4</v>
      </c>
      <c r="B14" s="65" t="s">
        <v>236</v>
      </c>
      <c r="C14" s="74">
        <v>4</v>
      </c>
      <c r="D14" s="75" t="s">
        <v>12</v>
      </c>
      <c r="E14" s="162" t="s">
        <v>49</v>
      </c>
      <c r="F14" s="163">
        <v>52851</v>
      </c>
      <c r="G14" s="155" t="s">
        <v>343</v>
      </c>
      <c r="H14" s="164" t="s">
        <v>136</v>
      </c>
      <c r="I14" s="165">
        <v>95680000</v>
      </c>
      <c r="J14" s="122"/>
      <c r="K14" s="121">
        <f t="shared" si="0"/>
        <v>95680000</v>
      </c>
      <c r="L14" s="123"/>
      <c r="M14" s="66"/>
      <c r="N14" s="67" t="s">
        <v>75</v>
      </c>
    </row>
    <row r="15" spans="1:14" ht="30" customHeight="1">
      <c r="A15" s="65">
        <v>5</v>
      </c>
      <c r="B15" s="65" t="s">
        <v>236</v>
      </c>
      <c r="C15" s="74">
        <v>5</v>
      </c>
      <c r="D15" s="75" t="s">
        <v>105</v>
      </c>
      <c r="E15" s="162" t="s">
        <v>100</v>
      </c>
      <c r="F15" s="163" t="s">
        <v>164</v>
      </c>
      <c r="G15" s="155" t="s">
        <v>309</v>
      </c>
      <c r="H15" s="164" t="s">
        <v>136</v>
      </c>
      <c r="I15" s="165">
        <v>5087769</v>
      </c>
      <c r="J15" s="122"/>
      <c r="K15" s="121">
        <f t="shared" si="0"/>
        <v>5087769</v>
      </c>
      <c r="L15" s="123"/>
      <c r="M15" s="66"/>
      <c r="N15" s="208" t="s">
        <v>392</v>
      </c>
    </row>
    <row r="16" spans="1:14" ht="30" customHeight="1">
      <c r="A16" s="65">
        <v>6</v>
      </c>
      <c r="B16" s="65" t="s">
        <v>236</v>
      </c>
      <c r="C16" s="74">
        <v>6</v>
      </c>
      <c r="D16" s="75" t="s">
        <v>98</v>
      </c>
      <c r="E16" s="162" t="s">
        <v>103</v>
      </c>
      <c r="F16" s="163" t="s">
        <v>133</v>
      </c>
      <c r="G16" s="155" t="s">
        <v>309</v>
      </c>
      <c r="H16" s="164" t="s">
        <v>136</v>
      </c>
      <c r="I16" s="165">
        <v>48730764</v>
      </c>
      <c r="J16" s="122"/>
      <c r="K16" s="121">
        <f t="shared" si="0"/>
        <v>48730764</v>
      </c>
      <c r="L16" s="123"/>
      <c r="M16" s="66"/>
      <c r="N16" s="208" t="s">
        <v>393</v>
      </c>
    </row>
    <row r="17" spans="1:14" ht="30" customHeight="1">
      <c r="A17" s="65">
        <v>7</v>
      </c>
      <c r="B17" s="65" t="s">
        <v>236</v>
      </c>
      <c r="C17" s="74">
        <v>7</v>
      </c>
      <c r="D17" s="75" t="s">
        <v>88</v>
      </c>
      <c r="E17" s="162" t="s">
        <v>27</v>
      </c>
      <c r="F17" s="163" t="s">
        <v>126</v>
      </c>
      <c r="G17" s="155" t="s">
        <v>350</v>
      </c>
      <c r="H17" s="164" t="s">
        <v>136</v>
      </c>
      <c r="I17" s="165">
        <v>17036203</v>
      </c>
      <c r="J17" s="122"/>
      <c r="K17" s="121">
        <f t="shared" si="0"/>
        <v>17036203</v>
      </c>
      <c r="L17" s="123"/>
      <c r="M17" s="66"/>
      <c r="N17" s="67" t="s">
        <v>320</v>
      </c>
    </row>
    <row r="18" spans="1:14" ht="30" customHeight="1">
      <c r="A18" s="65">
        <v>8</v>
      </c>
      <c r="B18" s="65" t="s">
        <v>236</v>
      </c>
      <c r="C18" s="74">
        <v>8</v>
      </c>
      <c r="D18" s="75" t="s">
        <v>94</v>
      </c>
      <c r="E18" s="162" t="s">
        <v>55</v>
      </c>
      <c r="F18" s="163" t="s">
        <v>0</v>
      </c>
      <c r="G18" s="155" t="s">
        <v>350</v>
      </c>
      <c r="H18" s="164" t="s">
        <v>136</v>
      </c>
      <c r="I18" s="165">
        <v>16455827</v>
      </c>
      <c r="J18" s="122"/>
      <c r="K18" s="121">
        <f t="shared" si="0"/>
        <v>16455827</v>
      </c>
      <c r="L18" s="123"/>
      <c r="M18" s="66"/>
      <c r="N18" s="67" t="s">
        <v>320</v>
      </c>
    </row>
    <row r="19" spans="1:14" ht="30" customHeight="1">
      <c r="A19" s="65">
        <v>9</v>
      </c>
      <c r="B19" s="65" t="s">
        <v>236</v>
      </c>
      <c r="C19" s="74">
        <v>9</v>
      </c>
      <c r="D19" s="75" t="s">
        <v>116</v>
      </c>
      <c r="E19" s="162" t="s">
        <v>33</v>
      </c>
      <c r="F19" s="163" t="s">
        <v>143</v>
      </c>
      <c r="G19" s="155" t="s">
        <v>350</v>
      </c>
      <c r="H19" s="164" t="s">
        <v>136</v>
      </c>
      <c r="I19" s="165">
        <v>57970547</v>
      </c>
      <c r="J19" s="122"/>
      <c r="K19" s="121">
        <f t="shared" si="0"/>
        <v>57970547</v>
      </c>
      <c r="L19" s="123"/>
      <c r="M19" s="66"/>
      <c r="N19" s="67" t="s">
        <v>320</v>
      </c>
    </row>
    <row r="20" spans="1:14" ht="30" customHeight="1">
      <c r="A20" s="65">
        <v>10</v>
      </c>
      <c r="B20" s="65" t="s">
        <v>236</v>
      </c>
      <c r="C20" s="74">
        <v>10</v>
      </c>
      <c r="D20" s="75" t="s">
        <v>293</v>
      </c>
      <c r="E20" s="162" t="s">
        <v>223</v>
      </c>
      <c r="F20" s="163" t="s">
        <v>169</v>
      </c>
      <c r="G20" s="155" t="s">
        <v>349</v>
      </c>
      <c r="H20" s="164" t="s">
        <v>136</v>
      </c>
      <c r="I20" s="165">
        <v>84919510</v>
      </c>
      <c r="J20" s="122"/>
      <c r="K20" s="121">
        <f t="shared" si="0"/>
        <v>84919510</v>
      </c>
      <c r="L20" s="123"/>
      <c r="M20" s="66"/>
      <c r="N20" s="67" t="s">
        <v>43</v>
      </c>
    </row>
    <row r="21" spans="1:14" ht="30" customHeight="1">
      <c r="A21" s="65">
        <v>11</v>
      </c>
      <c r="B21" s="65" t="s">
        <v>236</v>
      </c>
      <c r="C21" s="74">
        <v>11</v>
      </c>
      <c r="D21" s="75" t="s">
        <v>63</v>
      </c>
      <c r="E21" s="162" t="s">
        <v>9</v>
      </c>
      <c r="F21" s="163" t="s">
        <v>152</v>
      </c>
      <c r="G21" s="155" t="s">
        <v>316</v>
      </c>
      <c r="H21" s="164" t="s">
        <v>197</v>
      </c>
      <c r="I21" s="165">
        <v>127770818</v>
      </c>
      <c r="J21" s="122"/>
      <c r="K21" s="121">
        <f>I21</f>
        <v>127770818</v>
      </c>
      <c r="L21" s="123"/>
      <c r="M21" s="66"/>
      <c r="N21" s="208" t="s">
        <v>64</v>
      </c>
    </row>
    <row r="22" spans="1:14" ht="30" customHeight="1">
      <c r="A22" s="65">
        <v>12</v>
      </c>
      <c r="B22" s="65" t="s">
        <v>236</v>
      </c>
      <c r="C22" s="74">
        <v>12</v>
      </c>
      <c r="D22" s="75" t="s">
        <v>323</v>
      </c>
      <c r="E22" s="162" t="s">
        <v>8</v>
      </c>
      <c r="F22" s="163" t="s">
        <v>135</v>
      </c>
      <c r="G22" s="155" t="s">
        <v>325</v>
      </c>
      <c r="H22" s="164" t="s">
        <v>197</v>
      </c>
      <c r="I22" s="165">
        <v>784871312</v>
      </c>
      <c r="J22" s="122"/>
      <c r="K22" s="121">
        <f t="shared" ref="K22:K33" si="3">I22</f>
        <v>784871312</v>
      </c>
      <c r="L22" s="123"/>
      <c r="M22" s="66"/>
      <c r="N22" s="208" t="s">
        <v>81</v>
      </c>
    </row>
    <row r="23" spans="1:14" ht="30" customHeight="1">
      <c r="A23" s="65">
        <v>13</v>
      </c>
      <c r="B23" s="65" t="s">
        <v>236</v>
      </c>
      <c r="C23" s="74">
        <v>13</v>
      </c>
      <c r="D23" s="75" t="s">
        <v>344</v>
      </c>
      <c r="E23" s="162" t="s">
        <v>219</v>
      </c>
      <c r="F23" s="163" t="s">
        <v>145</v>
      </c>
      <c r="G23" s="155" t="s">
        <v>354</v>
      </c>
      <c r="H23" s="164" t="s">
        <v>197</v>
      </c>
      <c r="I23" s="165">
        <v>52134871</v>
      </c>
      <c r="J23" s="122"/>
      <c r="K23" s="121">
        <f t="shared" si="3"/>
        <v>52134871</v>
      </c>
      <c r="L23" s="123"/>
      <c r="M23" s="66"/>
      <c r="N23" s="67" t="s">
        <v>93</v>
      </c>
    </row>
    <row r="24" spans="1:14" ht="30" customHeight="1">
      <c r="A24" s="65">
        <v>14</v>
      </c>
      <c r="B24" s="65" t="s">
        <v>236</v>
      </c>
      <c r="C24" s="74">
        <v>14</v>
      </c>
      <c r="D24" s="75" t="s">
        <v>346</v>
      </c>
      <c r="E24" s="162" t="s">
        <v>224</v>
      </c>
      <c r="F24" s="163" t="s">
        <v>138</v>
      </c>
      <c r="G24" s="155" t="s">
        <v>326</v>
      </c>
      <c r="H24" s="164" t="s">
        <v>197</v>
      </c>
      <c r="I24" s="165">
        <v>385000</v>
      </c>
      <c r="J24" s="122"/>
      <c r="K24" s="121">
        <f t="shared" si="3"/>
        <v>385000</v>
      </c>
      <c r="L24" s="123"/>
      <c r="M24" s="66"/>
      <c r="N24" s="67" t="s">
        <v>107</v>
      </c>
    </row>
    <row r="25" spans="1:14" ht="30" customHeight="1">
      <c r="A25" s="65">
        <v>15</v>
      </c>
      <c r="B25" s="65" t="s">
        <v>236</v>
      </c>
      <c r="C25" s="74">
        <v>15</v>
      </c>
      <c r="D25" s="75" t="s">
        <v>44</v>
      </c>
      <c r="E25" s="162" t="s">
        <v>299</v>
      </c>
      <c r="F25" s="163" t="s">
        <v>129</v>
      </c>
      <c r="G25" s="155" t="s">
        <v>373</v>
      </c>
      <c r="H25" s="164" t="s">
        <v>197</v>
      </c>
      <c r="I25" s="165">
        <v>13152360</v>
      </c>
      <c r="J25" s="122"/>
      <c r="K25" s="121">
        <f t="shared" si="3"/>
        <v>13152360</v>
      </c>
      <c r="L25" s="123"/>
      <c r="M25" s="66"/>
      <c r="N25" s="67" t="s">
        <v>84</v>
      </c>
    </row>
    <row r="26" spans="1:14" ht="30" customHeight="1">
      <c r="A26" s="65">
        <v>16</v>
      </c>
      <c r="B26" s="65" t="s">
        <v>236</v>
      </c>
      <c r="C26" s="74">
        <v>16</v>
      </c>
      <c r="D26" s="75" t="s">
        <v>339</v>
      </c>
      <c r="E26" s="162" t="s">
        <v>221</v>
      </c>
      <c r="F26" s="163" t="s">
        <v>123</v>
      </c>
      <c r="G26" s="155" t="s">
        <v>342</v>
      </c>
      <c r="H26" s="164" t="s">
        <v>197</v>
      </c>
      <c r="I26" s="165">
        <v>2420000</v>
      </c>
      <c r="J26" s="122"/>
      <c r="K26" s="121">
        <f t="shared" si="3"/>
        <v>2420000</v>
      </c>
      <c r="L26" s="123"/>
      <c r="M26" s="66"/>
      <c r="N26" s="67" t="s">
        <v>66</v>
      </c>
    </row>
    <row r="27" spans="1:14" ht="30" customHeight="1">
      <c r="A27" s="65">
        <v>17</v>
      </c>
      <c r="B27" s="65" t="s">
        <v>236</v>
      </c>
      <c r="C27" s="74">
        <v>17</v>
      </c>
      <c r="D27" s="75" t="s">
        <v>45</v>
      </c>
      <c r="E27" s="162" t="s">
        <v>114</v>
      </c>
      <c r="F27" s="163" t="s">
        <v>128</v>
      </c>
      <c r="G27" s="155" t="s">
        <v>310</v>
      </c>
      <c r="H27" s="164" t="s">
        <v>197</v>
      </c>
      <c r="I27" s="165">
        <v>3101800</v>
      </c>
      <c r="J27" s="122"/>
      <c r="K27" s="121">
        <f t="shared" si="3"/>
        <v>3101800</v>
      </c>
      <c r="L27" s="123"/>
      <c r="M27" s="66"/>
      <c r="N27" s="67" t="s">
        <v>78</v>
      </c>
    </row>
    <row r="28" spans="1:14" ht="30" customHeight="1">
      <c r="A28" s="65">
        <v>18</v>
      </c>
      <c r="B28" s="65" t="s">
        <v>236</v>
      </c>
      <c r="C28" s="74">
        <v>18</v>
      </c>
      <c r="D28" s="75" t="s">
        <v>47</v>
      </c>
      <c r="E28" s="162" t="s">
        <v>65</v>
      </c>
      <c r="F28" s="163" t="s">
        <v>141</v>
      </c>
      <c r="G28" s="155" t="s">
        <v>330</v>
      </c>
      <c r="H28" s="164" t="s">
        <v>197</v>
      </c>
      <c r="I28" s="165">
        <v>8640896</v>
      </c>
      <c r="J28" s="122"/>
      <c r="K28" s="121">
        <f t="shared" si="3"/>
        <v>8640896</v>
      </c>
      <c r="L28" s="123"/>
      <c r="M28" s="66"/>
      <c r="N28" s="67" t="s">
        <v>111</v>
      </c>
    </row>
    <row r="29" spans="1:14" ht="30" customHeight="1">
      <c r="A29" s="65">
        <v>19</v>
      </c>
      <c r="B29" s="65" t="s">
        <v>236</v>
      </c>
      <c r="C29" s="74">
        <v>19</v>
      </c>
      <c r="D29" s="75" t="s">
        <v>90</v>
      </c>
      <c r="E29" s="162" t="s">
        <v>11</v>
      </c>
      <c r="F29" s="163" t="s">
        <v>204</v>
      </c>
      <c r="G29" s="155" t="s">
        <v>312</v>
      </c>
      <c r="H29" s="164" t="s">
        <v>197</v>
      </c>
      <c r="I29" s="165">
        <v>4728134</v>
      </c>
      <c r="J29" s="122"/>
      <c r="K29" s="121">
        <f t="shared" si="3"/>
        <v>4728134</v>
      </c>
      <c r="L29" s="123"/>
      <c r="M29" s="66"/>
      <c r="N29" s="67" t="s">
        <v>68</v>
      </c>
    </row>
    <row r="30" spans="1:14" ht="30" customHeight="1">
      <c r="A30" s="65">
        <v>20</v>
      </c>
      <c r="B30" s="65" t="s">
        <v>236</v>
      </c>
      <c r="C30" s="74">
        <v>20</v>
      </c>
      <c r="D30" s="75" t="s">
        <v>91</v>
      </c>
      <c r="E30" s="162" t="s">
        <v>7</v>
      </c>
      <c r="F30" s="163" t="s">
        <v>127</v>
      </c>
      <c r="G30" s="155" t="s">
        <v>321</v>
      </c>
      <c r="H30" s="164" t="s">
        <v>197</v>
      </c>
      <c r="I30" s="165">
        <v>8335692</v>
      </c>
      <c r="J30" s="122"/>
      <c r="K30" s="121">
        <f t="shared" si="3"/>
        <v>8335692</v>
      </c>
      <c r="L30" s="123"/>
      <c r="M30" s="66"/>
      <c r="N30" s="67" t="s">
        <v>71</v>
      </c>
    </row>
    <row r="31" spans="1:14" ht="30" customHeight="1">
      <c r="A31" s="65">
        <v>21</v>
      </c>
      <c r="B31" s="65" t="s">
        <v>236</v>
      </c>
      <c r="C31" s="74">
        <v>21</v>
      </c>
      <c r="D31" s="75" t="s">
        <v>112</v>
      </c>
      <c r="E31" s="162" t="s">
        <v>113</v>
      </c>
      <c r="F31" s="163" t="s">
        <v>119</v>
      </c>
      <c r="G31" s="155" t="s">
        <v>308</v>
      </c>
      <c r="H31" s="164" t="s">
        <v>197</v>
      </c>
      <c r="I31" s="165">
        <v>230507647</v>
      </c>
      <c r="J31" s="122"/>
      <c r="K31" s="121">
        <f t="shared" si="3"/>
        <v>230507647</v>
      </c>
      <c r="L31" s="123"/>
      <c r="M31" s="66"/>
      <c r="N31" s="67" t="s">
        <v>80</v>
      </c>
    </row>
    <row r="32" spans="1:14" ht="30" customHeight="1">
      <c r="A32" s="65">
        <v>22</v>
      </c>
      <c r="B32" s="65" t="s">
        <v>236</v>
      </c>
      <c r="C32" s="74">
        <v>22</v>
      </c>
      <c r="D32" s="75" t="s">
        <v>341</v>
      </c>
      <c r="E32" s="162" t="s">
        <v>110</v>
      </c>
      <c r="F32" s="163" t="s">
        <v>124</v>
      </c>
      <c r="G32" s="155" t="s">
        <v>327</v>
      </c>
      <c r="H32" s="164" t="s">
        <v>197</v>
      </c>
      <c r="I32" s="165">
        <v>5322064</v>
      </c>
      <c r="J32" s="122"/>
      <c r="K32" s="121">
        <f t="shared" si="3"/>
        <v>5322064</v>
      </c>
      <c r="L32" s="123"/>
      <c r="M32" s="66"/>
      <c r="N32" s="67" t="s">
        <v>73</v>
      </c>
    </row>
    <row r="33" spans="1:14" ht="30" customHeight="1">
      <c r="A33" s="65">
        <v>23</v>
      </c>
      <c r="B33" s="65" t="s">
        <v>236</v>
      </c>
      <c r="C33" s="74">
        <v>23</v>
      </c>
      <c r="D33" s="75" t="s">
        <v>95</v>
      </c>
      <c r="E33" s="162" t="s">
        <v>54</v>
      </c>
      <c r="F33" s="163" t="s">
        <v>147</v>
      </c>
      <c r="G33" s="155" t="s">
        <v>332</v>
      </c>
      <c r="H33" s="164" t="s">
        <v>197</v>
      </c>
      <c r="I33" s="165">
        <v>86358</v>
      </c>
      <c r="J33" s="122"/>
      <c r="K33" s="121">
        <f t="shared" si="3"/>
        <v>86358</v>
      </c>
      <c r="L33" s="123"/>
      <c r="M33" s="66"/>
      <c r="N33" s="67" t="s">
        <v>106</v>
      </c>
    </row>
    <row r="34" spans="1:14" ht="30" customHeight="1">
      <c r="A34" s="65">
        <v>24</v>
      </c>
      <c r="B34" s="65" t="s">
        <v>236</v>
      </c>
      <c r="C34" s="74">
        <v>24</v>
      </c>
      <c r="D34" s="75" t="s">
        <v>382</v>
      </c>
      <c r="E34" s="162" t="s">
        <v>87</v>
      </c>
      <c r="F34" s="163" t="s">
        <v>192</v>
      </c>
      <c r="G34" s="155" t="s">
        <v>383</v>
      </c>
      <c r="H34" s="164" t="s">
        <v>197</v>
      </c>
      <c r="I34" s="165">
        <v>8266175</v>
      </c>
      <c r="J34" s="122"/>
      <c r="K34" s="121">
        <f t="shared" si="0"/>
        <v>8266175</v>
      </c>
      <c r="L34" s="123"/>
      <c r="M34" s="66"/>
      <c r="N34" s="67" t="s">
        <v>72</v>
      </c>
    </row>
    <row r="35" spans="1:14" ht="30" customHeight="1">
      <c r="A35" s="65">
        <v>25</v>
      </c>
      <c r="B35" s="65" t="s">
        <v>236</v>
      </c>
      <c r="C35" s="74">
        <v>25</v>
      </c>
      <c r="D35" s="75" t="s">
        <v>356</v>
      </c>
      <c r="E35" s="162" t="s">
        <v>298</v>
      </c>
      <c r="F35" s="163" t="s">
        <v>161</v>
      </c>
      <c r="G35" s="155" t="s">
        <v>361</v>
      </c>
      <c r="H35" s="164" t="s">
        <v>197</v>
      </c>
      <c r="I35" s="165">
        <v>17767900</v>
      </c>
      <c r="J35" s="122"/>
      <c r="K35" s="121">
        <f t="shared" si="0"/>
        <v>17767900</v>
      </c>
      <c r="L35" s="123"/>
      <c r="M35" s="66"/>
      <c r="N35" s="67" t="s">
        <v>83</v>
      </c>
    </row>
    <row r="36" spans="1:14" ht="30" customHeight="1">
      <c r="A36" s="65">
        <v>26</v>
      </c>
      <c r="B36" s="65" t="s">
        <v>236</v>
      </c>
      <c r="C36" s="74">
        <v>26</v>
      </c>
      <c r="D36" s="75" t="s">
        <v>42</v>
      </c>
      <c r="E36" s="162" t="s">
        <v>13</v>
      </c>
      <c r="F36" s="163" t="s">
        <v>172</v>
      </c>
      <c r="G36" s="155" t="s">
        <v>331</v>
      </c>
      <c r="H36" s="164" t="s">
        <v>197</v>
      </c>
      <c r="I36" s="165">
        <v>2536300</v>
      </c>
      <c r="J36" s="122"/>
      <c r="K36" s="121">
        <f t="shared" si="0"/>
        <v>2536300</v>
      </c>
      <c r="L36" s="123"/>
      <c r="M36" s="66"/>
      <c r="N36" s="67" t="s">
        <v>76</v>
      </c>
    </row>
    <row r="37" spans="1:14" ht="30" customHeight="1">
      <c r="A37" s="65">
        <v>27</v>
      </c>
      <c r="B37" s="65" t="s">
        <v>236</v>
      </c>
      <c r="C37" s="74">
        <v>27</v>
      </c>
      <c r="D37" s="75" t="s">
        <v>89</v>
      </c>
      <c r="E37" s="162" t="s">
        <v>14</v>
      </c>
      <c r="F37" s="163" t="s">
        <v>208</v>
      </c>
      <c r="G37" s="155" t="s">
        <v>334</v>
      </c>
      <c r="H37" s="164" t="s">
        <v>197</v>
      </c>
      <c r="I37" s="165">
        <v>16500000</v>
      </c>
      <c r="J37" s="122"/>
      <c r="K37" s="121">
        <f t="shared" si="0"/>
        <v>16500000</v>
      </c>
      <c r="L37" s="123"/>
      <c r="M37" s="66"/>
      <c r="N37" s="67" t="s">
        <v>99</v>
      </c>
    </row>
    <row r="38" spans="1:14" ht="30" customHeight="1">
      <c r="A38" s="65">
        <v>28</v>
      </c>
      <c r="B38" s="65" t="s">
        <v>236</v>
      </c>
      <c r="C38" s="74">
        <v>28</v>
      </c>
      <c r="D38" s="75" t="s">
        <v>97</v>
      </c>
      <c r="E38" s="162" t="s">
        <v>92</v>
      </c>
      <c r="F38" s="163" t="s">
        <v>120</v>
      </c>
      <c r="G38" s="155" t="s">
        <v>372</v>
      </c>
      <c r="H38" s="164" t="s">
        <v>197</v>
      </c>
      <c r="I38" s="165">
        <v>8712000</v>
      </c>
      <c r="J38" s="122"/>
      <c r="K38" s="121">
        <f t="shared" si="0"/>
        <v>8712000</v>
      </c>
      <c r="L38" s="123"/>
      <c r="M38" s="66"/>
      <c r="N38" s="67" t="s">
        <v>104</v>
      </c>
    </row>
    <row r="39" spans="1:14" ht="30" customHeight="1">
      <c r="A39" s="65">
        <v>29</v>
      </c>
      <c r="B39" s="65" t="s">
        <v>236</v>
      </c>
      <c r="C39" s="74">
        <v>29</v>
      </c>
      <c r="D39" s="75" t="s">
        <v>2</v>
      </c>
      <c r="E39" s="162" t="s">
        <v>36</v>
      </c>
      <c r="F39" s="163" t="s">
        <v>17</v>
      </c>
      <c r="G39" s="155" t="s">
        <v>350</v>
      </c>
      <c r="H39" s="164" t="s">
        <v>197</v>
      </c>
      <c r="I39" s="165">
        <v>8952600</v>
      </c>
      <c r="J39" s="122"/>
      <c r="K39" s="121">
        <f t="shared" si="0"/>
        <v>8952600</v>
      </c>
      <c r="L39" s="123"/>
      <c r="M39" s="66"/>
      <c r="N39" s="67" t="s">
        <v>79</v>
      </c>
    </row>
    <row r="40" spans="1:14" ht="30" customHeight="1">
      <c r="A40" s="65">
        <v>30</v>
      </c>
      <c r="B40" s="65" t="s">
        <v>236</v>
      </c>
      <c r="C40" s="74">
        <v>30</v>
      </c>
      <c r="D40" s="75" t="s">
        <v>74</v>
      </c>
      <c r="E40" s="162" t="s">
        <v>15</v>
      </c>
      <c r="F40" s="163" t="s">
        <v>156</v>
      </c>
      <c r="G40" s="155" t="s">
        <v>353</v>
      </c>
      <c r="H40" s="164" t="s">
        <v>197</v>
      </c>
      <c r="I40" s="121">
        <v>9770000</v>
      </c>
      <c r="J40" s="122"/>
      <c r="K40" s="121">
        <f>I40</f>
        <v>9770000</v>
      </c>
      <c r="L40" s="123"/>
      <c r="M40" s="66"/>
      <c r="N40" s="67" t="s">
        <v>86</v>
      </c>
    </row>
    <row r="41" spans="1:14" ht="30" customHeight="1">
      <c r="A41" s="65">
        <v>31</v>
      </c>
      <c r="B41" s="65" t="s">
        <v>236</v>
      </c>
      <c r="C41" s="74">
        <v>31</v>
      </c>
      <c r="D41" s="75" t="s">
        <v>10</v>
      </c>
      <c r="E41" s="162" t="s">
        <v>225</v>
      </c>
      <c r="F41" s="163" t="s">
        <v>178</v>
      </c>
      <c r="G41" s="155" t="s">
        <v>322</v>
      </c>
      <c r="H41" s="164" t="s">
        <v>197</v>
      </c>
      <c r="I41" s="121">
        <v>11570000</v>
      </c>
      <c r="J41" s="122" t="str">
        <f>""</f>
        <v/>
      </c>
      <c r="K41" s="121">
        <f t="shared" ref="K41:K43" si="4">I41</f>
        <v>11570000</v>
      </c>
      <c r="L41" s="121"/>
      <c r="M41" s="66"/>
      <c r="N41" s="67" t="s">
        <v>109</v>
      </c>
    </row>
    <row r="42" spans="1:14" ht="30" customHeight="1">
      <c r="A42" s="65">
        <v>32</v>
      </c>
      <c r="B42" s="65" t="s">
        <v>236</v>
      </c>
      <c r="C42" s="74">
        <v>32</v>
      </c>
      <c r="D42" s="75" t="s">
        <v>279</v>
      </c>
      <c r="E42" s="162" t="s">
        <v>3</v>
      </c>
      <c r="F42" s="163">
        <v>10945</v>
      </c>
      <c r="G42" s="155" t="s">
        <v>374</v>
      </c>
      <c r="H42" s="164" t="s">
        <v>159</v>
      </c>
      <c r="I42" s="121">
        <v>86659693</v>
      </c>
      <c r="J42" s="122"/>
      <c r="K42" s="121">
        <f t="shared" si="4"/>
        <v>86659693</v>
      </c>
      <c r="L42" s="121"/>
      <c r="M42" s="66"/>
      <c r="N42" s="208" t="s">
        <v>58</v>
      </c>
    </row>
    <row r="43" spans="1:14" ht="30" customHeight="1">
      <c r="A43" s="65">
        <v>33</v>
      </c>
      <c r="B43" s="65" t="s">
        <v>236</v>
      </c>
      <c r="C43" s="74">
        <v>33</v>
      </c>
      <c r="D43" s="75" t="s">
        <v>263</v>
      </c>
      <c r="E43" s="162" t="s">
        <v>301</v>
      </c>
      <c r="F43" s="163">
        <v>21125</v>
      </c>
      <c r="G43" s="155" t="s">
        <v>369</v>
      </c>
      <c r="H43" s="164" t="s">
        <v>159</v>
      </c>
      <c r="I43" s="121">
        <v>59870810</v>
      </c>
      <c r="J43" s="122"/>
      <c r="K43" s="121">
        <f t="shared" si="4"/>
        <v>59870810</v>
      </c>
      <c r="L43" s="121"/>
      <c r="M43" s="66"/>
      <c r="N43" s="208" t="s">
        <v>60</v>
      </c>
    </row>
    <row r="44" spans="1:14" s="107" customFormat="1" ht="30" customHeight="1">
      <c r="A44" s="100"/>
      <c r="B44" s="103"/>
      <c r="C44" s="101"/>
      <c r="D44" s="102" t="s">
        <v>166</v>
      </c>
      <c r="E44" s="103"/>
      <c r="F44" s="104"/>
      <c r="G44" s="100"/>
      <c r="H44" s="100"/>
      <c r="I44" s="105">
        <f>SUM(I2:I6,I8:I11,I13:I43)</f>
        <v>4343098809</v>
      </c>
      <c r="J44" s="105">
        <f t="shared" ref="J44:K44" si="5">SUM(J2:J6,J8:J11,J13:J43)</f>
        <v>0</v>
      </c>
      <c r="K44" s="105">
        <f t="shared" si="5"/>
        <v>4343098809</v>
      </c>
      <c r="L44" s="105"/>
      <c r="M44" s="106"/>
      <c r="N44" s="103"/>
    </row>
    <row r="46" spans="1:14" ht="30" customHeight="1">
      <c r="G46" s="78">
        <f>COUNTIF($H$2:$H$43,H46)-7</f>
        <v>10</v>
      </c>
      <c r="H46" s="76" t="s">
        <v>136</v>
      </c>
      <c r="I46" s="124">
        <f>SUMIF($H$2:$H$44,$H46,I$2:I$44)</f>
        <v>2871036379</v>
      </c>
      <c r="J46" s="124">
        <f>SUMIF($H$2:$H$44,$H46,J$2:J$44)</f>
        <v>0</v>
      </c>
      <c r="K46" s="124">
        <f>SUMIF($H$2:$H$44,$H46,K$2:K$44)</f>
        <v>2871036379</v>
      </c>
      <c r="L46" s="124"/>
    </row>
    <row r="47" spans="1:14" ht="30" customHeight="1">
      <c r="G47" s="78">
        <f>COUNTIF($H$2:$H$43,H47)</f>
        <v>0</v>
      </c>
      <c r="I47" s="124">
        <f>SUMIF($H$2:$H$44,$H47,I$2:I$44)</f>
        <v>0</v>
      </c>
      <c r="J47" s="124">
        <f t="shared" ref="J47:J49" si="6">SUMIF($H$2:$H$44,$H47,J$2:J$44)</f>
        <v>0</v>
      </c>
      <c r="K47" s="124">
        <f t="shared" ref="K47:K49" si="7">SUMIF($H$2:$H$44,$H47,K$2:K$44)</f>
        <v>0</v>
      </c>
      <c r="L47" s="124"/>
    </row>
    <row r="48" spans="1:14" ht="30" customHeight="1">
      <c r="G48" s="78">
        <f>COUNTIF($H$2:$H$43,H48)</f>
        <v>21</v>
      </c>
      <c r="H48" s="76" t="s">
        <v>197</v>
      </c>
      <c r="I48" s="124">
        <f t="shared" ref="I48:I49" si="8">SUMIF($H$2:$H$44,$H48,I$2:I$44)</f>
        <v>1325531927</v>
      </c>
      <c r="J48" s="124">
        <f t="shared" si="6"/>
        <v>0</v>
      </c>
      <c r="K48" s="124">
        <f t="shared" si="7"/>
        <v>1325531927</v>
      </c>
      <c r="L48" s="124"/>
    </row>
    <row r="49" spans="7:14" ht="30" customHeight="1">
      <c r="G49" s="78">
        <f>COUNTIF($H$2:$H$43,H49)</f>
        <v>2</v>
      </c>
      <c r="H49" s="76" t="s">
        <v>159</v>
      </c>
      <c r="I49" s="124">
        <f t="shared" si="8"/>
        <v>146530503</v>
      </c>
      <c r="J49" s="124">
        <f t="shared" si="6"/>
        <v>0</v>
      </c>
      <c r="K49" s="124">
        <f t="shared" si="7"/>
        <v>146530503</v>
      </c>
      <c r="L49" s="124"/>
    </row>
    <row r="50" spans="7:14" ht="30" customHeight="1">
      <c r="G50" s="78">
        <f>SUM(G46:G49)</f>
        <v>33</v>
      </c>
      <c r="H50" s="78" t="s">
        <v>248</v>
      </c>
      <c r="I50" s="124">
        <f>SUM(I46:I49)</f>
        <v>4343098809</v>
      </c>
      <c r="J50" s="124">
        <f t="shared" ref="J50:K50" si="9">SUM(J46:J49)</f>
        <v>0</v>
      </c>
      <c r="K50" s="124">
        <f t="shared" si="9"/>
        <v>4343098809</v>
      </c>
      <c r="L50" s="124"/>
      <c r="N50" s="73"/>
    </row>
    <row r="52" spans="7:14" ht="30" customHeight="1">
      <c r="H52" s="78"/>
      <c r="I52" s="125"/>
      <c r="J52" s="125"/>
      <c r="K52" s="125"/>
      <c r="L52" s="125"/>
    </row>
    <row r="53" spans="7:14" ht="30" customHeight="1">
      <c r="I53" s="125"/>
    </row>
    <row r="54" spans="7:14" ht="30" customHeight="1">
      <c r="I54" s="125"/>
      <c r="K54" s="124"/>
      <c r="L54" s="124"/>
    </row>
    <row r="55" spans="7:14" ht="30" customHeight="1">
      <c r="I55" s="125"/>
    </row>
  </sheetData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scale="53" fitToHeight="0" orientation="landscape" horizontalDpi="0" verticalDpi="0" copies="0"/>
  <headerFooter>
    <oddFooter>&amp;C&amp;"맑은 고딕,Regular"&amp;P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M546"/>
  <sheetViews>
    <sheetView view="pageBreakPreview" topLeftCell="A280" zoomScale="130" zoomScaleNormal="100" zoomScaleSheetLayoutView="130" workbookViewId="0">
      <selection activeCell="K135" sqref="K135"/>
    </sheetView>
  </sheetViews>
  <sheetFormatPr defaultColWidth="8.88671875" defaultRowHeight="18" customHeight="1"/>
  <cols>
    <col min="1" max="1" width="5.5546875" style="1" bestFit="1" customWidth="1"/>
    <col min="2" max="2" width="4.6640625" style="1" bestFit="1" customWidth="1"/>
    <col min="3" max="3" width="4" style="272" bestFit="1" customWidth="1"/>
    <col min="4" max="4" width="18.33203125" style="1" customWidth="1"/>
    <col min="5" max="5" width="21.77734375" style="5" customWidth="1"/>
    <col min="6" max="6" width="15.33203125" style="1" customWidth="1"/>
    <col min="7" max="8" width="16.77734375" style="273" customWidth="1"/>
    <col min="9" max="9" width="6.21875" style="1" bestFit="1" customWidth="1"/>
    <col min="10" max="10" width="17.33203125" style="209" customWidth="1"/>
    <col min="11" max="11" width="15.33203125" style="230" customWidth="1"/>
    <col min="12" max="12" width="8.88671875" style="1" customWidth="1"/>
    <col min="13" max="13" width="10.6640625" style="1" bestFit="1" customWidth="1"/>
    <col min="14" max="16384" width="8.88671875" style="1"/>
  </cols>
  <sheetData>
    <row r="1" spans="1:65" ht="399.95" customHeight="1">
      <c r="A1" s="504" t="str">
        <f>B2</f>
        <v>6. 회생채권자의 목록 총괄표</v>
      </c>
      <c r="B1" s="504"/>
      <c r="C1" s="504"/>
      <c r="D1" s="504"/>
      <c r="E1" s="504"/>
      <c r="F1" s="504"/>
      <c r="G1" s="504"/>
      <c r="H1" s="504"/>
      <c r="I1" s="504"/>
      <c r="J1" s="504"/>
    </row>
    <row r="2" spans="1:65" ht="39" customHeight="1">
      <c r="B2" s="505" t="s">
        <v>82</v>
      </c>
      <c r="C2" s="505"/>
      <c r="D2" s="505"/>
      <c r="E2" s="505"/>
      <c r="F2" s="505"/>
      <c r="G2" s="505"/>
      <c r="H2" s="505"/>
      <c r="I2" s="505"/>
      <c r="J2" s="505"/>
      <c r="K2" s="231"/>
    </row>
    <row r="3" spans="1:65" ht="20.100000000000001" hidden="1" customHeight="1">
      <c r="B3" s="247"/>
      <c r="C3" s="247"/>
      <c r="D3" s="247"/>
      <c r="E3" s="158"/>
      <c r="F3" s="247"/>
      <c r="G3" s="247"/>
      <c r="H3" s="247"/>
      <c r="I3" s="247"/>
      <c r="J3" s="247"/>
      <c r="K3" s="231"/>
    </row>
    <row r="4" spans="1:65" ht="20.100000000000001" customHeight="1" thickBot="1">
      <c r="A4" s="506" t="str">
        <f>"채무자: "&amp;표지!$O$5</f>
        <v>채무자: ○○○○ 주식회사</v>
      </c>
      <c r="B4" s="506"/>
      <c r="C4" s="506"/>
      <c r="D4" s="506"/>
      <c r="E4" s="33"/>
      <c r="F4" s="33"/>
      <c r="G4" s="34"/>
      <c r="H4" s="34"/>
      <c r="I4" s="33"/>
      <c r="J4" s="34" t="s">
        <v>149</v>
      </c>
      <c r="K4" s="232"/>
    </row>
    <row r="5" spans="1:65" s="4" customFormat="1" ht="27" customHeight="1" thickBot="1">
      <c r="A5" s="197" t="s">
        <v>21</v>
      </c>
      <c r="B5" s="507" t="s">
        <v>125</v>
      </c>
      <c r="C5" s="508"/>
      <c r="D5" s="255" t="s">
        <v>240</v>
      </c>
      <c r="E5" s="256" t="s">
        <v>250</v>
      </c>
      <c r="F5" s="256" t="s">
        <v>137</v>
      </c>
      <c r="G5" s="256" t="s">
        <v>253</v>
      </c>
      <c r="H5" s="256" t="s">
        <v>173</v>
      </c>
      <c r="I5" s="256" t="s">
        <v>262</v>
      </c>
      <c r="J5" s="257" t="s">
        <v>19</v>
      </c>
      <c r="K5" s="23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</row>
    <row r="6" spans="1:65" s="5" customFormat="1" ht="22.5">
      <c r="A6" s="487">
        <v>1</v>
      </c>
      <c r="B6" s="461" t="s">
        <v>236</v>
      </c>
      <c r="C6" s="509" t="s">
        <v>270</v>
      </c>
      <c r="D6" s="492" t="s">
        <v>462</v>
      </c>
      <c r="E6" s="492" t="s">
        <v>463</v>
      </c>
      <c r="F6" s="171" t="s">
        <v>416</v>
      </c>
      <c r="G6" s="258"/>
      <c r="H6" s="258"/>
      <c r="I6" s="251"/>
      <c r="J6" s="510" t="s">
        <v>435</v>
      </c>
      <c r="K6" s="231"/>
    </row>
    <row r="7" spans="1:65" s="5" customFormat="1" ht="18" customHeight="1">
      <c r="A7" s="488"/>
      <c r="B7" s="462"/>
      <c r="C7" s="502"/>
      <c r="D7" s="493"/>
      <c r="E7" s="493"/>
      <c r="F7" s="259" t="s">
        <v>429</v>
      </c>
      <c r="G7" s="182">
        <v>506000000</v>
      </c>
      <c r="H7" s="182">
        <f>G7</f>
        <v>506000000</v>
      </c>
      <c r="I7" s="252"/>
      <c r="J7" s="511"/>
      <c r="K7" s="231"/>
      <c r="L7" s="5" t="s">
        <v>157</v>
      </c>
    </row>
    <row r="8" spans="1:65" s="5" customFormat="1" ht="18" customHeight="1">
      <c r="A8" s="488"/>
      <c r="B8" s="462"/>
      <c r="C8" s="502"/>
      <c r="D8" s="493"/>
      <c r="E8" s="493"/>
      <c r="F8" s="259" t="s">
        <v>430</v>
      </c>
      <c r="G8" s="260"/>
      <c r="H8" s="260">
        <f>G8</f>
        <v>0</v>
      </c>
      <c r="I8" s="252"/>
      <c r="J8" s="511"/>
      <c r="K8" s="231"/>
      <c r="L8" s="5" t="s">
        <v>384</v>
      </c>
      <c r="O8" s="5" t="s">
        <v>38</v>
      </c>
    </row>
    <row r="9" spans="1:65" s="5" customFormat="1" ht="8.25" customHeight="1">
      <c r="A9" s="488"/>
      <c r="B9" s="462"/>
      <c r="C9" s="502"/>
      <c r="D9" s="493"/>
      <c r="E9" s="493"/>
      <c r="F9" s="259"/>
      <c r="G9" s="260"/>
      <c r="H9" s="260"/>
      <c r="I9" s="252"/>
      <c r="J9" s="511"/>
      <c r="K9" s="231"/>
      <c r="O9" s="5" t="s">
        <v>40</v>
      </c>
    </row>
    <row r="10" spans="1:65" s="5" customFormat="1" ht="18" customHeight="1">
      <c r="A10" s="488"/>
      <c r="B10" s="462"/>
      <c r="C10" s="502"/>
      <c r="D10" s="493"/>
      <c r="E10" s="493"/>
      <c r="F10" s="261" t="str">
        <f>IF(OR(MID(C6,2,1)="-",MID(C6,3,1)="-",MID(C6,4,1)="-",MID(47,5,1)="-"),"소계","합계")</f>
        <v>소계</v>
      </c>
      <c r="G10" s="262">
        <f>SUM(G7:G9)</f>
        <v>506000000</v>
      </c>
      <c r="H10" s="262">
        <f>SUM(H7:H9)</f>
        <v>506000000</v>
      </c>
      <c r="I10" s="254"/>
      <c r="J10" s="511"/>
      <c r="K10" s="230"/>
    </row>
    <row r="11" spans="1:65" ht="18" customHeight="1">
      <c r="A11" s="488"/>
      <c r="B11" s="512" t="s">
        <v>236</v>
      </c>
      <c r="C11" s="502" t="s">
        <v>269</v>
      </c>
      <c r="D11" s="493"/>
      <c r="E11" s="493"/>
      <c r="F11" s="183" t="s">
        <v>136</v>
      </c>
      <c r="G11" s="315"/>
      <c r="H11" s="315"/>
      <c r="I11" s="264"/>
      <c r="J11" s="478"/>
    </row>
    <row r="12" spans="1:65" ht="18" customHeight="1">
      <c r="A12" s="488"/>
      <c r="B12" s="512"/>
      <c r="C12" s="502"/>
      <c r="D12" s="493"/>
      <c r="E12" s="493"/>
      <c r="F12" s="259" t="s">
        <v>429</v>
      </c>
      <c r="G12" s="182">
        <v>97226722</v>
      </c>
      <c r="H12" s="182">
        <f>G12</f>
        <v>97226722</v>
      </c>
      <c r="I12" s="252"/>
      <c r="J12" s="479"/>
    </row>
    <row r="13" spans="1:65" ht="18" customHeight="1">
      <c r="A13" s="488"/>
      <c r="B13" s="512"/>
      <c r="C13" s="502"/>
      <c r="D13" s="493"/>
      <c r="E13" s="493"/>
      <c r="F13" s="259" t="s">
        <v>430</v>
      </c>
      <c r="G13" s="260"/>
      <c r="H13" s="260">
        <f>G13</f>
        <v>0</v>
      </c>
      <c r="I13" s="252"/>
      <c r="J13" s="479"/>
    </row>
    <row r="14" spans="1:65" ht="9" customHeight="1">
      <c r="A14" s="488"/>
      <c r="B14" s="512"/>
      <c r="C14" s="502"/>
      <c r="D14" s="493"/>
      <c r="E14" s="493"/>
      <c r="F14" s="259"/>
      <c r="G14" s="260"/>
      <c r="H14" s="260"/>
      <c r="I14" s="252"/>
      <c r="J14" s="479"/>
    </row>
    <row r="15" spans="1:65" ht="18" customHeight="1">
      <c r="A15" s="488"/>
      <c r="B15" s="512"/>
      <c r="C15" s="502"/>
      <c r="D15" s="493"/>
      <c r="E15" s="493"/>
      <c r="F15" s="261" t="str">
        <f>IF(OR(MID(C11,2,1)="-",MID(C11,3,1)="-",MID(C11,4,1)="-",MID(47,5,1)="-"),"소계","합계")</f>
        <v>소계</v>
      </c>
      <c r="G15" s="262">
        <f>SUM(G12:G13)</f>
        <v>97226722</v>
      </c>
      <c r="H15" s="262">
        <f>SUM(H12:H13)</f>
        <v>97226722</v>
      </c>
      <c r="I15" s="254"/>
      <c r="J15" s="513"/>
    </row>
    <row r="16" spans="1:65" s="5" customFormat="1" ht="18" customHeight="1">
      <c r="A16" s="488"/>
      <c r="B16" s="500" t="s">
        <v>236</v>
      </c>
      <c r="C16" s="501" t="s">
        <v>271</v>
      </c>
      <c r="D16" s="493"/>
      <c r="E16" s="493"/>
      <c r="F16" s="183" t="s">
        <v>136</v>
      </c>
      <c r="G16" s="315"/>
      <c r="H16" s="315"/>
      <c r="I16" s="264"/>
      <c r="J16" s="514" t="s">
        <v>435</v>
      </c>
      <c r="K16" s="231"/>
    </row>
    <row r="17" spans="1:15" s="5" customFormat="1" ht="18" customHeight="1">
      <c r="A17" s="488"/>
      <c r="B17" s="462"/>
      <c r="C17" s="502"/>
      <c r="D17" s="493"/>
      <c r="E17" s="493"/>
      <c r="F17" s="259" t="s">
        <v>429</v>
      </c>
      <c r="G17" s="182">
        <v>256000000</v>
      </c>
      <c r="H17" s="182">
        <f>G17</f>
        <v>256000000</v>
      </c>
      <c r="I17" s="252"/>
      <c r="J17" s="479"/>
      <c r="K17" s="231"/>
      <c r="L17" s="5" t="s">
        <v>157</v>
      </c>
    </row>
    <row r="18" spans="1:15" s="5" customFormat="1" ht="18" customHeight="1">
      <c r="A18" s="488"/>
      <c r="B18" s="462"/>
      <c r="C18" s="502"/>
      <c r="D18" s="493"/>
      <c r="E18" s="493"/>
      <c r="F18" s="259" t="s">
        <v>430</v>
      </c>
      <c r="G18" s="260"/>
      <c r="H18" s="260">
        <f>G18</f>
        <v>0</v>
      </c>
      <c r="I18" s="252"/>
      <c r="J18" s="479"/>
      <c r="K18" s="231"/>
      <c r="L18" s="5" t="s">
        <v>384</v>
      </c>
      <c r="O18" s="5" t="s">
        <v>38</v>
      </c>
    </row>
    <row r="19" spans="1:15" s="5" customFormat="1" ht="8.25" customHeight="1">
      <c r="A19" s="488"/>
      <c r="B19" s="462"/>
      <c r="C19" s="502"/>
      <c r="D19" s="493"/>
      <c r="E19" s="493"/>
      <c r="F19" s="259"/>
      <c r="G19" s="260"/>
      <c r="H19" s="260"/>
      <c r="I19" s="252"/>
      <c r="J19" s="479"/>
      <c r="K19" s="231"/>
      <c r="O19" s="5" t="s">
        <v>40</v>
      </c>
    </row>
    <row r="20" spans="1:15" s="5" customFormat="1" ht="18" customHeight="1">
      <c r="A20" s="488"/>
      <c r="B20" s="462"/>
      <c r="C20" s="502"/>
      <c r="D20" s="493"/>
      <c r="E20" s="493"/>
      <c r="F20" s="261" t="str">
        <f>IF(OR(MID(C16,2,1)="-",MID(C16,3,1)="-",MID(C16,4,1)="-",MID(47,5,1)="-"),"소계","합계")</f>
        <v>소계</v>
      </c>
      <c r="G20" s="262">
        <f>SUM(G17:G19)</f>
        <v>256000000</v>
      </c>
      <c r="H20" s="262">
        <f>SUM(H17:H19)</f>
        <v>256000000</v>
      </c>
      <c r="I20" s="254"/>
      <c r="J20" s="513"/>
      <c r="K20" s="230"/>
    </row>
    <row r="21" spans="1:15" ht="22.5">
      <c r="A21" s="488"/>
      <c r="B21" s="512" t="s">
        <v>236</v>
      </c>
      <c r="C21" s="502" t="s">
        <v>275</v>
      </c>
      <c r="D21" s="493"/>
      <c r="E21" s="493"/>
      <c r="F21" s="183" t="s">
        <v>416</v>
      </c>
      <c r="G21" s="315"/>
      <c r="H21" s="315"/>
      <c r="I21" s="264"/>
      <c r="J21" s="478"/>
    </row>
    <row r="22" spans="1:15" ht="18" customHeight="1">
      <c r="A22" s="488"/>
      <c r="B22" s="512"/>
      <c r="C22" s="502"/>
      <c r="D22" s="493"/>
      <c r="E22" s="493"/>
      <c r="F22" s="259" t="s">
        <v>429</v>
      </c>
      <c r="G22" s="182">
        <v>99990000</v>
      </c>
      <c r="H22" s="182">
        <f>G22</f>
        <v>99990000</v>
      </c>
      <c r="I22" s="252"/>
      <c r="J22" s="479"/>
    </row>
    <row r="23" spans="1:15" ht="18" customHeight="1">
      <c r="A23" s="488"/>
      <c r="B23" s="512"/>
      <c r="C23" s="502"/>
      <c r="D23" s="493"/>
      <c r="E23" s="493"/>
      <c r="F23" s="259" t="s">
        <v>430</v>
      </c>
      <c r="G23" s="260"/>
      <c r="H23" s="260">
        <f>G23</f>
        <v>0</v>
      </c>
      <c r="I23" s="252"/>
      <c r="J23" s="479"/>
    </row>
    <row r="24" spans="1:15" ht="9" customHeight="1">
      <c r="A24" s="488"/>
      <c r="B24" s="512"/>
      <c r="C24" s="502"/>
      <c r="D24" s="493"/>
      <c r="E24" s="493"/>
      <c r="F24" s="259"/>
      <c r="G24" s="260"/>
      <c r="H24" s="260"/>
      <c r="I24" s="252"/>
      <c r="J24" s="479"/>
    </row>
    <row r="25" spans="1:15" ht="18" customHeight="1">
      <c r="A25" s="488"/>
      <c r="B25" s="512"/>
      <c r="C25" s="502"/>
      <c r="D25" s="493"/>
      <c r="E25" s="493"/>
      <c r="F25" s="261" t="str">
        <f>IF(OR(MID(C21,2,1)="-",MID(C21,3,1)="-",MID(C21,4,1)="-",MID(47,5,1)="-"),"소계","합계")</f>
        <v>소계</v>
      </c>
      <c r="G25" s="262">
        <f>SUM(G22:G23)</f>
        <v>99990000</v>
      </c>
      <c r="H25" s="262">
        <f>SUM(H22:H23)</f>
        <v>99990000</v>
      </c>
      <c r="I25" s="254"/>
      <c r="J25" s="513"/>
    </row>
    <row r="26" spans="1:15" s="5" customFormat="1" ht="18" customHeight="1">
      <c r="A26" s="488"/>
      <c r="B26" s="500" t="s">
        <v>236</v>
      </c>
      <c r="C26" s="501" t="s">
        <v>274</v>
      </c>
      <c r="D26" s="493"/>
      <c r="E26" s="493"/>
      <c r="F26" s="175" t="s">
        <v>136</v>
      </c>
      <c r="G26" s="263"/>
      <c r="H26" s="263"/>
      <c r="I26" s="252"/>
      <c r="J26" s="540"/>
      <c r="K26" s="231"/>
    </row>
    <row r="27" spans="1:15" s="5" customFormat="1" ht="18" customHeight="1">
      <c r="A27" s="488"/>
      <c r="B27" s="462"/>
      <c r="C27" s="502"/>
      <c r="D27" s="493"/>
      <c r="E27" s="493"/>
      <c r="F27" s="259" t="s">
        <v>429</v>
      </c>
      <c r="G27" s="182">
        <v>498827527</v>
      </c>
      <c r="H27" s="182">
        <f>G27</f>
        <v>498827527</v>
      </c>
      <c r="I27" s="252"/>
      <c r="J27" s="540"/>
      <c r="K27" s="231"/>
      <c r="L27" s="5" t="s">
        <v>157</v>
      </c>
    </row>
    <row r="28" spans="1:15" s="5" customFormat="1" ht="18" customHeight="1">
      <c r="A28" s="488"/>
      <c r="B28" s="462"/>
      <c r="C28" s="502"/>
      <c r="D28" s="493"/>
      <c r="E28" s="493"/>
      <c r="F28" s="259" t="s">
        <v>430</v>
      </c>
      <c r="G28" s="260"/>
      <c r="H28" s="260">
        <f>G28</f>
        <v>0</v>
      </c>
      <c r="I28" s="252"/>
      <c r="J28" s="540"/>
      <c r="K28" s="231"/>
      <c r="L28" s="5" t="s">
        <v>384</v>
      </c>
      <c r="O28" s="5" t="s">
        <v>38</v>
      </c>
    </row>
    <row r="29" spans="1:15" s="5" customFormat="1" ht="8.25" customHeight="1">
      <c r="A29" s="488"/>
      <c r="B29" s="462"/>
      <c r="C29" s="502"/>
      <c r="D29" s="493"/>
      <c r="E29" s="493"/>
      <c r="F29" s="259"/>
      <c r="G29" s="260"/>
      <c r="H29" s="260"/>
      <c r="I29" s="252"/>
      <c r="J29" s="540"/>
      <c r="K29" s="231"/>
      <c r="O29" s="5" t="s">
        <v>40</v>
      </c>
    </row>
    <row r="30" spans="1:15" s="5" customFormat="1" ht="18" customHeight="1">
      <c r="A30" s="488"/>
      <c r="B30" s="462"/>
      <c r="C30" s="502"/>
      <c r="D30" s="493"/>
      <c r="E30" s="493"/>
      <c r="F30" s="261" t="str">
        <f>IF(OR(MID(C26,2,1)="-",MID(C26,3,1)="-",MID(C26,4,1)="-",MID(47,5,1)="-"),"소계","합계")</f>
        <v>소계</v>
      </c>
      <c r="G30" s="262">
        <f>SUM(G27:G29)</f>
        <v>498827527</v>
      </c>
      <c r="H30" s="262">
        <f>SUM(H27:H29)</f>
        <v>498827527</v>
      </c>
      <c r="I30" s="254"/>
      <c r="J30" s="540"/>
      <c r="K30" s="230"/>
    </row>
    <row r="31" spans="1:15" ht="18" customHeight="1">
      <c r="A31" s="488"/>
      <c r="B31" s="512" t="s">
        <v>236</v>
      </c>
      <c r="C31" s="502" t="s">
        <v>409</v>
      </c>
      <c r="D31" s="493"/>
      <c r="E31" s="493"/>
      <c r="F31" s="183" t="s">
        <v>136</v>
      </c>
      <c r="G31" s="315"/>
      <c r="H31" s="315"/>
      <c r="I31" s="264"/>
      <c r="J31" s="478"/>
    </row>
    <row r="32" spans="1:15" ht="18" customHeight="1">
      <c r="A32" s="488"/>
      <c r="B32" s="512"/>
      <c r="C32" s="502"/>
      <c r="D32" s="493"/>
      <c r="E32" s="493"/>
      <c r="F32" s="259" t="s">
        <v>429</v>
      </c>
      <c r="G32" s="182">
        <v>500000000</v>
      </c>
      <c r="H32" s="182">
        <f>G32</f>
        <v>500000000</v>
      </c>
      <c r="I32" s="252"/>
      <c r="J32" s="479"/>
    </row>
    <row r="33" spans="1:15" ht="18" customHeight="1">
      <c r="A33" s="488"/>
      <c r="B33" s="512"/>
      <c r="C33" s="502"/>
      <c r="D33" s="493"/>
      <c r="E33" s="493"/>
      <c r="F33" s="259" t="s">
        <v>430</v>
      </c>
      <c r="G33" s="260"/>
      <c r="H33" s="260">
        <f>G33</f>
        <v>0</v>
      </c>
      <c r="I33" s="252"/>
      <c r="J33" s="479"/>
    </row>
    <row r="34" spans="1:15" ht="9" customHeight="1">
      <c r="A34" s="488"/>
      <c r="B34" s="512"/>
      <c r="C34" s="502"/>
      <c r="D34" s="493"/>
      <c r="E34" s="493"/>
      <c r="F34" s="259"/>
      <c r="G34" s="260"/>
      <c r="H34" s="260"/>
      <c r="I34" s="252"/>
      <c r="J34" s="479"/>
    </row>
    <row r="35" spans="1:15" ht="18" customHeight="1">
      <c r="A35" s="488"/>
      <c r="B35" s="512"/>
      <c r="C35" s="502"/>
      <c r="D35" s="493"/>
      <c r="E35" s="493"/>
      <c r="F35" s="261" t="str">
        <f>IF(OR(MID(C31,2,1)="-",MID(C31,3,1)="-",MID(C31,4,1)="-",MID(47,5,1)="-"),"소계","합계")</f>
        <v>소계</v>
      </c>
      <c r="G35" s="262">
        <f>SUM(G32:G33)</f>
        <v>500000000</v>
      </c>
      <c r="H35" s="262">
        <f>SUM(H32:H33)</f>
        <v>500000000</v>
      </c>
      <c r="I35" s="254"/>
      <c r="J35" s="513"/>
    </row>
    <row r="36" spans="1:15" s="5" customFormat="1" ht="18" customHeight="1">
      <c r="A36" s="488"/>
      <c r="B36" s="500" t="s">
        <v>236</v>
      </c>
      <c r="C36" s="502" t="s">
        <v>411</v>
      </c>
      <c r="D36" s="493"/>
      <c r="E36" s="493"/>
      <c r="F36" s="175" t="s">
        <v>136</v>
      </c>
      <c r="G36" s="263"/>
      <c r="H36" s="263"/>
      <c r="I36" s="252"/>
      <c r="J36" s="540"/>
      <c r="K36" s="231"/>
    </row>
    <row r="37" spans="1:15" s="5" customFormat="1" ht="18" customHeight="1">
      <c r="A37" s="488"/>
      <c r="B37" s="462"/>
      <c r="C37" s="502"/>
      <c r="D37" s="493"/>
      <c r="E37" s="493"/>
      <c r="F37" s="259" t="s">
        <v>429</v>
      </c>
      <c r="G37" s="182">
        <v>497203787</v>
      </c>
      <c r="H37" s="182">
        <f>G37</f>
        <v>497203787</v>
      </c>
      <c r="I37" s="252"/>
      <c r="J37" s="540"/>
      <c r="K37" s="231"/>
      <c r="L37" s="5" t="s">
        <v>157</v>
      </c>
    </row>
    <row r="38" spans="1:15" s="5" customFormat="1" ht="18" customHeight="1">
      <c r="A38" s="488"/>
      <c r="B38" s="462"/>
      <c r="C38" s="502"/>
      <c r="D38" s="493"/>
      <c r="E38" s="493"/>
      <c r="F38" s="259" t="s">
        <v>430</v>
      </c>
      <c r="G38" s="260"/>
      <c r="H38" s="260">
        <f>G38</f>
        <v>0</v>
      </c>
      <c r="I38" s="252"/>
      <c r="J38" s="540"/>
      <c r="K38" s="231"/>
      <c r="L38" s="5" t="s">
        <v>384</v>
      </c>
      <c r="O38" s="5" t="s">
        <v>38</v>
      </c>
    </row>
    <row r="39" spans="1:15" s="5" customFormat="1" ht="8.25" customHeight="1">
      <c r="A39" s="488"/>
      <c r="B39" s="462"/>
      <c r="C39" s="502"/>
      <c r="D39" s="493"/>
      <c r="E39" s="493"/>
      <c r="F39" s="259"/>
      <c r="G39" s="260"/>
      <c r="H39" s="260"/>
      <c r="I39" s="252"/>
      <c r="J39" s="540"/>
      <c r="K39" s="231"/>
      <c r="O39" s="5" t="s">
        <v>40</v>
      </c>
    </row>
    <row r="40" spans="1:15" s="5" customFormat="1" ht="18" customHeight="1">
      <c r="A40" s="488"/>
      <c r="B40" s="462"/>
      <c r="C40" s="502"/>
      <c r="D40" s="493"/>
      <c r="E40" s="493"/>
      <c r="F40" s="261" t="str">
        <f>IF(OR(MID(C36,2,1)="-",MID(C36,3,1)="-",MID(C36,4,1)="-",MID(47,5,1)="-"),"소계","합계")</f>
        <v>소계</v>
      </c>
      <c r="G40" s="262">
        <f>SUM(G37:G39)</f>
        <v>497203787</v>
      </c>
      <c r="H40" s="262">
        <f>SUM(H37:H39)</f>
        <v>497203787</v>
      </c>
      <c r="I40" s="254"/>
      <c r="J40" s="540"/>
      <c r="K40" s="230"/>
    </row>
    <row r="41" spans="1:15" ht="18" customHeight="1">
      <c r="A41" s="488"/>
      <c r="B41" s="462" t="s">
        <v>236</v>
      </c>
      <c r="C41" s="501" t="s">
        <v>413</v>
      </c>
      <c r="D41" s="493"/>
      <c r="E41" s="493"/>
      <c r="F41" s="175" t="s">
        <v>136</v>
      </c>
      <c r="G41" s="263"/>
      <c r="H41" s="263"/>
      <c r="I41" s="264"/>
      <c r="J41" s="478"/>
    </row>
    <row r="42" spans="1:15" ht="18" customHeight="1">
      <c r="A42" s="488"/>
      <c r="B42" s="462"/>
      <c r="C42" s="502"/>
      <c r="D42" s="493"/>
      <c r="E42" s="493"/>
      <c r="F42" s="259" t="s">
        <v>429</v>
      </c>
      <c r="G42" s="182">
        <v>120000000</v>
      </c>
      <c r="H42" s="182">
        <f>G42</f>
        <v>120000000</v>
      </c>
      <c r="I42" s="252"/>
      <c r="J42" s="479"/>
    </row>
    <row r="43" spans="1:15" ht="18" customHeight="1">
      <c r="A43" s="488"/>
      <c r="B43" s="462"/>
      <c r="C43" s="502"/>
      <c r="D43" s="493"/>
      <c r="E43" s="493"/>
      <c r="F43" s="259" t="s">
        <v>430</v>
      </c>
      <c r="G43" s="260"/>
      <c r="H43" s="260">
        <f>G43</f>
        <v>0</v>
      </c>
      <c r="I43" s="252"/>
      <c r="J43" s="479"/>
    </row>
    <row r="44" spans="1:15" ht="9" customHeight="1">
      <c r="A44" s="488"/>
      <c r="B44" s="462"/>
      <c r="C44" s="502"/>
      <c r="D44" s="493"/>
      <c r="E44" s="493"/>
      <c r="F44" s="259"/>
      <c r="G44" s="260"/>
      <c r="H44" s="260"/>
      <c r="I44" s="252"/>
      <c r="J44" s="479"/>
    </row>
    <row r="45" spans="1:15" ht="18" customHeight="1">
      <c r="A45" s="488"/>
      <c r="B45" s="463"/>
      <c r="C45" s="502"/>
      <c r="D45" s="541"/>
      <c r="E45" s="541"/>
      <c r="F45" s="265" t="str">
        <f>IF(OR(MID(C41,2,1)="-",MID(C41,3,1)="-",MID(C41,4,1)="-",MID(47,5,1)="-"),"소계","합계")</f>
        <v>소계</v>
      </c>
      <c r="G45" s="266">
        <f>SUM(G42:G43)</f>
        <v>120000000</v>
      </c>
      <c r="H45" s="266">
        <f>SUM(H42:H43)</f>
        <v>120000000</v>
      </c>
      <c r="I45" s="252"/>
      <c r="J45" s="479"/>
    </row>
    <row r="46" spans="1:15" ht="18" customHeight="1">
      <c r="A46" s="488"/>
      <c r="B46" s="469" t="s">
        <v>464</v>
      </c>
      <c r="C46" s="470"/>
      <c r="D46" s="470"/>
      <c r="E46" s="471"/>
      <c r="F46" s="331" t="s">
        <v>465</v>
      </c>
      <c r="G46" s="267">
        <f>G7+G12+G17+G22+G27+G32+G37+G42</f>
        <v>2575248036</v>
      </c>
      <c r="H46" s="267">
        <f>H7+H12+H17+H22+H27+H32+H37+H42</f>
        <v>2575248036</v>
      </c>
      <c r="I46" s="264"/>
      <c r="J46" s="478"/>
      <c r="K46" s="306">
        <f>3300000000+G46</f>
        <v>5875248036</v>
      </c>
    </row>
    <row r="47" spans="1:15" ht="18" customHeight="1">
      <c r="A47" s="488"/>
      <c r="B47" s="472"/>
      <c r="C47" s="473"/>
      <c r="D47" s="473"/>
      <c r="E47" s="474"/>
      <c r="F47" s="259" t="s">
        <v>466</v>
      </c>
      <c r="G47" s="260">
        <f>SUMIF(F6:F15,F47,G6:G15)</f>
        <v>0</v>
      </c>
      <c r="H47" s="260">
        <f>SUMIF($F$6:$F$15,$F47,H6:H15)</f>
        <v>0</v>
      </c>
      <c r="I47" s="252"/>
      <c r="J47" s="479"/>
      <c r="K47" s="306">
        <f>G46+3300000000</f>
        <v>5875248036</v>
      </c>
    </row>
    <row r="48" spans="1:15" ht="10.5" customHeight="1">
      <c r="A48" s="488"/>
      <c r="B48" s="472"/>
      <c r="C48" s="473"/>
      <c r="D48" s="473"/>
      <c r="E48" s="474"/>
      <c r="F48" s="259"/>
      <c r="G48" s="260"/>
      <c r="H48" s="260"/>
      <c r="I48" s="252"/>
      <c r="J48" s="479"/>
    </row>
    <row r="49" spans="1:11" ht="18" customHeight="1">
      <c r="A49" s="489"/>
      <c r="B49" s="475"/>
      <c r="C49" s="476"/>
      <c r="D49" s="476"/>
      <c r="E49" s="477"/>
      <c r="F49" s="268" t="str">
        <f t="array" ref="F49">IF(OR(MID(C46:C50,2,1)="-",MID(C6,3,1)="-",MID(C6,4,1)="-",MID(47,5,1)="-"),"소계","합계")</f>
        <v>합계</v>
      </c>
      <c r="G49" s="269">
        <f>SUM(G46:G48)</f>
        <v>2575248036</v>
      </c>
      <c r="H49" s="269">
        <f>SUM(H46:H48)</f>
        <v>2575248036</v>
      </c>
      <c r="I49" s="253"/>
      <c r="J49" s="480"/>
    </row>
    <row r="50" spans="1:11" ht="18" customHeight="1">
      <c r="A50" s="487">
        <v>2</v>
      </c>
      <c r="B50" s="461" t="s">
        <v>236</v>
      </c>
      <c r="C50" s="490">
        <f>A50</f>
        <v>2</v>
      </c>
      <c r="D50" s="492">
        <f>회생채권개별!C76</f>
        <v>0</v>
      </c>
      <c r="E50" s="492">
        <f>회생채권개별!C77</f>
        <v>0</v>
      </c>
      <c r="F50" s="171" t="s">
        <v>197</v>
      </c>
      <c r="G50" s="258"/>
      <c r="H50" s="258"/>
      <c r="I50" s="251"/>
      <c r="J50" s="491" t="s">
        <v>467</v>
      </c>
      <c r="K50" s="305">
        <v>1246555232</v>
      </c>
    </row>
    <row r="51" spans="1:11" ht="34.5" customHeight="1">
      <c r="A51" s="488"/>
      <c r="B51" s="462"/>
      <c r="C51" s="466"/>
      <c r="D51" s="493"/>
      <c r="E51" s="493"/>
      <c r="F51" s="259" t="s">
        <v>429</v>
      </c>
      <c r="G51" s="319" t="s">
        <v>440</v>
      </c>
      <c r="H51" s="319" t="str">
        <f>G51</f>
        <v>US$909,098.04
(1,246,555,232)</v>
      </c>
      <c r="I51" s="252"/>
      <c r="J51" s="495"/>
      <c r="K51" s="303"/>
    </row>
    <row r="52" spans="1:11" ht="18" customHeight="1">
      <c r="A52" s="488"/>
      <c r="B52" s="462"/>
      <c r="C52" s="466"/>
      <c r="D52" s="493"/>
      <c r="E52" s="493"/>
      <c r="F52" s="259" t="s">
        <v>430</v>
      </c>
      <c r="G52" s="320"/>
      <c r="H52" s="320">
        <f>G52</f>
        <v>0</v>
      </c>
      <c r="I52" s="252"/>
      <c r="J52" s="495"/>
    </row>
    <row r="53" spans="1:11" ht="4.5" customHeight="1">
      <c r="A53" s="488"/>
      <c r="B53" s="463"/>
      <c r="C53" s="467"/>
      <c r="D53" s="493"/>
      <c r="E53" s="493"/>
      <c r="F53" s="259"/>
      <c r="G53" s="320"/>
      <c r="H53" s="320"/>
      <c r="I53" s="252"/>
      <c r="J53" s="495"/>
    </row>
    <row r="54" spans="1:11" ht="42.75" customHeight="1" thickBot="1">
      <c r="A54" s="489"/>
      <c r="B54" s="464"/>
      <c r="C54" s="468"/>
      <c r="D54" s="494"/>
      <c r="E54" s="494"/>
      <c r="F54" s="268" t="str">
        <f>IF(OR(MID(C50,2,1)="-",MID(C50,3,1)="-",MID(C50,4,1)="-",MID(47,5,1)="-"),"소계","합계")</f>
        <v>합계</v>
      </c>
      <c r="G54" s="321" t="s">
        <v>443</v>
      </c>
      <c r="H54" s="321" t="str">
        <f>G54</f>
        <v>1,246,555,232
(US$909,098.04 포함)</v>
      </c>
      <c r="I54" s="253"/>
      <c r="J54" s="496"/>
    </row>
    <row r="55" spans="1:11" ht="18" customHeight="1">
      <c r="A55" s="487">
        <v>3</v>
      </c>
      <c r="B55" s="461" t="s">
        <v>236</v>
      </c>
      <c r="C55" s="490">
        <v>3</v>
      </c>
      <c r="D55" s="492" t="s">
        <v>468</v>
      </c>
      <c r="E55" s="492" t="s">
        <v>469</v>
      </c>
      <c r="F55" s="171" t="s">
        <v>438</v>
      </c>
      <c r="G55" s="258"/>
      <c r="H55" s="258"/>
      <c r="I55" s="251"/>
      <c r="J55" s="491" t="s">
        <v>427</v>
      </c>
    </row>
    <row r="56" spans="1:11" ht="18" customHeight="1">
      <c r="A56" s="488"/>
      <c r="B56" s="462"/>
      <c r="C56" s="466"/>
      <c r="D56" s="493"/>
      <c r="E56" s="493"/>
      <c r="F56" s="259" t="s">
        <v>429</v>
      </c>
      <c r="G56" s="182">
        <f>회생채권개별!F104</f>
        <v>850000000</v>
      </c>
      <c r="H56" s="182">
        <f>G56</f>
        <v>850000000</v>
      </c>
      <c r="I56" s="252"/>
      <c r="J56" s="495"/>
    </row>
    <row r="57" spans="1:11" ht="18" customHeight="1">
      <c r="A57" s="488"/>
      <c r="B57" s="462"/>
      <c r="C57" s="466"/>
      <c r="D57" s="493"/>
      <c r="E57" s="493"/>
      <c r="F57" s="259" t="s">
        <v>430</v>
      </c>
      <c r="G57" s="260"/>
      <c r="H57" s="260">
        <f>G57</f>
        <v>0</v>
      </c>
      <c r="I57" s="252"/>
      <c r="J57" s="495"/>
    </row>
    <row r="58" spans="1:11" ht="18" customHeight="1">
      <c r="A58" s="488"/>
      <c r="B58" s="463"/>
      <c r="C58" s="467"/>
      <c r="D58" s="493"/>
      <c r="E58" s="493"/>
      <c r="F58" s="259"/>
      <c r="G58" s="260"/>
      <c r="H58" s="260"/>
      <c r="I58" s="252"/>
      <c r="J58" s="495"/>
    </row>
    <row r="59" spans="1:11" ht="18" customHeight="1">
      <c r="A59" s="489"/>
      <c r="B59" s="464"/>
      <c r="C59" s="468"/>
      <c r="D59" s="494"/>
      <c r="E59" s="494"/>
      <c r="F59" s="268" t="str">
        <f>IF(OR(MID(C55,2,1)="-",MID(C55,3,1)="-",MID(C55,4,1)="-",MID(47,5,1)="-"),"소계","합계")</f>
        <v>합계</v>
      </c>
      <c r="G59" s="269">
        <f t="shared" ref="G59:H59" si="0">SUM(G56:G57)</f>
        <v>850000000</v>
      </c>
      <c r="H59" s="269">
        <f t="shared" si="0"/>
        <v>850000000</v>
      </c>
      <c r="I59" s="253"/>
      <c r="J59" s="496"/>
    </row>
    <row r="60" spans="1:11" ht="18" customHeight="1">
      <c r="A60" s="488">
        <v>4</v>
      </c>
      <c r="B60" s="500" t="s">
        <v>236</v>
      </c>
      <c r="C60" s="501" t="s">
        <v>252</v>
      </c>
      <c r="D60" s="493" t="s">
        <v>470</v>
      </c>
      <c r="E60" s="493"/>
      <c r="F60" s="171" t="s">
        <v>197</v>
      </c>
      <c r="G60" s="258"/>
      <c r="H60" s="263"/>
      <c r="I60" s="252"/>
      <c r="J60" s="495"/>
    </row>
    <row r="61" spans="1:11" ht="18" customHeight="1">
      <c r="A61" s="488"/>
      <c r="B61" s="462"/>
      <c r="C61" s="502"/>
      <c r="D61" s="493"/>
      <c r="E61" s="493"/>
      <c r="F61" s="259" t="s">
        <v>429</v>
      </c>
      <c r="G61" s="182">
        <f>회생채권개별!F126</f>
        <v>708094895</v>
      </c>
      <c r="H61" s="182">
        <f>G61</f>
        <v>708094895</v>
      </c>
      <c r="I61" s="252"/>
      <c r="J61" s="479"/>
    </row>
    <row r="62" spans="1:11" ht="18" customHeight="1">
      <c r="A62" s="488"/>
      <c r="B62" s="462"/>
      <c r="C62" s="502"/>
      <c r="D62" s="493"/>
      <c r="E62" s="493"/>
      <c r="F62" s="259" t="s">
        <v>430</v>
      </c>
      <c r="G62" s="260"/>
      <c r="H62" s="260">
        <f>G62</f>
        <v>0</v>
      </c>
      <c r="I62" s="252"/>
      <c r="J62" s="479"/>
    </row>
    <row r="63" spans="1:11" ht="18" customHeight="1">
      <c r="A63" s="488"/>
      <c r="B63" s="462"/>
      <c r="C63" s="502"/>
      <c r="D63" s="493"/>
      <c r="E63" s="493"/>
      <c r="F63" s="259"/>
      <c r="G63" s="270"/>
      <c r="H63" s="260"/>
      <c r="I63" s="252"/>
      <c r="J63" s="479"/>
    </row>
    <row r="64" spans="1:11" ht="18" customHeight="1">
      <c r="A64" s="489"/>
      <c r="B64" s="464"/>
      <c r="C64" s="503"/>
      <c r="D64" s="494"/>
      <c r="E64" s="494"/>
      <c r="F64" s="268" t="str">
        <f>IF(OR(MID(C60,2,1)="-",MID(C60,3,1)="-",MID(C60,4,1)="-",MID(47,5,1)="-"),"소계","합계")</f>
        <v>합계</v>
      </c>
      <c r="G64" s="269">
        <f t="shared" ref="G64:H64" si="1">SUM(G61:G62)</f>
        <v>708094895</v>
      </c>
      <c r="H64" s="269">
        <f t="shared" si="1"/>
        <v>708094895</v>
      </c>
      <c r="I64" s="253"/>
      <c r="J64" s="480"/>
    </row>
    <row r="65" spans="1:13" ht="18" customHeight="1">
      <c r="A65" s="487">
        <v>5</v>
      </c>
      <c r="B65" s="515" t="s">
        <v>236</v>
      </c>
      <c r="C65" s="518" t="s">
        <v>292</v>
      </c>
      <c r="D65" s="492"/>
      <c r="E65" s="492"/>
      <c r="F65" s="175" t="s">
        <v>197</v>
      </c>
      <c r="G65" s="263"/>
      <c r="H65" s="263"/>
      <c r="I65" s="264"/>
      <c r="J65" s="491"/>
    </row>
    <row r="66" spans="1:13" ht="18" customHeight="1">
      <c r="A66" s="488"/>
      <c r="B66" s="516"/>
      <c r="C66" s="519"/>
      <c r="D66" s="493"/>
      <c r="E66" s="493"/>
      <c r="F66" s="259" t="s">
        <v>429</v>
      </c>
      <c r="G66" s="182">
        <f>회생채권개별!F148</f>
        <v>633710599</v>
      </c>
      <c r="H66" s="182">
        <f>G66</f>
        <v>633710599</v>
      </c>
      <c r="I66" s="252"/>
      <c r="J66" s="495"/>
    </row>
    <row r="67" spans="1:13" ht="18" customHeight="1">
      <c r="A67" s="488"/>
      <c r="B67" s="516"/>
      <c r="C67" s="519"/>
      <c r="D67" s="493"/>
      <c r="E67" s="493"/>
      <c r="F67" s="259" t="s">
        <v>430</v>
      </c>
      <c r="G67" s="260"/>
      <c r="H67" s="260">
        <f>G67</f>
        <v>0</v>
      </c>
      <c r="I67" s="252"/>
      <c r="J67" s="495"/>
    </row>
    <row r="68" spans="1:13" ht="18" customHeight="1">
      <c r="A68" s="488"/>
      <c r="B68" s="516"/>
      <c r="C68" s="519"/>
      <c r="D68" s="493"/>
      <c r="E68" s="493"/>
      <c r="F68" s="259"/>
      <c r="G68" s="260"/>
      <c r="H68" s="260"/>
      <c r="I68" s="252"/>
      <c r="J68" s="495"/>
    </row>
    <row r="69" spans="1:13" ht="18" customHeight="1">
      <c r="A69" s="488"/>
      <c r="B69" s="517"/>
      <c r="C69" s="501"/>
      <c r="D69" s="493"/>
      <c r="E69" s="493"/>
      <c r="F69" s="261" t="s">
        <v>20</v>
      </c>
      <c r="G69" s="269">
        <f>SUM(G66:G68)</f>
        <v>633710599</v>
      </c>
      <c r="H69" s="269">
        <f>SUM(H66:H68)</f>
        <v>633710599</v>
      </c>
      <c r="I69" s="254"/>
      <c r="J69" s="520"/>
    </row>
    <row r="70" spans="1:13" ht="18" customHeight="1">
      <c r="A70" s="487">
        <v>6</v>
      </c>
      <c r="B70" s="461" t="s">
        <v>236</v>
      </c>
      <c r="C70" s="490">
        <f t="shared" ref="C70:C75" si="2">A70</f>
        <v>6</v>
      </c>
      <c r="D70" s="455"/>
      <c r="E70" s="455"/>
      <c r="F70" s="171" t="s">
        <v>136</v>
      </c>
      <c r="G70" s="258"/>
      <c r="H70" s="258"/>
      <c r="I70" s="251"/>
      <c r="J70" s="491"/>
      <c r="M70" s="271"/>
    </row>
    <row r="71" spans="1:13" ht="18" customHeight="1">
      <c r="A71" s="488"/>
      <c r="B71" s="462"/>
      <c r="C71" s="466"/>
      <c r="D71" s="456"/>
      <c r="E71" s="456"/>
      <c r="F71" s="259" t="s">
        <v>429</v>
      </c>
      <c r="G71" s="182">
        <f>회생채권개별!F170</f>
        <v>580000000</v>
      </c>
      <c r="H71" s="182">
        <f>G71</f>
        <v>580000000</v>
      </c>
      <c r="I71" s="252"/>
      <c r="J71" s="479"/>
    </row>
    <row r="72" spans="1:13" ht="18" customHeight="1">
      <c r="A72" s="488"/>
      <c r="B72" s="462"/>
      <c r="C72" s="466"/>
      <c r="D72" s="456"/>
      <c r="E72" s="456"/>
      <c r="F72" s="259" t="s">
        <v>430</v>
      </c>
      <c r="G72" s="260">
        <f>INDEX([1]회생채권자요약!J:J,ROW('[2]회생채권총괄 (3)'!G75)/4)</f>
        <v>0</v>
      </c>
      <c r="H72" s="260">
        <f>G72</f>
        <v>0</v>
      </c>
      <c r="I72" s="252"/>
      <c r="J72" s="479"/>
      <c r="M72" s="271"/>
    </row>
    <row r="73" spans="1:13" ht="18" customHeight="1">
      <c r="A73" s="488"/>
      <c r="B73" s="463"/>
      <c r="C73" s="467"/>
      <c r="D73" s="456"/>
      <c r="E73" s="456"/>
      <c r="F73" s="259"/>
      <c r="G73" s="260"/>
      <c r="H73" s="260"/>
      <c r="I73" s="252"/>
      <c r="J73" s="479"/>
    </row>
    <row r="74" spans="1:13" ht="18" customHeight="1">
      <c r="A74" s="489"/>
      <c r="B74" s="464"/>
      <c r="C74" s="468"/>
      <c r="D74" s="457"/>
      <c r="E74" s="457"/>
      <c r="F74" s="268" t="str">
        <f>IF(OR(MID(C70,2,1)="-",MID(C70,3,1)="-",MID(C70,4,1)="-",MID(47,5,1)="-"),"소계","합계")</f>
        <v>합계</v>
      </c>
      <c r="G74" s="269">
        <f t="shared" ref="G74:H74" si="3">SUM(G71:G72)</f>
        <v>580000000</v>
      </c>
      <c r="H74" s="269">
        <f t="shared" si="3"/>
        <v>580000000</v>
      </c>
      <c r="I74" s="253"/>
      <c r="J74" s="480"/>
      <c r="M74" s="271"/>
    </row>
    <row r="75" spans="1:13" ht="18" customHeight="1">
      <c r="A75" s="487">
        <v>7</v>
      </c>
      <c r="B75" s="461" t="s">
        <v>236</v>
      </c>
      <c r="C75" s="490">
        <f t="shared" si="2"/>
        <v>7</v>
      </c>
      <c r="D75" s="455"/>
      <c r="E75" s="455"/>
      <c r="F75" s="171" t="s">
        <v>136</v>
      </c>
      <c r="G75" s="258"/>
      <c r="H75" s="258"/>
      <c r="I75" s="251"/>
      <c r="J75" s="307"/>
    </row>
    <row r="76" spans="1:13" ht="18" customHeight="1">
      <c r="A76" s="488"/>
      <c r="B76" s="462"/>
      <c r="C76" s="466"/>
      <c r="D76" s="456"/>
      <c r="E76" s="456"/>
      <c r="F76" s="259" t="s">
        <v>429</v>
      </c>
      <c r="G76" s="182">
        <f>회생채권개별!F192</f>
        <v>564000000</v>
      </c>
      <c r="H76" s="182">
        <f>G76</f>
        <v>564000000</v>
      </c>
      <c r="I76" s="252"/>
      <c r="J76" s="307"/>
    </row>
    <row r="77" spans="1:13" ht="18" customHeight="1">
      <c r="A77" s="488"/>
      <c r="B77" s="462"/>
      <c r="C77" s="466"/>
      <c r="D77" s="456"/>
      <c r="E77" s="456"/>
      <c r="F77" s="259" t="s">
        <v>430</v>
      </c>
      <c r="G77" s="260">
        <f>INDEX([1]회생채권자요약!J:J,ROW('[2]회생채권총괄 (3)'!G80)/4)</f>
        <v>0</v>
      </c>
      <c r="H77" s="260">
        <f>G77</f>
        <v>0</v>
      </c>
      <c r="I77" s="252"/>
      <c r="J77" s="307"/>
    </row>
    <row r="78" spans="1:13" ht="18" customHeight="1">
      <c r="A78" s="488"/>
      <c r="B78" s="463"/>
      <c r="C78" s="467"/>
      <c r="D78" s="456"/>
      <c r="E78" s="456"/>
      <c r="F78" s="259"/>
      <c r="G78" s="260"/>
      <c r="H78" s="260"/>
      <c r="I78" s="252"/>
      <c r="J78" s="307"/>
    </row>
    <row r="79" spans="1:13" ht="18" customHeight="1">
      <c r="A79" s="489"/>
      <c r="B79" s="464"/>
      <c r="C79" s="468"/>
      <c r="D79" s="457"/>
      <c r="E79" s="457"/>
      <c r="F79" s="268" t="str">
        <f>IF(OR(MID(C75,2,1)="-",MID(C75,3,1)="-",MID(C75,4,1)="-",MID(47,5,1)="-"),"소계","합계")</f>
        <v>합계</v>
      </c>
      <c r="G79" s="269">
        <f t="shared" ref="G79:H79" si="4">SUM(G76:G77)</f>
        <v>564000000</v>
      </c>
      <c r="H79" s="269">
        <f t="shared" si="4"/>
        <v>564000000</v>
      </c>
      <c r="I79" s="253"/>
      <c r="J79" s="308"/>
    </row>
    <row r="80" spans="1:13" ht="18" customHeight="1">
      <c r="A80" s="487">
        <v>8</v>
      </c>
      <c r="B80" s="461" t="s">
        <v>236</v>
      </c>
      <c r="C80" s="490">
        <f>A80</f>
        <v>8</v>
      </c>
      <c r="D80" s="455"/>
      <c r="E80" s="455"/>
      <c r="F80" s="171" t="s">
        <v>197</v>
      </c>
      <c r="G80" s="258"/>
      <c r="H80" s="258"/>
      <c r="I80" s="251"/>
      <c r="J80" s="491"/>
    </row>
    <row r="81" spans="1:10" ht="18" customHeight="1">
      <c r="A81" s="488"/>
      <c r="B81" s="462"/>
      <c r="C81" s="466"/>
      <c r="D81" s="456"/>
      <c r="E81" s="456"/>
      <c r="F81" s="259" t="s">
        <v>429</v>
      </c>
      <c r="G81" s="182">
        <f>회생채권개별!F214</f>
        <v>380608300</v>
      </c>
      <c r="H81" s="182">
        <f>G81</f>
        <v>380608300</v>
      </c>
      <c r="I81" s="252"/>
      <c r="J81" s="479"/>
    </row>
    <row r="82" spans="1:10" ht="18" customHeight="1">
      <c r="A82" s="488"/>
      <c r="B82" s="462"/>
      <c r="C82" s="466"/>
      <c r="D82" s="456"/>
      <c r="E82" s="456"/>
      <c r="F82" s="259" t="s">
        <v>430</v>
      </c>
      <c r="G82" s="260">
        <f>INDEX([1]회생채권자요약!J:J,ROW('[2]회생채권총괄 (3)'!G85)/4)</f>
        <v>0</v>
      </c>
      <c r="H82" s="260">
        <f>G82</f>
        <v>0</v>
      </c>
      <c r="I82" s="252"/>
      <c r="J82" s="479"/>
    </row>
    <row r="83" spans="1:10" ht="18" customHeight="1">
      <c r="A83" s="488"/>
      <c r="B83" s="463"/>
      <c r="C83" s="467"/>
      <c r="D83" s="456"/>
      <c r="E83" s="456"/>
      <c r="F83" s="259"/>
      <c r="G83" s="260"/>
      <c r="H83" s="260"/>
      <c r="I83" s="252"/>
      <c r="J83" s="479"/>
    </row>
    <row r="84" spans="1:10" ht="18" customHeight="1" thickBot="1">
      <c r="A84" s="489"/>
      <c r="B84" s="464"/>
      <c r="C84" s="468"/>
      <c r="D84" s="457"/>
      <c r="E84" s="457"/>
      <c r="F84" s="268" t="str">
        <f>IF(OR(MID(C80,2,1)="-",MID(C80,3,1)="-",MID(C80,4,1)="-",MID(47,5,1)="-"),"소계","합계")</f>
        <v>합계</v>
      </c>
      <c r="G84" s="269">
        <f t="shared" ref="G84:H84" si="5">SUM(G81:G82)</f>
        <v>380608300</v>
      </c>
      <c r="H84" s="269">
        <f t="shared" si="5"/>
        <v>380608300</v>
      </c>
      <c r="I84" s="253"/>
      <c r="J84" s="480"/>
    </row>
    <row r="85" spans="1:10" ht="18" customHeight="1">
      <c r="A85" s="481" t="s">
        <v>394</v>
      </c>
      <c r="B85" s="461" t="s">
        <v>236</v>
      </c>
      <c r="C85" s="465" t="s">
        <v>397</v>
      </c>
      <c r="D85" s="455" t="s">
        <v>471</v>
      </c>
      <c r="E85" s="455"/>
      <c r="F85" s="171" t="s">
        <v>197</v>
      </c>
      <c r="G85" s="258"/>
      <c r="H85" s="258"/>
      <c r="I85" s="251"/>
      <c r="J85" s="458" t="s">
        <v>473</v>
      </c>
    </row>
    <row r="86" spans="1:10" ht="18" customHeight="1">
      <c r="A86" s="482"/>
      <c r="B86" s="462"/>
      <c r="C86" s="466"/>
      <c r="D86" s="456"/>
      <c r="E86" s="456"/>
      <c r="F86" s="259" t="s">
        <v>429</v>
      </c>
      <c r="G86" s="182">
        <f>회생채권개별!F236</f>
        <v>121534945</v>
      </c>
      <c r="H86" s="182">
        <f>G86</f>
        <v>121534945</v>
      </c>
      <c r="I86" s="252"/>
      <c r="J86" s="484"/>
    </row>
    <row r="87" spans="1:10" ht="18" customHeight="1">
      <c r="A87" s="482"/>
      <c r="B87" s="462"/>
      <c r="C87" s="466"/>
      <c r="D87" s="456"/>
      <c r="E87" s="456"/>
      <c r="F87" s="259" t="s">
        <v>430</v>
      </c>
      <c r="G87" s="260">
        <f>INDEX([1]회생채권자요약!J:J,ROW('[2]회생채권총괄 (3)'!G115)/4)</f>
        <v>0</v>
      </c>
      <c r="H87" s="260">
        <f>G87</f>
        <v>0</v>
      </c>
      <c r="I87" s="252"/>
      <c r="J87" s="484"/>
    </row>
    <row r="88" spans="1:10" ht="18" customHeight="1">
      <c r="A88" s="482"/>
      <c r="B88" s="463"/>
      <c r="C88" s="467"/>
      <c r="D88" s="456"/>
      <c r="E88" s="456"/>
      <c r="F88" s="259"/>
      <c r="G88" s="260"/>
      <c r="H88" s="260"/>
      <c r="I88" s="252"/>
      <c r="J88" s="484"/>
    </row>
    <row r="89" spans="1:10" ht="18" customHeight="1" thickBot="1">
      <c r="A89" s="482"/>
      <c r="B89" s="464"/>
      <c r="C89" s="468"/>
      <c r="D89" s="457"/>
      <c r="E89" s="457"/>
      <c r="F89" s="268" t="str">
        <f>IF(OR(MID(C85,2,1)="-",MID(C85,3,1)="-",MID(C85,4,1)="-",MID(47,5,1)="-"),"소계","합계")</f>
        <v>소계</v>
      </c>
      <c r="G89" s="269">
        <f t="shared" ref="G89:H89" si="6">SUM(G86:G87)</f>
        <v>121534945</v>
      </c>
      <c r="H89" s="269">
        <f t="shared" si="6"/>
        <v>121534945</v>
      </c>
      <c r="I89" s="253"/>
      <c r="J89" s="485"/>
    </row>
    <row r="90" spans="1:10" ht="18" customHeight="1">
      <c r="A90" s="482"/>
      <c r="B90" s="461" t="s">
        <v>236</v>
      </c>
      <c r="C90" s="465" t="s">
        <v>395</v>
      </c>
      <c r="D90" s="455" t="s">
        <v>471</v>
      </c>
      <c r="E90" s="455"/>
      <c r="F90" s="171" t="s">
        <v>197</v>
      </c>
      <c r="G90" s="258"/>
      <c r="H90" s="258"/>
      <c r="I90" s="251"/>
      <c r="J90" s="486"/>
    </row>
    <row r="91" spans="1:10" ht="18" customHeight="1">
      <c r="A91" s="482"/>
      <c r="B91" s="462"/>
      <c r="C91" s="466"/>
      <c r="D91" s="456"/>
      <c r="E91" s="456"/>
      <c r="F91" s="259" t="s">
        <v>429</v>
      </c>
      <c r="G91" s="182">
        <f>회생채권개별!F258</f>
        <v>115181683</v>
      </c>
      <c r="H91" s="182">
        <f>G91</f>
        <v>115181683</v>
      </c>
      <c r="I91" s="252"/>
      <c r="J91" s="486"/>
    </row>
    <row r="92" spans="1:10" ht="18" customHeight="1">
      <c r="A92" s="482"/>
      <c r="B92" s="462"/>
      <c r="C92" s="466"/>
      <c r="D92" s="456"/>
      <c r="E92" s="456"/>
      <c r="F92" s="259" t="s">
        <v>430</v>
      </c>
      <c r="G92" s="260">
        <f>INDEX([1]회생채권자요약!J:J,ROW('[2]회생채권총괄 (3)'!G120)/4)</f>
        <v>0</v>
      </c>
      <c r="H92" s="260">
        <f>G92</f>
        <v>0</v>
      </c>
      <c r="I92" s="252"/>
      <c r="J92" s="486"/>
    </row>
    <row r="93" spans="1:10" ht="18" customHeight="1">
      <c r="A93" s="482"/>
      <c r="B93" s="463"/>
      <c r="C93" s="467"/>
      <c r="D93" s="456"/>
      <c r="E93" s="456"/>
      <c r="F93" s="259"/>
      <c r="G93" s="260"/>
      <c r="H93" s="260"/>
      <c r="I93" s="252"/>
      <c r="J93" s="486"/>
    </row>
    <row r="94" spans="1:10" ht="18" customHeight="1" thickBot="1">
      <c r="A94" s="482"/>
      <c r="B94" s="464"/>
      <c r="C94" s="468"/>
      <c r="D94" s="457"/>
      <c r="E94" s="457"/>
      <c r="F94" s="268" t="str">
        <f>IF(OR(MID(C90,2,1)="-",MID(C90,3,1)="-",MID(C90,4,1)="-",MID(47,5,1)="-"),"소계","합계")</f>
        <v>소계</v>
      </c>
      <c r="G94" s="269">
        <f t="shared" ref="G94:H94" si="7">SUM(G91:G92)</f>
        <v>115181683</v>
      </c>
      <c r="H94" s="269">
        <f t="shared" si="7"/>
        <v>115181683</v>
      </c>
      <c r="I94" s="253"/>
      <c r="J94" s="486"/>
    </row>
    <row r="95" spans="1:10" ht="18" customHeight="1">
      <c r="A95" s="482"/>
      <c r="B95" s="461" t="s">
        <v>236</v>
      </c>
      <c r="C95" s="465" t="s">
        <v>396</v>
      </c>
      <c r="D95" s="455" t="s">
        <v>471</v>
      </c>
      <c r="E95" s="455"/>
      <c r="F95" s="171" t="s">
        <v>197</v>
      </c>
      <c r="G95" s="258"/>
      <c r="H95" s="258"/>
      <c r="I95" s="251"/>
      <c r="J95" s="458" t="s">
        <v>474</v>
      </c>
    </row>
    <row r="96" spans="1:10" ht="18" customHeight="1">
      <c r="A96" s="482"/>
      <c r="B96" s="462"/>
      <c r="C96" s="466"/>
      <c r="D96" s="456"/>
      <c r="E96" s="456"/>
      <c r="F96" s="259" t="s">
        <v>429</v>
      </c>
      <c r="G96" s="182">
        <f>회생채권개별!F280</f>
        <v>97557491</v>
      </c>
      <c r="H96" s="182">
        <f>G96</f>
        <v>97557491</v>
      </c>
      <c r="I96" s="252"/>
      <c r="J96" s="484"/>
    </row>
    <row r="97" spans="1:11" ht="18" customHeight="1">
      <c r="A97" s="482"/>
      <c r="B97" s="462"/>
      <c r="C97" s="466"/>
      <c r="D97" s="456"/>
      <c r="E97" s="456"/>
      <c r="F97" s="259" t="s">
        <v>430</v>
      </c>
      <c r="G97" s="260">
        <f>INDEX([1]회생채권자요약!J:J,ROW('[2]회생채권총괄 (3)'!G125)/4)</f>
        <v>0</v>
      </c>
      <c r="H97" s="260">
        <f>G97</f>
        <v>0</v>
      </c>
      <c r="I97" s="252"/>
      <c r="J97" s="484"/>
    </row>
    <row r="98" spans="1:11" ht="18" customHeight="1">
      <c r="A98" s="482"/>
      <c r="B98" s="463"/>
      <c r="C98" s="467"/>
      <c r="D98" s="456"/>
      <c r="E98" s="456"/>
      <c r="F98" s="259"/>
      <c r="G98" s="260"/>
      <c r="H98" s="260"/>
      <c r="I98" s="252"/>
      <c r="J98" s="484"/>
    </row>
    <row r="99" spans="1:11" ht="18" customHeight="1" thickBot="1">
      <c r="A99" s="482"/>
      <c r="B99" s="464"/>
      <c r="C99" s="468"/>
      <c r="D99" s="457"/>
      <c r="E99" s="457"/>
      <c r="F99" s="268" t="str">
        <f>IF(OR(MID(C95,2,1)="-",MID(C95,3,1)="-",MID(C95,4,1)="-",MID(47,5,1)="-"),"소계","합계")</f>
        <v>소계</v>
      </c>
      <c r="G99" s="269">
        <f t="shared" ref="G99:H99" si="8">SUM(G96:G97)</f>
        <v>97557491</v>
      </c>
      <c r="H99" s="269">
        <f t="shared" si="8"/>
        <v>97557491</v>
      </c>
      <c r="I99" s="253"/>
      <c r="J99" s="485"/>
    </row>
    <row r="100" spans="1:11" ht="18" customHeight="1">
      <c r="A100" s="482"/>
      <c r="B100" s="469" t="s">
        <v>472</v>
      </c>
      <c r="C100" s="470"/>
      <c r="D100" s="470"/>
      <c r="E100" s="471"/>
      <c r="F100" s="331" t="s">
        <v>465</v>
      </c>
      <c r="G100" s="267">
        <f>G86+G91+G96</f>
        <v>334274119</v>
      </c>
      <c r="H100" s="267">
        <f>G100</f>
        <v>334274119</v>
      </c>
      <c r="I100" s="264"/>
      <c r="J100" s="478"/>
      <c r="K100" s="306">
        <f>+G100</f>
        <v>334274119</v>
      </c>
    </row>
    <row r="101" spans="1:11" ht="18" customHeight="1">
      <c r="A101" s="482"/>
      <c r="B101" s="472"/>
      <c r="C101" s="473"/>
      <c r="D101" s="473"/>
      <c r="E101" s="474"/>
      <c r="F101" s="259" t="s">
        <v>466</v>
      </c>
      <c r="G101" s="260">
        <f>SUMIF(F56:F65,F101,G56:G65)</f>
        <v>0</v>
      </c>
      <c r="H101" s="260">
        <f>SUMIF($F$6:$F$15,$F101,H56:H65)</f>
        <v>0</v>
      </c>
      <c r="I101" s="252"/>
      <c r="J101" s="479"/>
      <c r="K101" s="306">
        <f>G100+3300000000</f>
        <v>3634274119</v>
      </c>
    </row>
    <row r="102" spans="1:11" ht="10.5" customHeight="1">
      <c r="A102" s="482"/>
      <c r="B102" s="472"/>
      <c r="C102" s="473"/>
      <c r="D102" s="473"/>
      <c r="E102" s="474"/>
      <c r="F102" s="259"/>
      <c r="G102" s="260"/>
      <c r="H102" s="260"/>
      <c r="I102" s="252"/>
      <c r="J102" s="479"/>
    </row>
    <row r="103" spans="1:11" ht="18" customHeight="1" thickBot="1">
      <c r="A103" s="483"/>
      <c r="B103" s="475"/>
      <c r="C103" s="476"/>
      <c r="D103" s="476"/>
      <c r="E103" s="477"/>
      <c r="F103" s="268" t="str">
        <f t="array" ref="F103">IF(OR(MID(C70:C70,2,1)="-",MID(C56,3,1)="-",MID(C56,4,1)="-",MID(47,5,1)="-"),"소계","합계")</f>
        <v>합계</v>
      </c>
      <c r="G103" s="269">
        <f>SUM(G100:G102)</f>
        <v>334274119</v>
      </c>
      <c r="H103" s="269">
        <f>SUM(H100:H102)</f>
        <v>334274119</v>
      </c>
      <c r="I103" s="253"/>
      <c r="J103" s="480"/>
    </row>
    <row r="104" spans="1:11" ht="18" customHeight="1">
      <c r="A104" s="487">
        <v>10</v>
      </c>
      <c r="B104" s="461" t="s">
        <v>236</v>
      </c>
      <c r="C104" s="490">
        <f>A104</f>
        <v>10</v>
      </c>
      <c r="D104" s="455"/>
      <c r="E104" s="455"/>
      <c r="F104" s="171" t="s">
        <v>159</v>
      </c>
      <c r="G104" s="258"/>
      <c r="H104" s="258"/>
      <c r="I104" s="251"/>
      <c r="J104" s="491" t="s">
        <v>390</v>
      </c>
    </row>
    <row r="105" spans="1:11" ht="18" customHeight="1">
      <c r="A105" s="488"/>
      <c r="B105" s="462"/>
      <c r="C105" s="466"/>
      <c r="D105" s="456"/>
      <c r="E105" s="456"/>
      <c r="F105" s="259" t="s">
        <v>429</v>
      </c>
      <c r="G105" s="182">
        <f>회생채권개별!F302</f>
        <v>300000000</v>
      </c>
      <c r="H105" s="182">
        <f>G105</f>
        <v>300000000</v>
      </c>
      <c r="I105" s="252"/>
      <c r="J105" s="479"/>
    </row>
    <row r="106" spans="1:11" ht="18" customHeight="1">
      <c r="A106" s="488"/>
      <c r="B106" s="462"/>
      <c r="C106" s="466"/>
      <c r="D106" s="456"/>
      <c r="E106" s="456"/>
      <c r="F106" s="259" t="s">
        <v>430</v>
      </c>
      <c r="G106" s="260">
        <f>INDEX([1]회생채권자요약!J:J,ROW('[2]회생채권총괄 (3)'!G90)/4)</f>
        <v>0</v>
      </c>
      <c r="H106" s="260">
        <f>G106</f>
        <v>0</v>
      </c>
      <c r="I106" s="252"/>
      <c r="J106" s="479"/>
    </row>
    <row r="107" spans="1:11" ht="18" customHeight="1">
      <c r="A107" s="488"/>
      <c r="B107" s="463"/>
      <c r="C107" s="467"/>
      <c r="D107" s="456"/>
      <c r="E107" s="456"/>
      <c r="F107" s="259"/>
      <c r="G107" s="260"/>
      <c r="H107" s="260"/>
      <c r="I107" s="252"/>
      <c r="J107" s="479"/>
    </row>
    <row r="108" spans="1:11" ht="18" customHeight="1" thickBot="1">
      <c r="A108" s="489"/>
      <c r="B108" s="464"/>
      <c r="C108" s="468"/>
      <c r="D108" s="457"/>
      <c r="E108" s="457"/>
      <c r="F108" s="268" t="str">
        <f>IF(OR(MID(C104,2,1)="-",MID(C104,3,1)="-",MID(C104,4,1)="-",MID(47,5,1)="-"),"소계","합계")</f>
        <v>합계</v>
      </c>
      <c r="G108" s="269">
        <f t="shared" ref="G108:H108" si="9">SUM(G105:G106)</f>
        <v>300000000</v>
      </c>
      <c r="H108" s="269">
        <f t="shared" si="9"/>
        <v>300000000</v>
      </c>
      <c r="I108" s="253"/>
      <c r="J108" s="480"/>
    </row>
    <row r="109" spans="1:11" ht="18" customHeight="1">
      <c r="A109" s="487">
        <v>11</v>
      </c>
      <c r="B109" s="461" t="s">
        <v>236</v>
      </c>
      <c r="C109" s="490">
        <f>A109</f>
        <v>11</v>
      </c>
      <c r="D109" s="455">
        <f>회생채권개별!C319</f>
        <v>0</v>
      </c>
      <c r="E109" s="455">
        <f>회생채권개별!C320</f>
        <v>0</v>
      </c>
      <c r="F109" s="171" t="s">
        <v>197</v>
      </c>
      <c r="G109" s="258"/>
      <c r="H109" s="258"/>
      <c r="I109" s="251"/>
      <c r="J109" s="532" t="s">
        <v>475</v>
      </c>
      <c r="K109" s="304">
        <v>184343044</v>
      </c>
    </row>
    <row r="110" spans="1:11" ht="31.5" customHeight="1">
      <c r="A110" s="488"/>
      <c r="B110" s="462"/>
      <c r="C110" s="466"/>
      <c r="D110" s="456"/>
      <c r="E110" s="456"/>
      <c r="F110" s="259" t="s">
        <v>429</v>
      </c>
      <c r="G110" s="319" t="s">
        <v>441</v>
      </c>
      <c r="H110" s="319" t="str">
        <f>G110</f>
        <v>US$134,439.21
(184,343,044)</v>
      </c>
      <c r="I110" s="252"/>
      <c r="J110" s="533"/>
    </row>
    <row r="111" spans="1:11" ht="18" customHeight="1">
      <c r="A111" s="488"/>
      <c r="B111" s="462"/>
      <c r="C111" s="466"/>
      <c r="D111" s="456"/>
      <c r="E111" s="456"/>
      <c r="F111" s="259" t="s">
        <v>430</v>
      </c>
      <c r="G111" s="320">
        <f>INDEX([1]회생채권자요약!J:J,ROW('[2]회생채권총괄 (3)'!G95)/4)</f>
        <v>0</v>
      </c>
      <c r="H111" s="320">
        <f>G111</f>
        <v>0</v>
      </c>
      <c r="I111" s="252"/>
      <c r="J111" s="533"/>
    </row>
    <row r="112" spans="1:11" ht="18" customHeight="1">
      <c r="A112" s="488"/>
      <c r="B112" s="463"/>
      <c r="C112" s="467"/>
      <c r="D112" s="456"/>
      <c r="E112" s="456"/>
      <c r="F112" s="259"/>
      <c r="G112" s="320"/>
      <c r="H112" s="320"/>
      <c r="I112" s="252"/>
      <c r="J112" s="533"/>
    </row>
    <row r="113" spans="1:10" ht="32.25" customHeight="1" thickBot="1">
      <c r="A113" s="489"/>
      <c r="B113" s="464"/>
      <c r="C113" s="468"/>
      <c r="D113" s="457"/>
      <c r="E113" s="457"/>
      <c r="F113" s="268" t="str">
        <f>IF(OR(MID(C109,2,1)="-",MID(C109,3,1)="-",MID(C109,4,1)="-",MID(47,5,1)="-"),"소계","합계")</f>
        <v>합계</v>
      </c>
      <c r="G113" s="321" t="s">
        <v>442</v>
      </c>
      <c r="H113" s="321" t="str">
        <f>G113</f>
        <v>184,343,044
(US$134,439.21 포함)</v>
      </c>
      <c r="I113" s="253"/>
      <c r="J113" s="534"/>
    </row>
    <row r="114" spans="1:10" ht="18" customHeight="1">
      <c r="A114" s="481" t="s">
        <v>398</v>
      </c>
      <c r="B114" s="461" t="s">
        <v>236</v>
      </c>
      <c r="C114" s="465" t="s">
        <v>399</v>
      </c>
      <c r="D114" s="455"/>
      <c r="E114" s="455"/>
      <c r="F114" s="171" t="s">
        <v>197</v>
      </c>
      <c r="G114" s="258"/>
      <c r="H114" s="258"/>
      <c r="I114" s="251"/>
      <c r="J114" s="486"/>
    </row>
    <row r="115" spans="1:10" ht="18" customHeight="1">
      <c r="A115" s="482"/>
      <c r="B115" s="462"/>
      <c r="C115" s="466"/>
      <c r="D115" s="456"/>
      <c r="E115" s="456"/>
      <c r="F115" s="259" t="s">
        <v>429</v>
      </c>
      <c r="G115" s="182">
        <f>회생채권개별!F347</f>
        <v>124545516</v>
      </c>
      <c r="H115" s="182">
        <f>G115</f>
        <v>124545516</v>
      </c>
      <c r="I115" s="252"/>
      <c r="J115" s="486"/>
    </row>
    <row r="116" spans="1:10" ht="18" customHeight="1">
      <c r="A116" s="482"/>
      <c r="B116" s="462"/>
      <c r="C116" s="466"/>
      <c r="D116" s="456"/>
      <c r="E116" s="456"/>
      <c r="F116" s="259" t="s">
        <v>430</v>
      </c>
      <c r="G116" s="260">
        <f>INDEX([1]회생채권자요약!J:J,ROW('[2]회생채권총괄 (3)'!G105)/4)</f>
        <v>0</v>
      </c>
      <c r="H116" s="260">
        <f>G116</f>
        <v>0</v>
      </c>
      <c r="I116" s="252"/>
      <c r="J116" s="486"/>
    </row>
    <row r="117" spans="1:10" ht="18" customHeight="1">
      <c r="A117" s="482"/>
      <c r="B117" s="463"/>
      <c r="C117" s="467"/>
      <c r="D117" s="456"/>
      <c r="E117" s="456"/>
      <c r="F117" s="259"/>
      <c r="G117" s="260"/>
      <c r="H117" s="260"/>
      <c r="I117" s="252"/>
      <c r="J117" s="486"/>
    </row>
    <row r="118" spans="1:10" ht="18" customHeight="1" thickBot="1">
      <c r="A118" s="482"/>
      <c r="B118" s="464"/>
      <c r="C118" s="468"/>
      <c r="D118" s="457"/>
      <c r="E118" s="457"/>
      <c r="F118" s="268" t="str">
        <f>IF(OR(MID(C114,2,1)="-",MID(C114,3,1)="-",MID(C114,4,1)="-",MID(47,5,1)="-"),"소계","합계")</f>
        <v>소계</v>
      </c>
      <c r="G118" s="269">
        <f t="shared" ref="G118:H118" si="10">SUM(G115:G116)</f>
        <v>124545516</v>
      </c>
      <c r="H118" s="269">
        <f t="shared" si="10"/>
        <v>124545516</v>
      </c>
      <c r="I118" s="253"/>
      <c r="J118" s="486"/>
    </row>
    <row r="119" spans="1:10" ht="18" customHeight="1">
      <c r="A119" s="482"/>
      <c r="B119" s="461" t="s">
        <v>236</v>
      </c>
      <c r="C119" s="465" t="s">
        <v>231</v>
      </c>
      <c r="D119" s="455"/>
      <c r="E119" s="455"/>
      <c r="F119" s="171" t="s">
        <v>197</v>
      </c>
      <c r="G119" s="258"/>
      <c r="H119" s="258"/>
      <c r="I119" s="251"/>
      <c r="J119" s="458" t="s">
        <v>419</v>
      </c>
    </row>
    <row r="120" spans="1:10" ht="18" customHeight="1">
      <c r="A120" s="482"/>
      <c r="B120" s="462"/>
      <c r="C120" s="466"/>
      <c r="D120" s="456"/>
      <c r="E120" s="456"/>
      <c r="F120" s="259" t="s">
        <v>429</v>
      </c>
      <c r="G120" s="182">
        <f>회생채권개별!F369</f>
        <v>9100000</v>
      </c>
      <c r="H120" s="182">
        <f>G120</f>
        <v>9100000</v>
      </c>
      <c r="I120" s="252"/>
      <c r="J120" s="459"/>
    </row>
    <row r="121" spans="1:10" ht="18" customHeight="1">
      <c r="A121" s="482"/>
      <c r="B121" s="462"/>
      <c r="C121" s="466"/>
      <c r="D121" s="456"/>
      <c r="E121" s="456"/>
      <c r="F121" s="259" t="s">
        <v>430</v>
      </c>
      <c r="G121" s="260">
        <f>INDEX([1]회생채권자요약!J:J,ROW('[2]회생채권총괄 (3)'!G110)/4)</f>
        <v>0</v>
      </c>
      <c r="H121" s="260">
        <f>G121</f>
        <v>0</v>
      </c>
      <c r="I121" s="252"/>
      <c r="J121" s="459"/>
    </row>
    <row r="122" spans="1:10" ht="18" customHeight="1">
      <c r="A122" s="482"/>
      <c r="B122" s="463"/>
      <c r="C122" s="467"/>
      <c r="D122" s="456"/>
      <c r="E122" s="456"/>
      <c r="F122" s="259"/>
      <c r="G122" s="260"/>
      <c r="H122" s="260"/>
      <c r="I122" s="252"/>
      <c r="J122" s="459"/>
    </row>
    <row r="123" spans="1:10" ht="18" customHeight="1" thickBot="1">
      <c r="A123" s="482"/>
      <c r="B123" s="464"/>
      <c r="C123" s="468"/>
      <c r="D123" s="457"/>
      <c r="E123" s="457"/>
      <c r="F123" s="268" t="str">
        <f>IF(OR(MID(C119,2,1)="-",MID(C119,3,1)="-",MID(C119,4,1)="-",MID(47,5,1)="-"),"소계","합계")</f>
        <v>소계</v>
      </c>
      <c r="G123" s="269">
        <f t="shared" ref="G123:H123" si="11">SUM(G120:G121)</f>
        <v>9100000</v>
      </c>
      <c r="H123" s="269">
        <f t="shared" si="11"/>
        <v>9100000</v>
      </c>
      <c r="I123" s="253"/>
      <c r="J123" s="460"/>
    </row>
    <row r="124" spans="1:10" ht="18" customHeight="1">
      <c r="A124" s="482"/>
      <c r="B124" s="461" t="s">
        <v>236</v>
      </c>
      <c r="C124" s="465" t="s">
        <v>232</v>
      </c>
      <c r="D124" s="455"/>
      <c r="E124" s="455"/>
      <c r="F124" s="171" t="s">
        <v>197</v>
      </c>
      <c r="G124" s="258"/>
      <c r="H124" s="258"/>
      <c r="I124" s="251"/>
      <c r="J124" s="458" t="s">
        <v>420</v>
      </c>
    </row>
    <row r="125" spans="1:10" ht="18" customHeight="1">
      <c r="A125" s="482"/>
      <c r="B125" s="462"/>
      <c r="C125" s="466"/>
      <c r="D125" s="456"/>
      <c r="E125" s="456"/>
      <c r="F125" s="259" t="s">
        <v>429</v>
      </c>
      <c r="G125" s="182">
        <f>회생채권개별!F391</f>
        <v>6500000</v>
      </c>
      <c r="H125" s="182">
        <f>G125</f>
        <v>6500000</v>
      </c>
      <c r="I125" s="252"/>
      <c r="J125" s="459"/>
    </row>
    <row r="126" spans="1:10" ht="18" customHeight="1">
      <c r="A126" s="482"/>
      <c r="B126" s="462"/>
      <c r="C126" s="466"/>
      <c r="D126" s="456"/>
      <c r="E126" s="456"/>
      <c r="F126" s="259" t="s">
        <v>430</v>
      </c>
      <c r="G126" s="260">
        <f>INDEX([1]회생채권자요약!J:J,ROW('[2]회생채권총괄 (3)'!G110)/4)</f>
        <v>0</v>
      </c>
      <c r="H126" s="260">
        <f>G126</f>
        <v>0</v>
      </c>
      <c r="I126" s="252"/>
      <c r="J126" s="459"/>
    </row>
    <row r="127" spans="1:10" ht="18" customHeight="1">
      <c r="A127" s="482"/>
      <c r="B127" s="463"/>
      <c r="C127" s="467"/>
      <c r="D127" s="456"/>
      <c r="E127" s="456"/>
      <c r="F127" s="259"/>
      <c r="G127" s="260"/>
      <c r="H127" s="260"/>
      <c r="I127" s="252"/>
      <c r="J127" s="459"/>
    </row>
    <row r="128" spans="1:10" ht="18" customHeight="1" thickBot="1">
      <c r="A128" s="482"/>
      <c r="B128" s="464"/>
      <c r="C128" s="468"/>
      <c r="D128" s="457"/>
      <c r="E128" s="457"/>
      <c r="F128" s="268" t="str">
        <f>IF(OR(MID(C124,2,1)="-",MID(C124,3,1)="-",MID(C124,4,1)="-",MID(47,5,1)="-"),"소계","합계")</f>
        <v>소계</v>
      </c>
      <c r="G128" s="269">
        <f t="shared" ref="G128:H128" si="12">SUM(G125:G126)</f>
        <v>6500000</v>
      </c>
      <c r="H128" s="269">
        <f t="shared" si="12"/>
        <v>6500000</v>
      </c>
      <c r="I128" s="253"/>
      <c r="J128" s="460"/>
    </row>
    <row r="129" spans="1:11" ht="18" customHeight="1">
      <c r="A129" s="482"/>
      <c r="B129" s="461" t="s">
        <v>236</v>
      </c>
      <c r="C129" s="465" t="s">
        <v>51</v>
      </c>
      <c r="D129" s="455"/>
      <c r="E129" s="455"/>
      <c r="F129" s="171" t="s">
        <v>197</v>
      </c>
      <c r="G129" s="258"/>
      <c r="H129" s="258"/>
      <c r="I129" s="251"/>
      <c r="J129" s="458" t="s">
        <v>421</v>
      </c>
    </row>
    <row r="130" spans="1:11" ht="18" customHeight="1">
      <c r="A130" s="482"/>
      <c r="B130" s="462"/>
      <c r="C130" s="466"/>
      <c r="D130" s="456"/>
      <c r="E130" s="456"/>
      <c r="F130" s="259" t="s">
        <v>429</v>
      </c>
      <c r="G130" s="182">
        <f>회생채권개별!F413</f>
        <v>3000000</v>
      </c>
      <c r="H130" s="182">
        <f>G130</f>
        <v>3000000</v>
      </c>
      <c r="I130" s="252"/>
      <c r="J130" s="459"/>
    </row>
    <row r="131" spans="1:11" ht="18" customHeight="1">
      <c r="A131" s="482"/>
      <c r="B131" s="462"/>
      <c r="C131" s="466"/>
      <c r="D131" s="456"/>
      <c r="E131" s="456"/>
      <c r="F131" s="259" t="s">
        <v>430</v>
      </c>
      <c r="G131" s="260">
        <f>INDEX([1]회생채권자요약!J:J,ROW('[2]회생채권총괄 (3)'!G115)/4)</f>
        <v>0</v>
      </c>
      <c r="H131" s="260">
        <f>G131</f>
        <v>0</v>
      </c>
      <c r="I131" s="252"/>
      <c r="J131" s="459"/>
    </row>
    <row r="132" spans="1:11" ht="18" customHeight="1">
      <c r="A132" s="482"/>
      <c r="B132" s="463"/>
      <c r="C132" s="467"/>
      <c r="D132" s="456"/>
      <c r="E132" s="456"/>
      <c r="F132" s="259"/>
      <c r="G132" s="260"/>
      <c r="H132" s="260"/>
      <c r="I132" s="252"/>
      <c r="J132" s="459"/>
    </row>
    <row r="133" spans="1:11" ht="18" customHeight="1" thickBot="1">
      <c r="A133" s="482"/>
      <c r="B133" s="464"/>
      <c r="C133" s="468"/>
      <c r="D133" s="457"/>
      <c r="E133" s="457"/>
      <c r="F133" s="268" t="str">
        <f>IF(OR(MID(C129,2,1)="-",MID(C129,3,1)="-",MID(C129,4,1)="-",MID(47,5,1)="-"),"소계","합계")</f>
        <v>소계</v>
      </c>
      <c r="G133" s="269">
        <f t="shared" ref="G133:H133" si="13">SUM(G130:G131)</f>
        <v>3000000</v>
      </c>
      <c r="H133" s="269">
        <f t="shared" si="13"/>
        <v>3000000</v>
      </c>
      <c r="I133" s="253"/>
      <c r="J133" s="460"/>
    </row>
    <row r="134" spans="1:11" ht="18" customHeight="1">
      <c r="A134" s="482"/>
      <c r="B134" s="469"/>
      <c r="C134" s="470"/>
      <c r="D134" s="470"/>
      <c r="E134" s="471"/>
      <c r="F134" s="331" t="s">
        <v>465</v>
      </c>
      <c r="G134" s="267">
        <f>+G115+G120+G125+G130</f>
        <v>143145516</v>
      </c>
      <c r="H134" s="267">
        <f>G134</f>
        <v>143145516</v>
      </c>
      <c r="I134" s="264"/>
      <c r="J134" s="478"/>
      <c r="K134" s="306">
        <f>3300000000+G134</f>
        <v>3443145516</v>
      </c>
    </row>
    <row r="135" spans="1:11" ht="18" customHeight="1">
      <c r="A135" s="482"/>
      <c r="B135" s="472"/>
      <c r="C135" s="473"/>
      <c r="D135" s="473"/>
      <c r="E135" s="474"/>
      <c r="F135" s="259" t="s">
        <v>466</v>
      </c>
      <c r="G135" s="260">
        <f>SUMIF(F90:F99,F135,G90:G99)</f>
        <v>0</v>
      </c>
      <c r="H135" s="260">
        <f>SUMIF($F$6:$F$15,$F135,H90:H99)</f>
        <v>0</v>
      </c>
      <c r="I135" s="252"/>
      <c r="J135" s="479"/>
      <c r="K135" s="306">
        <f>G134+3300000000</f>
        <v>3443145516</v>
      </c>
    </row>
    <row r="136" spans="1:11" ht="10.5" customHeight="1">
      <c r="A136" s="482"/>
      <c r="B136" s="472"/>
      <c r="C136" s="473"/>
      <c r="D136" s="473"/>
      <c r="E136" s="474"/>
      <c r="F136" s="259"/>
      <c r="G136" s="260"/>
      <c r="H136" s="260"/>
      <c r="I136" s="252"/>
      <c r="J136" s="479"/>
    </row>
    <row r="137" spans="1:11" ht="18" customHeight="1" thickBot="1">
      <c r="A137" s="483"/>
      <c r="B137" s="475"/>
      <c r="C137" s="476"/>
      <c r="D137" s="476"/>
      <c r="E137" s="477"/>
      <c r="F137" s="268" t="str">
        <f t="array" ref="F137">IF(OR(MID(C104:C104,2,1)="-",MID(C90,3,1)="-",MID(C90,4,1)="-",MID(47,5,1)="-"),"소계","합계")</f>
        <v>합계</v>
      </c>
      <c r="G137" s="269">
        <f>SUM(G134:G136)</f>
        <v>143145516</v>
      </c>
      <c r="H137" s="269">
        <f>SUM(H134:H136)</f>
        <v>143145516</v>
      </c>
      <c r="I137" s="253"/>
      <c r="J137" s="480"/>
    </row>
    <row r="138" spans="1:11" ht="18" customHeight="1">
      <c r="A138" s="487">
        <v>13</v>
      </c>
      <c r="B138" s="461" t="s">
        <v>236</v>
      </c>
      <c r="C138" s="490">
        <f>A138</f>
        <v>13</v>
      </c>
      <c r="D138" s="455"/>
      <c r="E138" s="455"/>
      <c r="F138" s="171" t="s">
        <v>197</v>
      </c>
      <c r="G138" s="258"/>
      <c r="H138" s="258"/>
      <c r="I138" s="251"/>
      <c r="J138" s="491"/>
    </row>
    <row r="139" spans="1:11" ht="18" customHeight="1">
      <c r="A139" s="488"/>
      <c r="B139" s="462"/>
      <c r="C139" s="466"/>
      <c r="D139" s="456"/>
      <c r="E139" s="456"/>
      <c r="F139" s="259" t="s">
        <v>429</v>
      </c>
      <c r="G139" s="182">
        <f>회생채권개별!F435</f>
        <v>133133121</v>
      </c>
      <c r="H139" s="182">
        <f>G139</f>
        <v>133133121</v>
      </c>
      <c r="I139" s="252"/>
      <c r="J139" s="479"/>
    </row>
    <row r="140" spans="1:11" ht="18" customHeight="1">
      <c r="A140" s="488"/>
      <c r="B140" s="462"/>
      <c r="C140" s="466"/>
      <c r="D140" s="456"/>
      <c r="E140" s="456"/>
      <c r="F140" s="259" t="s">
        <v>430</v>
      </c>
      <c r="G140" s="260">
        <f>INDEX([1]회생채권자요약!J:J,ROW('[2]회생채권총괄 (3)'!G100)/4)</f>
        <v>0</v>
      </c>
      <c r="H140" s="260">
        <f>G140</f>
        <v>0</v>
      </c>
      <c r="I140" s="252"/>
      <c r="J140" s="479"/>
    </row>
    <row r="141" spans="1:11" ht="18" customHeight="1">
      <c r="A141" s="488"/>
      <c r="B141" s="463"/>
      <c r="C141" s="467"/>
      <c r="D141" s="456"/>
      <c r="E141" s="456"/>
      <c r="F141" s="259"/>
      <c r="G141" s="260"/>
      <c r="H141" s="260"/>
      <c r="I141" s="252"/>
      <c r="J141" s="479"/>
    </row>
    <row r="142" spans="1:11" ht="18" customHeight="1">
      <c r="A142" s="489"/>
      <c r="B142" s="464"/>
      <c r="C142" s="468"/>
      <c r="D142" s="457"/>
      <c r="E142" s="457"/>
      <c r="F142" s="268" t="str">
        <f>IF(OR(MID(C138,2,1)="-",MID(C138,3,1)="-",MID(C138,4,1)="-",MID(47,5,1)="-"),"소계","합계")</f>
        <v>합계</v>
      </c>
      <c r="G142" s="269">
        <f t="shared" ref="G142:H142" si="14">SUM(G139:G140)</f>
        <v>133133121</v>
      </c>
      <c r="H142" s="269">
        <f t="shared" si="14"/>
        <v>133133121</v>
      </c>
      <c r="I142" s="253"/>
      <c r="J142" s="480"/>
    </row>
    <row r="143" spans="1:11" ht="18" customHeight="1">
      <c r="A143" s="487">
        <v>14</v>
      </c>
      <c r="B143" s="461" t="s">
        <v>236</v>
      </c>
      <c r="C143" s="490">
        <f>A143</f>
        <v>14</v>
      </c>
      <c r="D143" s="455"/>
      <c r="E143" s="455"/>
      <c r="F143" s="171" t="s">
        <v>197</v>
      </c>
      <c r="G143" s="258"/>
      <c r="H143" s="258"/>
      <c r="I143" s="251"/>
      <c r="J143" s="491"/>
    </row>
    <row r="144" spans="1:11" ht="18" customHeight="1">
      <c r="A144" s="488"/>
      <c r="B144" s="462"/>
      <c r="C144" s="466"/>
      <c r="D144" s="456"/>
      <c r="E144" s="456"/>
      <c r="F144" s="259" t="s">
        <v>429</v>
      </c>
      <c r="G144" s="182">
        <f>회생채권개별!F457</f>
        <v>123779412</v>
      </c>
      <c r="H144" s="182">
        <f>G144</f>
        <v>123779412</v>
      </c>
      <c r="I144" s="252"/>
      <c r="J144" s="479"/>
    </row>
    <row r="145" spans="1:10" ht="18" customHeight="1">
      <c r="A145" s="488"/>
      <c r="B145" s="462"/>
      <c r="C145" s="466"/>
      <c r="D145" s="456"/>
      <c r="E145" s="456"/>
      <c r="F145" s="259" t="s">
        <v>430</v>
      </c>
      <c r="G145" s="260">
        <f>INDEX([1]회생채권자요약!J:J,ROW('[2]회생채권총괄 (3)'!G110)/4)</f>
        <v>0</v>
      </c>
      <c r="H145" s="260">
        <f>G145</f>
        <v>0</v>
      </c>
      <c r="I145" s="252"/>
      <c r="J145" s="479"/>
    </row>
    <row r="146" spans="1:10" ht="18" customHeight="1">
      <c r="A146" s="488"/>
      <c r="B146" s="463"/>
      <c r="C146" s="467"/>
      <c r="D146" s="456"/>
      <c r="E146" s="456"/>
      <c r="F146" s="259"/>
      <c r="G146" s="260"/>
      <c r="H146" s="260"/>
      <c r="I146" s="252"/>
      <c r="J146" s="479"/>
    </row>
    <row r="147" spans="1:10" ht="18" customHeight="1">
      <c r="A147" s="489"/>
      <c r="B147" s="464"/>
      <c r="C147" s="468"/>
      <c r="D147" s="457"/>
      <c r="E147" s="457"/>
      <c r="F147" s="268" t="str">
        <f>IF(OR(MID(C143,2,1)="-",MID(C143,3,1)="-",MID(C143,4,1)="-",MID(47,5,1)="-"),"소계","합계")</f>
        <v>합계</v>
      </c>
      <c r="G147" s="269">
        <f t="shared" ref="G147:H147" si="15">SUM(G144:G145)</f>
        <v>123779412</v>
      </c>
      <c r="H147" s="269">
        <f t="shared" si="15"/>
        <v>123779412</v>
      </c>
      <c r="I147" s="253"/>
      <c r="J147" s="480"/>
    </row>
    <row r="148" spans="1:10" ht="18" customHeight="1">
      <c r="A148" s="487">
        <v>15</v>
      </c>
      <c r="B148" s="461" t="s">
        <v>236</v>
      </c>
      <c r="C148" s="490">
        <f>A148</f>
        <v>15</v>
      </c>
      <c r="D148" s="455"/>
      <c r="E148" s="455"/>
      <c r="F148" s="171" t="s">
        <v>197</v>
      </c>
      <c r="G148" s="258"/>
      <c r="H148" s="258"/>
      <c r="I148" s="251"/>
      <c r="J148" s="491"/>
    </row>
    <row r="149" spans="1:10" ht="18" customHeight="1">
      <c r="A149" s="488"/>
      <c r="B149" s="462"/>
      <c r="C149" s="466"/>
      <c r="D149" s="456"/>
      <c r="E149" s="456"/>
      <c r="F149" s="259" t="s">
        <v>429</v>
      </c>
      <c r="G149" s="182">
        <f>회생채권개별!F479</f>
        <v>63263585</v>
      </c>
      <c r="H149" s="182">
        <f>G149</f>
        <v>63263585</v>
      </c>
      <c r="I149" s="252"/>
      <c r="J149" s="479"/>
    </row>
    <row r="150" spans="1:10" ht="18" customHeight="1">
      <c r="A150" s="488"/>
      <c r="B150" s="462"/>
      <c r="C150" s="466"/>
      <c r="D150" s="456"/>
      <c r="E150" s="456"/>
      <c r="F150" s="259" t="s">
        <v>430</v>
      </c>
      <c r="G150" s="260">
        <f>INDEX([1]회생채권자요약!J:J,ROW('[2]회생채권총괄 (3)'!G120)/4)</f>
        <v>0</v>
      </c>
      <c r="H150" s="260">
        <f>G150</f>
        <v>0</v>
      </c>
      <c r="I150" s="252"/>
      <c r="J150" s="479"/>
    </row>
    <row r="151" spans="1:10" ht="18" customHeight="1">
      <c r="A151" s="488"/>
      <c r="B151" s="463"/>
      <c r="C151" s="467"/>
      <c r="D151" s="456"/>
      <c r="E151" s="456"/>
      <c r="F151" s="259"/>
      <c r="G151" s="260"/>
      <c r="H151" s="260"/>
      <c r="I151" s="252"/>
      <c r="J151" s="479"/>
    </row>
    <row r="152" spans="1:10" ht="18" customHeight="1">
      <c r="A152" s="489"/>
      <c r="B152" s="464"/>
      <c r="C152" s="468"/>
      <c r="D152" s="457"/>
      <c r="E152" s="457"/>
      <c r="F152" s="268" t="str">
        <f>IF(OR(MID(C148,2,1)="-",MID(C148,3,1)="-",MID(C148,4,1)="-",MID(47,5,1)="-"),"소계","합계")</f>
        <v>합계</v>
      </c>
      <c r="G152" s="269">
        <f t="shared" ref="G152:H152" si="16">SUM(G149:G150)</f>
        <v>63263585</v>
      </c>
      <c r="H152" s="269">
        <f t="shared" si="16"/>
        <v>63263585</v>
      </c>
      <c r="I152" s="253"/>
      <c r="J152" s="480"/>
    </row>
    <row r="153" spans="1:10" ht="18" customHeight="1">
      <c r="A153" s="487">
        <v>16</v>
      </c>
      <c r="B153" s="461" t="s">
        <v>236</v>
      </c>
      <c r="C153" s="490">
        <f>A153</f>
        <v>16</v>
      </c>
      <c r="D153" s="455"/>
      <c r="E153" s="455"/>
      <c r="F153" s="171" t="s">
        <v>159</v>
      </c>
      <c r="G153" s="258"/>
      <c r="H153" s="258"/>
      <c r="I153" s="251"/>
      <c r="J153" s="491" t="s">
        <v>300</v>
      </c>
    </row>
    <row r="154" spans="1:10" ht="18" customHeight="1">
      <c r="A154" s="488"/>
      <c r="B154" s="462"/>
      <c r="C154" s="466"/>
      <c r="D154" s="456"/>
      <c r="E154" s="456"/>
      <c r="F154" s="259" t="s">
        <v>429</v>
      </c>
      <c r="G154" s="182">
        <f>회생채권개별!F501</f>
        <v>0</v>
      </c>
      <c r="H154" s="182">
        <f>G154</f>
        <v>0</v>
      </c>
      <c r="I154" s="252"/>
      <c r="J154" s="479"/>
    </row>
    <row r="155" spans="1:10" ht="18" customHeight="1">
      <c r="A155" s="488"/>
      <c r="B155" s="462"/>
      <c r="C155" s="466"/>
      <c r="D155" s="456"/>
      <c r="E155" s="456"/>
      <c r="F155" s="259" t="s">
        <v>430</v>
      </c>
      <c r="G155" s="260">
        <f>INDEX([1]회생채권자요약!J:J,ROW('[2]회생채권총괄 (3)'!G125)/4)</f>
        <v>0</v>
      </c>
      <c r="H155" s="260">
        <f>G155</f>
        <v>0</v>
      </c>
      <c r="I155" s="252"/>
      <c r="J155" s="479"/>
    </row>
    <row r="156" spans="1:10" ht="18" customHeight="1">
      <c r="A156" s="488"/>
      <c r="B156" s="463"/>
      <c r="C156" s="467"/>
      <c r="D156" s="456"/>
      <c r="E156" s="456"/>
      <c r="F156" s="259"/>
      <c r="G156" s="260"/>
      <c r="H156" s="260"/>
      <c r="I156" s="252"/>
      <c r="J156" s="479"/>
    </row>
    <row r="157" spans="1:10" ht="18" customHeight="1">
      <c r="A157" s="489"/>
      <c r="B157" s="464"/>
      <c r="C157" s="468"/>
      <c r="D157" s="457"/>
      <c r="E157" s="457"/>
      <c r="F157" s="268" t="str">
        <f>IF(OR(MID(C153,2,1)="-",MID(C153,3,1)="-",MID(C153,4,1)="-",MID(47,5,1)="-"),"소계","합계")</f>
        <v>합계</v>
      </c>
      <c r="G157" s="269">
        <f t="shared" ref="G157:H157" si="17">SUM(G154:G155)</f>
        <v>0</v>
      </c>
      <c r="H157" s="269">
        <f t="shared" si="17"/>
        <v>0</v>
      </c>
      <c r="I157" s="253"/>
      <c r="J157" s="480"/>
    </row>
    <row r="158" spans="1:10" ht="18" customHeight="1">
      <c r="A158" s="487">
        <v>17</v>
      </c>
      <c r="B158" s="461" t="s">
        <v>236</v>
      </c>
      <c r="C158" s="490">
        <f>A158</f>
        <v>17</v>
      </c>
      <c r="D158" s="492"/>
      <c r="E158" s="455"/>
      <c r="F158" s="171" t="s">
        <v>197</v>
      </c>
      <c r="G158" s="258"/>
      <c r="H158" s="258"/>
      <c r="I158" s="251"/>
      <c r="J158" s="491"/>
    </row>
    <row r="159" spans="1:10" ht="18" customHeight="1">
      <c r="A159" s="488"/>
      <c r="B159" s="462"/>
      <c r="C159" s="466"/>
      <c r="D159" s="493"/>
      <c r="E159" s="456"/>
      <c r="F159" s="259" t="s">
        <v>429</v>
      </c>
      <c r="G159" s="182">
        <f>회생채권개별!F523</f>
        <v>0</v>
      </c>
      <c r="H159" s="182">
        <f>G159</f>
        <v>0</v>
      </c>
      <c r="I159" s="252"/>
      <c r="J159" s="479"/>
    </row>
    <row r="160" spans="1:10" ht="18" customHeight="1">
      <c r="A160" s="488"/>
      <c r="B160" s="462"/>
      <c r="C160" s="466"/>
      <c r="D160" s="493"/>
      <c r="E160" s="456"/>
      <c r="F160" s="259" t="s">
        <v>430</v>
      </c>
      <c r="G160" s="260">
        <f>INDEX([1]회생채권자요약!J:J,ROW('[2]회생채권총괄 (3)'!G130)/4)</f>
        <v>0</v>
      </c>
      <c r="H160" s="260">
        <f>G160</f>
        <v>0</v>
      </c>
      <c r="I160" s="252"/>
      <c r="J160" s="479"/>
    </row>
    <row r="161" spans="1:10" ht="18" customHeight="1">
      <c r="A161" s="488"/>
      <c r="B161" s="463"/>
      <c r="C161" s="467"/>
      <c r="D161" s="493"/>
      <c r="E161" s="456"/>
      <c r="F161" s="259"/>
      <c r="G161" s="260"/>
      <c r="H161" s="260"/>
      <c r="I161" s="252"/>
      <c r="J161" s="479"/>
    </row>
    <row r="162" spans="1:10" ht="18" customHeight="1" thickBot="1">
      <c r="A162" s="489"/>
      <c r="B162" s="464"/>
      <c r="C162" s="468"/>
      <c r="D162" s="494"/>
      <c r="E162" s="457"/>
      <c r="F162" s="268" t="str">
        <f>IF(OR(MID(C158,2,1)="-",MID(C158,3,1)="-",MID(C158,4,1)="-",MID(47,5,1)="-"),"소계","합계")</f>
        <v>합계</v>
      </c>
      <c r="G162" s="269">
        <f t="shared" ref="G162:H162" si="18">SUM(G159:G160)</f>
        <v>0</v>
      </c>
      <c r="H162" s="269">
        <f t="shared" si="18"/>
        <v>0</v>
      </c>
      <c r="I162" s="253"/>
      <c r="J162" s="480"/>
    </row>
    <row r="163" spans="1:10" ht="18" customHeight="1">
      <c r="A163" s="535" t="s">
        <v>401</v>
      </c>
      <c r="B163" s="461" t="s">
        <v>236</v>
      </c>
      <c r="C163" s="465" t="s">
        <v>400</v>
      </c>
      <c r="D163" s="455"/>
      <c r="E163" s="492"/>
      <c r="F163" s="171" t="s">
        <v>197</v>
      </c>
      <c r="G163" s="258"/>
      <c r="H163" s="258"/>
      <c r="I163" s="251"/>
      <c r="J163" s="458" t="s">
        <v>422</v>
      </c>
    </row>
    <row r="164" spans="1:10" ht="18" customHeight="1">
      <c r="A164" s="536"/>
      <c r="B164" s="462"/>
      <c r="C164" s="466"/>
      <c r="D164" s="456"/>
      <c r="E164" s="493"/>
      <c r="F164" s="259" t="s">
        <v>429</v>
      </c>
      <c r="G164" s="182">
        <f>회생채권개별!F545</f>
        <v>0</v>
      </c>
      <c r="H164" s="182">
        <f>G164</f>
        <v>0</v>
      </c>
      <c r="I164" s="252"/>
      <c r="J164" s="484"/>
    </row>
    <row r="165" spans="1:10" ht="18" customHeight="1">
      <c r="A165" s="536"/>
      <c r="B165" s="462"/>
      <c r="C165" s="466"/>
      <c r="D165" s="456"/>
      <c r="E165" s="493"/>
      <c r="F165" s="259" t="s">
        <v>430</v>
      </c>
      <c r="G165" s="260">
        <f>INDEX([1]회생채권자요약!J:J,ROW('[2]회생채권총괄 (3)'!G239)/4)</f>
        <v>0</v>
      </c>
      <c r="H165" s="260">
        <f>G165</f>
        <v>0</v>
      </c>
      <c r="I165" s="252"/>
      <c r="J165" s="484"/>
    </row>
    <row r="166" spans="1:10" ht="18" customHeight="1">
      <c r="A166" s="536"/>
      <c r="B166" s="463"/>
      <c r="C166" s="467"/>
      <c r="D166" s="456"/>
      <c r="E166" s="493"/>
      <c r="F166" s="259"/>
      <c r="G166" s="260"/>
      <c r="H166" s="260"/>
      <c r="I166" s="252"/>
      <c r="J166" s="484"/>
    </row>
    <row r="167" spans="1:10" ht="18" customHeight="1" thickBot="1">
      <c r="A167" s="536"/>
      <c r="B167" s="464"/>
      <c r="C167" s="468"/>
      <c r="D167" s="457"/>
      <c r="E167" s="494"/>
      <c r="F167" s="268" t="str">
        <f>IF(OR(MID(C163,2,1)="-",MID(C163,3,1)="-",MID(C163,4,1)="-",MID(47,5,1)="-"),"소계","합계")</f>
        <v>소계</v>
      </c>
      <c r="G167" s="269">
        <f t="shared" ref="G167:H167" si="19">SUM(G164:G165)</f>
        <v>0</v>
      </c>
      <c r="H167" s="269">
        <f t="shared" si="19"/>
        <v>0</v>
      </c>
      <c r="I167" s="253"/>
      <c r="J167" s="485"/>
    </row>
    <row r="168" spans="1:10" ht="18" customHeight="1">
      <c r="A168" s="536"/>
      <c r="B168" s="461" t="s">
        <v>236</v>
      </c>
      <c r="C168" s="465" t="s">
        <v>302</v>
      </c>
      <c r="D168" s="455"/>
      <c r="E168" s="492"/>
      <c r="F168" s="171" t="s">
        <v>197</v>
      </c>
      <c r="G168" s="258"/>
      <c r="H168" s="258"/>
      <c r="I168" s="251"/>
      <c r="J168" s="458" t="s">
        <v>423</v>
      </c>
    </row>
    <row r="169" spans="1:10" ht="18" customHeight="1">
      <c r="A169" s="536"/>
      <c r="B169" s="462"/>
      <c r="C169" s="466"/>
      <c r="D169" s="456"/>
      <c r="E169" s="493"/>
      <c r="F169" s="259" t="s">
        <v>429</v>
      </c>
      <c r="G169" s="182">
        <f>회생채권개별!F567</f>
        <v>0</v>
      </c>
      <c r="H169" s="182">
        <f>G169</f>
        <v>0</v>
      </c>
      <c r="I169" s="252"/>
      <c r="J169" s="484"/>
    </row>
    <row r="170" spans="1:10" ht="18" customHeight="1">
      <c r="A170" s="536"/>
      <c r="B170" s="462"/>
      <c r="C170" s="466"/>
      <c r="D170" s="456"/>
      <c r="E170" s="493"/>
      <c r="F170" s="259" t="s">
        <v>430</v>
      </c>
      <c r="G170" s="260">
        <f>INDEX([1]회생채권자요약!J:J,ROW('[2]회생채권총괄 (3)'!G244)/4)</f>
        <v>0</v>
      </c>
      <c r="H170" s="260">
        <f>G170</f>
        <v>0</v>
      </c>
      <c r="I170" s="252"/>
      <c r="J170" s="484"/>
    </row>
    <row r="171" spans="1:10" ht="18" customHeight="1">
      <c r="A171" s="536"/>
      <c r="B171" s="463"/>
      <c r="C171" s="467"/>
      <c r="D171" s="456"/>
      <c r="E171" s="493"/>
      <c r="F171" s="259"/>
      <c r="G171" s="260"/>
      <c r="H171" s="260"/>
      <c r="I171" s="252"/>
      <c r="J171" s="484"/>
    </row>
    <row r="172" spans="1:10" ht="18" customHeight="1" thickBot="1">
      <c r="A172" s="536"/>
      <c r="B172" s="464"/>
      <c r="C172" s="468"/>
      <c r="D172" s="457"/>
      <c r="E172" s="494"/>
      <c r="F172" s="268" t="str">
        <f>IF(OR(MID(C168,2,1)="-",MID(C168,3,1)="-",MID(C168,4,1)="-",MID(47,5,1)="-"),"소계","합계")</f>
        <v>소계</v>
      </c>
      <c r="G172" s="269">
        <f t="shared" ref="G172:H172" si="20">SUM(G169:G170)</f>
        <v>0</v>
      </c>
      <c r="H172" s="269">
        <f t="shared" si="20"/>
        <v>0</v>
      </c>
      <c r="I172" s="253"/>
      <c r="J172" s="485"/>
    </row>
    <row r="173" spans="1:10" ht="18" customHeight="1">
      <c r="A173" s="536"/>
      <c r="B173" s="461" t="s">
        <v>236</v>
      </c>
      <c r="C173" s="465" t="s">
        <v>296</v>
      </c>
      <c r="D173" s="455"/>
      <c r="E173" s="492"/>
      <c r="F173" s="171" t="s">
        <v>197</v>
      </c>
      <c r="G173" s="258"/>
      <c r="H173" s="258"/>
      <c r="I173" s="251"/>
      <c r="J173" s="538"/>
    </row>
    <row r="174" spans="1:10" ht="18" customHeight="1">
      <c r="A174" s="536"/>
      <c r="B174" s="462"/>
      <c r="C174" s="466"/>
      <c r="D174" s="456"/>
      <c r="E174" s="493"/>
      <c r="F174" s="259" t="s">
        <v>429</v>
      </c>
      <c r="G174" s="182">
        <f>회생채권개별!F589</f>
        <v>0</v>
      </c>
      <c r="H174" s="182">
        <f>G174</f>
        <v>0</v>
      </c>
      <c r="I174" s="252"/>
      <c r="J174" s="486"/>
    </row>
    <row r="175" spans="1:10" ht="18" customHeight="1">
      <c r="A175" s="536"/>
      <c r="B175" s="462"/>
      <c r="C175" s="466"/>
      <c r="D175" s="456"/>
      <c r="E175" s="493"/>
      <c r="F175" s="259" t="s">
        <v>430</v>
      </c>
      <c r="G175" s="260">
        <f>INDEX([1]회생채권자요약!J:J,ROW('[2]회생채권총괄 (3)'!G244)/4)</f>
        <v>0</v>
      </c>
      <c r="H175" s="260">
        <f>G175</f>
        <v>0</v>
      </c>
      <c r="I175" s="252"/>
      <c r="J175" s="486"/>
    </row>
    <row r="176" spans="1:10" ht="18" customHeight="1">
      <c r="A176" s="536"/>
      <c r="B176" s="463"/>
      <c r="C176" s="467"/>
      <c r="D176" s="456"/>
      <c r="E176" s="493"/>
      <c r="F176" s="259"/>
      <c r="G176" s="260"/>
      <c r="H176" s="260"/>
      <c r="I176" s="252"/>
      <c r="J176" s="486"/>
    </row>
    <row r="177" spans="1:11" ht="18" customHeight="1" thickBot="1">
      <c r="A177" s="536"/>
      <c r="B177" s="464"/>
      <c r="C177" s="468"/>
      <c r="D177" s="457"/>
      <c r="E177" s="494"/>
      <c r="F177" s="268" t="str">
        <f>IF(OR(MID(C173,2,1)="-",MID(C173,3,1)="-",MID(C173,4,1)="-",MID(47,5,1)="-"),"소계","합계")</f>
        <v>소계</v>
      </c>
      <c r="G177" s="269">
        <f t="shared" ref="G177:H177" si="21">SUM(G174:G175)</f>
        <v>0</v>
      </c>
      <c r="H177" s="269">
        <f t="shared" si="21"/>
        <v>0</v>
      </c>
      <c r="I177" s="253"/>
      <c r="J177" s="539"/>
    </row>
    <row r="178" spans="1:11" ht="18" customHeight="1">
      <c r="A178" s="536"/>
      <c r="B178" s="461" t="s">
        <v>236</v>
      </c>
      <c r="C178" s="465" t="s">
        <v>303</v>
      </c>
      <c r="D178" s="455"/>
      <c r="E178" s="492"/>
      <c r="F178" s="171" t="s">
        <v>197</v>
      </c>
      <c r="G178" s="258"/>
      <c r="H178" s="258"/>
      <c r="I178" s="251"/>
      <c r="J178" s="458" t="s">
        <v>424</v>
      </c>
    </row>
    <row r="179" spans="1:11" ht="18" customHeight="1">
      <c r="A179" s="536"/>
      <c r="B179" s="462"/>
      <c r="C179" s="466"/>
      <c r="D179" s="456"/>
      <c r="E179" s="493"/>
      <c r="F179" s="259" t="s">
        <v>429</v>
      </c>
      <c r="G179" s="182">
        <f>회생채권개별!F611</f>
        <v>0</v>
      </c>
      <c r="H179" s="182">
        <f>G179</f>
        <v>0</v>
      </c>
      <c r="I179" s="252"/>
      <c r="J179" s="484"/>
    </row>
    <row r="180" spans="1:11" ht="18" customHeight="1">
      <c r="A180" s="536"/>
      <c r="B180" s="462"/>
      <c r="C180" s="466"/>
      <c r="D180" s="456"/>
      <c r="E180" s="493"/>
      <c r="F180" s="259" t="s">
        <v>430</v>
      </c>
      <c r="G180" s="260">
        <f>INDEX([1]회생채권자요약!J:J,ROW('[2]회생채권총괄 (3)'!G249)/4)</f>
        <v>0</v>
      </c>
      <c r="H180" s="260">
        <f>G180</f>
        <v>0</v>
      </c>
      <c r="I180" s="252"/>
      <c r="J180" s="484"/>
    </row>
    <row r="181" spans="1:11" ht="18" customHeight="1">
      <c r="A181" s="536"/>
      <c r="B181" s="463"/>
      <c r="C181" s="467"/>
      <c r="D181" s="456"/>
      <c r="E181" s="493"/>
      <c r="F181" s="259"/>
      <c r="G181" s="260"/>
      <c r="H181" s="260"/>
      <c r="I181" s="252"/>
      <c r="J181" s="484"/>
    </row>
    <row r="182" spans="1:11" ht="18" customHeight="1" thickBot="1">
      <c r="A182" s="536"/>
      <c r="B182" s="464"/>
      <c r="C182" s="468"/>
      <c r="D182" s="457"/>
      <c r="E182" s="494"/>
      <c r="F182" s="268" t="str">
        <f>IF(OR(MID(C178,2,1)="-",MID(C178,3,1)="-",MID(C178,4,1)="-",MID(47,5,1)="-"),"소계","합계")</f>
        <v>소계</v>
      </c>
      <c r="G182" s="269">
        <f t="shared" ref="G182:H182" si="22">SUM(G179:G180)</f>
        <v>0</v>
      </c>
      <c r="H182" s="269">
        <f t="shared" si="22"/>
        <v>0</v>
      </c>
      <c r="I182" s="253"/>
      <c r="J182" s="485"/>
    </row>
    <row r="183" spans="1:11" ht="18" customHeight="1">
      <c r="A183" s="536"/>
      <c r="B183" s="469"/>
      <c r="C183" s="470"/>
      <c r="D183" s="470"/>
      <c r="E183" s="471"/>
      <c r="F183" s="331" t="s">
        <v>465</v>
      </c>
      <c r="G183" s="267">
        <f>+G164+G169+G174+G179</f>
        <v>0</v>
      </c>
      <c r="H183" s="267">
        <f>G183</f>
        <v>0</v>
      </c>
      <c r="I183" s="264"/>
      <c r="J183" s="478"/>
      <c r="K183" s="306">
        <f>+G183</f>
        <v>0</v>
      </c>
    </row>
    <row r="184" spans="1:11" ht="18" customHeight="1">
      <c r="A184" s="536"/>
      <c r="B184" s="472"/>
      <c r="C184" s="473"/>
      <c r="D184" s="473"/>
      <c r="E184" s="474"/>
      <c r="F184" s="259" t="s">
        <v>466</v>
      </c>
      <c r="G184" s="260">
        <f>SUMIF(F134:F143,F184,G134:G143)</f>
        <v>0</v>
      </c>
      <c r="H184" s="260">
        <f>SUMIF($F$6:$F$15,$F184,H134:H143)</f>
        <v>0</v>
      </c>
      <c r="I184" s="252"/>
      <c r="J184" s="479"/>
      <c r="K184" s="306">
        <f>G183+3300000000</f>
        <v>3300000000</v>
      </c>
    </row>
    <row r="185" spans="1:11" ht="10.5" customHeight="1">
      <c r="A185" s="536"/>
      <c r="B185" s="472"/>
      <c r="C185" s="473"/>
      <c r="D185" s="473"/>
      <c r="E185" s="474"/>
      <c r="F185" s="259"/>
      <c r="G185" s="260"/>
      <c r="H185" s="260"/>
      <c r="I185" s="252"/>
      <c r="J185" s="479"/>
    </row>
    <row r="186" spans="1:11" ht="18" customHeight="1" thickBot="1">
      <c r="A186" s="537"/>
      <c r="B186" s="475"/>
      <c r="C186" s="476"/>
      <c r="D186" s="476"/>
      <c r="E186" s="477"/>
      <c r="F186" s="268" t="str">
        <f t="array" ref="F186">IF(OR(MID(C148:C148,2,1)="-",MID(C134,3,1)="-",MID(C134,4,1)="-",MID(47,5,1)="-"),"소계","합계")</f>
        <v>합계</v>
      </c>
      <c r="G186" s="269">
        <f>SUM(G183:G185)</f>
        <v>0</v>
      </c>
      <c r="H186" s="269">
        <f>SUM(H183:H185)</f>
        <v>0</v>
      </c>
      <c r="I186" s="253"/>
      <c r="J186" s="480"/>
    </row>
    <row r="187" spans="1:11" ht="18" customHeight="1">
      <c r="A187" s="481">
        <v>19</v>
      </c>
      <c r="B187" s="461" t="s">
        <v>236</v>
      </c>
      <c r="C187" s="490">
        <f>A187</f>
        <v>19</v>
      </c>
      <c r="D187" s="455"/>
      <c r="E187" s="455"/>
      <c r="F187" s="171" t="s">
        <v>159</v>
      </c>
      <c r="G187" s="258"/>
      <c r="H187" s="258"/>
      <c r="I187" s="251"/>
      <c r="J187" s="491" t="s">
        <v>214</v>
      </c>
    </row>
    <row r="188" spans="1:11" ht="18" customHeight="1">
      <c r="A188" s="488"/>
      <c r="B188" s="462"/>
      <c r="C188" s="466"/>
      <c r="D188" s="456"/>
      <c r="E188" s="456"/>
      <c r="F188" s="259" t="s">
        <v>429</v>
      </c>
      <c r="G188" s="182">
        <f>회생채권개별!F633</f>
        <v>0</v>
      </c>
      <c r="H188" s="182">
        <f>G188</f>
        <v>0</v>
      </c>
      <c r="I188" s="252"/>
      <c r="J188" s="479"/>
    </row>
    <row r="189" spans="1:11" ht="18" customHeight="1">
      <c r="A189" s="488"/>
      <c r="B189" s="462"/>
      <c r="C189" s="466"/>
      <c r="D189" s="456"/>
      <c r="E189" s="456"/>
      <c r="F189" s="259" t="s">
        <v>430</v>
      </c>
      <c r="G189" s="260">
        <f>INDEX([1]회생채권자요약!J:J,ROW('[2]회생채권총괄 (3)'!G135)/4)</f>
        <v>0</v>
      </c>
      <c r="H189" s="260">
        <f>G189</f>
        <v>0</v>
      </c>
      <c r="I189" s="252"/>
      <c r="J189" s="479"/>
    </row>
    <row r="190" spans="1:11" ht="18" customHeight="1">
      <c r="A190" s="488"/>
      <c r="B190" s="463"/>
      <c r="C190" s="467"/>
      <c r="D190" s="456"/>
      <c r="E190" s="456"/>
      <c r="F190" s="259"/>
      <c r="G190" s="260"/>
      <c r="H190" s="260"/>
      <c r="I190" s="252"/>
      <c r="J190" s="479"/>
    </row>
    <row r="191" spans="1:11" ht="18" customHeight="1">
      <c r="A191" s="489"/>
      <c r="B191" s="464"/>
      <c r="C191" s="468"/>
      <c r="D191" s="457"/>
      <c r="E191" s="457"/>
      <c r="F191" s="268" t="str">
        <f>IF(OR(MID(C187,2,1)="-",MID(C187,3,1)="-",MID(C187,4,1)="-",MID(47,5,1)="-"),"소계","합계")</f>
        <v>합계</v>
      </c>
      <c r="G191" s="269">
        <f t="shared" ref="G191:H191" si="23">SUM(G188:G189)</f>
        <v>0</v>
      </c>
      <c r="H191" s="269">
        <f t="shared" si="23"/>
        <v>0</v>
      </c>
      <c r="I191" s="253"/>
      <c r="J191" s="480"/>
    </row>
    <row r="192" spans="1:11" ht="18" customHeight="1">
      <c r="A192" s="487">
        <v>20</v>
      </c>
      <c r="B192" s="461" t="s">
        <v>236</v>
      </c>
      <c r="C192" s="490">
        <f>A192</f>
        <v>20</v>
      </c>
      <c r="D192" s="455"/>
      <c r="E192" s="455"/>
      <c r="F192" s="171" t="s">
        <v>197</v>
      </c>
      <c r="G192" s="258"/>
      <c r="H192" s="258"/>
      <c r="I192" s="251"/>
      <c r="J192" s="491"/>
    </row>
    <row r="193" spans="1:10" ht="18" customHeight="1">
      <c r="A193" s="488"/>
      <c r="B193" s="462"/>
      <c r="C193" s="466"/>
      <c r="D193" s="456"/>
      <c r="E193" s="456"/>
      <c r="F193" s="259" t="s">
        <v>429</v>
      </c>
      <c r="G193" s="182">
        <f>회생채권개별!F655</f>
        <v>0</v>
      </c>
      <c r="H193" s="182">
        <f>G193</f>
        <v>0</v>
      </c>
      <c r="I193" s="252"/>
      <c r="J193" s="495"/>
    </row>
    <row r="194" spans="1:10" ht="18" customHeight="1">
      <c r="A194" s="488"/>
      <c r="B194" s="462"/>
      <c r="C194" s="466"/>
      <c r="D194" s="456"/>
      <c r="E194" s="456"/>
      <c r="F194" s="259" t="s">
        <v>430</v>
      </c>
      <c r="G194" s="260">
        <f>INDEX([1]회생채권자요약!J:J,ROW('[2]회생채권총괄 (3)'!G140)/4)</f>
        <v>0</v>
      </c>
      <c r="H194" s="260">
        <f>G194</f>
        <v>0</v>
      </c>
      <c r="I194" s="252"/>
      <c r="J194" s="495"/>
    </row>
    <row r="195" spans="1:10" ht="18" customHeight="1">
      <c r="A195" s="488"/>
      <c r="B195" s="463"/>
      <c r="C195" s="467"/>
      <c r="D195" s="456"/>
      <c r="E195" s="456"/>
      <c r="F195" s="259"/>
      <c r="G195" s="260"/>
      <c r="H195" s="260"/>
      <c r="I195" s="252"/>
      <c r="J195" s="495"/>
    </row>
    <row r="196" spans="1:10" ht="18" customHeight="1">
      <c r="A196" s="489"/>
      <c r="B196" s="464"/>
      <c r="C196" s="468"/>
      <c r="D196" s="457"/>
      <c r="E196" s="457"/>
      <c r="F196" s="268" t="str">
        <f>IF(OR(MID(C192,2,1)="-",MID(C192,3,1)="-",MID(C192,4,1)="-",MID(47,5,1)="-"),"소계","합계")</f>
        <v>합계</v>
      </c>
      <c r="G196" s="269">
        <f t="shared" ref="G196:H196" si="24">SUM(G193:G194)</f>
        <v>0</v>
      </c>
      <c r="H196" s="269">
        <f t="shared" si="24"/>
        <v>0</v>
      </c>
      <c r="I196" s="253"/>
      <c r="J196" s="496"/>
    </row>
    <row r="197" spans="1:10" ht="18" customHeight="1">
      <c r="A197" s="487">
        <v>21</v>
      </c>
      <c r="B197" s="461" t="s">
        <v>236</v>
      </c>
      <c r="C197" s="490">
        <f>A197</f>
        <v>21</v>
      </c>
      <c r="D197" s="455"/>
      <c r="E197" s="455"/>
      <c r="F197" s="171" t="s">
        <v>197</v>
      </c>
      <c r="G197" s="258"/>
      <c r="H197" s="258"/>
      <c r="I197" s="251"/>
      <c r="J197" s="491"/>
    </row>
    <row r="198" spans="1:10" ht="18" customHeight="1">
      <c r="A198" s="488"/>
      <c r="B198" s="462"/>
      <c r="C198" s="466"/>
      <c r="D198" s="456"/>
      <c r="E198" s="456"/>
      <c r="F198" s="259" t="s">
        <v>429</v>
      </c>
      <c r="G198" s="182">
        <f>회생채권개별!F677</f>
        <v>0</v>
      </c>
      <c r="H198" s="182">
        <f>G198</f>
        <v>0</v>
      </c>
      <c r="I198" s="252"/>
      <c r="J198" s="479"/>
    </row>
    <row r="199" spans="1:10" ht="18" customHeight="1">
      <c r="A199" s="488"/>
      <c r="B199" s="462"/>
      <c r="C199" s="466"/>
      <c r="D199" s="456"/>
      <c r="E199" s="456"/>
      <c r="F199" s="259" t="s">
        <v>430</v>
      </c>
      <c r="G199" s="260">
        <f>INDEX([1]회생채권자요약!J:J,ROW('[2]회생채권총괄 (3)'!G145)/4)</f>
        <v>0</v>
      </c>
      <c r="H199" s="260">
        <f>G199</f>
        <v>0</v>
      </c>
      <c r="I199" s="252"/>
      <c r="J199" s="479"/>
    </row>
    <row r="200" spans="1:10" ht="18" customHeight="1">
      <c r="A200" s="488"/>
      <c r="B200" s="463"/>
      <c r="C200" s="467"/>
      <c r="D200" s="456"/>
      <c r="E200" s="456"/>
      <c r="F200" s="259"/>
      <c r="G200" s="260"/>
      <c r="H200" s="260"/>
      <c r="I200" s="252"/>
      <c r="J200" s="479"/>
    </row>
    <row r="201" spans="1:10" ht="18" customHeight="1">
      <c r="A201" s="489"/>
      <c r="B201" s="464"/>
      <c r="C201" s="468"/>
      <c r="D201" s="457"/>
      <c r="E201" s="457"/>
      <c r="F201" s="268" t="str">
        <f>IF(OR(MID(C197,2,1)="-",MID(C197,3,1)="-",MID(C197,4,1)="-",MID(47,5,1)="-"),"소계","합계")</f>
        <v>합계</v>
      </c>
      <c r="G201" s="269">
        <f t="shared" ref="G201:H201" si="25">SUM(G198:G199)</f>
        <v>0</v>
      </c>
      <c r="H201" s="269">
        <f t="shared" si="25"/>
        <v>0</v>
      </c>
      <c r="I201" s="253"/>
      <c r="J201" s="480"/>
    </row>
    <row r="202" spans="1:10" ht="18" customHeight="1">
      <c r="A202" s="487">
        <v>22</v>
      </c>
      <c r="B202" s="461" t="s">
        <v>236</v>
      </c>
      <c r="C202" s="490">
        <f>A202</f>
        <v>22</v>
      </c>
      <c r="D202" s="455"/>
      <c r="E202" s="455"/>
      <c r="F202" s="171" t="s">
        <v>197</v>
      </c>
      <c r="G202" s="258"/>
      <c r="H202" s="258"/>
      <c r="I202" s="251"/>
      <c r="J202" s="491"/>
    </row>
    <row r="203" spans="1:10" ht="18" customHeight="1">
      <c r="A203" s="488"/>
      <c r="B203" s="462"/>
      <c r="C203" s="466"/>
      <c r="D203" s="456"/>
      <c r="E203" s="456"/>
      <c r="F203" s="259" t="s">
        <v>429</v>
      </c>
      <c r="G203" s="182">
        <f>회생채권개별!F699</f>
        <v>0</v>
      </c>
      <c r="H203" s="182">
        <f>G203</f>
        <v>0</v>
      </c>
      <c r="I203" s="252"/>
      <c r="J203" s="479"/>
    </row>
    <row r="204" spans="1:10" ht="18" customHeight="1">
      <c r="A204" s="488"/>
      <c r="B204" s="462"/>
      <c r="C204" s="466"/>
      <c r="D204" s="456"/>
      <c r="E204" s="456"/>
      <c r="F204" s="259" t="s">
        <v>430</v>
      </c>
      <c r="G204" s="260">
        <f>INDEX([1]회생채권자요약!J:J,ROW('[2]회생채권총괄 (3)'!G150)/4)</f>
        <v>0</v>
      </c>
      <c r="H204" s="260">
        <f>G204</f>
        <v>0</v>
      </c>
      <c r="I204" s="252"/>
      <c r="J204" s="479"/>
    </row>
    <row r="205" spans="1:10" ht="18" customHeight="1">
      <c r="A205" s="488"/>
      <c r="B205" s="463"/>
      <c r="C205" s="467"/>
      <c r="D205" s="456"/>
      <c r="E205" s="456"/>
      <c r="F205" s="259"/>
      <c r="G205" s="260"/>
      <c r="H205" s="260"/>
      <c r="I205" s="252"/>
      <c r="J205" s="479"/>
    </row>
    <row r="206" spans="1:10" ht="18" customHeight="1">
      <c r="A206" s="489"/>
      <c r="B206" s="464"/>
      <c r="C206" s="468"/>
      <c r="D206" s="457"/>
      <c r="E206" s="457"/>
      <c r="F206" s="268" t="str">
        <f>IF(OR(MID(C202,2,1)="-",MID(C202,3,1)="-",MID(C202,4,1)="-",MID(47,5,1)="-"),"소계","합계")</f>
        <v>합계</v>
      </c>
      <c r="G206" s="269">
        <f>SUM(G203:G204)</f>
        <v>0</v>
      </c>
      <c r="H206" s="269">
        <f>SUM(H203:H204)</f>
        <v>0</v>
      </c>
      <c r="I206" s="253"/>
      <c r="J206" s="480"/>
    </row>
    <row r="207" spans="1:10" ht="18" customHeight="1">
      <c r="A207" s="487">
        <v>23</v>
      </c>
      <c r="B207" s="461" t="s">
        <v>236</v>
      </c>
      <c r="C207" s="490">
        <f>A207</f>
        <v>23</v>
      </c>
      <c r="D207" s="455"/>
      <c r="E207" s="497"/>
      <c r="F207" s="171" t="s">
        <v>197</v>
      </c>
      <c r="G207" s="258"/>
      <c r="H207" s="258"/>
      <c r="I207" s="251"/>
      <c r="J207" s="491"/>
    </row>
    <row r="208" spans="1:10" ht="18" customHeight="1">
      <c r="A208" s="488"/>
      <c r="B208" s="462"/>
      <c r="C208" s="466"/>
      <c r="D208" s="456"/>
      <c r="E208" s="498"/>
      <c r="F208" s="259" t="s">
        <v>429</v>
      </c>
      <c r="G208" s="182">
        <f>회생채권개별!F721</f>
        <v>0</v>
      </c>
      <c r="H208" s="182">
        <f>G208</f>
        <v>0</v>
      </c>
      <c r="I208" s="252"/>
      <c r="J208" s="479"/>
    </row>
    <row r="209" spans="1:10" ht="18" customHeight="1">
      <c r="A209" s="488"/>
      <c r="B209" s="462"/>
      <c r="C209" s="466"/>
      <c r="D209" s="456"/>
      <c r="E209" s="498"/>
      <c r="F209" s="259" t="s">
        <v>430</v>
      </c>
      <c r="G209" s="260">
        <f>INDEX([1]회생채권자요약!J:J,ROW('[2]회생채권총괄 (3)'!G155)/4)</f>
        <v>0</v>
      </c>
      <c r="H209" s="260">
        <f>G209</f>
        <v>0</v>
      </c>
      <c r="I209" s="252"/>
      <c r="J209" s="479"/>
    </row>
    <row r="210" spans="1:10" ht="18" customHeight="1">
      <c r="A210" s="488"/>
      <c r="B210" s="463"/>
      <c r="C210" s="467"/>
      <c r="D210" s="456"/>
      <c r="E210" s="498"/>
      <c r="F210" s="259"/>
      <c r="G210" s="260"/>
      <c r="H210" s="260"/>
      <c r="I210" s="252"/>
      <c r="J210" s="479"/>
    </row>
    <row r="211" spans="1:10" ht="18" customHeight="1">
      <c r="A211" s="489"/>
      <c r="B211" s="464"/>
      <c r="C211" s="468"/>
      <c r="D211" s="457"/>
      <c r="E211" s="499"/>
      <c r="F211" s="268" t="str">
        <f>IF(OR(MID(C207,2,1)="-",MID(C207,3,1)="-",MID(C207,4,1)="-",MID(47,5,1)="-"),"소계","합계")</f>
        <v>합계</v>
      </c>
      <c r="G211" s="269">
        <f t="shared" ref="G211:H211" si="26">SUM(G208:G209)</f>
        <v>0</v>
      </c>
      <c r="H211" s="269">
        <f t="shared" si="26"/>
        <v>0</v>
      </c>
      <c r="I211" s="253"/>
      <c r="J211" s="480"/>
    </row>
    <row r="212" spans="1:10" ht="18" customHeight="1">
      <c r="A212" s="487">
        <v>24</v>
      </c>
      <c r="B212" s="461" t="s">
        <v>236</v>
      </c>
      <c r="C212" s="490">
        <f>A212</f>
        <v>24</v>
      </c>
      <c r="D212" s="455"/>
      <c r="E212" s="455"/>
      <c r="F212" s="171" t="s">
        <v>197</v>
      </c>
      <c r="G212" s="258"/>
      <c r="H212" s="258"/>
      <c r="I212" s="251"/>
      <c r="J212" s="491"/>
    </row>
    <row r="213" spans="1:10" ht="18" customHeight="1">
      <c r="A213" s="488"/>
      <c r="B213" s="462"/>
      <c r="C213" s="466"/>
      <c r="D213" s="456"/>
      <c r="E213" s="456"/>
      <c r="F213" s="259" t="s">
        <v>429</v>
      </c>
      <c r="G213" s="182">
        <f>회생채권개별!F743</f>
        <v>0</v>
      </c>
      <c r="H213" s="182">
        <f>G213</f>
        <v>0</v>
      </c>
      <c r="I213" s="252"/>
      <c r="J213" s="495"/>
    </row>
    <row r="214" spans="1:10" ht="18" customHeight="1">
      <c r="A214" s="488"/>
      <c r="B214" s="462"/>
      <c r="C214" s="466"/>
      <c r="D214" s="456"/>
      <c r="E214" s="456"/>
      <c r="F214" s="259" t="s">
        <v>430</v>
      </c>
      <c r="G214" s="260">
        <f>INDEX([1]회생채권자요약!J:J,ROW('[2]회생채권총괄 (3)'!G160)/4)</f>
        <v>0</v>
      </c>
      <c r="H214" s="260">
        <f>G214</f>
        <v>0</v>
      </c>
      <c r="I214" s="252"/>
      <c r="J214" s="495"/>
    </row>
    <row r="215" spans="1:10" ht="18" customHeight="1">
      <c r="A215" s="488"/>
      <c r="B215" s="463"/>
      <c r="C215" s="467"/>
      <c r="D215" s="456"/>
      <c r="E215" s="456"/>
      <c r="F215" s="259"/>
      <c r="G215" s="260"/>
      <c r="H215" s="260"/>
      <c r="I215" s="252"/>
      <c r="J215" s="495"/>
    </row>
    <row r="216" spans="1:10" ht="18" customHeight="1">
      <c r="A216" s="489"/>
      <c r="B216" s="464"/>
      <c r="C216" s="468"/>
      <c r="D216" s="457"/>
      <c r="E216" s="457"/>
      <c r="F216" s="268" t="str">
        <f>IF(OR(MID(C212,2,1)="-",MID(C212,3,1)="-",MID(C212,4,1)="-",MID(47,5,1)="-"),"소계","합계")</f>
        <v>합계</v>
      </c>
      <c r="G216" s="269">
        <f t="shared" ref="G216:H216" si="27">SUM(G213:G214)</f>
        <v>0</v>
      </c>
      <c r="H216" s="269">
        <f t="shared" si="27"/>
        <v>0</v>
      </c>
      <c r="I216" s="253"/>
      <c r="J216" s="496"/>
    </row>
    <row r="217" spans="1:10" ht="18" customHeight="1">
      <c r="A217" s="487">
        <v>25</v>
      </c>
      <c r="B217" s="461" t="s">
        <v>236</v>
      </c>
      <c r="C217" s="490">
        <f>A217</f>
        <v>25</v>
      </c>
      <c r="D217" s="455"/>
      <c r="E217" s="455"/>
      <c r="F217" s="171" t="s">
        <v>197</v>
      </c>
      <c r="G217" s="258"/>
      <c r="H217" s="258"/>
      <c r="I217" s="251"/>
      <c r="J217" s="491"/>
    </row>
    <row r="218" spans="1:10" ht="18" customHeight="1">
      <c r="A218" s="488"/>
      <c r="B218" s="462"/>
      <c r="C218" s="466"/>
      <c r="D218" s="456"/>
      <c r="E218" s="456"/>
      <c r="F218" s="259" t="s">
        <v>429</v>
      </c>
      <c r="G218" s="182">
        <f>회생채권개별!F765</f>
        <v>0</v>
      </c>
      <c r="H218" s="182">
        <f>G218</f>
        <v>0</v>
      </c>
      <c r="I218" s="252"/>
      <c r="J218" s="479"/>
    </row>
    <row r="219" spans="1:10" ht="18" customHeight="1">
      <c r="A219" s="488"/>
      <c r="B219" s="462"/>
      <c r="C219" s="466"/>
      <c r="D219" s="456"/>
      <c r="E219" s="456"/>
      <c r="F219" s="259" t="s">
        <v>430</v>
      </c>
      <c r="G219" s="260" t="str">
        <f>INDEX([1]회생채권자요약!J:J,ROW('[2]회생채권총괄 (3)'!G165)/4)</f>
        <v/>
      </c>
      <c r="H219" s="260" t="str">
        <f>G219</f>
        <v/>
      </c>
      <c r="I219" s="252"/>
      <c r="J219" s="479"/>
    </row>
    <row r="220" spans="1:10" ht="18" customHeight="1">
      <c r="A220" s="488"/>
      <c r="B220" s="463"/>
      <c r="C220" s="467"/>
      <c r="D220" s="456"/>
      <c r="E220" s="456"/>
      <c r="F220" s="259"/>
      <c r="G220" s="260"/>
      <c r="H220" s="260"/>
      <c r="I220" s="252"/>
      <c r="J220" s="479"/>
    </row>
    <row r="221" spans="1:10" ht="18" customHeight="1">
      <c r="A221" s="489"/>
      <c r="B221" s="464"/>
      <c r="C221" s="468"/>
      <c r="D221" s="457"/>
      <c r="E221" s="457"/>
      <c r="F221" s="268" t="str">
        <f>IF(OR(MID(C217,2,1)="-",MID(C217,3,1)="-",MID(C217,4,1)="-",MID(47,5,1)="-"),"소계","합계")</f>
        <v>합계</v>
      </c>
      <c r="G221" s="269">
        <f t="shared" ref="G221:H221" si="28">SUM(G218:G219)</f>
        <v>0</v>
      </c>
      <c r="H221" s="269">
        <f t="shared" si="28"/>
        <v>0</v>
      </c>
      <c r="I221" s="253"/>
      <c r="J221" s="480"/>
    </row>
    <row r="222" spans="1:10" ht="18" customHeight="1">
      <c r="A222" s="487">
        <v>26</v>
      </c>
      <c r="B222" s="461" t="s">
        <v>236</v>
      </c>
      <c r="C222" s="490">
        <f>A222</f>
        <v>26</v>
      </c>
      <c r="D222" s="455"/>
      <c r="E222" s="455"/>
      <c r="F222" s="171" t="s">
        <v>197</v>
      </c>
      <c r="G222" s="258"/>
      <c r="H222" s="258"/>
      <c r="I222" s="251"/>
      <c r="J222" s="491"/>
    </row>
    <row r="223" spans="1:10" ht="18" customHeight="1">
      <c r="A223" s="488"/>
      <c r="B223" s="462"/>
      <c r="C223" s="466"/>
      <c r="D223" s="456"/>
      <c r="E223" s="456"/>
      <c r="F223" s="259" t="s">
        <v>429</v>
      </c>
      <c r="G223" s="182">
        <f>회생채권개별!F787</f>
        <v>0</v>
      </c>
      <c r="H223" s="182">
        <f>G223</f>
        <v>0</v>
      </c>
      <c r="I223" s="252"/>
      <c r="J223" s="479"/>
    </row>
    <row r="224" spans="1:10" ht="18" customHeight="1">
      <c r="A224" s="488"/>
      <c r="B224" s="462"/>
      <c r="C224" s="466"/>
      <c r="D224" s="456"/>
      <c r="E224" s="456"/>
      <c r="F224" s="259" t="s">
        <v>430</v>
      </c>
      <c r="G224" s="260">
        <f>INDEX([1]회생채권자요약!J:J,ROW('[2]회생채권총괄 (3)'!G170)/4)</f>
        <v>0</v>
      </c>
      <c r="H224" s="260">
        <f>G224</f>
        <v>0</v>
      </c>
      <c r="I224" s="252"/>
      <c r="J224" s="479"/>
    </row>
    <row r="225" spans="1:10" ht="18" customHeight="1">
      <c r="A225" s="488"/>
      <c r="B225" s="463"/>
      <c r="C225" s="467"/>
      <c r="D225" s="456"/>
      <c r="E225" s="456"/>
      <c r="F225" s="259"/>
      <c r="G225" s="260"/>
      <c r="H225" s="260"/>
      <c r="I225" s="252"/>
      <c r="J225" s="479"/>
    </row>
    <row r="226" spans="1:10" ht="18" customHeight="1">
      <c r="A226" s="489"/>
      <c r="B226" s="464"/>
      <c r="C226" s="468"/>
      <c r="D226" s="457"/>
      <c r="E226" s="457"/>
      <c r="F226" s="268" t="str">
        <f>IF(OR(MID(C222,2,1)="-",MID(C222,3,1)="-",MID(C222,4,1)="-",MID(47,5,1)="-"),"소계","합계")</f>
        <v>합계</v>
      </c>
      <c r="G226" s="269">
        <f t="shared" ref="G226:H226" si="29">SUM(G223:G224)</f>
        <v>0</v>
      </c>
      <c r="H226" s="269">
        <f t="shared" si="29"/>
        <v>0</v>
      </c>
      <c r="I226" s="253"/>
      <c r="J226" s="480"/>
    </row>
    <row r="227" spans="1:10" ht="18" customHeight="1">
      <c r="A227" s="487">
        <v>27</v>
      </c>
      <c r="B227" s="461" t="s">
        <v>236</v>
      </c>
      <c r="C227" s="490">
        <f>A227</f>
        <v>27</v>
      </c>
      <c r="D227" s="455"/>
      <c r="E227" s="455"/>
      <c r="F227" s="171" t="s">
        <v>197</v>
      </c>
      <c r="G227" s="258"/>
      <c r="H227" s="258"/>
      <c r="I227" s="251"/>
      <c r="J227" s="491"/>
    </row>
    <row r="228" spans="1:10" ht="18" customHeight="1">
      <c r="A228" s="488"/>
      <c r="B228" s="462"/>
      <c r="C228" s="466"/>
      <c r="D228" s="456"/>
      <c r="E228" s="456"/>
      <c r="F228" s="259" t="s">
        <v>429</v>
      </c>
      <c r="G228" s="182">
        <f>회생채권개별!F809</f>
        <v>0</v>
      </c>
      <c r="H228" s="182">
        <f>G228</f>
        <v>0</v>
      </c>
      <c r="I228" s="252"/>
      <c r="J228" s="479"/>
    </row>
    <row r="229" spans="1:10" ht="18" customHeight="1">
      <c r="A229" s="488"/>
      <c r="B229" s="462"/>
      <c r="C229" s="466"/>
      <c r="D229" s="456"/>
      <c r="E229" s="456"/>
      <c r="F229" s="259" t="s">
        <v>430</v>
      </c>
      <c r="G229" s="260">
        <f>INDEX([1]회생채권자요약!J:J,ROW('[2]회생채권총괄 (3)'!G175)/4)</f>
        <v>0</v>
      </c>
      <c r="H229" s="260">
        <f>G229</f>
        <v>0</v>
      </c>
      <c r="I229" s="252"/>
      <c r="J229" s="479"/>
    </row>
    <row r="230" spans="1:10" ht="18" customHeight="1">
      <c r="A230" s="488"/>
      <c r="B230" s="463"/>
      <c r="C230" s="467"/>
      <c r="D230" s="456"/>
      <c r="E230" s="456"/>
      <c r="F230" s="259"/>
      <c r="G230" s="260"/>
      <c r="H230" s="260"/>
      <c r="I230" s="252"/>
      <c r="J230" s="479"/>
    </row>
    <row r="231" spans="1:10" ht="18" customHeight="1">
      <c r="A231" s="489"/>
      <c r="B231" s="464"/>
      <c r="C231" s="468"/>
      <c r="D231" s="457"/>
      <c r="E231" s="457"/>
      <c r="F231" s="268" t="str">
        <f>IF(OR(MID(C227,2,1)="-",MID(C227,3,1)="-",MID(C227,4,1)="-",MID(47,5,1)="-"),"소계","합계")</f>
        <v>합계</v>
      </c>
      <c r="G231" s="269">
        <f t="shared" ref="G231:H231" si="30">SUM(G228:G229)</f>
        <v>0</v>
      </c>
      <c r="H231" s="269">
        <f t="shared" si="30"/>
        <v>0</v>
      </c>
      <c r="I231" s="253"/>
      <c r="J231" s="480"/>
    </row>
    <row r="232" spans="1:10" ht="18" customHeight="1">
      <c r="A232" s="487">
        <v>28</v>
      </c>
      <c r="B232" s="461" t="s">
        <v>236</v>
      </c>
      <c r="C232" s="490">
        <f>A232</f>
        <v>28</v>
      </c>
      <c r="D232" s="455"/>
      <c r="E232" s="455"/>
      <c r="F232" s="171" t="s">
        <v>197</v>
      </c>
      <c r="G232" s="258"/>
      <c r="H232" s="258"/>
      <c r="I232" s="251"/>
      <c r="J232" s="491"/>
    </row>
    <row r="233" spans="1:10" ht="18" customHeight="1">
      <c r="A233" s="488"/>
      <c r="B233" s="462"/>
      <c r="C233" s="466"/>
      <c r="D233" s="456"/>
      <c r="E233" s="456"/>
      <c r="F233" s="259" t="s">
        <v>429</v>
      </c>
      <c r="G233" s="182">
        <f>회생채권개별!F831</f>
        <v>0</v>
      </c>
      <c r="H233" s="182">
        <f>G233</f>
        <v>0</v>
      </c>
      <c r="I233" s="252"/>
      <c r="J233" s="479"/>
    </row>
    <row r="234" spans="1:10" ht="18" customHeight="1">
      <c r="A234" s="488"/>
      <c r="B234" s="462"/>
      <c r="C234" s="466"/>
      <c r="D234" s="456"/>
      <c r="E234" s="456"/>
      <c r="F234" s="259" t="s">
        <v>430</v>
      </c>
      <c r="G234" s="260">
        <f>INDEX([1]회생채권자요약!J:J,ROW('[2]회생채권총괄 (3)'!G180)/4)</f>
        <v>0</v>
      </c>
      <c r="H234" s="260">
        <f>G234</f>
        <v>0</v>
      </c>
      <c r="I234" s="252"/>
      <c r="J234" s="479"/>
    </row>
    <row r="235" spans="1:10" ht="18" customHeight="1">
      <c r="A235" s="488"/>
      <c r="B235" s="463"/>
      <c r="C235" s="467"/>
      <c r="D235" s="456"/>
      <c r="E235" s="456"/>
      <c r="F235" s="259"/>
      <c r="G235" s="260"/>
      <c r="H235" s="260"/>
      <c r="I235" s="252"/>
      <c r="J235" s="479"/>
    </row>
    <row r="236" spans="1:10" ht="18" customHeight="1">
      <c r="A236" s="489"/>
      <c r="B236" s="464"/>
      <c r="C236" s="468"/>
      <c r="D236" s="457"/>
      <c r="E236" s="457"/>
      <c r="F236" s="268" t="str">
        <f>IF(OR(MID(C232,2,1)="-",MID(C232,3,1)="-",MID(C232,4,1)="-",MID(47,5,1)="-"),"소계","합계")</f>
        <v>합계</v>
      </c>
      <c r="G236" s="269">
        <f>SUM(G233:G234)</f>
        <v>0</v>
      </c>
      <c r="H236" s="269">
        <f>SUM(H233:H234)</f>
        <v>0</v>
      </c>
      <c r="I236" s="253"/>
      <c r="J236" s="480"/>
    </row>
    <row r="237" spans="1:10" ht="18" customHeight="1">
      <c r="A237" s="487">
        <v>29</v>
      </c>
      <c r="B237" s="461" t="s">
        <v>236</v>
      </c>
      <c r="C237" s="490">
        <f>A237</f>
        <v>29</v>
      </c>
      <c r="D237" s="455"/>
      <c r="E237" s="455"/>
      <c r="F237" s="171" t="s">
        <v>197</v>
      </c>
      <c r="G237" s="258"/>
      <c r="H237" s="258"/>
      <c r="I237" s="251"/>
      <c r="J237" s="491"/>
    </row>
    <row r="238" spans="1:10" ht="18" customHeight="1">
      <c r="A238" s="488"/>
      <c r="B238" s="462"/>
      <c r="C238" s="466"/>
      <c r="D238" s="456"/>
      <c r="E238" s="456"/>
      <c r="F238" s="259" t="s">
        <v>429</v>
      </c>
      <c r="G238" s="182">
        <f>회생채권개별!F853</f>
        <v>0</v>
      </c>
      <c r="H238" s="182">
        <f>G238</f>
        <v>0</v>
      </c>
      <c r="I238" s="252"/>
      <c r="J238" s="479"/>
    </row>
    <row r="239" spans="1:10" ht="18" customHeight="1">
      <c r="A239" s="488"/>
      <c r="B239" s="462"/>
      <c r="C239" s="466"/>
      <c r="D239" s="456"/>
      <c r="E239" s="456"/>
      <c r="F239" s="259" t="s">
        <v>430</v>
      </c>
      <c r="G239" s="260">
        <f>INDEX([1]회생채권자요약!J:J,ROW('[2]회생채권총괄 (3)'!G185)/4)</f>
        <v>0</v>
      </c>
      <c r="H239" s="260">
        <f>G239</f>
        <v>0</v>
      </c>
      <c r="I239" s="252"/>
      <c r="J239" s="479"/>
    </row>
    <row r="240" spans="1:10" ht="18" customHeight="1">
      <c r="A240" s="488"/>
      <c r="B240" s="463"/>
      <c r="C240" s="467"/>
      <c r="D240" s="456"/>
      <c r="E240" s="456"/>
      <c r="F240" s="259"/>
      <c r="G240" s="260"/>
      <c r="H240" s="260"/>
      <c r="I240" s="252"/>
      <c r="J240" s="479"/>
    </row>
    <row r="241" spans="1:10" ht="18" customHeight="1">
      <c r="A241" s="489"/>
      <c r="B241" s="464"/>
      <c r="C241" s="468"/>
      <c r="D241" s="457"/>
      <c r="E241" s="457"/>
      <c r="F241" s="268" t="str">
        <f>IF(OR(MID(C237,2,1)="-",MID(C237,3,1)="-",MID(C237,4,1)="-",MID(47,5,1)="-"),"소계","합계")</f>
        <v>합계</v>
      </c>
      <c r="G241" s="269">
        <f t="shared" ref="G241:H241" si="31">SUM(G238:G239)</f>
        <v>0</v>
      </c>
      <c r="H241" s="269">
        <f t="shared" si="31"/>
        <v>0</v>
      </c>
      <c r="I241" s="253"/>
      <c r="J241" s="480"/>
    </row>
    <row r="242" spans="1:10" ht="18" customHeight="1">
      <c r="A242" s="487">
        <v>30</v>
      </c>
      <c r="B242" s="461" t="s">
        <v>236</v>
      </c>
      <c r="C242" s="490">
        <f>A242</f>
        <v>30</v>
      </c>
      <c r="D242" s="455"/>
      <c r="E242" s="455"/>
      <c r="F242" s="171" t="s">
        <v>197</v>
      </c>
      <c r="G242" s="258"/>
      <c r="H242" s="258"/>
      <c r="I242" s="251"/>
      <c r="J242" s="491"/>
    </row>
    <row r="243" spans="1:10" ht="18" customHeight="1">
      <c r="A243" s="488"/>
      <c r="B243" s="462"/>
      <c r="C243" s="466"/>
      <c r="D243" s="456"/>
      <c r="E243" s="456"/>
      <c r="F243" s="259" t="s">
        <v>429</v>
      </c>
      <c r="G243" s="182">
        <f>회생채권개별!F875</f>
        <v>0</v>
      </c>
      <c r="H243" s="182">
        <f>G243</f>
        <v>0</v>
      </c>
      <c r="I243" s="252"/>
      <c r="J243" s="479"/>
    </row>
    <row r="244" spans="1:10" ht="18" customHeight="1">
      <c r="A244" s="488"/>
      <c r="B244" s="462"/>
      <c r="C244" s="466"/>
      <c r="D244" s="456"/>
      <c r="E244" s="456"/>
      <c r="F244" s="259" t="s">
        <v>430</v>
      </c>
      <c r="G244" s="260">
        <f>INDEX([1]회생채권자요약!J:J,ROW('[2]회생채권총괄 (3)'!G190)/4)</f>
        <v>0</v>
      </c>
      <c r="H244" s="260">
        <f>G244</f>
        <v>0</v>
      </c>
      <c r="I244" s="252"/>
      <c r="J244" s="479"/>
    </row>
    <row r="245" spans="1:10" ht="18" customHeight="1">
      <c r="A245" s="488"/>
      <c r="B245" s="463"/>
      <c r="C245" s="467"/>
      <c r="D245" s="456"/>
      <c r="E245" s="456"/>
      <c r="F245" s="259"/>
      <c r="G245" s="260"/>
      <c r="H245" s="260"/>
      <c r="I245" s="252"/>
      <c r="J245" s="479"/>
    </row>
    <row r="246" spans="1:10" ht="18" customHeight="1">
      <c r="A246" s="489"/>
      <c r="B246" s="464"/>
      <c r="C246" s="468"/>
      <c r="D246" s="457"/>
      <c r="E246" s="457"/>
      <c r="F246" s="268" t="str">
        <f>IF(OR(MID(C242,2,1)="-",MID(C242,3,1)="-",MID(C242,4,1)="-",MID(47,5,1)="-"),"소계","합계")</f>
        <v>합계</v>
      </c>
      <c r="G246" s="269">
        <f>SUM(G243:G244)</f>
        <v>0</v>
      </c>
      <c r="H246" s="269">
        <f>SUM(H243:H244)</f>
        <v>0</v>
      </c>
      <c r="I246" s="253"/>
      <c r="J246" s="480"/>
    </row>
    <row r="247" spans="1:10" ht="18" customHeight="1">
      <c r="A247" s="487">
        <v>31</v>
      </c>
      <c r="B247" s="461" t="s">
        <v>236</v>
      </c>
      <c r="C247" s="490">
        <f>A247</f>
        <v>31</v>
      </c>
      <c r="D247" s="455"/>
      <c r="E247" s="455"/>
      <c r="F247" s="171" t="s">
        <v>136</v>
      </c>
      <c r="G247" s="258"/>
      <c r="H247" s="258"/>
      <c r="I247" s="251"/>
      <c r="J247" s="491"/>
    </row>
    <row r="248" spans="1:10" ht="18" customHeight="1">
      <c r="A248" s="488"/>
      <c r="B248" s="462"/>
      <c r="C248" s="466"/>
      <c r="D248" s="456"/>
      <c r="E248" s="456"/>
      <c r="F248" s="259" t="s">
        <v>429</v>
      </c>
      <c r="G248" s="182">
        <f>회생채권개별!F897</f>
        <v>0</v>
      </c>
      <c r="H248" s="182">
        <f>G248</f>
        <v>0</v>
      </c>
      <c r="I248" s="252"/>
      <c r="J248" s="479"/>
    </row>
    <row r="249" spans="1:10" ht="18" customHeight="1">
      <c r="A249" s="488"/>
      <c r="B249" s="462"/>
      <c r="C249" s="466"/>
      <c r="D249" s="456"/>
      <c r="E249" s="456"/>
      <c r="F249" s="259" t="s">
        <v>430</v>
      </c>
      <c r="G249" s="260">
        <f>INDEX([1]회생채권자요약!J:J,ROW('[2]회생채권총괄 (3)'!G195)/4)</f>
        <v>0</v>
      </c>
      <c r="H249" s="260">
        <f>G249</f>
        <v>0</v>
      </c>
      <c r="I249" s="252"/>
      <c r="J249" s="479"/>
    </row>
    <row r="250" spans="1:10" ht="18" customHeight="1">
      <c r="A250" s="488"/>
      <c r="B250" s="463"/>
      <c r="C250" s="467"/>
      <c r="D250" s="456"/>
      <c r="E250" s="456"/>
      <c r="F250" s="259"/>
      <c r="G250" s="260"/>
      <c r="H250" s="260"/>
      <c r="I250" s="252"/>
      <c r="J250" s="479"/>
    </row>
    <row r="251" spans="1:10" ht="18" customHeight="1">
      <c r="A251" s="489"/>
      <c r="B251" s="464"/>
      <c r="C251" s="468"/>
      <c r="D251" s="457"/>
      <c r="E251" s="457"/>
      <c r="F251" s="268" t="str">
        <f>IF(OR(MID(C247,2,1)="-",MID(C247,3,1)="-",MID(C247,4,1)="-",MID(47,5,1)="-"),"소계","합계")</f>
        <v>합계</v>
      </c>
      <c r="G251" s="269">
        <f t="shared" ref="G251:H251" si="32">SUM(G248:G249)</f>
        <v>0</v>
      </c>
      <c r="H251" s="269">
        <f t="shared" si="32"/>
        <v>0</v>
      </c>
      <c r="I251" s="253"/>
      <c r="J251" s="480"/>
    </row>
    <row r="252" spans="1:10" ht="18" customHeight="1">
      <c r="A252" s="487">
        <v>32</v>
      </c>
      <c r="B252" s="461" t="s">
        <v>236</v>
      </c>
      <c r="C252" s="490">
        <f>A252</f>
        <v>32</v>
      </c>
      <c r="D252" s="455"/>
      <c r="E252" s="497"/>
      <c r="F252" s="171" t="s">
        <v>197</v>
      </c>
      <c r="G252" s="258"/>
      <c r="H252" s="258"/>
      <c r="I252" s="251"/>
      <c r="J252" s="491"/>
    </row>
    <row r="253" spans="1:10" ht="18" customHeight="1">
      <c r="A253" s="488"/>
      <c r="B253" s="462"/>
      <c r="C253" s="466"/>
      <c r="D253" s="456"/>
      <c r="E253" s="498"/>
      <c r="F253" s="259" t="s">
        <v>429</v>
      </c>
      <c r="G253" s="182">
        <f>회생채권개별!F919</f>
        <v>0</v>
      </c>
      <c r="H253" s="182">
        <f>G253</f>
        <v>0</v>
      </c>
      <c r="I253" s="252"/>
      <c r="J253" s="479"/>
    </row>
    <row r="254" spans="1:10" ht="18" customHeight="1">
      <c r="A254" s="488"/>
      <c r="B254" s="462"/>
      <c r="C254" s="466"/>
      <c r="D254" s="456"/>
      <c r="E254" s="498"/>
      <c r="F254" s="259" t="s">
        <v>430</v>
      </c>
      <c r="G254" s="260">
        <f>INDEX([1]회생채권자요약!J:J,ROW('[2]회생채권총괄 (3)'!G200)/4)</f>
        <v>0</v>
      </c>
      <c r="H254" s="260">
        <f>G254</f>
        <v>0</v>
      </c>
      <c r="I254" s="252"/>
      <c r="J254" s="479"/>
    </row>
    <row r="255" spans="1:10" ht="18" customHeight="1">
      <c r="A255" s="488"/>
      <c r="B255" s="463"/>
      <c r="C255" s="467"/>
      <c r="D255" s="456"/>
      <c r="E255" s="498"/>
      <c r="F255" s="259"/>
      <c r="G255" s="260"/>
      <c r="H255" s="260"/>
      <c r="I255" s="252"/>
      <c r="J255" s="479"/>
    </row>
    <row r="256" spans="1:10" ht="18" customHeight="1">
      <c r="A256" s="489"/>
      <c r="B256" s="464"/>
      <c r="C256" s="468"/>
      <c r="D256" s="457"/>
      <c r="E256" s="499"/>
      <c r="F256" s="268" t="str">
        <f>IF(OR(MID(C252,2,1)="-",MID(C252,3,1)="-",MID(C252,4,1)="-",MID(47,5,1)="-"),"소계","합계")</f>
        <v>합계</v>
      </c>
      <c r="G256" s="269">
        <f t="shared" ref="G256:H256" si="33">SUM(G253:G254)</f>
        <v>0</v>
      </c>
      <c r="H256" s="269">
        <f t="shared" si="33"/>
        <v>0</v>
      </c>
      <c r="I256" s="253"/>
      <c r="J256" s="480"/>
    </row>
    <row r="257" spans="1:10" ht="18" customHeight="1">
      <c r="A257" s="487">
        <v>33</v>
      </c>
      <c r="B257" s="461" t="s">
        <v>236</v>
      </c>
      <c r="C257" s="490">
        <f>A257</f>
        <v>33</v>
      </c>
      <c r="D257" s="455"/>
      <c r="E257" s="455"/>
      <c r="F257" s="171" t="s">
        <v>136</v>
      </c>
      <c r="G257" s="258"/>
      <c r="H257" s="258"/>
      <c r="I257" s="251"/>
      <c r="J257" s="491"/>
    </row>
    <row r="258" spans="1:10" ht="18" customHeight="1">
      <c r="A258" s="488"/>
      <c r="B258" s="462"/>
      <c r="C258" s="466"/>
      <c r="D258" s="456"/>
      <c r="E258" s="456"/>
      <c r="F258" s="259" t="s">
        <v>429</v>
      </c>
      <c r="G258" s="182">
        <f>회생채권개별!F941</f>
        <v>0</v>
      </c>
      <c r="H258" s="182">
        <f>G258</f>
        <v>0</v>
      </c>
      <c r="I258" s="252"/>
      <c r="J258" s="479"/>
    </row>
    <row r="259" spans="1:10" ht="18" customHeight="1">
      <c r="A259" s="488"/>
      <c r="B259" s="462"/>
      <c r="C259" s="466"/>
      <c r="D259" s="456"/>
      <c r="E259" s="456"/>
      <c r="F259" s="259" t="s">
        <v>430</v>
      </c>
      <c r="G259" s="260">
        <f>INDEX([1]회생채권자요약!J:J,ROW('[2]회생채권총괄 (3)'!G205)/4)</f>
        <v>0</v>
      </c>
      <c r="H259" s="260">
        <f>G259</f>
        <v>0</v>
      </c>
      <c r="I259" s="252"/>
      <c r="J259" s="479"/>
    </row>
    <row r="260" spans="1:10" ht="18" customHeight="1">
      <c r="A260" s="488"/>
      <c r="B260" s="463"/>
      <c r="C260" s="467"/>
      <c r="D260" s="456"/>
      <c r="E260" s="456"/>
      <c r="F260" s="259"/>
      <c r="G260" s="260"/>
      <c r="H260" s="260"/>
      <c r="I260" s="252"/>
      <c r="J260" s="479"/>
    </row>
    <row r="261" spans="1:10" ht="18" customHeight="1">
      <c r="A261" s="489"/>
      <c r="B261" s="464"/>
      <c r="C261" s="468"/>
      <c r="D261" s="457"/>
      <c r="E261" s="457"/>
      <c r="F261" s="268" t="str">
        <f>IF(OR(MID(C257,2,1)="-",MID(C257,3,1)="-",MID(C257,4,1)="-",MID(47,5,1)="-"),"소계","합계")</f>
        <v>합계</v>
      </c>
      <c r="G261" s="269">
        <f t="shared" ref="G261:H261" si="34">SUM(G258:G259)</f>
        <v>0</v>
      </c>
      <c r="H261" s="269">
        <f t="shared" si="34"/>
        <v>0</v>
      </c>
      <c r="I261" s="253"/>
      <c r="J261" s="480"/>
    </row>
    <row r="262" spans="1:10" ht="18" customHeight="1">
      <c r="A262" s="487">
        <v>34</v>
      </c>
      <c r="B262" s="461" t="s">
        <v>236</v>
      </c>
      <c r="C262" s="490">
        <f>A262</f>
        <v>34</v>
      </c>
      <c r="D262" s="455"/>
      <c r="E262" s="455"/>
      <c r="F262" s="171" t="s">
        <v>197</v>
      </c>
      <c r="G262" s="258"/>
      <c r="H262" s="258"/>
      <c r="I262" s="251"/>
      <c r="J262" s="491"/>
    </row>
    <row r="263" spans="1:10" ht="18" customHeight="1">
      <c r="A263" s="488"/>
      <c r="B263" s="462"/>
      <c r="C263" s="466"/>
      <c r="D263" s="456"/>
      <c r="E263" s="456"/>
      <c r="F263" s="259" t="s">
        <v>429</v>
      </c>
      <c r="G263" s="182">
        <f>회생채권개별!F963</f>
        <v>0</v>
      </c>
      <c r="H263" s="182">
        <f>G263</f>
        <v>0</v>
      </c>
      <c r="I263" s="252"/>
      <c r="J263" s="479"/>
    </row>
    <row r="264" spans="1:10" ht="18" customHeight="1">
      <c r="A264" s="488"/>
      <c r="B264" s="462"/>
      <c r="C264" s="466"/>
      <c r="D264" s="456"/>
      <c r="E264" s="456"/>
      <c r="F264" s="259" t="s">
        <v>430</v>
      </c>
      <c r="G264" s="260">
        <f>INDEX([1]회생채권자요약!J:J,ROW('[2]회생채권총괄 (3)'!G210)/4)</f>
        <v>0</v>
      </c>
      <c r="H264" s="260">
        <f>G264</f>
        <v>0</v>
      </c>
      <c r="I264" s="252"/>
      <c r="J264" s="479"/>
    </row>
    <row r="265" spans="1:10" ht="18" customHeight="1">
      <c r="A265" s="488"/>
      <c r="B265" s="463"/>
      <c r="C265" s="467"/>
      <c r="D265" s="456"/>
      <c r="E265" s="456"/>
      <c r="F265" s="259"/>
      <c r="G265" s="260"/>
      <c r="H265" s="260"/>
      <c r="I265" s="252"/>
      <c r="J265" s="479"/>
    </row>
    <row r="266" spans="1:10" ht="18" customHeight="1">
      <c r="A266" s="489"/>
      <c r="B266" s="464"/>
      <c r="C266" s="468"/>
      <c r="D266" s="457"/>
      <c r="E266" s="457"/>
      <c r="F266" s="268" t="str">
        <f>IF(OR(MID(C262,2,1)="-",MID(C262,3,1)="-",MID(C262,4,1)="-",MID(47,5,1)="-"),"소계","합계")</f>
        <v>합계</v>
      </c>
      <c r="G266" s="269">
        <f t="shared" ref="G266:H266" si="35">SUM(G263:G264)</f>
        <v>0</v>
      </c>
      <c r="H266" s="269">
        <f t="shared" si="35"/>
        <v>0</v>
      </c>
      <c r="I266" s="253"/>
      <c r="J266" s="480"/>
    </row>
    <row r="267" spans="1:10" ht="18" customHeight="1">
      <c r="A267" s="487">
        <v>35</v>
      </c>
      <c r="B267" s="461" t="s">
        <v>236</v>
      </c>
      <c r="C267" s="490">
        <f>A267</f>
        <v>35</v>
      </c>
      <c r="D267" s="455"/>
      <c r="E267" s="455"/>
      <c r="F267" s="171" t="s">
        <v>159</v>
      </c>
      <c r="G267" s="258"/>
      <c r="H267" s="258"/>
      <c r="I267" s="251"/>
      <c r="J267" s="491" t="s">
        <v>212</v>
      </c>
    </row>
    <row r="268" spans="1:10" ht="18" customHeight="1">
      <c r="A268" s="488"/>
      <c r="B268" s="462"/>
      <c r="C268" s="466"/>
      <c r="D268" s="456"/>
      <c r="E268" s="456"/>
      <c r="F268" s="259" t="s">
        <v>429</v>
      </c>
      <c r="G268" s="182">
        <f>회생채권개별!F985</f>
        <v>0</v>
      </c>
      <c r="H268" s="182">
        <f>G268</f>
        <v>0</v>
      </c>
      <c r="I268" s="252"/>
      <c r="J268" s="479"/>
    </row>
    <row r="269" spans="1:10" ht="18" customHeight="1">
      <c r="A269" s="488"/>
      <c r="B269" s="462"/>
      <c r="C269" s="466"/>
      <c r="D269" s="456"/>
      <c r="E269" s="456"/>
      <c r="F269" s="259" t="s">
        <v>430</v>
      </c>
      <c r="G269" s="260">
        <f>INDEX([1]회생채권자요약!J:J,ROW('[2]회생채권총괄 (3)'!G215)/4)</f>
        <v>0</v>
      </c>
      <c r="H269" s="260">
        <f>G269</f>
        <v>0</v>
      </c>
      <c r="I269" s="252"/>
      <c r="J269" s="479"/>
    </row>
    <row r="270" spans="1:10" ht="18" customHeight="1">
      <c r="A270" s="488"/>
      <c r="B270" s="463"/>
      <c r="C270" s="467"/>
      <c r="D270" s="456"/>
      <c r="E270" s="456"/>
      <c r="F270" s="259"/>
      <c r="G270" s="260"/>
      <c r="H270" s="260"/>
      <c r="I270" s="252"/>
      <c r="J270" s="479"/>
    </row>
    <row r="271" spans="1:10" ht="18" customHeight="1">
      <c r="A271" s="489"/>
      <c r="B271" s="464"/>
      <c r="C271" s="468"/>
      <c r="D271" s="457"/>
      <c r="E271" s="457"/>
      <c r="F271" s="268" t="str">
        <f>IF(OR(MID(C267,2,1)="-",MID(C267,3,1)="-",MID(C267,4,1)="-",MID(47,5,1)="-"),"소계","합계")</f>
        <v>합계</v>
      </c>
      <c r="G271" s="269">
        <f t="shared" ref="G271:H271" si="36">SUM(G268:G269)</f>
        <v>0</v>
      </c>
      <c r="H271" s="269">
        <f t="shared" si="36"/>
        <v>0</v>
      </c>
      <c r="I271" s="253"/>
      <c r="J271" s="480"/>
    </row>
    <row r="272" spans="1:10" ht="18" customHeight="1">
      <c r="A272" s="487">
        <v>36</v>
      </c>
      <c r="B272" s="461" t="s">
        <v>236</v>
      </c>
      <c r="C272" s="490">
        <f>A272</f>
        <v>36</v>
      </c>
      <c r="D272" s="455"/>
      <c r="E272" s="455"/>
      <c r="F272" s="171" t="s">
        <v>136</v>
      </c>
      <c r="G272" s="258"/>
      <c r="H272" s="258"/>
      <c r="I272" s="251"/>
      <c r="J272" s="491"/>
    </row>
    <row r="273" spans="1:11" ht="18" customHeight="1">
      <c r="A273" s="488"/>
      <c r="B273" s="462"/>
      <c r="C273" s="466"/>
      <c r="D273" s="456"/>
      <c r="E273" s="456"/>
      <c r="F273" s="259" t="s">
        <v>429</v>
      </c>
      <c r="G273" s="182">
        <f>회생채권개별!F1007</f>
        <v>0</v>
      </c>
      <c r="H273" s="182">
        <f>G273</f>
        <v>0</v>
      </c>
      <c r="I273" s="252"/>
      <c r="J273" s="479"/>
    </row>
    <row r="274" spans="1:11" ht="18" customHeight="1">
      <c r="A274" s="488"/>
      <c r="B274" s="462"/>
      <c r="C274" s="466"/>
      <c r="D274" s="456"/>
      <c r="E274" s="456"/>
      <c r="F274" s="259" t="s">
        <v>430</v>
      </c>
      <c r="G274" s="260">
        <f>INDEX([1]회생채권자요약!J:J,ROW('[2]회생채권총괄 (3)'!G220)/4)</f>
        <v>0</v>
      </c>
      <c r="H274" s="260">
        <f>G274</f>
        <v>0</v>
      </c>
      <c r="I274" s="252"/>
      <c r="J274" s="479"/>
    </row>
    <row r="275" spans="1:11" ht="18" customHeight="1">
      <c r="A275" s="488"/>
      <c r="B275" s="463"/>
      <c r="C275" s="467"/>
      <c r="D275" s="456"/>
      <c r="E275" s="456"/>
      <c r="F275" s="259"/>
      <c r="G275" s="260"/>
      <c r="H275" s="260"/>
      <c r="I275" s="252"/>
      <c r="J275" s="479"/>
    </row>
    <row r="276" spans="1:11" ht="18" customHeight="1" thickBot="1">
      <c r="A276" s="489"/>
      <c r="B276" s="464"/>
      <c r="C276" s="468"/>
      <c r="D276" s="457"/>
      <c r="E276" s="457"/>
      <c r="F276" s="268" t="str">
        <f>IF(OR(MID(C272,2,1)="-",MID(C272,3,1)="-",MID(C272,4,1)="-",MID(47,5,1)="-"),"소계","합계")</f>
        <v>합계</v>
      </c>
      <c r="G276" s="269">
        <f t="shared" ref="G276:H276" si="37">SUM(G273:G274)</f>
        <v>0</v>
      </c>
      <c r="H276" s="269">
        <f t="shared" si="37"/>
        <v>0</v>
      </c>
      <c r="I276" s="253"/>
      <c r="J276" s="480"/>
    </row>
    <row r="277" spans="1:11" ht="18" customHeight="1">
      <c r="A277" s="487">
        <v>37</v>
      </c>
      <c r="B277" s="461" t="s">
        <v>236</v>
      </c>
      <c r="C277" s="490">
        <f>A277</f>
        <v>37</v>
      </c>
      <c r="D277" s="455"/>
      <c r="E277" s="497"/>
      <c r="F277" s="171" t="s">
        <v>159</v>
      </c>
      <c r="G277" s="258"/>
      <c r="H277" s="258"/>
      <c r="I277" s="251"/>
      <c r="J277" s="491" t="s">
        <v>434</v>
      </c>
      <c r="K277" s="317"/>
    </row>
    <row r="278" spans="1:11" ht="18" customHeight="1">
      <c r="A278" s="488"/>
      <c r="B278" s="462"/>
      <c r="C278" s="466"/>
      <c r="D278" s="456"/>
      <c r="E278" s="498"/>
      <c r="F278" s="259" t="s">
        <v>429</v>
      </c>
      <c r="G278" s="182">
        <f>회생채권개별!F1029</f>
        <v>0</v>
      </c>
      <c r="H278" s="182">
        <f>G278</f>
        <v>0</v>
      </c>
      <c r="I278" s="252"/>
      <c r="J278" s="479"/>
      <c r="K278" s="318"/>
    </row>
    <row r="279" spans="1:11" ht="18" customHeight="1">
      <c r="A279" s="488"/>
      <c r="B279" s="462"/>
      <c r="C279" s="466"/>
      <c r="D279" s="456"/>
      <c r="E279" s="498"/>
      <c r="F279" s="259" t="s">
        <v>430</v>
      </c>
      <c r="G279" s="260">
        <f>INDEX([1]회생채권자요약!J:J,ROW('[2]회생채권총괄 (3)'!G229)/4)</f>
        <v>0</v>
      </c>
      <c r="H279" s="260">
        <f>G279</f>
        <v>0</v>
      </c>
      <c r="I279" s="252"/>
      <c r="J279" s="479"/>
      <c r="K279" s="304"/>
    </row>
    <row r="280" spans="1:11" ht="18" customHeight="1">
      <c r="A280" s="488"/>
      <c r="B280" s="463"/>
      <c r="C280" s="467"/>
      <c r="D280" s="456"/>
      <c r="E280" s="498"/>
      <c r="F280" s="259"/>
      <c r="G280" s="260"/>
      <c r="H280" s="260"/>
      <c r="I280" s="252"/>
      <c r="J280" s="479"/>
    </row>
    <row r="281" spans="1:11" ht="18" customHeight="1">
      <c r="A281" s="489"/>
      <c r="B281" s="464"/>
      <c r="C281" s="468"/>
      <c r="D281" s="457"/>
      <c r="E281" s="499"/>
      <c r="F281" s="268" t="str">
        <f>IF(OR(MID(C277,2,1)="-",MID(C277,3,1)="-",MID(C277,4,1)="-",MID(47,5,1)="-"),"소계","합계")</f>
        <v>합계</v>
      </c>
      <c r="G281" s="269">
        <f t="shared" ref="G281:H281" si="38">SUM(G278:G279)</f>
        <v>0</v>
      </c>
      <c r="H281" s="269">
        <f t="shared" si="38"/>
        <v>0</v>
      </c>
      <c r="I281" s="253"/>
      <c r="J281" s="480"/>
    </row>
    <row r="282" spans="1:11" ht="18" customHeight="1">
      <c r="A282" s="487">
        <v>38</v>
      </c>
      <c r="B282" s="461" t="s">
        <v>236</v>
      </c>
      <c r="C282" s="490">
        <f>A282</f>
        <v>38</v>
      </c>
      <c r="D282" s="455"/>
      <c r="E282" s="455"/>
      <c r="F282" s="171" t="s">
        <v>197</v>
      </c>
      <c r="G282" s="258"/>
      <c r="H282" s="258"/>
      <c r="I282" s="251"/>
      <c r="J282" s="491"/>
    </row>
    <row r="283" spans="1:11" ht="18" customHeight="1">
      <c r="A283" s="488"/>
      <c r="B283" s="462"/>
      <c r="C283" s="466"/>
      <c r="D283" s="456"/>
      <c r="E283" s="456"/>
      <c r="F283" s="259" t="s">
        <v>429</v>
      </c>
      <c r="G283" s="182">
        <f>회생채권개별!F1051</f>
        <v>0</v>
      </c>
      <c r="H283" s="182">
        <f>G283</f>
        <v>0</v>
      </c>
      <c r="I283" s="252"/>
      <c r="J283" s="479"/>
    </row>
    <row r="284" spans="1:11" ht="18" customHeight="1">
      <c r="A284" s="488"/>
      <c r="B284" s="462"/>
      <c r="C284" s="466"/>
      <c r="D284" s="456"/>
      <c r="E284" s="456"/>
      <c r="F284" s="259" t="s">
        <v>430</v>
      </c>
      <c r="G284" s="260">
        <f>INDEX([1]회생채권자요약!J:J,ROW('[2]회생채권총괄 (3)'!G234)/4)</f>
        <v>0</v>
      </c>
      <c r="H284" s="260">
        <f>G284</f>
        <v>0</v>
      </c>
      <c r="I284" s="252"/>
      <c r="J284" s="479"/>
    </row>
    <row r="285" spans="1:11" ht="18" customHeight="1">
      <c r="A285" s="488"/>
      <c r="B285" s="463"/>
      <c r="C285" s="467"/>
      <c r="D285" s="456"/>
      <c r="E285" s="456"/>
      <c r="F285" s="259"/>
      <c r="G285" s="260"/>
      <c r="H285" s="260"/>
      <c r="I285" s="252"/>
      <c r="J285" s="479"/>
    </row>
    <row r="286" spans="1:11" ht="18" customHeight="1">
      <c r="A286" s="489"/>
      <c r="B286" s="464"/>
      <c r="C286" s="468"/>
      <c r="D286" s="457"/>
      <c r="E286" s="457"/>
      <c r="F286" s="268" t="str">
        <f>IF(OR(MID(C282,2,1)="-",MID(C282,3,1)="-",MID(C282,4,1)="-",MID(47,5,1)="-"),"소계","합계")</f>
        <v>합계</v>
      </c>
      <c r="G286" s="269">
        <f t="shared" ref="G286:H286" si="39">SUM(G283:G284)</f>
        <v>0</v>
      </c>
      <c r="H286" s="269">
        <f t="shared" si="39"/>
        <v>0</v>
      </c>
      <c r="I286" s="253"/>
      <c r="J286" s="480"/>
    </row>
    <row r="287" spans="1:11" ht="18" customHeight="1">
      <c r="A287" s="487">
        <v>39</v>
      </c>
      <c r="B287" s="461" t="s">
        <v>236</v>
      </c>
      <c r="C287" s="490">
        <f>A287</f>
        <v>39</v>
      </c>
      <c r="D287" s="455"/>
      <c r="E287" s="455"/>
      <c r="F287" s="171" t="s">
        <v>197</v>
      </c>
      <c r="G287" s="258"/>
      <c r="H287" s="258"/>
      <c r="I287" s="251"/>
      <c r="J287" s="491"/>
    </row>
    <row r="288" spans="1:11" ht="18" customHeight="1">
      <c r="A288" s="488"/>
      <c r="B288" s="462"/>
      <c r="C288" s="466"/>
      <c r="D288" s="456"/>
      <c r="E288" s="456"/>
      <c r="F288" s="259" t="s">
        <v>429</v>
      </c>
      <c r="G288" s="182">
        <f>회생채권개별!F1073</f>
        <v>0</v>
      </c>
      <c r="H288" s="182">
        <f>G288</f>
        <v>0</v>
      </c>
      <c r="I288" s="252"/>
      <c r="J288" s="479"/>
    </row>
    <row r="289" spans="1:10" ht="18" customHeight="1">
      <c r="A289" s="488"/>
      <c r="B289" s="462"/>
      <c r="C289" s="466"/>
      <c r="D289" s="456"/>
      <c r="E289" s="456"/>
      <c r="F289" s="259" t="s">
        <v>430</v>
      </c>
      <c r="G289" s="260">
        <f>INDEX([1]회생채권자요약!J:J,ROW('[2]회생채권총괄 (3)'!G244)/4)</f>
        <v>0</v>
      </c>
      <c r="H289" s="260">
        <f>G289</f>
        <v>0</v>
      </c>
      <c r="I289" s="252"/>
      <c r="J289" s="479"/>
    </row>
    <row r="290" spans="1:10" ht="18" customHeight="1">
      <c r="A290" s="488"/>
      <c r="B290" s="463"/>
      <c r="C290" s="467"/>
      <c r="D290" s="456"/>
      <c r="E290" s="456"/>
      <c r="F290" s="259"/>
      <c r="G290" s="260"/>
      <c r="H290" s="260"/>
      <c r="I290" s="252"/>
      <c r="J290" s="479"/>
    </row>
    <row r="291" spans="1:10" ht="18" customHeight="1">
      <c r="A291" s="489"/>
      <c r="B291" s="464"/>
      <c r="C291" s="468"/>
      <c r="D291" s="457"/>
      <c r="E291" s="457"/>
      <c r="F291" s="268" t="str">
        <f>IF(OR(MID(C287,2,1)="-",MID(C287,3,1)="-",MID(C287,4,1)="-",MID(47,5,1)="-"),"소계","합계")</f>
        <v>합계</v>
      </c>
      <c r="G291" s="269">
        <f t="shared" ref="G291:H291" si="40">SUM(G288:G289)</f>
        <v>0</v>
      </c>
      <c r="H291" s="269">
        <f t="shared" si="40"/>
        <v>0</v>
      </c>
      <c r="I291" s="253"/>
      <c r="J291" s="480"/>
    </row>
    <row r="292" spans="1:10" ht="18" customHeight="1">
      <c r="A292" s="487">
        <f>A287+1</f>
        <v>40</v>
      </c>
      <c r="B292" s="461" t="s">
        <v>236</v>
      </c>
      <c r="C292" s="490">
        <f>A292</f>
        <v>40</v>
      </c>
      <c r="D292" s="455"/>
      <c r="E292" s="455"/>
      <c r="F292" s="171" t="s">
        <v>197</v>
      </c>
      <c r="G292" s="258"/>
      <c r="H292" s="258"/>
      <c r="I292" s="251"/>
      <c r="J292" s="491"/>
    </row>
    <row r="293" spans="1:10" ht="18" customHeight="1">
      <c r="A293" s="488"/>
      <c r="B293" s="462"/>
      <c r="C293" s="466"/>
      <c r="D293" s="456"/>
      <c r="E293" s="456"/>
      <c r="F293" s="259" t="s">
        <v>429</v>
      </c>
      <c r="G293" s="182">
        <f>회생채권개별!F1095</f>
        <v>0</v>
      </c>
      <c r="H293" s="182">
        <f>G293</f>
        <v>0</v>
      </c>
      <c r="I293" s="252"/>
      <c r="J293" s="479"/>
    </row>
    <row r="294" spans="1:10" ht="18" customHeight="1">
      <c r="A294" s="488"/>
      <c r="B294" s="462"/>
      <c r="C294" s="466"/>
      <c r="D294" s="456"/>
      <c r="E294" s="456"/>
      <c r="F294" s="259" t="s">
        <v>430</v>
      </c>
      <c r="G294" s="260">
        <f>INDEX([1]회생채권자요약!J:J,ROW('[2]회생채권총괄 (3)'!G249)/4)</f>
        <v>0</v>
      </c>
      <c r="H294" s="260">
        <f>G294</f>
        <v>0</v>
      </c>
      <c r="I294" s="252"/>
      <c r="J294" s="479"/>
    </row>
    <row r="295" spans="1:10" ht="18" customHeight="1">
      <c r="A295" s="488"/>
      <c r="B295" s="463"/>
      <c r="C295" s="467"/>
      <c r="D295" s="456"/>
      <c r="E295" s="456"/>
      <c r="F295" s="259"/>
      <c r="G295" s="260"/>
      <c r="H295" s="260"/>
      <c r="I295" s="252"/>
      <c r="J295" s="479"/>
    </row>
    <row r="296" spans="1:10" ht="18" customHeight="1">
      <c r="A296" s="489"/>
      <c r="B296" s="464"/>
      <c r="C296" s="468"/>
      <c r="D296" s="457"/>
      <c r="E296" s="457"/>
      <c r="F296" s="268" t="str">
        <f>IF(OR(MID(C292,2,1)="-",MID(C292,3,1)="-",MID(C292,4,1)="-",MID(47,5,1)="-"),"소계","합계")</f>
        <v>합계</v>
      </c>
      <c r="G296" s="269">
        <f t="shared" ref="G296:H296" si="41">SUM(G293:G294)</f>
        <v>0</v>
      </c>
      <c r="H296" s="269">
        <f t="shared" si="41"/>
        <v>0</v>
      </c>
      <c r="I296" s="253"/>
      <c r="J296" s="480"/>
    </row>
    <row r="297" spans="1:10" ht="18" customHeight="1">
      <c r="A297" s="487">
        <f>A292+1</f>
        <v>41</v>
      </c>
      <c r="B297" s="461" t="s">
        <v>236</v>
      </c>
      <c r="C297" s="490">
        <f>A297</f>
        <v>41</v>
      </c>
      <c r="D297" s="455"/>
      <c r="E297" s="455"/>
      <c r="F297" s="171" t="s">
        <v>197</v>
      </c>
      <c r="G297" s="258"/>
      <c r="H297" s="258"/>
      <c r="I297" s="251"/>
      <c r="J297" s="491"/>
    </row>
    <row r="298" spans="1:10" ht="18" customHeight="1">
      <c r="A298" s="488"/>
      <c r="B298" s="462"/>
      <c r="C298" s="466"/>
      <c r="D298" s="456"/>
      <c r="E298" s="456"/>
      <c r="F298" s="259" t="s">
        <v>429</v>
      </c>
      <c r="G298" s="182">
        <f>회생채권개별!F1117</f>
        <v>0</v>
      </c>
      <c r="H298" s="182">
        <f>G298</f>
        <v>0</v>
      </c>
      <c r="I298" s="252"/>
      <c r="J298" s="479"/>
    </row>
    <row r="299" spans="1:10" ht="18" customHeight="1">
      <c r="A299" s="488"/>
      <c r="B299" s="462"/>
      <c r="C299" s="466"/>
      <c r="D299" s="456"/>
      <c r="E299" s="456"/>
      <c r="F299" s="259" t="s">
        <v>430</v>
      </c>
      <c r="G299" s="260">
        <f>INDEX([1]회생채권자요약!J:J,ROW('[2]회생채권총괄 (3)'!G254)/4)</f>
        <v>0</v>
      </c>
      <c r="H299" s="260">
        <f>G299</f>
        <v>0</v>
      </c>
      <c r="I299" s="252"/>
      <c r="J299" s="479"/>
    </row>
    <row r="300" spans="1:10" ht="18" customHeight="1">
      <c r="A300" s="488"/>
      <c r="B300" s="463"/>
      <c r="C300" s="467"/>
      <c r="D300" s="456"/>
      <c r="E300" s="456"/>
      <c r="F300" s="259"/>
      <c r="G300" s="260"/>
      <c r="H300" s="260"/>
      <c r="I300" s="252"/>
      <c r="J300" s="479"/>
    </row>
    <row r="301" spans="1:10" ht="18" customHeight="1">
      <c r="A301" s="489"/>
      <c r="B301" s="464"/>
      <c r="C301" s="468"/>
      <c r="D301" s="457"/>
      <c r="E301" s="457"/>
      <c r="F301" s="268" t="str">
        <f>IF(OR(MID(C297,2,1)="-",MID(C297,3,1)="-",MID(C297,4,1)="-",MID(47,5,1)="-"),"소계","합계")</f>
        <v>합계</v>
      </c>
      <c r="G301" s="269">
        <f t="shared" ref="G301:H301" si="42">SUM(G298:G299)</f>
        <v>0</v>
      </c>
      <c r="H301" s="269">
        <f t="shared" si="42"/>
        <v>0</v>
      </c>
      <c r="I301" s="253"/>
      <c r="J301" s="480"/>
    </row>
    <row r="302" spans="1:10" ht="18" customHeight="1">
      <c r="A302" s="487">
        <f>A297+1</f>
        <v>42</v>
      </c>
      <c r="B302" s="461" t="s">
        <v>236</v>
      </c>
      <c r="C302" s="490">
        <f>A302</f>
        <v>42</v>
      </c>
      <c r="D302" s="455"/>
      <c r="E302" s="455"/>
      <c r="F302" s="171" t="s">
        <v>197</v>
      </c>
      <c r="G302" s="258"/>
      <c r="H302" s="258"/>
      <c r="I302" s="251"/>
      <c r="J302" s="491"/>
    </row>
    <row r="303" spans="1:10" ht="18" customHeight="1">
      <c r="A303" s="488"/>
      <c r="B303" s="462"/>
      <c r="C303" s="466"/>
      <c r="D303" s="456"/>
      <c r="E303" s="456"/>
      <c r="F303" s="259" t="s">
        <v>429</v>
      </c>
      <c r="G303" s="182">
        <f>회생채권개별!F1139</f>
        <v>0</v>
      </c>
      <c r="H303" s="182">
        <f>G303</f>
        <v>0</v>
      </c>
      <c r="I303" s="252"/>
      <c r="J303" s="479"/>
    </row>
    <row r="304" spans="1:10" ht="18" customHeight="1">
      <c r="A304" s="488"/>
      <c r="B304" s="462"/>
      <c r="C304" s="466"/>
      <c r="D304" s="456"/>
      <c r="E304" s="456"/>
      <c r="F304" s="259" t="s">
        <v>430</v>
      </c>
      <c r="G304" s="260">
        <f>INDEX([1]회생채권자요약!J:J,ROW('[2]회생채권총괄 (3)'!G259)/4)</f>
        <v>0</v>
      </c>
      <c r="H304" s="260">
        <f>G304</f>
        <v>0</v>
      </c>
      <c r="I304" s="252"/>
      <c r="J304" s="479"/>
    </row>
    <row r="305" spans="1:10" ht="18" customHeight="1">
      <c r="A305" s="488"/>
      <c r="B305" s="463"/>
      <c r="C305" s="467"/>
      <c r="D305" s="456"/>
      <c r="E305" s="456"/>
      <c r="F305" s="259"/>
      <c r="G305" s="260"/>
      <c r="H305" s="260"/>
      <c r="I305" s="252"/>
      <c r="J305" s="479"/>
    </row>
    <row r="306" spans="1:10" ht="18" customHeight="1">
      <c r="A306" s="489"/>
      <c r="B306" s="464"/>
      <c r="C306" s="468"/>
      <c r="D306" s="457"/>
      <c r="E306" s="457"/>
      <c r="F306" s="268" t="str">
        <f>IF(OR(MID(C302,2,1)="-",MID(C302,3,1)="-",MID(C302,4,1)="-",MID(47,5,1)="-"),"소계","합계")</f>
        <v>합계</v>
      </c>
      <c r="G306" s="269">
        <f t="shared" ref="G306:H306" si="43">SUM(G303:G304)</f>
        <v>0</v>
      </c>
      <c r="H306" s="269">
        <f t="shared" si="43"/>
        <v>0</v>
      </c>
      <c r="I306" s="253"/>
      <c r="J306" s="480"/>
    </row>
    <row r="307" spans="1:10" ht="18" customHeight="1">
      <c r="A307" s="487">
        <f>A302+1</f>
        <v>43</v>
      </c>
      <c r="B307" s="461" t="s">
        <v>236</v>
      </c>
      <c r="C307" s="490">
        <f>A307</f>
        <v>43</v>
      </c>
      <c r="D307" s="455"/>
      <c r="E307" s="455"/>
      <c r="F307" s="171" t="s">
        <v>197</v>
      </c>
      <c r="G307" s="258"/>
      <c r="H307" s="258"/>
      <c r="I307" s="251"/>
      <c r="J307" s="491"/>
    </row>
    <row r="308" spans="1:10" ht="18" customHeight="1">
      <c r="A308" s="488"/>
      <c r="B308" s="462"/>
      <c r="C308" s="466"/>
      <c r="D308" s="456"/>
      <c r="E308" s="456"/>
      <c r="F308" s="259" t="s">
        <v>429</v>
      </c>
      <c r="G308" s="182">
        <f>회생채권개별!F1161</f>
        <v>0</v>
      </c>
      <c r="H308" s="182">
        <f>G308</f>
        <v>0</v>
      </c>
      <c r="I308" s="252"/>
      <c r="J308" s="479"/>
    </row>
    <row r="309" spans="1:10" ht="18" customHeight="1">
      <c r="A309" s="488"/>
      <c r="B309" s="462"/>
      <c r="C309" s="466"/>
      <c r="D309" s="456"/>
      <c r="E309" s="456"/>
      <c r="F309" s="259" t="s">
        <v>430</v>
      </c>
      <c r="G309" s="260">
        <f>INDEX([1]회생채권자요약!J:J,ROW('[2]회생채권총괄 (3)'!G264)/4)</f>
        <v>0</v>
      </c>
      <c r="H309" s="260">
        <f>G309</f>
        <v>0</v>
      </c>
      <c r="I309" s="252"/>
      <c r="J309" s="479"/>
    </row>
    <row r="310" spans="1:10" ht="18" customHeight="1">
      <c r="A310" s="488"/>
      <c r="B310" s="463"/>
      <c r="C310" s="467"/>
      <c r="D310" s="456"/>
      <c r="E310" s="456"/>
      <c r="F310" s="259"/>
      <c r="G310" s="260"/>
      <c r="H310" s="260"/>
      <c r="I310" s="252"/>
      <c r="J310" s="479"/>
    </row>
    <row r="311" spans="1:10" ht="18" customHeight="1">
      <c r="A311" s="489"/>
      <c r="B311" s="464"/>
      <c r="C311" s="468"/>
      <c r="D311" s="457"/>
      <c r="E311" s="457"/>
      <c r="F311" s="268" t="str">
        <f>IF(OR(MID(C307,2,1)="-",MID(C307,3,1)="-",MID(C307,4,1)="-",MID(47,5,1)="-"),"소계","합계")</f>
        <v>합계</v>
      </c>
      <c r="G311" s="269">
        <f t="shared" ref="G311:H311" si="44">SUM(G308:G309)</f>
        <v>0</v>
      </c>
      <c r="H311" s="269">
        <f t="shared" si="44"/>
        <v>0</v>
      </c>
      <c r="I311" s="253"/>
      <c r="J311" s="480"/>
    </row>
    <row r="312" spans="1:10" ht="18" customHeight="1">
      <c r="A312" s="487">
        <f>A307+1</f>
        <v>44</v>
      </c>
      <c r="B312" s="461" t="s">
        <v>236</v>
      </c>
      <c r="C312" s="490">
        <f>A312</f>
        <v>44</v>
      </c>
      <c r="D312" s="455"/>
      <c r="E312" s="455"/>
      <c r="F312" s="171" t="s">
        <v>197</v>
      </c>
      <c r="G312" s="258"/>
      <c r="H312" s="258"/>
      <c r="I312" s="251"/>
      <c r="J312" s="491"/>
    </row>
    <row r="313" spans="1:10" ht="18" customHeight="1">
      <c r="A313" s="488"/>
      <c r="B313" s="462"/>
      <c r="C313" s="466"/>
      <c r="D313" s="456"/>
      <c r="E313" s="456"/>
      <c r="F313" s="259" t="s">
        <v>429</v>
      </c>
      <c r="G313" s="182">
        <f>회생채권개별!F1183</f>
        <v>0</v>
      </c>
      <c r="H313" s="182">
        <f>G313</f>
        <v>0</v>
      </c>
      <c r="I313" s="252"/>
      <c r="J313" s="479"/>
    </row>
    <row r="314" spans="1:10" ht="18" customHeight="1">
      <c r="A314" s="488"/>
      <c r="B314" s="462"/>
      <c r="C314" s="466"/>
      <c r="D314" s="456"/>
      <c r="E314" s="456"/>
      <c r="F314" s="259" t="s">
        <v>430</v>
      </c>
      <c r="G314" s="260">
        <f>INDEX([1]회생채권자요약!J:J,ROW('[2]회생채권총괄 (3)'!G269)/4)</f>
        <v>0</v>
      </c>
      <c r="H314" s="260">
        <f>G314</f>
        <v>0</v>
      </c>
      <c r="I314" s="252"/>
      <c r="J314" s="479"/>
    </row>
    <row r="315" spans="1:10" ht="18" customHeight="1">
      <c r="A315" s="488"/>
      <c r="B315" s="463"/>
      <c r="C315" s="467"/>
      <c r="D315" s="456"/>
      <c r="E315" s="456"/>
      <c r="F315" s="259"/>
      <c r="G315" s="260"/>
      <c r="H315" s="260"/>
      <c r="I315" s="252"/>
      <c r="J315" s="479"/>
    </row>
    <row r="316" spans="1:10" ht="18" customHeight="1">
      <c r="A316" s="489"/>
      <c r="B316" s="464"/>
      <c r="C316" s="468"/>
      <c r="D316" s="457"/>
      <c r="E316" s="457"/>
      <c r="F316" s="268" t="str">
        <f>IF(OR(MID(C312,2,1)="-",MID(C312,3,1)="-",MID(C312,4,1)="-",MID(47,5,1)="-"),"소계","합계")</f>
        <v>합계</v>
      </c>
      <c r="G316" s="269">
        <f t="shared" ref="G316:H316" si="45">SUM(G313:G314)</f>
        <v>0</v>
      </c>
      <c r="H316" s="269">
        <f t="shared" si="45"/>
        <v>0</v>
      </c>
      <c r="I316" s="253"/>
      <c r="J316" s="480"/>
    </row>
    <row r="317" spans="1:10" ht="18" customHeight="1">
      <c r="A317" s="487">
        <f>A312+1</f>
        <v>45</v>
      </c>
      <c r="B317" s="461" t="s">
        <v>236</v>
      </c>
      <c r="C317" s="490">
        <f>A317</f>
        <v>45</v>
      </c>
      <c r="D317" s="455"/>
      <c r="E317" s="455"/>
      <c r="F317" s="171" t="s">
        <v>197</v>
      </c>
      <c r="G317" s="258"/>
      <c r="H317" s="258"/>
      <c r="I317" s="251"/>
      <c r="J317" s="491"/>
    </row>
    <row r="318" spans="1:10" ht="18" customHeight="1">
      <c r="A318" s="488"/>
      <c r="B318" s="462"/>
      <c r="C318" s="466"/>
      <c r="D318" s="456"/>
      <c r="E318" s="456"/>
      <c r="F318" s="259" t="s">
        <v>429</v>
      </c>
      <c r="G318" s="182">
        <f>회생채권개별!F1205</f>
        <v>0</v>
      </c>
      <c r="H318" s="182">
        <f>G318</f>
        <v>0</v>
      </c>
      <c r="I318" s="252"/>
      <c r="J318" s="479"/>
    </row>
    <row r="319" spans="1:10" ht="18" customHeight="1">
      <c r="A319" s="488"/>
      <c r="B319" s="462"/>
      <c r="C319" s="466"/>
      <c r="D319" s="456"/>
      <c r="E319" s="456"/>
      <c r="F319" s="259" t="s">
        <v>430</v>
      </c>
      <c r="G319" s="260">
        <f>INDEX([1]회생채권자요약!J:J,ROW('[2]회생채권총괄 (3)'!G274)/4)</f>
        <v>0</v>
      </c>
      <c r="H319" s="260">
        <f>G319</f>
        <v>0</v>
      </c>
      <c r="I319" s="252"/>
      <c r="J319" s="479"/>
    </row>
    <row r="320" spans="1:10" ht="18" customHeight="1">
      <c r="A320" s="488"/>
      <c r="B320" s="463"/>
      <c r="C320" s="467"/>
      <c r="D320" s="456"/>
      <c r="E320" s="456"/>
      <c r="F320" s="259"/>
      <c r="G320" s="260"/>
      <c r="H320" s="260"/>
      <c r="I320" s="252"/>
      <c r="J320" s="479"/>
    </row>
    <row r="321" spans="1:10" ht="18" customHeight="1">
      <c r="A321" s="489"/>
      <c r="B321" s="464"/>
      <c r="C321" s="468"/>
      <c r="D321" s="457"/>
      <c r="E321" s="457"/>
      <c r="F321" s="268" t="str">
        <f>IF(OR(MID(C317,2,1)="-",MID(C317,3,1)="-",MID(C317,4,1)="-",MID(47,5,1)="-"),"소계","합계")</f>
        <v>합계</v>
      </c>
      <c r="G321" s="269">
        <f t="shared" ref="G321:H321" si="46">SUM(G318:G319)</f>
        <v>0</v>
      </c>
      <c r="H321" s="269">
        <f t="shared" si="46"/>
        <v>0</v>
      </c>
      <c r="I321" s="253"/>
      <c r="J321" s="480"/>
    </row>
    <row r="322" spans="1:10" ht="18" customHeight="1">
      <c r="A322" s="487">
        <f>A317+1</f>
        <v>46</v>
      </c>
      <c r="B322" s="461" t="s">
        <v>236</v>
      </c>
      <c r="C322" s="490">
        <f>A322</f>
        <v>46</v>
      </c>
      <c r="D322" s="455"/>
      <c r="E322" s="455"/>
      <c r="F322" s="171" t="s">
        <v>197</v>
      </c>
      <c r="G322" s="258"/>
      <c r="H322" s="258"/>
      <c r="I322" s="251"/>
      <c r="J322" s="491"/>
    </row>
    <row r="323" spans="1:10" ht="18" customHeight="1">
      <c r="A323" s="488"/>
      <c r="B323" s="462"/>
      <c r="C323" s="466"/>
      <c r="D323" s="456"/>
      <c r="E323" s="456"/>
      <c r="F323" s="259" t="s">
        <v>429</v>
      </c>
      <c r="G323" s="182">
        <f>회생채권개별!F1227</f>
        <v>0</v>
      </c>
      <c r="H323" s="182">
        <f>G323</f>
        <v>0</v>
      </c>
      <c r="I323" s="252"/>
      <c r="J323" s="479"/>
    </row>
    <row r="324" spans="1:10" ht="18" customHeight="1">
      <c r="A324" s="488"/>
      <c r="B324" s="462"/>
      <c r="C324" s="466"/>
      <c r="D324" s="456"/>
      <c r="E324" s="456"/>
      <c r="F324" s="259" t="s">
        <v>430</v>
      </c>
      <c r="G324" s="260">
        <f>INDEX([1]회생채권자요약!J:J,ROW('[2]회생채권총괄 (3)'!G279)/4)</f>
        <v>0</v>
      </c>
      <c r="H324" s="260">
        <f>G324</f>
        <v>0</v>
      </c>
      <c r="I324" s="252"/>
      <c r="J324" s="479"/>
    </row>
    <row r="325" spans="1:10" ht="18" customHeight="1">
      <c r="A325" s="488"/>
      <c r="B325" s="463"/>
      <c r="C325" s="467"/>
      <c r="D325" s="456"/>
      <c r="E325" s="456"/>
      <c r="F325" s="259"/>
      <c r="G325" s="260"/>
      <c r="H325" s="260"/>
      <c r="I325" s="252"/>
      <c r="J325" s="479"/>
    </row>
    <row r="326" spans="1:10" ht="18" customHeight="1">
      <c r="A326" s="489"/>
      <c r="B326" s="464"/>
      <c r="C326" s="468"/>
      <c r="D326" s="457"/>
      <c r="E326" s="457"/>
      <c r="F326" s="268" t="str">
        <f>IF(OR(MID(C322,2,1)="-",MID(C322,3,1)="-",MID(C322,4,1)="-",MID(47,5,1)="-"),"소계","합계")</f>
        <v>합계</v>
      </c>
      <c r="G326" s="269">
        <f t="shared" ref="G326:H326" si="47">SUM(G323:G324)</f>
        <v>0</v>
      </c>
      <c r="H326" s="269">
        <f t="shared" si="47"/>
        <v>0</v>
      </c>
      <c r="I326" s="253"/>
      <c r="J326" s="480"/>
    </row>
    <row r="327" spans="1:10" ht="18" customHeight="1">
      <c r="A327" s="487">
        <f>A322+1</f>
        <v>47</v>
      </c>
      <c r="B327" s="461" t="s">
        <v>236</v>
      </c>
      <c r="C327" s="490">
        <f>A327</f>
        <v>47</v>
      </c>
      <c r="D327" s="455"/>
      <c r="E327" s="455"/>
      <c r="F327" s="171" t="s">
        <v>197</v>
      </c>
      <c r="G327" s="258"/>
      <c r="H327" s="258"/>
      <c r="I327" s="251"/>
      <c r="J327" s="491"/>
    </row>
    <row r="328" spans="1:10" ht="18" customHeight="1">
      <c r="A328" s="488"/>
      <c r="B328" s="462"/>
      <c r="C328" s="466"/>
      <c r="D328" s="456"/>
      <c r="E328" s="456"/>
      <c r="F328" s="259" t="s">
        <v>429</v>
      </c>
      <c r="G328" s="182">
        <f>회생채권개별!F1249</f>
        <v>0</v>
      </c>
      <c r="H328" s="182">
        <f>G328</f>
        <v>0</v>
      </c>
      <c r="I328" s="252"/>
      <c r="J328" s="479"/>
    </row>
    <row r="329" spans="1:10" ht="18" customHeight="1">
      <c r="A329" s="488"/>
      <c r="B329" s="462"/>
      <c r="C329" s="466"/>
      <c r="D329" s="456"/>
      <c r="E329" s="456"/>
      <c r="F329" s="259" t="s">
        <v>430</v>
      </c>
      <c r="G329" s="260">
        <f>INDEX([1]회생채권자요약!J:J,ROW('[2]회생채권총괄 (3)'!G284)/4)</f>
        <v>0</v>
      </c>
      <c r="H329" s="260">
        <f>G329</f>
        <v>0</v>
      </c>
      <c r="I329" s="252"/>
      <c r="J329" s="479"/>
    </row>
    <row r="330" spans="1:10" ht="18" customHeight="1">
      <c r="A330" s="488"/>
      <c r="B330" s="463"/>
      <c r="C330" s="467"/>
      <c r="D330" s="456"/>
      <c r="E330" s="456"/>
      <c r="F330" s="259"/>
      <c r="G330" s="260"/>
      <c r="H330" s="260"/>
      <c r="I330" s="252"/>
      <c r="J330" s="479"/>
    </row>
    <row r="331" spans="1:10" ht="18" customHeight="1">
      <c r="A331" s="489"/>
      <c r="B331" s="464"/>
      <c r="C331" s="468"/>
      <c r="D331" s="457"/>
      <c r="E331" s="457"/>
      <c r="F331" s="268" t="str">
        <f>IF(OR(MID(C327,2,1)="-",MID(C327,3,1)="-",MID(C327,4,1)="-",MID(47,5,1)="-"),"소계","합계")</f>
        <v>합계</v>
      </c>
      <c r="G331" s="269">
        <f t="shared" ref="G331:H331" si="48">SUM(G328:G329)</f>
        <v>0</v>
      </c>
      <c r="H331" s="269">
        <f t="shared" si="48"/>
        <v>0</v>
      </c>
      <c r="I331" s="253"/>
      <c r="J331" s="480"/>
    </row>
    <row r="332" spans="1:10" ht="18" customHeight="1">
      <c r="A332" s="487">
        <f>A327+1</f>
        <v>48</v>
      </c>
      <c r="B332" s="461" t="s">
        <v>236</v>
      </c>
      <c r="C332" s="490">
        <f>A332</f>
        <v>48</v>
      </c>
      <c r="D332" s="455"/>
      <c r="E332" s="455"/>
      <c r="F332" s="171" t="s">
        <v>197</v>
      </c>
      <c r="G332" s="258"/>
      <c r="H332" s="258"/>
      <c r="I332" s="251"/>
      <c r="J332" s="491"/>
    </row>
    <row r="333" spans="1:10" ht="18" customHeight="1">
      <c r="A333" s="488"/>
      <c r="B333" s="462"/>
      <c r="C333" s="466"/>
      <c r="D333" s="456"/>
      <c r="E333" s="456"/>
      <c r="F333" s="259" t="s">
        <v>429</v>
      </c>
      <c r="G333" s="182">
        <f>회생채권개별!F1271</f>
        <v>0</v>
      </c>
      <c r="H333" s="182">
        <f>G333</f>
        <v>0</v>
      </c>
      <c r="I333" s="252"/>
      <c r="J333" s="479"/>
    </row>
    <row r="334" spans="1:10" ht="18" customHeight="1">
      <c r="A334" s="488"/>
      <c r="B334" s="462"/>
      <c r="C334" s="466"/>
      <c r="D334" s="456"/>
      <c r="E334" s="456"/>
      <c r="F334" s="259" t="s">
        <v>430</v>
      </c>
      <c r="G334" s="260">
        <f>INDEX([1]회생채권자요약!J:J,ROW('[2]회생채권총괄 (3)'!G289)/4)</f>
        <v>0</v>
      </c>
      <c r="H334" s="260">
        <f>G334</f>
        <v>0</v>
      </c>
      <c r="I334" s="252"/>
      <c r="J334" s="479"/>
    </row>
    <row r="335" spans="1:10" ht="18" customHeight="1">
      <c r="A335" s="488"/>
      <c r="B335" s="463"/>
      <c r="C335" s="467"/>
      <c r="D335" s="456"/>
      <c r="E335" s="456"/>
      <c r="F335" s="259"/>
      <c r="G335" s="260"/>
      <c r="H335" s="260"/>
      <c r="I335" s="252"/>
      <c r="J335" s="479"/>
    </row>
    <row r="336" spans="1:10" ht="18" customHeight="1">
      <c r="A336" s="489"/>
      <c r="B336" s="464"/>
      <c r="C336" s="468"/>
      <c r="D336" s="457"/>
      <c r="E336" s="457"/>
      <c r="F336" s="268" t="str">
        <f>IF(OR(MID(C332,2,1)="-",MID(C332,3,1)="-",MID(C332,4,1)="-",MID(47,5,1)="-"),"소계","합계")</f>
        <v>합계</v>
      </c>
      <c r="G336" s="269">
        <f t="shared" ref="G336:H336" si="49">SUM(G333:G334)</f>
        <v>0</v>
      </c>
      <c r="H336" s="269">
        <f t="shared" si="49"/>
        <v>0</v>
      </c>
      <c r="I336" s="253"/>
      <c r="J336" s="480"/>
    </row>
    <row r="337" spans="1:10" ht="18" customHeight="1">
      <c r="A337" s="487">
        <f>A332+1</f>
        <v>49</v>
      </c>
      <c r="B337" s="461" t="s">
        <v>236</v>
      </c>
      <c r="C337" s="490">
        <f>A337</f>
        <v>49</v>
      </c>
      <c r="D337" s="455"/>
      <c r="E337" s="455"/>
      <c r="F337" s="171" t="s">
        <v>197</v>
      </c>
      <c r="G337" s="258"/>
      <c r="H337" s="258"/>
      <c r="I337" s="251"/>
      <c r="J337" s="491"/>
    </row>
    <row r="338" spans="1:10" ht="18" customHeight="1">
      <c r="A338" s="488"/>
      <c r="B338" s="462"/>
      <c r="C338" s="466"/>
      <c r="D338" s="456"/>
      <c r="E338" s="456"/>
      <c r="F338" s="259" t="s">
        <v>429</v>
      </c>
      <c r="G338" s="182">
        <f>회생채권개별!F1293</f>
        <v>0</v>
      </c>
      <c r="H338" s="182">
        <f>G338</f>
        <v>0</v>
      </c>
      <c r="I338" s="252"/>
      <c r="J338" s="479"/>
    </row>
    <row r="339" spans="1:10" ht="18" customHeight="1">
      <c r="A339" s="488"/>
      <c r="B339" s="462"/>
      <c r="C339" s="466"/>
      <c r="D339" s="456"/>
      <c r="E339" s="456"/>
      <c r="F339" s="259" t="s">
        <v>430</v>
      </c>
      <c r="G339" s="260">
        <f>INDEX([1]회생채권자요약!J:J,ROW('[2]회생채권총괄 (3)'!G294)/4)</f>
        <v>0</v>
      </c>
      <c r="H339" s="260">
        <f>G339</f>
        <v>0</v>
      </c>
      <c r="I339" s="252"/>
      <c r="J339" s="479"/>
    </row>
    <row r="340" spans="1:10" ht="18" customHeight="1">
      <c r="A340" s="488"/>
      <c r="B340" s="463"/>
      <c r="C340" s="467"/>
      <c r="D340" s="456"/>
      <c r="E340" s="456"/>
      <c r="F340" s="259"/>
      <c r="G340" s="260"/>
      <c r="H340" s="260"/>
      <c r="I340" s="252"/>
      <c r="J340" s="479"/>
    </row>
    <row r="341" spans="1:10" ht="18" customHeight="1">
      <c r="A341" s="489"/>
      <c r="B341" s="464"/>
      <c r="C341" s="468"/>
      <c r="D341" s="457"/>
      <c r="E341" s="457"/>
      <c r="F341" s="268" t="str">
        <f>IF(OR(MID(C337,2,1)="-",MID(C337,3,1)="-",MID(C337,4,1)="-",MID(47,5,1)="-"),"소계","합계")</f>
        <v>합계</v>
      </c>
      <c r="G341" s="269">
        <f t="shared" ref="G341:H341" si="50">SUM(G338:G339)</f>
        <v>0</v>
      </c>
      <c r="H341" s="269">
        <f t="shared" si="50"/>
        <v>0</v>
      </c>
      <c r="I341" s="253"/>
      <c r="J341" s="480"/>
    </row>
    <row r="342" spans="1:10" ht="18" customHeight="1">
      <c r="A342" s="487">
        <f>A337+1</f>
        <v>50</v>
      </c>
      <c r="B342" s="461" t="s">
        <v>236</v>
      </c>
      <c r="C342" s="490">
        <f>A342</f>
        <v>50</v>
      </c>
      <c r="D342" s="455"/>
      <c r="E342" s="455"/>
      <c r="F342" s="171" t="s">
        <v>197</v>
      </c>
      <c r="G342" s="258"/>
      <c r="H342" s="258"/>
      <c r="I342" s="251"/>
      <c r="J342" s="491"/>
    </row>
    <row r="343" spans="1:10" ht="18" customHeight="1">
      <c r="A343" s="488"/>
      <c r="B343" s="462"/>
      <c r="C343" s="466"/>
      <c r="D343" s="456"/>
      <c r="E343" s="456"/>
      <c r="F343" s="259" t="s">
        <v>429</v>
      </c>
      <c r="G343" s="182">
        <f>회생채권개별!F1315</f>
        <v>0</v>
      </c>
      <c r="H343" s="182">
        <f>G343</f>
        <v>0</v>
      </c>
      <c r="I343" s="252"/>
      <c r="J343" s="479"/>
    </row>
    <row r="344" spans="1:10" ht="18" customHeight="1">
      <c r="A344" s="488"/>
      <c r="B344" s="462"/>
      <c r="C344" s="466"/>
      <c r="D344" s="456"/>
      <c r="E344" s="456"/>
      <c r="F344" s="259" t="s">
        <v>430</v>
      </c>
      <c r="G344" s="260">
        <f>INDEX([1]회생채권자요약!J:J,ROW('[2]회생채권총괄 (3)'!G299)/4)</f>
        <v>0</v>
      </c>
      <c r="H344" s="260">
        <f>G344</f>
        <v>0</v>
      </c>
      <c r="I344" s="252"/>
      <c r="J344" s="479"/>
    </row>
    <row r="345" spans="1:10" ht="18" customHeight="1">
      <c r="A345" s="488"/>
      <c r="B345" s="463"/>
      <c r="C345" s="467"/>
      <c r="D345" s="456"/>
      <c r="E345" s="456"/>
      <c r="F345" s="259"/>
      <c r="G345" s="260"/>
      <c r="H345" s="260"/>
      <c r="I345" s="252"/>
      <c r="J345" s="479"/>
    </row>
    <row r="346" spans="1:10" ht="18" customHeight="1">
      <c r="A346" s="489"/>
      <c r="B346" s="464"/>
      <c r="C346" s="468"/>
      <c r="D346" s="457"/>
      <c r="E346" s="457"/>
      <c r="F346" s="268" t="str">
        <f>IF(OR(MID(C342,2,1)="-",MID(C342,3,1)="-",MID(C342,4,1)="-",MID(47,5,1)="-"),"소계","합계")</f>
        <v>합계</v>
      </c>
      <c r="G346" s="269">
        <f t="shared" ref="G346:H346" si="51">SUM(G343:G344)</f>
        <v>0</v>
      </c>
      <c r="H346" s="269">
        <f t="shared" si="51"/>
        <v>0</v>
      </c>
      <c r="I346" s="253"/>
      <c r="J346" s="480"/>
    </row>
    <row r="347" spans="1:10" ht="18" customHeight="1">
      <c r="A347" s="487">
        <f>A342+1</f>
        <v>51</v>
      </c>
      <c r="B347" s="461" t="s">
        <v>236</v>
      </c>
      <c r="C347" s="490">
        <f>A347</f>
        <v>51</v>
      </c>
      <c r="D347" s="455"/>
      <c r="E347" s="455"/>
      <c r="F347" s="171" t="s">
        <v>197</v>
      </c>
      <c r="G347" s="258"/>
      <c r="H347" s="258"/>
      <c r="I347" s="251"/>
      <c r="J347" s="491"/>
    </row>
    <row r="348" spans="1:10" ht="18" customHeight="1">
      <c r="A348" s="488"/>
      <c r="B348" s="462"/>
      <c r="C348" s="466"/>
      <c r="D348" s="456"/>
      <c r="E348" s="456"/>
      <c r="F348" s="259" t="s">
        <v>429</v>
      </c>
      <c r="G348" s="182">
        <f>회생채권개별!F1337</f>
        <v>0</v>
      </c>
      <c r="H348" s="182">
        <f>G348</f>
        <v>0</v>
      </c>
      <c r="I348" s="252"/>
      <c r="J348" s="479"/>
    </row>
    <row r="349" spans="1:10" ht="18" customHeight="1">
      <c r="A349" s="488"/>
      <c r="B349" s="462"/>
      <c r="C349" s="466"/>
      <c r="D349" s="456"/>
      <c r="E349" s="456"/>
      <c r="F349" s="259" t="s">
        <v>430</v>
      </c>
      <c r="G349" s="260">
        <f>INDEX([1]회생채권자요약!J:J,ROW('[2]회생채권총괄 (3)'!G304)/4)</f>
        <v>0</v>
      </c>
      <c r="H349" s="260">
        <f>G349</f>
        <v>0</v>
      </c>
      <c r="I349" s="252"/>
      <c r="J349" s="479"/>
    </row>
    <row r="350" spans="1:10" ht="18" customHeight="1">
      <c r="A350" s="488"/>
      <c r="B350" s="463"/>
      <c r="C350" s="467"/>
      <c r="D350" s="456"/>
      <c r="E350" s="456"/>
      <c r="F350" s="259"/>
      <c r="G350" s="260"/>
      <c r="H350" s="260"/>
      <c r="I350" s="252"/>
      <c r="J350" s="479"/>
    </row>
    <row r="351" spans="1:10" ht="18" customHeight="1">
      <c r="A351" s="489"/>
      <c r="B351" s="464"/>
      <c r="C351" s="468"/>
      <c r="D351" s="457"/>
      <c r="E351" s="457"/>
      <c r="F351" s="268" t="str">
        <f>IF(OR(MID(C347,2,1)="-",MID(C347,3,1)="-",MID(C347,4,1)="-",MID(47,5,1)="-"),"소계","합계")</f>
        <v>합계</v>
      </c>
      <c r="G351" s="269">
        <f t="shared" ref="G351:H351" si="52">SUM(G348:G349)</f>
        <v>0</v>
      </c>
      <c r="H351" s="269">
        <f t="shared" si="52"/>
        <v>0</v>
      </c>
      <c r="I351" s="253"/>
      <c r="J351" s="480"/>
    </row>
    <row r="352" spans="1:10" ht="18" customHeight="1">
      <c r="A352" s="487">
        <f>A347+1</f>
        <v>52</v>
      </c>
      <c r="B352" s="461" t="s">
        <v>236</v>
      </c>
      <c r="C352" s="490">
        <f>A352</f>
        <v>52</v>
      </c>
      <c r="D352" s="455"/>
      <c r="E352" s="455"/>
      <c r="F352" s="171" t="s">
        <v>197</v>
      </c>
      <c r="G352" s="258"/>
      <c r="H352" s="258"/>
      <c r="I352" s="251"/>
      <c r="J352" s="491"/>
    </row>
    <row r="353" spans="1:10" ht="18" customHeight="1">
      <c r="A353" s="488"/>
      <c r="B353" s="462"/>
      <c r="C353" s="466"/>
      <c r="D353" s="456"/>
      <c r="E353" s="456"/>
      <c r="F353" s="259" t="s">
        <v>429</v>
      </c>
      <c r="G353" s="182">
        <f>회생채권개별!F1359</f>
        <v>0</v>
      </c>
      <c r="H353" s="182">
        <f>G353</f>
        <v>0</v>
      </c>
      <c r="I353" s="252"/>
      <c r="J353" s="479"/>
    </row>
    <row r="354" spans="1:10" ht="18" customHeight="1">
      <c r="A354" s="488"/>
      <c r="B354" s="462"/>
      <c r="C354" s="466"/>
      <c r="D354" s="456"/>
      <c r="E354" s="456"/>
      <c r="F354" s="259" t="s">
        <v>430</v>
      </c>
      <c r="G354" s="260">
        <f>INDEX([1]회생채권자요약!J:J,ROW('[2]회생채권총괄 (3)'!G309)/4)</f>
        <v>0</v>
      </c>
      <c r="H354" s="260">
        <f>G354</f>
        <v>0</v>
      </c>
      <c r="I354" s="252"/>
      <c r="J354" s="479"/>
    </row>
    <row r="355" spans="1:10" ht="18" customHeight="1">
      <c r="A355" s="488"/>
      <c r="B355" s="463"/>
      <c r="C355" s="467"/>
      <c r="D355" s="456"/>
      <c r="E355" s="456"/>
      <c r="F355" s="259"/>
      <c r="G355" s="260"/>
      <c r="H355" s="260"/>
      <c r="I355" s="252"/>
      <c r="J355" s="479"/>
    </row>
    <row r="356" spans="1:10" ht="18" customHeight="1">
      <c r="A356" s="489"/>
      <c r="B356" s="464"/>
      <c r="C356" s="468"/>
      <c r="D356" s="457"/>
      <c r="E356" s="457"/>
      <c r="F356" s="268" t="str">
        <f>IF(OR(MID(C352,2,1)="-",MID(C352,3,1)="-",MID(C352,4,1)="-",MID(47,5,1)="-"),"소계","합계")</f>
        <v>합계</v>
      </c>
      <c r="G356" s="269">
        <f t="shared" ref="G356:H356" si="53">SUM(G353:G354)</f>
        <v>0</v>
      </c>
      <c r="H356" s="269">
        <f t="shared" si="53"/>
        <v>0</v>
      </c>
      <c r="I356" s="253"/>
      <c r="J356" s="480"/>
    </row>
    <row r="357" spans="1:10" ht="18" customHeight="1">
      <c r="A357" s="487">
        <f>A352+1</f>
        <v>53</v>
      </c>
      <c r="B357" s="461" t="s">
        <v>236</v>
      </c>
      <c r="C357" s="490">
        <f>A357</f>
        <v>53</v>
      </c>
      <c r="D357" s="455"/>
      <c r="E357" s="455"/>
      <c r="F357" s="171" t="s">
        <v>197</v>
      </c>
      <c r="G357" s="258"/>
      <c r="H357" s="258"/>
      <c r="I357" s="251"/>
      <c r="J357" s="491"/>
    </row>
    <row r="358" spans="1:10" ht="18" customHeight="1">
      <c r="A358" s="488"/>
      <c r="B358" s="462"/>
      <c r="C358" s="466"/>
      <c r="D358" s="456"/>
      <c r="E358" s="456"/>
      <c r="F358" s="259" t="s">
        <v>429</v>
      </c>
      <c r="G358" s="182">
        <f>회생채권개별!F1381</f>
        <v>0</v>
      </c>
      <c r="H358" s="182">
        <f>G358</f>
        <v>0</v>
      </c>
      <c r="I358" s="252"/>
      <c r="J358" s="479"/>
    </row>
    <row r="359" spans="1:10" ht="18" customHeight="1">
      <c r="A359" s="488"/>
      <c r="B359" s="462"/>
      <c r="C359" s="466"/>
      <c r="D359" s="456"/>
      <c r="E359" s="456"/>
      <c r="F359" s="259" t="s">
        <v>430</v>
      </c>
      <c r="G359" s="260">
        <f>INDEX([1]회생채권자요약!J:J,ROW('[2]회생채권총괄 (3)'!G314)/4)</f>
        <v>0</v>
      </c>
      <c r="H359" s="260">
        <f>G359</f>
        <v>0</v>
      </c>
      <c r="I359" s="252"/>
      <c r="J359" s="479"/>
    </row>
    <row r="360" spans="1:10" ht="18" customHeight="1">
      <c r="A360" s="488"/>
      <c r="B360" s="463"/>
      <c r="C360" s="467"/>
      <c r="D360" s="456"/>
      <c r="E360" s="456"/>
      <c r="F360" s="259"/>
      <c r="G360" s="260"/>
      <c r="H360" s="260"/>
      <c r="I360" s="252"/>
      <c r="J360" s="479"/>
    </row>
    <row r="361" spans="1:10" ht="18" customHeight="1">
      <c r="A361" s="489"/>
      <c r="B361" s="464"/>
      <c r="C361" s="468"/>
      <c r="D361" s="457"/>
      <c r="E361" s="457"/>
      <c r="F361" s="268" t="str">
        <f>IF(OR(MID(C357,2,1)="-",MID(C357,3,1)="-",MID(C357,4,1)="-",MID(47,5,1)="-"),"소계","합계")</f>
        <v>합계</v>
      </c>
      <c r="G361" s="269">
        <f t="shared" ref="G361:H361" si="54">SUM(G358:G359)</f>
        <v>0</v>
      </c>
      <c r="H361" s="269">
        <f t="shared" si="54"/>
        <v>0</v>
      </c>
      <c r="I361" s="253"/>
      <c r="J361" s="480"/>
    </row>
    <row r="362" spans="1:10" ht="18" customHeight="1">
      <c r="A362" s="487">
        <f>A357+1</f>
        <v>54</v>
      </c>
      <c r="B362" s="461" t="s">
        <v>236</v>
      </c>
      <c r="C362" s="490">
        <f>A362</f>
        <v>54</v>
      </c>
      <c r="D362" s="455"/>
      <c r="E362" s="455"/>
      <c r="F362" s="171" t="s">
        <v>197</v>
      </c>
      <c r="G362" s="258"/>
      <c r="H362" s="258"/>
      <c r="I362" s="251"/>
      <c r="J362" s="491"/>
    </row>
    <row r="363" spans="1:10" ht="18" customHeight="1">
      <c r="A363" s="488"/>
      <c r="B363" s="462"/>
      <c r="C363" s="466"/>
      <c r="D363" s="456"/>
      <c r="E363" s="456"/>
      <c r="F363" s="259" t="s">
        <v>429</v>
      </c>
      <c r="G363" s="182">
        <f>회생채권개별!F1403</f>
        <v>0</v>
      </c>
      <c r="H363" s="182">
        <f>G363</f>
        <v>0</v>
      </c>
      <c r="I363" s="252"/>
      <c r="J363" s="479"/>
    </row>
    <row r="364" spans="1:10" ht="18" customHeight="1">
      <c r="A364" s="488"/>
      <c r="B364" s="462"/>
      <c r="C364" s="466"/>
      <c r="D364" s="456"/>
      <c r="E364" s="456"/>
      <c r="F364" s="259" t="s">
        <v>430</v>
      </c>
      <c r="G364" s="260"/>
      <c r="H364" s="260">
        <f>G364</f>
        <v>0</v>
      </c>
      <c r="I364" s="252"/>
      <c r="J364" s="479"/>
    </row>
    <row r="365" spans="1:10" ht="18" customHeight="1">
      <c r="A365" s="488"/>
      <c r="B365" s="463"/>
      <c r="C365" s="467"/>
      <c r="D365" s="456"/>
      <c r="E365" s="456"/>
      <c r="F365" s="259"/>
      <c r="G365" s="260"/>
      <c r="H365" s="260"/>
      <c r="I365" s="252"/>
      <c r="J365" s="479"/>
    </row>
    <row r="366" spans="1:10" ht="18" customHeight="1">
      <c r="A366" s="489"/>
      <c r="B366" s="464"/>
      <c r="C366" s="468"/>
      <c r="D366" s="457"/>
      <c r="E366" s="457"/>
      <c r="F366" s="268" t="str">
        <f>IF(OR(MID(C362,2,1)="-",MID(C362,3,1)="-",MID(C362,4,1)="-",MID(47,5,1)="-"),"소계","합계")</f>
        <v>합계</v>
      </c>
      <c r="G366" s="269">
        <f t="shared" ref="G366:H366" si="55">SUM(G363:G364)</f>
        <v>0</v>
      </c>
      <c r="H366" s="269">
        <f t="shared" si="55"/>
        <v>0</v>
      </c>
      <c r="I366" s="253"/>
      <c r="J366" s="480"/>
    </row>
    <row r="367" spans="1:10" ht="18" customHeight="1">
      <c r="A367" s="487">
        <f>A362+1</f>
        <v>55</v>
      </c>
      <c r="B367" s="461" t="s">
        <v>236</v>
      </c>
      <c r="C367" s="490">
        <f>A367</f>
        <v>55</v>
      </c>
      <c r="D367" s="455"/>
      <c r="E367" s="455"/>
      <c r="F367" s="171" t="s">
        <v>197</v>
      </c>
      <c r="G367" s="258"/>
      <c r="H367" s="258"/>
      <c r="I367" s="251"/>
      <c r="J367" s="491"/>
    </row>
    <row r="368" spans="1:10" ht="18" customHeight="1">
      <c r="A368" s="488"/>
      <c r="B368" s="462"/>
      <c r="C368" s="466"/>
      <c r="D368" s="456"/>
      <c r="E368" s="456"/>
      <c r="F368" s="259" t="s">
        <v>429</v>
      </c>
      <c r="G368" s="182">
        <f>회생채권개별!F1425</f>
        <v>0</v>
      </c>
      <c r="H368" s="182">
        <f>G368</f>
        <v>0</v>
      </c>
      <c r="I368" s="252"/>
      <c r="J368" s="479"/>
    </row>
    <row r="369" spans="1:10" ht="18" customHeight="1">
      <c r="A369" s="488"/>
      <c r="B369" s="462"/>
      <c r="C369" s="466"/>
      <c r="D369" s="456"/>
      <c r="E369" s="456"/>
      <c r="F369" s="259" t="s">
        <v>430</v>
      </c>
      <c r="G369" s="260">
        <f>INDEX([1]회생채권자요약!J:J,ROW('[2]회생채권총괄 (3)'!G324)/4)</f>
        <v>0</v>
      </c>
      <c r="H369" s="260">
        <f>G369</f>
        <v>0</v>
      </c>
      <c r="I369" s="252"/>
      <c r="J369" s="479"/>
    </row>
    <row r="370" spans="1:10" ht="18" customHeight="1">
      <c r="A370" s="488"/>
      <c r="B370" s="463"/>
      <c r="C370" s="467"/>
      <c r="D370" s="456"/>
      <c r="E370" s="456"/>
      <c r="F370" s="259"/>
      <c r="G370" s="260"/>
      <c r="H370" s="260"/>
      <c r="I370" s="252"/>
      <c r="J370" s="479"/>
    </row>
    <row r="371" spans="1:10" ht="18" customHeight="1">
      <c r="A371" s="489"/>
      <c r="B371" s="464"/>
      <c r="C371" s="468"/>
      <c r="D371" s="457"/>
      <c r="E371" s="457"/>
      <c r="F371" s="268" t="str">
        <f>IF(OR(MID(C367,2,1)="-",MID(C367,3,1)="-",MID(C367,4,1)="-",MID(47,5,1)="-"),"소계","합계")</f>
        <v>합계</v>
      </c>
      <c r="G371" s="269">
        <f t="shared" ref="G371:H371" si="56">SUM(G368:G369)</f>
        <v>0</v>
      </c>
      <c r="H371" s="269">
        <f t="shared" si="56"/>
        <v>0</v>
      </c>
      <c r="I371" s="253"/>
      <c r="J371" s="480"/>
    </row>
    <row r="372" spans="1:10" ht="18" customHeight="1">
      <c r="A372" s="487">
        <f>A367+1</f>
        <v>56</v>
      </c>
      <c r="B372" s="461" t="s">
        <v>236</v>
      </c>
      <c r="C372" s="490">
        <f>A372</f>
        <v>56</v>
      </c>
      <c r="D372" s="455"/>
      <c r="E372" s="455"/>
      <c r="F372" s="171" t="s">
        <v>197</v>
      </c>
      <c r="G372" s="258"/>
      <c r="H372" s="258"/>
      <c r="I372" s="251"/>
      <c r="J372" s="491"/>
    </row>
    <row r="373" spans="1:10" ht="18" customHeight="1">
      <c r="A373" s="488"/>
      <c r="B373" s="462"/>
      <c r="C373" s="466"/>
      <c r="D373" s="456"/>
      <c r="E373" s="456"/>
      <c r="F373" s="259" t="s">
        <v>429</v>
      </c>
      <c r="G373" s="182">
        <f>회생채권개별!F1447</f>
        <v>0</v>
      </c>
      <c r="H373" s="182">
        <f>G373</f>
        <v>0</v>
      </c>
      <c r="I373" s="252"/>
      <c r="J373" s="479"/>
    </row>
    <row r="374" spans="1:10" ht="18" customHeight="1">
      <c r="A374" s="488"/>
      <c r="B374" s="462"/>
      <c r="C374" s="466"/>
      <c r="D374" s="456"/>
      <c r="E374" s="456"/>
      <c r="F374" s="259" t="s">
        <v>430</v>
      </c>
      <c r="G374" s="260">
        <f>INDEX([1]회생채권자요약!J:J,ROW('[2]회생채권총괄 (3)'!G329)/4)</f>
        <v>0</v>
      </c>
      <c r="H374" s="260">
        <f>G374</f>
        <v>0</v>
      </c>
      <c r="I374" s="252"/>
      <c r="J374" s="479"/>
    </row>
    <row r="375" spans="1:10" ht="18" customHeight="1">
      <c r="A375" s="488"/>
      <c r="B375" s="463"/>
      <c r="C375" s="467"/>
      <c r="D375" s="456"/>
      <c r="E375" s="456"/>
      <c r="F375" s="259"/>
      <c r="G375" s="260"/>
      <c r="H375" s="260"/>
      <c r="I375" s="252"/>
      <c r="J375" s="479"/>
    </row>
    <row r="376" spans="1:10" ht="18" customHeight="1">
      <c r="A376" s="489"/>
      <c r="B376" s="464"/>
      <c r="C376" s="468"/>
      <c r="D376" s="457"/>
      <c r="E376" s="457"/>
      <c r="F376" s="268" t="str">
        <f>IF(OR(MID(C372,2,1)="-",MID(C372,3,1)="-",MID(C372,4,1)="-",MID(47,5,1)="-"),"소계","합계")</f>
        <v>합계</v>
      </c>
      <c r="G376" s="269">
        <f t="shared" ref="G376:H376" si="57">SUM(G373:G374)</f>
        <v>0</v>
      </c>
      <c r="H376" s="269">
        <f t="shared" si="57"/>
        <v>0</v>
      </c>
      <c r="I376" s="253"/>
      <c r="J376" s="480"/>
    </row>
    <row r="377" spans="1:10" ht="18" customHeight="1">
      <c r="A377" s="487">
        <f>A372+1</f>
        <v>57</v>
      </c>
      <c r="B377" s="461" t="s">
        <v>236</v>
      </c>
      <c r="C377" s="490">
        <f>A377</f>
        <v>57</v>
      </c>
      <c r="D377" s="455"/>
      <c r="E377" s="455"/>
      <c r="F377" s="171" t="s">
        <v>197</v>
      </c>
      <c r="G377" s="258"/>
      <c r="H377" s="258"/>
      <c r="I377" s="251"/>
      <c r="J377" s="491"/>
    </row>
    <row r="378" spans="1:10" ht="18" customHeight="1">
      <c r="A378" s="488"/>
      <c r="B378" s="462"/>
      <c r="C378" s="466"/>
      <c r="D378" s="456"/>
      <c r="E378" s="456"/>
      <c r="F378" s="259" t="s">
        <v>429</v>
      </c>
      <c r="G378" s="182">
        <f>회생채권개별!F1469</f>
        <v>0</v>
      </c>
      <c r="H378" s="182">
        <f>G378</f>
        <v>0</v>
      </c>
      <c r="I378" s="252"/>
      <c r="J378" s="479"/>
    </row>
    <row r="379" spans="1:10" ht="18" customHeight="1">
      <c r="A379" s="488"/>
      <c r="B379" s="462"/>
      <c r="C379" s="466"/>
      <c r="D379" s="456"/>
      <c r="E379" s="456"/>
      <c r="F379" s="259" t="s">
        <v>430</v>
      </c>
      <c r="G379" s="260">
        <f>INDEX([1]회생채권자요약!J:J,ROW('[2]회생채권총괄 (3)'!G334)/4)</f>
        <v>0</v>
      </c>
      <c r="H379" s="260">
        <f>G379</f>
        <v>0</v>
      </c>
      <c r="I379" s="252"/>
      <c r="J379" s="479"/>
    </row>
    <row r="380" spans="1:10" ht="18" customHeight="1">
      <c r="A380" s="488"/>
      <c r="B380" s="463"/>
      <c r="C380" s="467"/>
      <c r="D380" s="456"/>
      <c r="E380" s="456"/>
      <c r="F380" s="259"/>
      <c r="G380" s="260"/>
      <c r="H380" s="260"/>
      <c r="I380" s="252"/>
      <c r="J380" s="479"/>
    </row>
    <row r="381" spans="1:10" ht="18" customHeight="1">
      <c r="A381" s="489"/>
      <c r="B381" s="464"/>
      <c r="C381" s="468"/>
      <c r="D381" s="457"/>
      <c r="E381" s="457"/>
      <c r="F381" s="268" t="str">
        <f>IF(OR(MID(C377,2,1)="-",MID(C377,3,1)="-",MID(C377,4,1)="-",MID(47,5,1)="-"),"소계","합계")</f>
        <v>합계</v>
      </c>
      <c r="G381" s="269">
        <f t="shared" ref="G381:H381" si="58">SUM(G378:G379)</f>
        <v>0</v>
      </c>
      <c r="H381" s="269">
        <f t="shared" si="58"/>
        <v>0</v>
      </c>
      <c r="I381" s="253"/>
      <c r="J381" s="480"/>
    </row>
    <row r="382" spans="1:10" ht="18" customHeight="1">
      <c r="A382" s="487">
        <f>A377+1</f>
        <v>58</v>
      </c>
      <c r="B382" s="461" t="s">
        <v>236</v>
      </c>
      <c r="C382" s="490">
        <f>A382</f>
        <v>58</v>
      </c>
      <c r="D382" s="455"/>
      <c r="E382" s="455"/>
      <c r="F382" s="171" t="s">
        <v>197</v>
      </c>
      <c r="G382" s="258"/>
      <c r="H382" s="258"/>
      <c r="I382" s="251"/>
      <c r="J382" s="491"/>
    </row>
    <row r="383" spans="1:10" ht="18" customHeight="1">
      <c r="A383" s="488"/>
      <c r="B383" s="462"/>
      <c r="C383" s="466"/>
      <c r="D383" s="456"/>
      <c r="E383" s="456"/>
      <c r="F383" s="259" t="s">
        <v>429</v>
      </c>
      <c r="G383" s="182">
        <f>회생채권개별!F1491</f>
        <v>0</v>
      </c>
      <c r="H383" s="182">
        <f>G383</f>
        <v>0</v>
      </c>
      <c r="I383" s="252"/>
      <c r="J383" s="479"/>
    </row>
    <row r="384" spans="1:10" ht="18" customHeight="1">
      <c r="A384" s="488"/>
      <c r="B384" s="462"/>
      <c r="C384" s="466"/>
      <c r="D384" s="456"/>
      <c r="E384" s="456"/>
      <c r="F384" s="259" t="s">
        <v>430</v>
      </c>
      <c r="G384" s="260">
        <f>INDEX([1]회생채권자요약!J:J,ROW('[2]회생채권총괄 (3)'!G339)/4)</f>
        <v>0</v>
      </c>
      <c r="H384" s="260">
        <f>G384</f>
        <v>0</v>
      </c>
      <c r="I384" s="252"/>
      <c r="J384" s="479"/>
    </row>
    <row r="385" spans="1:10" ht="18" customHeight="1">
      <c r="A385" s="488"/>
      <c r="B385" s="463"/>
      <c r="C385" s="467"/>
      <c r="D385" s="456"/>
      <c r="E385" s="456"/>
      <c r="F385" s="259"/>
      <c r="G385" s="260"/>
      <c r="H385" s="260"/>
      <c r="I385" s="252"/>
      <c r="J385" s="479"/>
    </row>
    <row r="386" spans="1:10" ht="18" customHeight="1">
      <c r="A386" s="489"/>
      <c r="B386" s="464"/>
      <c r="C386" s="468"/>
      <c r="D386" s="457"/>
      <c r="E386" s="457"/>
      <c r="F386" s="268" t="str">
        <f>IF(OR(MID(C382,2,1)="-",MID(C382,3,1)="-",MID(C382,4,1)="-",MID(47,5,1)="-"),"소계","합계")</f>
        <v>합계</v>
      </c>
      <c r="G386" s="269">
        <f t="shared" ref="G386:H386" si="59">SUM(G383:G384)</f>
        <v>0</v>
      </c>
      <c r="H386" s="269">
        <f t="shared" si="59"/>
        <v>0</v>
      </c>
      <c r="I386" s="253"/>
      <c r="J386" s="480"/>
    </row>
    <row r="387" spans="1:10" ht="18" customHeight="1">
      <c r="A387" s="487">
        <f>A382+1</f>
        <v>59</v>
      </c>
      <c r="B387" s="461" t="s">
        <v>236</v>
      </c>
      <c r="C387" s="490">
        <f>A387</f>
        <v>59</v>
      </c>
      <c r="D387" s="455"/>
      <c r="E387" s="455"/>
      <c r="F387" s="171" t="s">
        <v>197</v>
      </c>
      <c r="G387" s="258"/>
      <c r="H387" s="258"/>
      <c r="I387" s="251"/>
      <c r="J387" s="491"/>
    </row>
    <row r="388" spans="1:10" ht="18" customHeight="1">
      <c r="A388" s="488"/>
      <c r="B388" s="462"/>
      <c r="C388" s="466"/>
      <c r="D388" s="456"/>
      <c r="E388" s="456"/>
      <c r="F388" s="259" t="s">
        <v>429</v>
      </c>
      <c r="G388" s="182">
        <f>회생채권개별!F1513</f>
        <v>0</v>
      </c>
      <c r="H388" s="182">
        <f>G388</f>
        <v>0</v>
      </c>
      <c r="I388" s="252"/>
      <c r="J388" s="479"/>
    </row>
    <row r="389" spans="1:10" ht="18" customHeight="1">
      <c r="A389" s="488"/>
      <c r="B389" s="462"/>
      <c r="C389" s="466"/>
      <c r="D389" s="456"/>
      <c r="E389" s="456"/>
      <c r="F389" s="259" t="s">
        <v>430</v>
      </c>
      <c r="G389" s="260">
        <f>INDEX([1]회생채권자요약!J:J,ROW('[2]회생채권총괄 (3)'!G344)/4)</f>
        <v>0</v>
      </c>
      <c r="H389" s="260">
        <f>G389</f>
        <v>0</v>
      </c>
      <c r="I389" s="252"/>
      <c r="J389" s="479"/>
    </row>
    <row r="390" spans="1:10" ht="18" customHeight="1">
      <c r="A390" s="488"/>
      <c r="B390" s="463"/>
      <c r="C390" s="467"/>
      <c r="D390" s="456"/>
      <c r="E390" s="456"/>
      <c r="F390" s="259"/>
      <c r="G390" s="260"/>
      <c r="H390" s="260"/>
      <c r="I390" s="252"/>
      <c r="J390" s="479"/>
    </row>
    <row r="391" spans="1:10" ht="18" customHeight="1">
      <c r="A391" s="489"/>
      <c r="B391" s="464"/>
      <c r="C391" s="468"/>
      <c r="D391" s="457"/>
      <c r="E391" s="457"/>
      <c r="F391" s="268" t="str">
        <f>IF(OR(MID(C387,2,1)="-",MID(C387,3,1)="-",MID(C387,4,1)="-",MID(47,5,1)="-"),"소계","합계")</f>
        <v>합계</v>
      </c>
      <c r="G391" s="269">
        <f t="shared" ref="G391:H391" si="60">SUM(G388:G389)</f>
        <v>0</v>
      </c>
      <c r="H391" s="269">
        <f t="shared" si="60"/>
        <v>0</v>
      </c>
      <c r="I391" s="253"/>
      <c r="J391" s="480"/>
    </row>
    <row r="392" spans="1:10" ht="18" customHeight="1">
      <c r="A392" s="487">
        <f>A387+1</f>
        <v>60</v>
      </c>
      <c r="B392" s="461" t="s">
        <v>236</v>
      </c>
      <c r="C392" s="490">
        <f>A392</f>
        <v>60</v>
      </c>
      <c r="D392" s="455"/>
      <c r="E392" s="455"/>
      <c r="F392" s="171" t="s">
        <v>197</v>
      </c>
      <c r="G392" s="258"/>
      <c r="H392" s="258"/>
      <c r="I392" s="251"/>
      <c r="J392" s="491"/>
    </row>
    <row r="393" spans="1:10" ht="18" customHeight="1">
      <c r="A393" s="488"/>
      <c r="B393" s="462"/>
      <c r="C393" s="466"/>
      <c r="D393" s="456"/>
      <c r="E393" s="456"/>
      <c r="F393" s="259" t="s">
        <v>429</v>
      </c>
      <c r="G393" s="182">
        <f>회생채권개별!F1535</f>
        <v>0</v>
      </c>
      <c r="H393" s="182">
        <f>G393</f>
        <v>0</v>
      </c>
      <c r="I393" s="252"/>
      <c r="J393" s="479"/>
    </row>
    <row r="394" spans="1:10" ht="18" customHeight="1">
      <c r="A394" s="488"/>
      <c r="B394" s="462"/>
      <c r="C394" s="466"/>
      <c r="D394" s="456"/>
      <c r="E394" s="456"/>
      <c r="F394" s="259" t="s">
        <v>430</v>
      </c>
      <c r="G394" s="260">
        <f>INDEX([1]회생채권자요약!J:J,ROW('[2]회생채권총괄 (3)'!G349)/4)</f>
        <v>0</v>
      </c>
      <c r="H394" s="260">
        <f>G394</f>
        <v>0</v>
      </c>
      <c r="I394" s="252"/>
      <c r="J394" s="479"/>
    </row>
    <row r="395" spans="1:10" ht="18" customHeight="1">
      <c r="A395" s="488"/>
      <c r="B395" s="463"/>
      <c r="C395" s="467"/>
      <c r="D395" s="456"/>
      <c r="E395" s="456"/>
      <c r="F395" s="259"/>
      <c r="G395" s="260"/>
      <c r="H395" s="260"/>
      <c r="I395" s="252"/>
      <c r="J395" s="479"/>
    </row>
    <row r="396" spans="1:10" ht="18" customHeight="1">
      <c r="A396" s="489"/>
      <c r="B396" s="464"/>
      <c r="C396" s="468"/>
      <c r="D396" s="457"/>
      <c r="E396" s="457"/>
      <c r="F396" s="268" t="str">
        <f>IF(OR(MID(C392,2,1)="-",MID(C392,3,1)="-",MID(C392,4,1)="-",MID(47,5,1)="-"),"소계","합계")</f>
        <v>합계</v>
      </c>
      <c r="G396" s="269">
        <f t="shared" ref="G396:H396" si="61">SUM(G393:G394)</f>
        <v>0</v>
      </c>
      <c r="H396" s="269">
        <f t="shared" si="61"/>
        <v>0</v>
      </c>
      <c r="I396" s="253"/>
      <c r="J396" s="480"/>
    </row>
    <row r="397" spans="1:10" ht="18" customHeight="1">
      <c r="A397" s="487">
        <f>A392+1</f>
        <v>61</v>
      </c>
      <c r="B397" s="461" t="s">
        <v>236</v>
      </c>
      <c r="C397" s="490">
        <f>A397</f>
        <v>61</v>
      </c>
      <c r="D397" s="455"/>
      <c r="E397" s="455"/>
      <c r="F397" s="171" t="s">
        <v>197</v>
      </c>
      <c r="G397" s="258"/>
      <c r="H397" s="258"/>
      <c r="I397" s="251"/>
      <c r="J397" s="491"/>
    </row>
    <row r="398" spans="1:10" ht="18" customHeight="1">
      <c r="A398" s="488"/>
      <c r="B398" s="462"/>
      <c r="C398" s="466"/>
      <c r="D398" s="456"/>
      <c r="E398" s="456"/>
      <c r="F398" s="259" t="s">
        <v>429</v>
      </c>
      <c r="G398" s="182">
        <f>회생채권개별!F1557</f>
        <v>0</v>
      </c>
      <c r="H398" s="182">
        <f>G398</f>
        <v>0</v>
      </c>
      <c r="I398" s="252"/>
      <c r="J398" s="479"/>
    </row>
    <row r="399" spans="1:10" ht="18" customHeight="1">
      <c r="A399" s="488"/>
      <c r="B399" s="462"/>
      <c r="C399" s="466"/>
      <c r="D399" s="456"/>
      <c r="E399" s="456"/>
      <c r="F399" s="259" t="s">
        <v>430</v>
      </c>
      <c r="G399" s="260">
        <f>INDEX([1]회생채권자요약!J:J,ROW('[2]회생채권총괄 (3)'!G354)/4)</f>
        <v>0</v>
      </c>
      <c r="H399" s="260">
        <f>G399</f>
        <v>0</v>
      </c>
      <c r="I399" s="252"/>
      <c r="J399" s="479"/>
    </row>
    <row r="400" spans="1:10" ht="18" customHeight="1">
      <c r="A400" s="488"/>
      <c r="B400" s="463"/>
      <c r="C400" s="467"/>
      <c r="D400" s="456"/>
      <c r="E400" s="456"/>
      <c r="F400" s="259"/>
      <c r="G400" s="260"/>
      <c r="H400" s="260"/>
      <c r="I400" s="252"/>
      <c r="J400" s="479"/>
    </row>
    <row r="401" spans="1:10" ht="18" customHeight="1">
      <c r="A401" s="489"/>
      <c r="B401" s="464"/>
      <c r="C401" s="468"/>
      <c r="D401" s="457"/>
      <c r="E401" s="457"/>
      <c r="F401" s="268" t="str">
        <f>IF(OR(MID(C397,2,1)="-",MID(C397,3,1)="-",MID(C397,4,1)="-",MID(47,5,1)="-"),"소계","합계")</f>
        <v>합계</v>
      </c>
      <c r="G401" s="269">
        <f t="shared" ref="G401:H401" si="62">SUM(G398:G399)</f>
        <v>0</v>
      </c>
      <c r="H401" s="269">
        <f t="shared" si="62"/>
        <v>0</v>
      </c>
      <c r="I401" s="253"/>
      <c r="J401" s="480"/>
    </row>
    <row r="402" spans="1:10" ht="18" customHeight="1">
      <c r="A402" s="487">
        <f>A397+1</f>
        <v>62</v>
      </c>
      <c r="B402" s="461" t="s">
        <v>236</v>
      </c>
      <c r="C402" s="490">
        <f>A402</f>
        <v>62</v>
      </c>
      <c r="D402" s="455"/>
      <c r="E402" s="455"/>
      <c r="F402" s="171" t="s">
        <v>197</v>
      </c>
      <c r="G402" s="258"/>
      <c r="H402" s="258"/>
      <c r="I402" s="251"/>
      <c r="J402" s="491"/>
    </row>
    <row r="403" spans="1:10" ht="18" customHeight="1">
      <c r="A403" s="488"/>
      <c r="B403" s="462"/>
      <c r="C403" s="466"/>
      <c r="D403" s="456"/>
      <c r="E403" s="456"/>
      <c r="F403" s="259" t="s">
        <v>429</v>
      </c>
      <c r="G403" s="182">
        <f>회생채권개별!F1579</f>
        <v>0</v>
      </c>
      <c r="H403" s="182">
        <f>G403</f>
        <v>0</v>
      </c>
      <c r="I403" s="252"/>
      <c r="J403" s="479"/>
    </row>
    <row r="404" spans="1:10" ht="18" customHeight="1">
      <c r="A404" s="488"/>
      <c r="B404" s="462"/>
      <c r="C404" s="466"/>
      <c r="D404" s="456"/>
      <c r="E404" s="456"/>
      <c r="F404" s="259" t="s">
        <v>430</v>
      </c>
      <c r="G404" s="260">
        <f>INDEX([1]회생채권자요약!J:J,ROW('[2]회생채권총괄 (3)'!G359)/4)</f>
        <v>0</v>
      </c>
      <c r="H404" s="260">
        <f>G404</f>
        <v>0</v>
      </c>
      <c r="I404" s="252"/>
      <c r="J404" s="479"/>
    </row>
    <row r="405" spans="1:10" ht="18" customHeight="1">
      <c r="A405" s="488"/>
      <c r="B405" s="463"/>
      <c r="C405" s="467"/>
      <c r="D405" s="456"/>
      <c r="E405" s="456"/>
      <c r="F405" s="259"/>
      <c r="G405" s="260"/>
      <c r="H405" s="260"/>
      <c r="I405" s="252"/>
      <c r="J405" s="479"/>
    </row>
    <row r="406" spans="1:10" ht="18" customHeight="1">
      <c r="A406" s="489"/>
      <c r="B406" s="464"/>
      <c r="C406" s="468"/>
      <c r="D406" s="457"/>
      <c r="E406" s="457"/>
      <c r="F406" s="268" t="str">
        <f>IF(OR(MID(C402,2,1)="-",MID(C402,3,1)="-",MID(C402,4,1)="-",MID(47,5,1)="-"),"소계","합계")</f>
        <v>합계</v>
      </c>
      <c r="G406" s="269">
        <f t="shared" ref="G406:H406" si="63">SUM(G403:G404)</f>
        <v>0</v>
      </c>
      <c r="H406" s="269">
        <f t="shared" si="63"/>
        <v>0</v>
      </c>
      <c r="I406" s="253"/>
      <c r="J406" s="480"/>
    </row>
    <row r="407" spans="1:10" ht="18" customHeight="1">
      <c r="A407" s="487">
        <f>A402+1</f>
        <v>63</v>
      </c>
      <c r="B407" s="461" t="s">
        <v>236</v>
      </c>
      <c r="C407" s="490">
        <f>A407</f>
        <v>63</v>
      </c>
      <c r="D407" s="455"/>
      <c r="E407" s="455"/>
      <c r="F407" s="171" t="s">
        <v>197</v>
      </c>
      <c r="G407" s="258"/>
      <c r="H407" s="258"/>
      <c r="I407" s="251"/>
      <c r="J407" s="491"/>
    </row>
    <row r="408" spans="1:10" ht="18" customHeight="1">
      <c r="A408" s="488"/>
      <c r="B408" s="462"/>
      <c r="C408" s="466"/>
      <c r="D408" s="456"/>
      <c r="E408" s="456"/>
      <c r="F408" s="259" t="s">
        <v>429</v>
      </c>
      <c r="G408" s="182">
        <f>회생채권개별!F1601</f>
        <v>0</v>
      </c>
      <c r="H408" s="182">
        <f>G408</f>
        <v>0</v>
      </c>
      <c r="I408" s="252"/>
      <c r="J408" s="479"/>
    </row>
    <row r="409" spans="1:10" ht="18" customHeight="1">
      <c r="A409" s="488"/>
      <c r="B409" s="462"/>
      <c r="C409" s="466"/>
      <c r="D409" s="456"/>
      <c r="E409" s="456"/>
      <c r="F409" s="259" t="s">
        <v>430</v>
      </c>
      <c r="G409" s="260">
        <f>INDEX([1]회생채권자요약!J:J,ROW('[2]회생채권총괄 (3)'!G364)/4)</f>
        <v>0</v>
      </c>
      <c r="H409" s="260">
        <f>G409</f>
        <v>0</v>
      </c>
      <c r="I409" s="252"/>
      <c r="J409" s="479"/>
    </row>
    <row r="410" spans="1:10" ht="18" customHeight="1">
      <c r="A410" s="488"/>
      <c r="B410" s="463"/>
      <c r="C410" s="467"/>
      <c r="D410" s="456"/>
      <c r="E410" s="456"/>
      <c r="F410" s="259"/>
      <c r="G410" s="260"/>
      <c r="H410" s="260"/>
      <c r="I410" s="252"/>
      <c r="J410" s="479"/>
    </row>
    <row r="411" spans="1:10" ht="18" customHeight="1">
      <c r="A411" s="489"/>
      <c r="B411" s="464"/>
      <c r="C411" s="468"/>
      <c r="D411" s="457"/>
      <c r="E411" s="457"/>
      <c r="F411" s="268" t="str">
        <f>IF(OR(MID(C407,2,1)="-",MID(C407,3,1)="-",MID(C407,4,1)="-",MID(47,5,1)="-"),"소계","합계")</f>
        <v>합계</v>
      </c>
      <c r="G411" s="269">
        <f t="shared" ref="G411:H411" si="64">SUM(G408:G409)</f>
        <v>0</v>
      </c>
      <c r="H411" s="269">
        <f t="shared" si="64"/>
        <v>0</v>
      </c>
      <c r="I411" s="253"/>
      <c r="J411" s="480"/>
    </row>
    <row r="412" spans="1:10" ht="18" customHeight="1">
      <c r="A412" s="487">
        <f>A407+1</f>
        <v>64</v>
      </c>
      <c r="B412" s="461" t="s">
        <v>236</v>
      </c>
      <c r="C412" s="490">
        <f>A412</f>
        <v>64</v>
      </c>
      <c r="D412" s="455"/>
      <c r="E412" s="455"/>
      <c r="F412" s="171" t="s">
        <v>197</v>
      </c>
      <c r="G412" s="258"/>
      <c r="H412" s="258"/>
      <c r="I412" s="251"/>
      <c r="J412" s="491"/>
    </row>
    <row r="413" spans="1:10" ht="18" customHeight="1">
      <c r="A413" s="488"/>
      <c r="B413" s="462"/>
      <c r="C413" s="466"/>
      <c r="D413" s="456"/>
      <c r="E413" s="456"/>
      <c r="F413" s="259" t="s">
        <v>429</v>
      </c>
      <c r="G413" s="182">
        <f>회생채권개별!F1623</f>
        <v>0</v>
      </c>
      <c r="H413" s="182">
        <f>G413</f>
        <v>0</v>
      </c>
      <c r="I413" s="252"/>
      <c r="J413" s="479"/>
    </row>
    <row r="414" spans="1:10" ht="18" customHeight="1">
      <c r="A414" s="488"/>
      <c r="B414" s="462"/>
      <c r="C414" s="466"/>
      <c r="D414" s="456"/>
      <c r="E414" s="456"/>
      <c r="F414" s="259" t="s">
        <v>430</v>
      </c>
      <c r="G414" s="260">
        <f>INDEX([1]회생채권자요약!J:J,ROW('[2]회생채권총괄 (3)'!G369)/4)</f>
        <v>0</v>
      </c>
      <c r="H414" s="260">
        <f>G414</f>
        <v>0</v>
      </c>
      <c r="I414" s="252"/>
      <c r="J414" s="479"/>
    </row>
    <row r="415" spans="1:10" ht="18" customHeight="1">
      <c r="A415" s="488"/>
      <c r="B415" s="463"/>
      <c r="C415" s="467"/>
      <c r="D415" s="456"/>
      <c r="E415" s="456"/>
      <c r="F415" s="259"/>
      <c r="G415" s="260"/>
      <c r="H415" s="260"/>
      <c r="I415" s="252"/>
      <c r="J415" s="479"/>
    </row>
    <row r="416" spans="1:10" ht="18" customHeight="1">
      <c r="A416" s="489"/>
      <c r="B416" s="464"/>
      <c r="C416" s="468"/>
      <c r="D416" s="457"/>
      <c r="E416" s="457"/>
      <c r="F416" s="268" t="str">
        <f>IF(OR(MID(C412,2,1)="-",MID(C412,3,1)="-",MID(C412,4,1)="-",MID(47,5,1)="-"),"소계","합계")</f>
        <v>합계</v>
      </c>
      <c r="G416" s="269">
        <f t="shared" ref="G416:H416" si="65">SUM(G413:G414)</f>
        <v>0</v>
      </c>
      <c r="H416" s="269">
        <f t="shared" si="65"/>
        <v>0</v>
      </c>
      <c r="I416" s="253"/>
      <c r="J416" s="480"/>
    </row>
    <row r="417" spans="1:10" ht="18" customHeight="1">
      <c r="A417" s="487">
        <f>A412+1</f>
        <v>65</v>
      </c>
      <c r="B417" s="461" t="s">
        <v>236</v>
      </c>
      <c r="C417" s="490">
        <f>A417</f>
        <v>65</v>
      </c>
      <c r="D417" s="455"/>
      <c r="E417" s="455"/>
      <c r="F417" s="171" t="s">
        <v>136</v>
      </c>
      <c r="G417" s="258"/>
      <c r="H417" s="258"/>
      <c r="I417" s="251"/>
      <c r="J417" s="491"/>
    </row>
    <row r="418" spans="1:10" ht="18" customHeight="1">
      <c r="A418" s="488"/>
      <c r="B418" s="462"/>
      <c r="C418" s="466"/>
      <c r="D418" s="456"/>
      <c r="E418" s="456"/>
      <c r="F418" s="259" t="s">
        <v>429</v>
      </c>
      <c r="G418" s="182">
        <f>회생채권개별!F1645</f>
        <v>0</v>
      </c>
      <c r="H418" s="182">
        <f>G418</f>
        <v>0</v>
      </c>
      <c r="I418" s="252"/>
      <c r="J418" s="479"/>
    </row>
    <row r="419" spans="1:10" ht="18" customHeight="1">
      <c r="A419" s="488"/>
      <c r="B419" s="462"/>
      <c r="C419" s="466"/>
      <c r="D419" s="456"/>
      <c r="E419" s="456"/>
      <c r="F419" s="259" t="s">
        <v>430</v>
      </c>
      <c r="G419" s="260">
        <f>INDEX([1]회생채권자요약!J:J,ROW('[2]회생채권총괄 (3)'!G374)/4)</f>
        <v>0</v>
      </c>
      <c r="H419" s="260">
        <f>G419</f>
        <v>0</v>
      </c>
      <c r="I419" s="252"/>
      <c r="J419" s="479"/>
    </row>
    <row r="420" spans="1:10" ht="18" customHeight="1">
      <c r="A420" s="488"/>
      <c r="B420" s="463"/>
      <c r="C420" s="467"/>
      <c r="D420" s="456"/>
      <c r="E420" s="456"/>
      <c r="F420" s="259"/>
      <c r="G420" s="260"/>
      <c r="H420" s="260"/>
      <c r="I420" s="252"/>
      <c r="J420" s="479"/>
    </row>
    <row r="421" spans="1:10" ht="18" customHeight="1">
      <c r="A421" s="489"/>
      <c r="B421" s="464"/>
      <c r="C421" s="468"/>
      <c r="D421" s="457"/>
      <c r="E421" s="457"/>
      <c r="F421" s="268" t="str">
        <f>IF(OR(MID(C417,2,1)="-",MID(C417,3,1)="-",MID(C417,4,1)="-",MID(47,5,1)="-"),"소계","합계")</f>
        <v>합계</v>
      </c>
      <c r="G421" s="269">
        <f t="shared" ref="G421:H421" si="66">SUM(G418:G419)</f>
        <v>0</v>
      </c>
      <c r="H421" s="269">
        <f t="shared" si="66"/>
        <v>0</v>
      </c>
      <c r="I421" s="253"/>
      <c r="J421" s="480"/>
    </row>
    <row r="422" spans="1:10" ht="18" customHeight="1">
      <c r="A422" s="487">
        <f>A417+1</f>
        <v>66</v>
      </c>
      <c r="B422" s="461" t="s">
        <v>236</v>
      </c>
      <c r="C422" s="490">
        <f>A422</f>
        <v>66</v>
      </c>
      <c r="D422" s="455"/>
      <c r="E422" s="455"/>
      <c r="F422" s="171" t="s">
        <v>197</v>
      </c>
      <c r="G422" s="258"/>
      <c r="H422" s="258"/>
      <c r="I422" s="251"/>
      <c r="J422" s="491"/>
    </row>
    <row r="423" spans="1:10" ht="18" customHeight="1">
      <c r="A423" s="488"/>
      <c r="B423" s="462"/>
      <c r="C423" s="466"/>
      <c r="D423" s="456"/>
      <c r="E423" s="456"/>
      <c r="F423" s="259" t="s">
        <v>429</v>
      </c>
      <c r="G423" s="182">
        <f>회생채권개별!F1667</f>
        <v>0</v>
      </c>
      <c r="H423" s="182">
        <f>G423</f>
        <v>0</v>
      </c>
      <c r="I423" s="252"/>
      <c r="J423" s="479"/>
    </row>
    <row r="424" spans="1:10" ht="18" customHeight="1">
      <c r="A424" s="488"/>
      <c r="B424" s="462"/>
      <c r="C424" s="466"/>
      <c r="D424" s="456"/>
      <c r="E424" s="456"/>
      <c r="F424" s="259" t="s">
        <v>430</v>
      </c>
      <c r="G424" s="260">
        <f>INDEX([1]회생채권자요약!J:J,ROW('[2]회생채권총괄 (3)'!G379)/4)</f>
        <v>0</v>
      </c>
      <c r="H424" s="260">
        <f>G424</f>
        <v>0</v>
      </c>
      <c r="I424" s="252"/>
      <c r="J424" s="479"/>
    </row>
    <row r="425" spans="1:10" ht="18" customHeight="1">
      <c r="A425" s="488"/>
      <c r="B425" s="463"/>
      <c r="C425" s="467"/>
      <c r="D425" s="456"/>
      <c r="E425" s="456"/>
      <c r="F425" s="259"/>
      <c r="G425" s="260"/>
      <c r="H425" s="260"/>
      <c r="I425" s="252"/>
      <c r="J425" s="479"/>
    </row>
    <row r="426" spans="1:10" ht="18" customHeight="1">
      <c r="A426" s="489"/>
      <c r="B426" s="464"/>
      <c r="C426" s="468"/>
      <c r="D426" s="457"/>
      <c r="E426" s="457"/>
      <c r="F426" s="268" t="str">
        <f>IF(OR(MID(C422,2,1)="-",MID(C422,3,1)="-",MID(C422,4,1)="-",MID(47,5,1)="-"),"소계","합계")</f>
        <v>합계</v>
      </c>
      <c r="G426" s="269">
        <f t="shared" ref="G426:H426" si="67">SUM(G423:G424)</f>
        <v>0</v>
      </c>
      <c r="H426" s="269">
        <f t="shared" si="67"/>
        <v>0</v>
      </c>
      <c r="I426" s="253"/>
      <c r="J426" s="480"/>
    </row>
    <row r="427" spans="1:10" ht="18" customHeight="1">
      <c r="A427" s="487">
        <f>A422+1</f>
        <v>67</v>
      </c>
      <c r="B427" s="461" t="s">
        <v>236</v>
      </c>
      <c r="C427" s="490">
        <f>A427</f>
        <v>67</v>
      </c>
      <c r="D427" s="455"/>
      <c r="E427" s="455"/>
      <c r="F427" s="171" t="s">
        <v>197</v>
      </c>
      <c r="G427" s="258"/>
      <c r="H427" s="258"/>
      <c r="I427" s="251"/>
      <c r="J427" s="491"/>
    </row>
    <row r="428" spans="1:10" ht="18" customHeight="1">
      <c r="A428" s="488"/>
      <c r="B428" s="462"/>
      <c r="C428" s="466"/>
      <c r="D428" s="456"/>
      <c r="E428" s="456"/>
      <c r="F428" s="259" t="s">
        <v>429</v>
      </c>
      <c r="G428" s="182">
        <f>회생채권개별!F1689</f>
        <v>0</v>
      </c>
      <c r="H428" s="182">
        <f>G428</f>
        <v>0</v>
      </c>
      <c r="I428" s="252"/>
      <c r="J428" s="479"/>
    </row>
    <row r="429" spans="1:10" ht="18" customHeight="1">
      <c r="A429" s="488"/>
      <c r="B429" s="462"/>
      <c r="C429" s="466"/>
      <c r="D429" s="456"/>
      <c r="E429" s="456"/>
      <c r="F429" s="259" t="s">
        <v>430</v>
      </c>
      <c r="G429" s="260">
        <f>INDEX([1]회생채권자요약!J:J,ROW('[2]회생채권총괄 (3)'!G384)/4)</f>
        <v>0</v>
      </c>
      <c r="H429" s="260">
        <f>G429</f>
        <v>0</v>
      </c>
      <c r="I429" s="252"/>
      <c r="J429" s="479"/>
    </row>
    <row r="430" spans="1:10" ht="18" customHeight="1">
      <c r="A430" s="488"/>
      <c r="B430" s="463"/>
      <c r="C430" s="467"/>
      <c r="D430" s="456"/>
      <c r="E430" s="456"/>
      <c r="F430" s="259"/>
      <c r="G430" s="260"/>
      <c r="H430" s="260"/>
      <c r="I430" s="252"/>
      <c r="J430" s="479"/>
    </row>
    <row r="431" spans="1:10" ht="18" customHeight="1">
      <c r="A431" s="489"/>
      <c r="B431" s="464"/>
      <c r="C431" s="468"/>
      <c r="D431" s="457"/>
      <c r="E431" s="457"/>
      <c r="F431" s="268" t="str">
        <f>IF(OR(MID(C427,2,1)="-",MID(C427,3,1)="-",MID(C427,4,1)="-",MID(47,5,1)="-"),"소계","합계")</f>
        <v>합계</v>
      </c>
      <c r="G431" s="269">
        <f t="shared" ref="G431:H431" si="68">SUM(G428:G429)</f>
        <v>0</v>
      </c>
      <c r="H431" s="269">
        <f t="shared" si="68"/>
        <v>0</v>
      </c>
      <c r="I431" s="253"/>
      <c r="J431" s="480"/>
    </row>
    <row r="432" spans="1:10" ht="18" customHeight="1">
      <c r="A432" s="487">
        <f>A427+1</f>
        <v>68</v>
      </c>
      <c r="B432" s="461" t="s">
        <v>236</v>
      </c>
      <c r="C432" s="490">
        <f>A432</f>
        <v>68</v>
      </c>
      <c r="D432" s="455"/>
      <c r="E432" s="455"/>
      <c r="F432" s="171" t="s">
        <v>197</v>
      </c>
      <c r="G432" s="258"/>
      <c r="H432" s="258"/>
      <c r="I432" s="251"/>
      <c r="J432" s="491"/>
    </row>
    <row r="433" spans="1:10" ht="18" customHeight="1">
      <c r="A433" s="488"/>
      <c r="B433" s="462"/>
      <c r="C433" s="466"/>
      <c r="D433" s="456"/>
      <c r="E433" s="456"/>
      <c r="F433" s="259" t="s">
        <v>429</v>
      </c>
      <c r="G433" s="182">
        <f>회생채권개별!F1711</f>
        <v>0</v>
      </c>
      <c r="H433" s="182">
        <f>G433</f>
        <v>0</v>
      </c>
      <c r="I433" s="252"/>
      <c r="J433" s="479"/>
    </row>
    <row r="434" spans="1:10" ht="18" customHeight="1">
      <c r="A434" s="488"/>
      <c r="B434" s="462"/>
      <c r="C434" s="466"/>
      <c r="D434" s="456"/>
      <c r="E434" s="456"/>
      <c r="F434" s="259" t="s">
        <v>430</v>
      </c>
      <c r="G434" s="260">
        <f>INDEX([1]회생채권자요약!J:J,ROW('[2]회생채권총괄 (3)'!G389)/4)</f>
        <v>0</v>
      </c>
      <c r="H434" s="260">
        <f>G434</f>
        <v>0</v>
      </c>
      <c r="I434" s="252"/>
      <c r="J434" s="479"/>
    </row>
    <row r="435" spans="1:10" ht="18" customHeight="1">
      <c r="A435" s="488"/>
      <c r="B435" s="463"/>
      <c r="C435" s="467"/>
      <c r="D435" s="456"/>
      <c r="E435" s="456"/>
      <c r="F435" s="259"/>
      <c r="G435" s="260"/>
      <c r="H435" s="260"/>
      <c r="I435" s="252"/>
      <c r="J435" s="479"/>
    </row>
    <row r="436" spans="1:10" ht="18" customHeight="1">
      <c r="A436" s="489"/>
      <c r="B436" s="464"/>
      <c r="C436" s="468"/>
      <c r="D436" s="457"/>
      <c r="E436" s="457"/>
      <c r="F436" s="268" t="str">
        <f>IF(OR(MID(C432,2,1)="-",MID(C432,3,1)="-",MID(C432,4,1)="-",MID(47,5,1)="-"),"소계","합계")</f>
        <v>합계</v>
      </c>
      <c r="G436" s="269">
        <f t="shared" ref="G436:H436" si="69">SUM(G433:G434)</f>
        <v>0</v>
      </c>
      <c r="H436" s="269">
        <f t="shared" si="69"/>
        <v>0</v>
      </c>
      <c r="I436" s="253"/>
      <c r="J436" s="480"/>
    </row>
    <row r="437" spans="1:10" ht="18" customHeight="1">
      <c r="A437" s="487">
        <f>A432+1</f>
        <v>69</v>
      </c>
      <c r="B437" s="461" t="s">
        <v>236</v>
      </c>
      <c r="C437" s="490">
        <f>A437</f>
        <v>69</v>
      </c>
      <c r="D437" s="455"/>
      <c r="E437" s="455"/>
      <c r="F437" s="171" t="s">
        <v>197</v>
      </c>
      <c r="G437" s="258"/>
      <c r="H437" s="258"/>
      <c r="I437" s="251"/>
      <c r="J437" s="491"/>
    </row>
    <row r="438" spans="1:10" ht="18" customHeight="1">
      <c r="A438" s="488"/>
      <c r="B438" s="462"/>
      <c r="C438" s="466"/>
      <c r="D438" s="456"/>
      <c r="E438" s="456"/>
      <c r="F438" s="259" t="s">
        <v>429</v>
      </c>
      <c r="G438" s="182">
        <f>회생채권개별!F1733</f>
        <v>0</v>
      </c>
      <c r="H438" s="182">
        <f>G438</f>
        <v>0</v>
      </c>
      <c r="I438" s="252"/>
      <c r="J438" s="479"/>
    </row>
    <row r="439" spans="1:10" ht="18" customHeight="1">
      <c r="A439" s="488"/>
      <c r="B439" s="462"/>
      <c r="C439" s="466"/>
      <c r="D439" s="456"/>
      <c r="E439" s="456"/>
      <c r="F439" s="259" t="s">
        <v>430</v>
      </c>
      <c r="G439" s="260">
        <f>INDEX([1]회생채권자요약!J:J,ROW('[2]회생채권총괄 (3)'!G394)/4)</f>
        <v>0</v>
      </c>
      <c r="H439" s="260">
        <f>G439</f>
        <v>0</v>
      </c>
      <c r="I439" s="252"/>
      <c r="J439" s="479"/>
    </row>
    <row r="440" spans="1:10" ht="18" customHeight="1">
      <c r="A440" s="488"/>
      <c r="B440" s="463"/>
      <c r="C440" s="467"/>
      <c r="D440" s="456"/>
      <c r="E440" s="456"/>
      <c r="F440" s="259"/>
      <c r="G440" s="260"/>
      <c r="H440" s="260"/>
      <c r="I440" s="252"/>
      <c r="J440" s="479"/>
    </row>
    <row r="441" spans="1:10" ht="18" customHeight="1">
      <c r="A441" s="489"/>
      <c r="B441" s="464"/>
      <c r="C441" s="468"/>
      <c r="D441" s="457"/>
      <c r="E441" s="457"/>
      <c r="F441" s="268" t="str">
        <f>IF(OR(MID(C437,2,1)="-",MID(C437,3,1)="-",MID(C437,4,1)="-",MID(47,5,1)="-"),"소계","합계")</f>
        <v>합계</v>
      </c>
      <c r="G441" s="269">
        <f t="shared" ref="G441:H441" si="70">SUM(G438:G439)</f>
        <v>0</v>
      </c>
      <c r="H441" s="269">
        <f t="shared" si="70"/>
        <v>0</v>
      </c>
      <c r="I441" s="253"/>
      <c r="J441" s="480"/>
    </row>
    <row r="442" spans="1:10" ht="18" customHeight="1">
      <c r="A442" s="487">
        <f>A437+1</f>
        <v>70</v>
      </c>
      <c r="B442" s="461" t="s">
        <v>236</v>
      </c>
      <c r="C442" s="490">
        <f>A442</f>
        <v>70</v>
      </c>
      <c r="D442" s="455"/>
      <c r="E442" s="455"/>
      <c r="F442" s="171" t="s">
        <v>197</v>
      </c>
      <c r="G442" s="258"/>
      <c r="H442" s="258"/>
      <c r="I442" s="251"/>
      <c r="J442" s="491"/>
    </row>
    <row r="443" spans="1:10" ht="18" customHeight="1">
      <c r="A443" s="488"/>
      <c r="B443" s="462"/>
      <c r="C443" s="466"/>
      <c r="D443" s="456"/>
      <c r="E443" s="456"/>
      <c r="F443" s="259" t="s">
        <v>429</v>
      </c>
      <c r="G443" s="182">
        <f>회생채권개별!F1755</f>
        <v>0</v>
      </c>
      <c r="H443" s="182">
        <f>G443</f>
        <v>0</v>
      </c>
      <c r="I443" s="252"/>
      <c r="J443" s="479"/>
    </row>
    <row r="444" spans="1:10" ht="18" customHeight="1">
      <c r="A444" s="488"/>
      <c r="B444" s="462"/>
      <c r="C444" s="466"/>
      <c r="D444" s="456"/>
      <c r="E444" s="456"/>
      <c r="F444" s="259" t="s">
        <v>430</v>
      </c>
      <c r="G444" s="260">
        <f>INDEX([1]회생채권자요약!J:J,ROW('[2]회생채권총괄 (3)'!G399)/4)</f>
        <v>0</v>
      </c>
      <c r="H444" s="260">
        <f>G444</f>
        <v>0</v>
      </c>
      <c r="I444" s="252"/>
      <c r="J444" s="479"/>
    </row>
    <row r="445" spans="1:10" ht="18" customHeight="1">
      <c r="A445" s="488"/>
      <c r="B445" s="463"/>
      <c r="C445" s="467"/>
      <c r="D445" s="456"/>
      <c r="E445" s="456"/>
      <c r="F445" s="259"/>
      <c r="G445" s="260"/>
      <c r="H445" s="260"/>
      <c r="I445" s="252"/>
      <c r="J445" s="479"/>
    </row>
    <row r="446" spans="1:10" ht="18" customHeight="1">
      <c r="A446" s="489"/>
      <c r="B446" s="464"/>
      <c r="C446" s="468"/>
      <c r="D446" s="457"/>
      <c r="E446" s="457"/>
      <c r="F446" s="268" t="str">
        <f>IF(OR(MID(C442,2,1)="-",MID(C442,3,1)="-",MID(C442,4,1)="-",MID(47,5,1)="-"),"소계","합계")</f>
        <v>합계</v>
      </c>
      <c r="G446" s="269">
        <f t="shared" ref="G446:H446" si="71">SUM(G443:G444)</f>
        <v>0</v>
      </c>
      <c r="H446" s="269">
        <f t="shared" si="71"/>
        <v>0</v>
      </c>
      <c r="I446" s="253"/>
      <c r="J446" s="480"/>
    </row>
    <row r="447" spans="1:10" ht="18" customHeight="1">
      <c r="A447" s="487">
        <f>A442+1</f>
        <v>71</v>
      </c>
      <c r="B447" s="461" t="s">
        <v>236</v>
      </c>
      <c r="C447" s="490">
        <f>A447</f>
        <v>71</v>
      </c>
      <c r="D447" s="455"/>
      <c r="E447" s="455"/>
      <c r="F447" s="171" t="s">
        <v>197</v>
      </c>
      <c r="G447" s="258"/>
      <c r="H447" s="258"/>
      <c r="I447" s="251"/>
      <c r="J447" s="491"/>
    </row>
    <row r="448" spans="1:10" ht="18" customHeight="1">
      <c r="A448" s="488"/>
      <c r="B448" s="462"/>
      <c r="C448" s="466"/>
      <c r="D448" s="456"/>
      <c r="E448" s="456"/>
      <c r="F448" s="259" t="s">
        <v>429</v>
      </c>
      <c r="G448" s="182">
        <f>회생채권개별!F1777</f>
        <v>0</v>
      </c>
      <c r="H448" s="182">
        <f>G448</f>
        <v>0</v>
      </c>
      <c r="I448" s="252"/>
      <c r="J448" s="479"/>
    </row>
    <row r="449" spans="1:10" ht="18" customHeight="1">
      <c r="A449" s="488"/>
      <c r="B449" s="462"/>
      <c r="C449" s="466"/>
      <c r="D449" s="456"/>
      <c r="E449" s="456"/>
      <c r="F449" s="259" t="s">
        <v>430</v>
      </c>
      <c r="G449" s="260">
        <f>INDEX([1]회생채권자요약!J:J,ROW('[2]회생채권총괄 (3)'!G404)/4)</f>
        <v>0</v>
      </c>
      <c r="H449" s="260">
        <f>G449</f>
        <v>0</v>
      </c>
      <c r="I449" s="252"/>
      <c r="J449" s="479"/>
    </row>
    <row r="450" spans="1:10" ht="18" customHeight="1">
      <c r="A450" s="488"/>
      <c r="B450" s="463"/>
      <c r="C450" s="467"/>
      <c r="D450" s="456"/>
      <c r="E450" s="456"/>
      <c r="F450" s="259"/>
      <c r="G450" s="260"/>
      <c r="H450" s="260"/>
      <c r="I450" s="252"/>
      <c r="J450" s="479"/>
    </row>
    <row r="451" spans="1:10" ht="18" customHeight="1">
      <c r="A451" s="489"/>
      <c r="B451" s="464"/>
      <c r="C451" s="468"/>
      <c r="D451" s="457"/>
      <c r="E451" s="457"/>
      <c r="F451" s="268" t="str">
        <f>IF(OR(MID(C447,2,1)="-",MID(C447,3,1)="-",MID(C447,4,1)="-",MID(47,5,1)="-"),"소계","합계")</f>
        <v>합계</v>
      </c>
      <c r="G451" s="269">
        <f t="shared" ref="G451:H451" si="72">SUM(G448:G449)</f>
        <v>0</v>
      </c>
      <c r="H451" s="269">
        <f t="shared" si="72"/>
        <v>0</v>
      </c>
      <c r="I451" s="253"/>
      <c r="J451" s="480"/>
    </row>
    <row r="452" spans="1:10" ht="18" customHeight="1">
      <c r="A452" s="487">
        <f>A447+1</f>
        <v>72</v>
      </c>
      <c r="B452" s="461" t="s">
        <v>236</v>
      </c>
      <c r="C452" s="490">
        <f>A452</f>
        <v>72</v>
      </c>
      <c r="D452" s="455"/>
      <c r="E452" s="455"/>
      <c r="F452" s="171" t="s">
        <v>197</v>
      </c>
      <c r="G452" s="258"/>
      <c r="H452" s="258"/>
      <c r="I452" s="251"/>
      <c r="J452" s="491"/>
    </row>
    <row r="453" spans="1:10" ht="18" customHeight="1">
      <c r="A453" s="488"/>
      <c r="B453" s="462"/>
      <c r="C453" s="466"/>
      <c r="D453" s="456"/>
      <c r="E453" s="456"/>
      <c r="F453" s="259" t="s">
        <v>429</v>
      </c>
      <c r="G453" s="182">
        <f>회생채권개별!F1799</f>
        <v>0</v>
      </c>
      <c r="H453" s="182">
        <f>G453</f>
        <v>0</v>
      </c>
      <c r="I453" s="252"/>
      <c r="J453" s="479"/>
    </row>
    <row r="454" spans="1:10" ht="18" customHeight="1">
      <c r="A454" s="488"/>
      <c r="B454" s="462"/>
      <c r="C454" s="466"/>
      <c r="D454" s="456"/>
      <c r="E454" s="456"/>
      <c r="F454" s="259" t="s">
        <v>430</v>
      </c>
      <c r="G454" s="260">
        <f>INDEX([1]회생채권자요약!J:J,ROW('[2]회생채권총괄 (3)'!G409)/4)</f>
        <v>0</v>
      </c>
      <c r="H454" s="260">
        <f>G454</f>
        <v>0</v>
      </c>
      <c r="I454" s="252"/>
      <c r="J454" s="479"/>
    </row>
    <row r="455" spans="1:10" ht="18" customHeight="1">
      <c r="A455" s="488"/>
      <c r="B455" s="463"/>
      <c r="C455" s="467"/>
      <c r="D455" s="456"/>
      <c r="E455" s="456"/>
      <c r="F455" s="259"/>
      <c r="G455" s="260"/>
      <c r="H455" s="260"/>
      <c r="I455" s="252"/>
      <c r="J455" s="479"/>
    </row>
    <row r="456" spans="1:10" ht="18" customHeight="1">
      <c r="A456" s="489"/>
      <c r="B456" s="464"/>
      <c r="C456" s="468"/>
      <c r="D456" s="457"/>
      <c r="E456" s="457"/>
      <c r="F456" s="268" t="str">
        <f>IF(OR(MID(C452,2,1)="-",MID(C452,3,1)="-",MID(C452,4,1)="-",MID(47,5,1)="-"),"소계","합계")</f>
        <v>합계</v>
      </c>
      <c r="G456" s="269">
        <f t="shared" ref="G456:H456" si="73">SUM(G453:G454)</f>
        <v>0</v>
      </c>
      <c r="H456" s="269">
        <f t="shared" si="73"/>
        <v>0</v>
      </c>
      <c r="I456" s="253"/>
      <c r="J456" s="480"/>
    </row>
    <row r="457" spans="1:10" ht="18" customHeight="1">
      <c r="A457" s="487">
        <f>A452+1</f>
        <v>73</v>
      </c>
      <c r="B457" s="461" t="s">
        <v>236</v>
      </c>
      <c r="C457" s="490">
        <f>A457</f>
        <v>73</v>
      </c>
      <c r="D457" s="455"/>
      <c r="E457" s="455"/>
      <c r="F457" s="171" t="s">
        <v>197</v>
      </c>
      <c r="G457" s="258"/>
      <c r="H457" s="258"/>
      <c r="I457" s="251"/>
      <c r="J457" s="491"/>
    </row>
    <row r="458" spans="1:10" ht="18" customHeight="1">
      <c r="A458" s="488"/>
      <c r="B458" s="462"/>
      <c r="C458" s="466"/>
      <c r="D458" s="456"/>
      <c r="E458" s="456"/>
      <c r="F458" s="259" t="s">
        <v>429</v>
      </c>
      <c r="G458" s="182">
        <f>회생채권개별!F1821</f>
        <v>0</v>
      </c>
      <c r="H458" s="182">
        <f>G458</f>
        <v>0</v>
      </c>
      <c r="I458" s="252"/>
      <c r="J458" s="479"/>
    </row>
    <row r="459" spans="1:10" ht="18" customHeight="1">
      <c r="A459" s="488"/>
      <c r="B459" s="462"/>
      <c r="C459" s="466"/>
      <c r="D459" s="456"/>
      <c r="E459" s="456"/>
      <c r="F459" s="259" t="s">
        <v>430</v>
      </c>
      <c r="G459" s="260">
        <f>INDEX([1]회생채권자요약!J:J,ROW('[2]회생채권총괄 (3)'!G414)/4)</f>
        <v>0</v>
      </c>
      <c r="H459" s="260">
        <f>G459</f>
        <v>0</v>
      </c>
      <c r="I459" s="252"/>
      <c r="J459" s="479"/>
    </row>
    <row r="460" spans="1:10" ht="18" customHeight="1">
      <c r="A460" s="488"/>
      <c r="B460" s="463"/>
      <c r="C460" s="467"/>
      <c r="D460" s="456"/>
      <c r="E460" s="456"/>
      <c r="F460" s="259"/>
      <c r="G460" s="260"/>
      <c r="H460" s="260"/>
      <c r="I460" s="252"/>
      <c r="J460" s="479"/>
    </row>
    <row r="461" spans="1:10" ht="18" customHeight="1">
      <c r="A461" s="489"/>
      <c r="B461" s="464"/>
      <c r="C461" s="468"/>
      <c r="D461" s="457"/>
      <c r="E461" s="457"/>
      <c r="F461" s="268" t="str">
        <f>IF(OR(MID(C457,2,1)="-",MID(C457,3,1)="-",MID(C457,4,1)="-",MID(47,5,1)="-"),"소계","합계")</f>
        <v>합계</v>
      </c>
      <c r="G461" s="269">
        <f t="shared" ref="G461:H461" si="74">SUM(G458:G459)</f>
        <v>0</v>
      </c>
      <c r="H461" s="269">
        <f t="shared" si="74"/>
        <v>0</v>
      </c>
      <c r="I461" s="253"/>
      <c r="J461" s="480"/>
    </row>
    <row r="462" spans="1:10" ht="18" customHeight="1">
      <c r="A462" s="487">
        <f>A457+1</f>
        <v>74</v>
      </c>
      <c r="B462" s="461" t="s">
        <v>236</v>
      </c>
      <c r="C462" s="490">
        <f>A462</f>
        <v>74</v>
      </c>
      <c r="D462" s="455"/>
      <c r="E462" s="455"/>
      <c r="F462" s="171" t="s">
        <v>197</v>
      </c>
      <c r="G462" s="258"/>
      <c r="H462" s="258"/>
      <c r="I462" s="251"/>
      <c r="J462" s="491"/>
    </row>
    <row r="463" spans="1:10" ht="18" customHeight="1">
      <c r="A463" s="488"/>
      <c r="B463" s="462"/>
      <c r="C463" s="466"/>
      <c r="D463" s="456"/>
      <c r="E463" s="456"/>
      <c r="F463" s="259" t="s">
        <v>429</v>
      </c>
      <c r="G463" s="182">
        <f>회생채권개별!F1843</f>
        <v>0</v>
      </c>
      <c r="H463" s="182">
        <f>G463</f>
        <v>0</v>
      </c>
      <c r="I463" s="252"/>
      <c r="J463" s="479"/>
    </row>
    <row r="464" spans="1:10" ht="18" customHeight="1">
      <c r="A464" s="488"/>
      <c r="B464" s="462"/>
      <c r="C464" s="466"/>
      <c r="D464" s="456"/>
      <c r="E464" s="456"/>
      <c r="F464" s="259" t="s">
        <v>430</v>
      </c>
      <c r="G464" s="260">
        <f>INDEX([1]회생채권자요약!J:J,ROW('[2]회생채권총괄 (3)'!G419)/4)</f>
        <v>0</v>
      </c>
      <c r="H464" s="260">
        <f>G464</f>
        <v>0</v>
      </c>
      <c r="I464" s="252"/>
      <c r="J464" s="479"/>
    </row>
    <row r="465" spans="1:10" ht="18" customHeight="1">
      <c r="A465" s="488"/>
      <c r="B465" s="463"/>
      <c r="C465" s="467"/>
      <c r="D465" s="456"/>
      <c r="E465" s="456"/>
      <c r="F465" s="259"/>
      <c r="G465" s="260"/>
      <c r="H465" s="260"/>
      <c r="I465" s="252"/>
      <c r="J465" s="479"/>
    </row>
    <row r="466" spans="1:10" ht="18" customHeight="1">
      <c r="A466" s="489"/>
      <c r="B466" s="464"/>
      <c r="C466" s="468"/>
      <c r="D466" s="457"/>
      <c r="E466" s="457"/>
      <c r="F466" s="268" t="str">
        <f>IF(OR(MID(C462,2,1)="-",MID(C462,3,1)="-",MID(C462,4,1)="-",MID(47,5,1)="-"),"소계","합계")</f>
        <v>합계</v>
      </c>
      <c r="G466" s="269">
        <f t="shared" ref="G466:H466" si="75">SUM(G463:G464)</f>
        <v>0</v>
      </c>
      <c r="H466" s="269">
        <f t="shared" si="75"/>
        <v>0</v>
      </c>
      <c r="I466" s="253"/>
      <c r="J466" s="480"/>
    </row>
    <row r="467" spans="1:10" ht="18" customHeight="1">
      <c r="A467" s="487">
        <f>A462+1</f>
        <v>75</v>
      </c>
      <c r="B467" s="461" t="s">
        <v>236</v>
      </c>
      <c r="C467" s="490">
        <f>A467</f>
        <v>75</v>
      </c>
      <c r="D467" s="455"/>
      <c r="E467" s="455"/>
      <c r="F467" s="171" t="s">
        <v>197</v>
      </c>
      <c r="G467" s="258"/>
      <c r="H467" s="258"/>
      <c r="I467" s="251"/>
      <c r="J467" s="491"/>
    </row>
    <row r="468" spans="1:10" ht="18" customHeight="1">
      <c r="A468" s="488"/>
      <c r="B468" s="462"/>
      <c r="C468" s="466"/>
      <c r="D468" s="456"/>
      <c r="E468" s="456"/>
      <c r="F468" s="259" t="s">
        <v>429</v>
      </c>
      <c r="G468" s="182">
        <f>회생채권개별!F1865</f>
        <v>0</v>
      </c>
      <c r="H468" s="182">
        <f>G468</f>
        <v>0</v>
      </c>
      <c r="I468" s="252"/>
      <c r="J468" s="479"/>
    </row>
    <row r="469" spans="1:10" ht="18" customHeight="1">
      <c r="A469" s="488"/>
      <c r="B469" s="462"/>
      <c r="C469" s="466"/>
      <c r="D469" s="456"/>
      <c r="E469" s="456"/>
      <c r="F469" s="259" t="s">
        <v>430</v>
      </c>
      <c r="G469" s="260">
        <f>INDEX([1]회생채권자요약!J:J,ROW('[2]회생채권총괄 (3)'!G424)/4)</f>
        <v>0</v>
      </c>
      <c r="H469" s="260">
        <f>G469</f>
        <v>0</v>
      </c>
      <c r="I469" s="252"/>
      <c r="J469" s="479"/>
    </row>
    <row r="470" spans="1:10" ht="18" customHeight="1">
      <c r="A470" s="488"/>
      <c r="B470" s="463"/>
      <c r="C470" s="467"/>
      <c r="D470" s="456"/>
      <c r="E470" s="456"/>
      <c r="F470" s="259"/>
      <c r="G470" s="260"/>
      <c r="H470" s="260"/>
      <c r="I470" s="252"/>
      <c r="J470" s="479"/>
    </row>
    <row r="471" spans="1:10" ht="18" customHeight="1">
      <c r="A471" s="489"/>
      <c r="B471" s="464"/>
      <c r="C471" s="468"/>
      <c r="D471" s="457"/>
      <c r="E471" s="457"/>
      <c r="F471" s="268" t="str">
        <f>IF(OR(MID(C467,2,1)="-",MID(C467,3,1)="-",MID(C467,4,1)="-",MID(47,5,1)="-"),"소계","합계")</f>
        <v>합계</v>
      </c>
      <c r="G471" s="269">
        <f t="shared" ref="G471:H471" si="76">SUM(G468:G469)</f>
        <v>0</v>
      </c>
      <c r="H471" s="269">
        <f t="shared" si="76"/>
        <v>0</v>
      </c>
      <c r="I471" s="253"/>
      <c r="J471" s="480"/>
    </row>
    <row r="472" spans="1:10" ht="18" customHeight="1">
      <c r="A472" s="487">
        <f>A467+1</f>
        <v>76</v>
      </c>
      <c r="B472" s="461" t="s">
        <v>236</v>
      </c>
      <c r="C472" s="490">
        <f>A472</f>
        <v>76</v>
      </c>
      <c r="D472" s="455"/>
      <c r="E472" s="455"/>
      <c r="F472" s="171" t="s">
        <v>197</v>
      </c>
      <c r="G472" s="258"/>
      <c r="H472" s="258"/>
      <c r="I472" s="251"/>
      <c r="J472" s="491"/>
    </row>
    <row r="473" spans="1:10" ht="18" customHeight="1">
      <c r="A473" s="488"/>
      <c r="B473" s="462"/>
      <c r="C473" s="466"/>
      <c r="D473" s="456"/>
      <c r="E473" s="456"/>
      <c r="F473" s="259" t="s">
        <v>429</v>
      </c>
      <c r="G473" s="182">
        <f>회생채권개별!F1887</f>
        <v>0</v>
      </c>
      <c r="H473" s="182">
        <f>G473</f>
        <v>0</v>
      </c>
      <c r="I473" s="252"/>
      <c r="J473" s="479"/>
    </row>
    <row r="474" spans="1:10" ht="18" customHeight="1">
      <c r="A474" s="488"/>
      <c r="B474" s="462"/>
      <c r="C474" s="466"/>
      <c r="D474" s="456"/>
      <c r="E474" s="456"/>
      <c r="F474" s="259" t="s">
        <v>430</v>
      </c>
      <c r="G474" s="260">
        <f>INDEX([1]회생채권자요약!J:J,ROW('[2]회생채권총괄 (3)'!G429)/4)</f>
        <v>0</v>
      </c>
      <c r="H474" s="260">
        <f>G474</f>
        <v>0</v>
      </c>
      <c r="I474" s="252"/>
      <c r="J474" s="479"/>
    </row>
    <row r="475" spans="1:10" ht="18" customHeight="1">
      <c r="A475" s="488"/>
      <c r="B475" s="463"/>
      <c r="C475" s="467"/>
      <c r="D475" s="456"/>
      <c r="E475" s="456"/>
      <c r="F475" s="259"/>
      <c r="G475" s="260"/>
      <c r="H475" s="260"/>
      <c r="I475" s="252"/>
      <c r="J475" s="479"/>
    </row>
    <row r="476" spans="1:10" ht="18" customHeight="1">
      <c r="A476" s="489"/>
      <c r="B476" s="464"/>
      <c r="C476" s="468"/>
      <c r="D476" s="457"/>
      <c r="E476" s="457"/>
      <c r="F476" s="268" t="str">
        <f>IF(OR(MID(C472,2,1)="-",MID(C472,3,1)="-",MID(C472,4,1)="-",MID(47,5,1)="-"),"소계","합계")</f>
        <v>합계</v>
      </c>
      <c r="G476" s="269">
        <f t="shared" ref="G476:H476" si="77">SUM(G473:G474)</f>
        <v>0</v>
      </c>
      <c r="H476" s="269">
        <f t="shared" si="77"/>
        <v>0</v>
      </c>
      <c r="I476" s="253"/>
      <c r="J476" s="480"/>
    </row>
    <row r="477" spans="1:10" ht="18" customHeight="1">
      <c r="A477" s="487">
        <f>A472+1</f>
        <v>77</v>
      </c>
      <c r="B477" s="461" t="s">
        <v>236</v>
      </c>
      <c r="C477" s="490">
        <f>A477</f>
        <v>77</v>
      </c>
      <c r="D477" s="455"/>
      <c r="E477" s="455"/>
      <c r="F477" s="171" t="s">
        <v>197</v>
      </c>
      <c r="G477" s="258"/>
      <c r="H477" s="258"/>
      <c r="I477" s="251"/>
      <c r="J477" s="491"/>
    </row>
    <row r="478" spans="1:10" ht="18" customHeight="1">
      <c r="A478" s="488"/>
      <c r="B478" s="462"/>
      <c r="C478" s="466"/>
      <c r="D478" s="456"/>
      <c r="E478" s="456"/>
      <c r="F478" s="259" t="s">
        <v>429</v>
      </c>
      <c r="G478" s="182">
        <f>회생채권개별!F1909</f>
        <v>0</v>
      </c>
      <c r="H478" s="182">
        <f>G478</f>
        <v>0</v>
      </c>
      <c r="I478" s="252"/>
      <c r="J478" s="479"/>
    </row>
    <row r="479" spans="1:10" ht="18" customHeight="1">
      <c r="A479" s="488"/>
      <c r="B479" s="462"/>
      <c r="C479" s="466"/>
      <c r="D479" s="456"/>
      <c r="E479" s="456"/>
      <c r="F479" s="259" t="s">
        <v>430</v>
      </c>
      <c r="G479" s="260">
        <f>INDEX([1]회생채권자요약!J:J,ROW('[2]회생채권총괄 (3)'!G434)/4)</f>
        <v>0</v>
      </c>
      <c r="H479" s="260">
        <f>G479</f>
        <v>0</v>
      </c>
      <c r="I479" s="252"/>
      <c r="J479" s="479"/>
    </row>
    <row r="480" spans="1:10" ht="18" customHeight="1">
      <c r="A480" s="488"/>
      <c r="B480" s="463"/>
      <c r="C480" s="467"/>
      <c r="D480" s="456"/>
      <c r="E480" s="456"/>
      <c r="F480" s="259"/>
      <c r="G480" s="260"/>
      <c r="H480" s="260"/>
      <c r="I480" s="252"/>
      <c r="J480" s="479"/>
    </row>
    <row r="481" spans="1:10" ht="18" customHeight="1">
      <c r="A481" s="489"/>
      <c r="B481" s="464"/>
      <c r="C481" s="468"/>
      <c r="D481" s="457"/>
      <c r="E481" s="457"/>
      <c r="F481" s="268" t="str">
        <f>IF(OR(MID(C477,2,1)="-",MID(C477,3,1)="-",MID(C477,4,1)="-",MID(47,5,1)="-"),"소계","합계")</f>
        <v>합계</v>
      </c>
      <c r="G481" s="269">
        <f t="shared" ref="G481:H481" si="78">SUM(G478:G479)</f>
        <v>0</v>
      </c>
      <c r="H481" s="269">
        <f t="shared" si="78"/>
        <v>0</v>
      </c>
      <c r="I481" s="253"/>
      <c r="J481" s="480"/>
    </row>
    <row r="482" spans="1:10" ht="18" customHeight="1">
      <c r="A482" s="487">
        <f>A477+1</f>
        <v>78</v>
      </c>
      <c r="B482" s="461" t="s">
        <v>236</v>
      </c>
      <c r="C482" s="490">
        <f>A482</f>
        <v>78</v>
      </c>
      <c r="D482" s="455"/>
      <c r="E482" s="455"/>
      <c r="F482" s="171" t="s">
        <v>197</v>
      </c>
      <c r="G482" s="258"/>
      <c r="H482" s="258"/>
      <c r="I482" s="251"/>
      <c r="J482" s="491"/>
    </row>
    <row r="483" spans="1:10" ht="18" customHeight="1">
      <c r="A483" s="488"/>
      <c r="B483" s="462"/>
      <c r="C483" s="466"/>
      <c r="D483" s="456"/>
      <c r="E483" s="456"/>
      <c r="F483" s="259" t="s">
        <v>429</v>
      </c>
      <c r="G483" s="182">
        <f>회생채권개별!F1931</f>
        <v>0</v>
      </c>
      <c r="H483" s="182">
        <f>G483</f>
        <v>0</v>
      </c>
      <c r="I483" s="252"/>
      <c r="J483" s="479"/>
    </row>
    <row r="484" spans="1:10" ht="18" customHeight="1">
      <c r="A484" s="488"/>
      <c r="B484" s="462"/>
      <c r="C484" s="466"/>
      <c r="D484" s="456"/>
      <c r="E484" s="456"/>
      <c r="F484" s="259" t="s">
        <v>430</v>
      </c>
      <c r="G484" s="260">
        <f>INDEX([1]회생채권자요약!J:J,ROW('[2]회생채권총괄 (3)'!G439)/4)</f>
        <v>0</v>
      </c>
      <c r="H484" s="260">
        <f>G484</f>
        <v>0</v>
      </c>
      <c r="I484" s="252"/>
      <c r="J484" s="479"/>
    </row>
    <row r="485" spans="1:10" ht="18" customHeight="1">
      <c r="A485" s="488"/>
      <c r="B485" s="463"/>
      <c r="C485" s="467"/>
      <c r="D485" s="456"/>
      <c r="E485" s="456"/>
      <c r="F485" s="259"/>
      <c r="G485" s="260"/>
      <c r="H485" s="260"/>
      <c r="I485" s="252"/>
      <c r="J485" s="479"/>
    </row>
    <row r="486" spans="1:10" ht="18" customHeight="1">
      <c r="A486" s="489"/>
      <c r="B486" s="464"/>
      <c r="C486" s="468"/>
      <c r="D486" s="457"/>
      <c r="E486" s="457"/>
      <c r="F486" s="268" t="str">
        <f>IF(OR(MID(C482,2,1)="-",MID(C482,3,1)="-",MID(C482,4,1)="-",MID(47,5,1)="-"),"소계","합계")</f>
        <v>합계</v>
      </c>
      <c r="G486" s="269">
        <f t="shared" ref="G486:H486" si="79">SUM(G483:G484)</f>
        <v>0</v>
      </c>
      <c r="H486" s="269">
        <f t="shared" si="79"/>
        <v>0</v>
      </c>
      <c r="I486" s="253"/>
      <c r="J486" s="480"/>
    </row>
    <row r="487" spans="1:10" ht="18" customHeight="1">
      <c r="A487" s="487">
        <f>A482+1</f>
        <v>79</v>
      </c>
      <c r="B487" s="461" t="s">
        <v>236</v>
      </c>
      <c r="C487" s="490">
        <f>A487</f>
        <v>79</v>
      </c>
      <c r="D487" s="455"/>
      <c r="E487" s="455"/>
      <c r="F487" s="171" t="s">
        <v>197</v>
      </c>
      <c r="G487" s="258"/>
      <c r="H487" s="258"/>
      <c r="I487" s="251"/>
      <c r="J487" s="491"/>
    </row>
    <row r="488" spans="1:10" ht="18" customHeight="1">
      <c r="A488" s="488"/>
      <c r="B488" s="462"/>
      <c r="C488" s="466"/>
      <c r="D488" s="456"/>
      <c r="E488" s="456"/>
      <c r="F488" s="259" t="s">
        <v>429</v>
      </c>
      <c r="G488" s="182">
        <f>회생채권개별!F1953</f>
        <v>0</v>
      </c>
      <c r="H488" s="182">
        <f>G488</f>
        <v>0</v>
      </c>
      <c r="I488" s="252"/>
      <c r="J488" s="479"/>
    </row>
    <row r="489" spans="1:10" ht="18" customHeight="1">
      <c r="A489" s="488"/>
      <c r="B489" s="462"/>
      <c r="C489" s="466"/>
      <c r="D489" s="456"/>
      <c r="E489" s="456"/>
      <c r="F489" s="259" t="s">
        <v>430</v>
      </c>
      <c r="G489" s="260">
        <f>INDEX([1]회생채권자요약!J:J,ROW('[2]회생채권총괄 (3)'!G444)/4)</f>
        <v>0</v>
      </c>
      <c r="H489" s="260">
        <f>G489</f>
        <v>0</v>
      </c>
      <c r="I489" s="252"/>
      <c r="J489" s="479"/>
    </row>
    <row r="490" spans="1:10" ht="18" customHeight="1">
      <c r="A490" s="488"/>
      <c r="B490" s="463"/>
      <c r="C490" s="467"/>
      <c r="D490" s="456"/>
      <c r="E490" s="456"/>
      <c r="F490" s="259"/>
      <c r="G490" s="260"/>
      <c r="H490" s="260"/>
      <c r="I490" s="252"/>
      <c r="J490" s="479"/>
    </row>
    <row r="491" spans="1:10" ht="18" customHeight="1">
      <c r="A491" s="489"/>
      <c r="B491" s="464"/>
      <c r="C491" s="468"/>
      <c r="D491" s="457"/>
      <c r="E491" s="457"/>
      <c r="F491" s="268" t="str">
        <f>IF(OR(MID(C487,2,1)="-",MID(C487,3,1)="-",MID(C487,4,1)="-",MID(47,5,1)="-"),"소계","합계")</f>
        <v>합계</v>
      </c>
      <c r="G491" s="269">
        <f t="shared" ref="G491:H491" si="80">SUM(G488:G489)</f>
        <v>0</v>
      </c>
      <c r="H491" s="269">
        <f t="shared" si="80"/>
        <v>0</v>
      </c>
      <c r="I491" s="253"/>
      <c r="J491" s="480"/>
    </row>
    <row r="492" spans="1:10" ht="18" customHeight="1">
      <c r="A492" s="487">
        <f>A487+1</f>
        <v>80</v>
      </c>
      <c r="B492" s="461" t="s">
        <v>236</v>
      </c>
      <c r="C492" s="490">
        <f>A492</f>
        <v>80</v>
      </c>
      <c r="D492" s="455"/>
      <c r="E492" s="455"/>
      <c r="F492" s="171" t="s">
        <v>197</v>
      </c>
      <c r="G492" s="258"/>
      <c r="H492" s="258"/>
      <c r="I492" s="251"/>
      <c r="J492" s="491"/>
    </row>
    <row r="493" spans="1:10" ht="18" customHeight="1">
      <c r="A493" s="488"/>
      <c r="B493" s="462"/>
      <c r="C493" s="466"/>
      <c r="D493" s="456"/>
      <c r="E493" s="456"/>
      <c r="F493" s="259" t="s">
        <v>429</v>
      </c>
      <c r="G493" s="182">
        <f>회생채권개별!F1975</f>
        <v>0</v>
      </c>
      <c r="H493" s="182">
        <f>G493</f>
        <v>0</v>
      </c>
      <c r="I493" s="252"/>
      <c r="J493" s="479"/>
    </row>
    <row r="494" spans="1:10" ht="18" customHeight="1">
      <c r="A494" s="488"/>
      <c r="B494" s="462"/>
      <c r="C494" s="466"/>
      <c r="D494" s="456"/>
      <c r="E494" s="456"/>
      <c r="F494" s="259" t="s">
        <v>430</v>
      </c>
      <c r="G494" s="260">
        <f>INDEX([1]회생채권자요약!J:J,ROW('[2]회생채권총괄 (3)'!G449)/4)</f>
        <v>0</v>
      </c>
      <c r="H494" s="260">
        <f>G494</f>
        <v>0</v>
      </c>
      <c r="I494" s="252"/>
      <c r="J494" s="479"/>
    </row>
    <row r="495" spans="1:10" ht="18" customHeight="1">
      <c r="A495" s="488"/>
      <c r="B495" s="463"/>
      <c r="C495" s="467"/>
      <c r="D495" s="456"/>
      <c r="E495" s="456"/>
      <c r="F495" s="259"/>
      <c r="G495" s="260"/>
      <c r="H495" s="260"/>
      <c r="I495" s="252"/>
      <c r="J495" s="479"/>
    </row>
    <row r="496" spans="1:10" ht="18" customHeight="1">
      <c r="A496" s="489"/>
      <c r="B496" s="464"/>
      <c r="C496" s="468"/>
      <c r="D496" s="457"/>
      <c r="E496" s="457"/>
      <c r="F496" s="268" t="str">
        <f>IF(OR(MID(C492,2,1)="-",MID(C492,3,1)="-",MID(C492,4,1)="-",MID(47,5,1)="-"),"소계","합계")</f>
        <v>합계</v>
      </c>
      <c r="G496" s="269">
        <f t="shared" ref="G496:H496" si="81">SUM(G493:G494)</f>
        <v>0</v>
      </c>
      <c r="H496" s="269">
        <f t="shared" si="81"/>
        <v>0</v>
      </c>
      <c r="I496" s="253"/>
      <c r="J496" s="480"/>
    </row>
    <row r="497" spans="1:10" ht="18" customHeight="1">
      <c r="A497" s="487">
        <f>A492+1</f>
        <v>81</v>
      </c>
      <c r="B497" s="461" t="s">
        <v>236</v>
      </c>
      <c r="C497" s="490">
        <f>A497</f>
        <v>81</v>
      </c>
      <c r="D497" s="455"/>
      <c r="E497" s="455"/>
      <c r="F497" s="171" t="s">
        <v>197</v>
      </c>
      <c r="G497" s="258"/>
      <c r="H497" s="258"/>
      <c r="I497" s="251"/>
      <c r="J497" s="491"/>
    </row>
    <row r="498" spans="1:10" ht="18" customHeight="1">
      <c r="A498" s="488"/>
      <c r="B498" s="462"/>
      <c r="C498" s="466"/>
      <c r="D498" s="456"/>
      <c r="E498" s="456"/>
      <c r="F498" s="259" t="s">
        <v>429</v>
      </c>
      <c r="G498" s="182">
        <f>회생채권개별!F1997</f>
        <v>0</v>
      </c>
      <c r="H498" s="182">
        <f>G498</f>
        <v>0</v>
      </c>
      <c r="I498" s="252"/>
      <c r="J498" s="479"/>
    </row>
    <row r="499" spans="1:10" ht="18" customHeight="1">
      <c r="A499" s="488"/>
      <c r="B499" s="462"/>
      <c r="C499" s="466"/>
      <c r="D499" s="456"/>
      <c r="E499" s="456"/>
      <c r="F499" s="259" t="s">
        <v>430</v>
      </c>
      <c r="G499" s="260">
        <f>INDEX([1]회생채권자요약!J:J,ROW('[2]회생채권총괄 (3)'!G454)/4)</f>
        <v>0</v>
      </c>
      <c r="H499" s="260">
        <f>G499</f>
        <v>0</v>
      </c>
      <c r="I499" s="252"/>
      <c r="J499" s="479"/>
    </row>
    <row r="500" spans="1:10" ht="18" customHeight="1">
      <c r="A500" s="488"/>
      <c r="B500" s="463"/>
      <c r="C500" s="467"/>
      <c r="D500" s="456"/>
      <c r="E500" s="456"/>
      <c r="F500" s="259"/>
      <c r="G500" s="260"/>
      <c r="H500" s="260"/>
      <c r="I500" s="252"/>
      <c r="J500" s="479"/>
    </row>
    <row r="501" spans="1:10" ht="18" customHeight="1">
      <c r="A501" s="489"/>
      <c r="B501" s="464"/>
      <c r="C501" s="468"/>
      <c r="D501" s="457"/>
      <c r="E501" s="457"/>
      <c r="F501" s="268" t="str">
        <f>IF(OR(MID(C497,2,1)="-",MID(C497,3,1)="-",MID(C497,4,1)="-",MID(47,5,1)="-"),"소계","합계")</f>
        <v>합계</v>
      </c>
      <c r="G501" s="269">
        <f t="shared" ref="G501:H501" si="82">SUM(G498:G499)</f>
        <v>0</v>
      </c>
      <c r="H501" s="269">
        <f t="shared" si="82"/>
        <v>0</v>
      </c>
      <c r="I501" s="253"/>
      <c r="J501" s="480"/>
    </row>
    <row r="502" spans="1:10" ht="18" customHeight="1">
      <c r="A502" s="487">
        <f>A497+1</f>
        <v>82</v>
      </c>
      <c r="B502" s="461" t="s">
        <v>236</v>
      </c>
      <c r="C502" s="490">
        <f>A502</f>
        <v>82</v>
      </c>
      <c r="D502" s="455"/>
      <c r="E502" s="455"/>
      <c r="F502" s="171" t="s">
        <v>197</v>
      </c>
      <c r="G502" s="258"/>
      <c r="H502" s="258"/>
      <c r="I502" s="251"/>
      <c r="J502" s="491"/>
    </row>
    <row r="503" spans="1:10" ht="18" customHeight="1">
      <c r="A503" s="488"/>
      <c r="B503" s="462"/>
      <c r="C503" s="466"/>
      <c r="D503" s="456"/>
      <c r="E503" s="456"/>
      <c r="F503" s="259" t="s">
        <v>429</v>
      </c>
      <c r="G503" s="182">
        <f>회생채권개별!F2019</f>
        <v>0</v>
      </c>
      <c r="H503" s="182">
        <f>G503</f>
        <v>0</v>
      </c>
      <c r="I503" s="252"/>
      <c r="J503" s="479"/>
    </row>
    <row r="504" spans="1:10" ht="18" customHeight="1">
      <c r="A504" s="488"/>
      <c r="B504" s="462"/>
      <c r="C504" s="466"/>
      <c r="D504" s="456"/>
      <c r="E504" s="456"/>
      <c r="F504" s="259" t="s">
        <v>430</v>
      </c>
      <c r="G504" s="260">
        <f>INDEX([1]회생채권자요약!J:J,ROW('[2]회생채권총괄 (3)'!G459)/4)</f>
        <v>0</v>
      </c>
      <c r="H504" s="260">
        <f>G504</f>
        <v>0</v>
      </c>
      <c r="I504" s="252"/>
      <c r="J504" s="479"/>
    </row>
    <row r="505" spans="1:10" ht="18" customHeight="1">
      <c r="A505" s="488"/>
      <c r="B505" s="463"/>
      <c r="C505" s="467"/>
      <c r="D505" s="456"/>
      <c r="E505" s="456"/>
      <c r="F505" s="259"/>
      <c r="G505" s="260"/>
      <c r="H505" s="260"/>
      <c r="I505" s="252"/>
      <c r="J505" s="479"/>
    </row>
    <row r="506" spans="1:10" ht="18" customHeight="1">
      <c r="A506" s="489"/>
      <c r="B506" s="464"/>
      <c r="C506" s="468"/>
      <c r="D506" s="457"/>
      <c r="E506" s="457"/>
      <c r="F506" s="268" t="str">
        <f>IF(OR(MID(C502,2,1)="-",MID(C502,3,1)="-",MID(C502,4,1)="-",MID(47,5,1)="-"),"소계","합계")</f>
        <v>합계</v>
      </c>
      <c r="G506" s="269">
        <f t="shared" ref="G506:H506" si="83">SUM(G503:G504)</f>
        <v>0</v>
      </c>
      <c r="H506" s="269">
        <f t="shared" si="83"/>
        <v>0</v>
      </c>
      <c r="I506" s="253"/>
      <c r="J506" s="480"/>
    </row>
    <row r="507" spans="1:10" ht="18" customHeight="1">
      <c r="A507" s="487">
        <f>A502+1</f>
        <v>83</v>
      </c>
      <c r="B507" s="461" t="s">
        <v>236</v>
      </c>
      <c r="C507" s="490">
        <f>A507</f>
        <v>83</v>
      </c>
      <c r="D507" s="455"/>
      <c r="E507" s="455"/>
      <c r="F507" s="171" t="s">
        <v>197</v>
      </c>
      <c r="G507" s="258"/>
      <c r="H507" s="258"/>
      <c r="I507" s="251"/>
      <c r="J507" s="491"/>
    </row>
    <row r="508" spans="1:10" ht="18" customHeight="1">
      <c r="A508" s="488"/>
      <c r="B508" s="462"/>
      <c r="C508" s="466"/>
      <c r="D508" s="456"/>
      <c r="E508" s="456"/>
      <c r="F508" s="259" t="s">
        <v>429</v>
      </c>
      <c r="G508" s="182">
        <f>회생채권개별!F2041</f>
        <v>0</v>
      </c>
      <c r="H508" s="182">
        <f>G508</f>
        <v>0</v>
      </c>
      <c r="I508" s="252"/>
      <c r="J508" s="479"/>
    </row>
    <row r="509" spans="1:10" ht="18" customHeight="1">
      <c r="A509" s="488"/>
      <c r="B509" s="462"/>
      <c r="C509" s="466"/>
      <c r="D509" s="456"/>
      <c r="E509" s="456"/>
      <c r="F509" s="259" t="s">
        <v>430</v>
      </c>
      <c r="G509" s="260">
        <f>INDEX([1]회생채권자요약!J:J,ROW('[2]회생채권총괄 (3)'!G464)/4)</f>
        <v>0</v>
      </c>
      <c r="H509" s="260">
        <f>G509</f>
        <v>0</v>
      </c>
      <c r="I509" s="252"/>
      <c r="J509" s="479"/>
    </row>
    <row r="510" spans="1:10" ht="18" customHeight="1">
      <c r="A510" s="488"/>
      <c r="B510" s="463"/>
      <c r="C510" s="467"/>
      <c r="D510" s="456"/>
      <c r="E510" s="456"/>
      <c r="F510" s="259"/>
      <c r="G510" s="260"/>
      <c r="H510" s="260"/>
      <c r="I510" s="252"/>
      <c r="J510" s="479"/>
    </row>
    <row r="511" spans="1:10" ht="18" customHeight="1">
      <c r="A511" s="489"/>
      <c r="B511" s="464"/>
      <c r="C511" s="468"/>
      <c r="D511" s="457"/>
      <c r="E511" s="457"/>
      <c r="F511" s="268" t="str">
        <f>IF(OR(MID(C507,2,1)="-",MID(C507,3,1)="-",MID(C507,4,1)="-",MID(47,5,1)="-"),"소계","합계")</f>
        <v>합계</v>
      </c>
      <c r="G511" s="269">
        <f t="shared" ref="G511:H511" si="84">SUM(G508:G509)</f>
        <v>0</v>
      </c>
      <c r="H511" s="269">
        <f t="shared" si="84"/>
        <v>0</v>
      </c>
      <c r="I511" s="253"/>
      <c r="J511" s="480"/>
    </row>
    <row r="512" spans="1:10" ht="18" customHeight="1">
      <c r="A512" s="487">
        <f>A507+1</f>
        <v>84</v>
      </c>
      <c r="B512" s="461" t="s">
        <v>236</v>
      </c>
      <c r="C512" s="490">
        <f>A512</f>
        <v>84</v>
      </c>
      <c r="D512" s="455"/>
      <c r="E512" s="455"/>
      <c r="F512" s="171" t="s">
        <v>197</v>
      </c>
      <c r="G512" s="258"/>
      <c r="H512" s="258"/>
      <c r="I512" s="251"/>
      <c r="J512" s="491"/>
    </row>
    <row r="513" spans="1:10" ht="18" customHeight="1">
      <c r="A513" s="488"/>
      <c r="B513" s="462"/>
      <c r="C513" s="466"/>
      <c r="D513" s="456"/>
      <c r="E513" s="456"/>
      <c r="F513" s="259" t="s">
        <v>429</v>
      </c>
      <c r="G513" s="182">
        <f>회생채권개별!F2063</f>
        <v>0</v>
      </c>
      <c r="H513" s="182">
        <f>G513</f>
        <v>0</v>
      </c>
      <c r="I513" s="252"/>
      <c r="J513" s="479"/>
    </row>
    <row r="514" spans="1:10" ht="18" customHeight="1">
      <c r="A514" s="488"/>
      <c r="B514" s="462"/>
      <c r="C514" s="466"/>
      <c r="D514" s="456"/>
      <c r="E514" s="456"/>
      <c r="F514" s="259" t="s">
        <v>430</v>
      </c>
      <c r="G514" s="260">
        <f>INDEX([1]회생채권자요약!J:J,ROW('[2]회생채권총괄 (3)'!G469)/4)</f>
        <v>0</v>
      </c>
      <c r="H514" s="260">
        <f>G514</f>
        <v>0</v>
      </c>
      <c r="I514" s="252"/>
      <c r="J514" s="479"/>
    </row>
    <row r="515" spans="1:10" ht="18" customHeight="1">
      <c r="A515" s="488"/>
      <c r="B515" s="463"/>
      <c r="C515" s="467"/>
      <c r="D515" s="456"/>
      <c r="E515" s="456"/>
      <c r="F515" s="259"/>
      <c r="G515" s="260"/>
      <c r="H515" s="260"/>
      <c r="I515" s="252"/>
      <c r="J515" s="479"/>
    </row>
    <row r="516" spans="1:10" ht="18" customHeight="1">
      <c r="A516" s="489"/>
      <c r="B516" s="464"/>
      <c r="C516" s="468"/>
      <c r="D516" s="457"/>
      <c r="E516" s="457"/>
      <c r="F516" s="268" t="str">
        <f>IF(OR(MID(C512,2,1)="-",MID(C512,3,1)="-",MID(C512,4,1)="-",MID(47,5,1)="-"),"소계","합계")</f>
        <v>합계</v>
      </c>
      <c r="G516" s="269">
        <f t="shared" ref="G516:H516" si="85">SUM(G513:G514)</f>
        <v>0</v>
      </c>
      <c r="H516" s="269">
        <f t="shared" si="85"/>
        <v>0</v>
      </c>
      <c r="I516" s="253"/>
      <c r="J516" s="480"/>
    </row>
    <row r="517" spans="1:10" ht="18" customHeight="1">
      <c r="A517" s="487">
        <f>A512+1</f>
        <v>85</v>
      </c>
      <c r="B517" s="461" t="s">
        <v>236</v>
      </c>
      <c r="C517" s="490">
        <f>A517</f>
        <v>85</v>
      </c>
      <c r="D517" s="455"/>
      <c r="E517" s="455"/>
      <c r="F517" s="171" t="s">
        <v>197</v>
      </c>
      <c r="G517" s="258"/>
      <c r="H517" s="258"/>
      <c r="I517" s="251"/>
      <c r="J517" s="491"/>
    </row>
    <row r="518" spans="1:10" ht="18" customHeight="1">
      <c r="A518" s="488"/>
      <c r="B518" s="462"/>
      <c r="C518" s="466"/>
      <c r="D518" s="456"/>
      <c r="E518" s="456"/>
      <c r="F518" s="259" t="s">
        <v>429</v>
      </c>
      <c r="G518" s="182">
        <f>회생채권개별!F2085</f>
        <v>0</v>
      </c>
      <c r="H518" s="182">
        <f>G518</f>
        <v>0</v>
      </c>
      <c r="I518" s="252"/>
      <c r="J518" s="479"/>
    </row>
    <row r="519" spans="1:10" ht="18" customHeight="1">
      <c r="A519" s="488"/>
      <c r="B519" s="462"/>
      <c r="C519" s="466"/>
      <c r="D519" s="456"/>
      <c r="E519" s="456"/>
      <c r="F519" s="259" t="s">
        <v>430</v>
      </c>
      <c r="G519" s="260">
        <f>INDEX([1]회생채권자요약!J:J,ROW('[2]회생채권총괄 (3)'!G474)/4)</f>
        <v>0</v>
      </c>
      <c r="H519" s="260">
        <f>G519</f>
        <v>0</v>
      </c>
      <c r="I519" s="252"/>
      <c r="J519" s="479"/>
    </row>
    <row r="520" spans="1:10" ht="18" customHeight="1">
      <c r="A520" s="488"/>
      <c r="B520" s="463"/>
      <c r="C520" s="467"/>
      <c r="D520" s="456"/>
      <c r="E520" s="456"/>
      <c r="F520" s="259"/>
      <c r="G520" s="260"/>
      <c r="H520" s="260"/>
      <c r="I520" s="252"/>
      <c r="J520" s="479"/>
    </row>
    <row r="521" spans="1:10" ht="18" customHeight="1">
      <c r="A521" s="489"/>
      <c r="B521" s="464"/>
      <c r="C521" s="468"/>
      <c r="D521" s="457"/>
      <c r="E521" s="457"/>
      <c r="F521" s="268" t="str">
        <f>IF(OR(MID(C517,2,1)="-",MID(C517,3,1)="-",MID(C517,4,1)="-",MID(47,5,1)="-"),"소계","합계")</f>
        <v>합계</v>
      </c>
      <c r="G521" s="269">
        <f t="shared" ref="G521:H521" si="86">SUM(G518:G519)</f>
        <v>0</v>
      </c>
      <c r="H521" s="269">
        <f t="shared" si="86"/>
        <v>0</v>
      </c>
      <c r="I521" s="253"/>
      <c r="J521" s="480"/>
    </row>
    <row r="522" spans="1:10" ht="18" customHeight="1">
      <c r="A522" s="487">
        <f>A517+1</f>
        <v>86</v>
      </c>
      <c r="B522" s="461" t="s">
        <v>236</v>
      </c>
      <c r="C522" s="490">
        <f>A522</f>
        <v>86</v>
      </c>
      <c r="D522" s="455"/>
      <c r="E522" s="455"/>
      <c r="F522" s="171" t="s">
        <v>197</v>
      </c>
      <c r="G522" s="258"/>
      <c r="H522" s="258"/>
      <c r="I522" s="251"/>
      <c r="J522" s="491"/>
    </row>
    <row r="523" spans="1:10" ht="18" customHeight="1">
      <c r="A523" s="488"/>
      <c r="B523" s="462"/>
      <c r="C523" s="466"/>
      <c r="D523" s="456"/>
      <c r="E523" s="456"/>
      <c r="F523" s="259" t="s">
        <v>429</v>
      </c>
      <c r="G523" s="182">
        <f>회생채권개별!F2107</f>
        <v>0</v>
      </c>
      <c r="H523" s="182">
        <f>G523</f>
        <v>0</v>
      </c>
      <c r="I523" s="252"/>
      <c r="J523" s="479"/>
    </row>
    <row r="524" spans="1:10" ht="18" customHeight="1">
      <c r="A524" s="488"/>
      <c r="B524" s="462"/>
      <c r="C524" s="466"/>
      <c r="D524" s="456"/>
      <c r="E524" s="456"/>
      <c r="F524" s="259" t="s">
        <v>430</v>
      </c>
      <c r="G524" s="260">
        <f>INDEX([1]회생채권자요약!J:J,ROW('[2]회생채권총괄 (3)'!G479)/4)</f>
        <v>0</v>
      </c>
      <c r="H524" s="260">
        <f>G524</f>
        <v>0</v>
      </c>
      <c r="I524" s="252"/>
      <c r="J524" s="479"/>
    </row>
    <row r="525" spans="1:10" ht="18" customHeight="1">
      <c r="A525" s="488"/>
      <c r="B525" s="463"/>
      <c r="C525" s="467"/>
      <c r="D525" s="456"/>
      <c r="E525" s="456"/>
      <c r="F525" s="259"/>
      <c r="G525" s="260"/>
      <c r="H525" s="260"/>
      <c r="I525" s="252"/>
      <c r="J525" s="479"/>
    </row>
    <row r="526" spans="1:10" ht="18" customHeight="1">
      <c r="A526" s="489"/>
      <c r="B526" s="464"/>
      <c r="C526" s="468"/>
      <c r="D526" s="457"/>
      <c r="E526" s="457"/>
      <c r="F526" s="268" t="str">
        <f>IF(OR(MID(C522,2,1)="-",MID(C522,3,1)="-",MID(C522,4,1)="-",MID(47,5,1)="-"),"소계","합계")</f>
        <v>합계</v>
      </c>
      <c r="G526" s="269">
        <f t="shared" ref="G526:H526" si="87">SUM(G523:G524)</f>
        <v>0</v>
      </c>
      <c r="H526" s="269">
        <f t="shared" si="87"/>
        <v>0</v>
      </c>
      <c r="I526" s="253"/>
      <c r="J526" s="480"/>
    </row>
    <row r="527" spans="1:10" ht="18" customHeight="1">
      <c r="A527" s="487">
        <f>A522+1</f>
        <v>87</v>
      </c>
      <c r="B527" s="461" t="s">
        <v>236</v>
      </c>
      <c r="C527" s="490">
        <f>A527</f>
        <v>87</v>
      </c>
      <c r="D527" s="455"/>
      <c r="E527" s="455"/>
      <c r="F527" s="171" t="s">
        <v>197</v>
      </c>
      <c r="G527" s="258"/>
      <c r="H527" s="258"/>
      <c r="I527" s="251"/>
      <c r="J527" s="491"/>
    </row>
    <row r="528" spans="1:10" ht="18" customHeight="1">
      <c r="A528" s="488"/>
      <c r="B528" s="462"/>
      <c r="C528" s="466"/>
      <c r="D528" s="456"/>
      <c r="E528" s="456"/>
      <c r="F528" s="259" t="s">
        <v>429</v>
      </c>
      <c r="G528" s="182">
        <f>회생채권개별!F2129</f>
        <v>0</v>
      </c>
      <c r="H528" s="182">
        <f>G528</f>
        <v>0</v>
      </c>
      <c r="I528" s="252"/>
      <c r="J528" s="479"/>
    </row>
    <row r="529" spans="1:12" ht="18" customHeight="1">
      <c r="A529" s="488"/>
      <c r="B529" s="462"/>
      <c r="C529" s="466"/>
      <c r="D529" s="456"/>
      <c r="E529" s="456"/>
      <c r="F529" s="259" t="s">
        <v>430</v>
      </c>
      <c r="G529" s="260">
        <f>INDEX([1]회생채권자요약!J:J,ROW('[2]회생채권총괄 (3)'!G484)/4)</f>
        <v>0</v>
      </c>
      <c r="H529" s="260">
        <f>G529</f>
        <v>0</v>
      </c>
      <c r="I529" s="252"/>
      <c r="J529" s="479"/>
    </row>
    <row r="530" spans="1:12" ht="18" customHeight="1">
      <c r="A530" s="488"/>
      <c r="B530" s="463"/>
      <c r="C530" s="467"/>
      <c r="D530" s="456"/>
      <c r="E530" s="456"/>
      <c r="F530" s="259"/>
      <c r="G530" s="260"/>
      <c r="H530" s="260"/>
      <c r="I530" s="252"/>
      <c r="J530" s="479"/>
    </row>
    <row r="531" spans="1:12" ht="18" customHeight="1">
      <c r="A531" s="489"/>
      <c r="B531" s="464"/>
      <c r="C531" s="468"/>
      <c r="D531" s="457"/>
      <c r="E531" s="457"/>
      <c r="F531" s="268" t="str">
        <f>IF(OR(MID(C527,2,1)="-",MID(C527,3,1)="-",MID(C527,4,1)="-",MID(47,5,1)="-"),"소계","합계")</f>
        <v>합계</v>
      </c>
      <c r="G531" s="269">
        <f t="shared" ref="G531:H531" si="88">SUM(G528:G529)</f>
        <v>0</v>
      </c>
      <c r="H531" s="269">
        <f t="shared" si="88"/>
        <v>0</v>
      </c>
      <c r="I531" s="253"/>
      <c r="J531" s="480"/>
    </row>
    <row r="532" spans="1:12" ht="18" customHeight="1">
      <c r="A532" s="487">
        <f>A527+1</f>
        <v>88</v>
      </c>
      <c r="B532" s="461" t="s">
        <v>236</v>
      </c>
      <c r="C532" s="490">
        <f>A532</f>
        <v>88</v>
      </c>
      <c r="D532" s="455"/>
      <c r="E532" s="455"/>
      <c r="F532" s="171" t="s">
        <v>197</v>
      </c>
      <c r="G532" s="258"/>
      <c r="H532" s="258"/>
      <c r="I532" s="251"/>
      <c r="J532" s="491"/>
    </row>
    <row r="533" spans="1:12" ht="18" customHeight="1">
      <c r="A533" s="488"/>
      <c r="B533" s="462"/>
      <c r="C533" s="466"/>
      <c r="D533" s="456"/>
      <c r="E533" s="456"/>
      <c r="F533" s="259" t="s">
        <v>429</v>
      </c>
      <c r="G533" s="182">
        <f>회생채권개별!F2151</f>
        <v>0</v>
      </c>
      <c r="H533" s="182">
        <f>G533</f>
        <v>0</v>
      </c>
      <c r="I533" s="252"/>
      <c r="J533" s="479"/>
    </row>
    <row r="534" spans="1:12" ht="18" customHeight="1">
      <c r="A534" s="488"/>
      <c r="B534" s="462"/>
      <c r="C534" s="466"/>
      <c r="D534" s="456"/>
      <c r="E534" s="456"/>
      <c r="F534" s="259" t="s">
        <v>430</v>
      </c>
      <c r="G534" s="260">
        <f>INDEX([1]회생채권자요약!J:J,ROW('[2]회생채권총괄 (3)'!G489)/4)</f>
        <v>0</v>
      </c>
      <c r="H534" s="260">
        <f>G534</f>
        <v>0</v>
      </c>
      <c r="I534" s="252"/>
      <c r="J534" s="479"/>
    </row>
    <row r="535" spans="1:12" ht="18" customHeight="1">
      <c r="A535" s="488"/>
      <c r="B535" s="463"/>
      <c r="C535" s="467"/>
      <c r="D535" s="456"/>
      <c r="E535" s="456"/>
      <c r="F535" s="259"/>
      <c r="G535" s="260"/>
      <c r="H535" s="260"/>
      <c r="I535" s="252"/>
      <c r="J535" s="479"/>
    </row>
    <row r="536" spans="1:12" ht="18" customHeight="1" thickBot="1">
      <c r="A536" s="489"/>
      <c r="B536" s="464"/>
      <c r="C536" s="468"/>
      <c r="D536" s="457"/>
      <c r="E536" s="457"/>
      <c r="F536" s="268" t="str">
        <f>IF(OR(MID(C532,2,1)="-",MID(C532,3,1)="-",MID(C532,4,1)="-",MID(47,5,1)="-"),"소계","합계")</f>
        <v>합계</v>
      </c>
      <c r="G536" s="269">
        <f t="shared" ref="G536:H536" si="89">SUM(G533:G534)</f>
        <v>0</v>
      </c>
      <c r="H536" s="269">
        <f t="shared" si="89"/>
        <v>0</v>
      </c>
      <c r="I536" s="253"/>
      <c r="J536" s="480"/>
    </row>
    <row r="537" spans="1:12" ht="18" customHeight="1">
      <c r="A537" s="487">
        <f>A532+1</f>
        <v>89</v>
      </c>
      <c r="B537" s="461" t="s">
        <v>236</v>
      </c>
      <c r="C537" s="490">
        <f>A537</f>
        <v>89</v>
      </c>
      <c r="D537" s="455"/>
      <c r="E537" s="455"/>
      <c r="F537" s="171" t="s">
        <v>439</v>
      </c>
      <c r="G537" s="258"/>
      <c r="H537" s="258"/>
      <c r="I537" s="251"/>
      <c r="J537" s="491" t="s">
        <v>428</v>
      </c>
    </row>
    <row r="538" spans="1:12" ht="18" customHeight="1">
      <c r="A538" s="488"/>
      <c r="B538" s="462"/>
      <c r="C538" s="466"/>
      <c r="D538" s="456"/>
      <c r="E538" s="456"/>
      <c r="F538" s="259" t="s">
        <v>429</v>
      </c>
      <c r="G538" s="182">
        <f>회생채권개별!F2173</f>
        <v>0</v>
      </c>
      <c r="H538" s="182">
        <f>G538</f>
        <v>0</v>
      </c>
      <c r="I538" s="252"/>
      <c r="J538" s="479"/>
    </row>
    <row r="539" spans="1:12" ht="18" customHeight="1">
      <c r="A539" s="488"/>
      <c r="B539" s="462"/>
      <c r="C539" s="466"/>
      <c r="D539" s="456"/>
      <c r="E539" s="456"/>
      <c r="F539" s="259" t="s">
        <v>430</v>
      </c>
      <c r="G539" s="260">
        <f>INDEX([1]회생채권자요약!J:J,ROW('[2]회생채권총괄 (3)'!G494)/4)</f>
        <v>0</v>
      </c>
      <c r="H539" s="260">
        <f>G539</f>
        <v>0</v>
      </c>
      <c r="I539" s="252"/>
      <c r="J539" s="479"/>
    </row>
    <row r="540" spans="1:12" ht="18" customHeight="1">
      <c r="A540" s="488"/>
      <c r="B540" s="463"/>
      <c r="C540" s="467"/>
      <c r="D540" s="456"/>
      <c r="E540" s="456"/>
      <c r="F540" s="259"/>
      <c r="G540" s="260"/>
      <c r="H540" s="260"/>
      <c r="I540" s="252"/>
      <c r="J540" s="479"/>
    </row>
    <row r="541" spans="1:12" ht="18" customHeight="1" thickBot="1">
      <c r="A541" s="489"/>
      <c r="B541" s="464"/>
      <c r="C541" s="468"/>
      <c r="D541" s="457"/>
      <c r="E541" s="457"/>
      <c r="F541" s="268" t="str">
        <f>IF(OR(MID(C537,2,1)="-",MID(C537,3,1)="-",MID(C537,4,1)="-",MID(47,5,1)="-"),"소계","합계")</f>
        <v>합계</v>
      </c>
      <c r="G541" s="269">
        <f t="shared" ref="G541:H541" si="90">SUM(G538:G539)</f>
        <v>0</v>
      </c>
      <c r="H541" s="269">
        <f t="shared" si="90"/>
        <v>0</v>
      </c>
      <c r="I541" s="253"/>
      <c r="J541" s="480"/>
    </row>
    <row r="542" spans="1:12" ht="18" customHeight="1">
      <c r="A542" s="521" t="s">
        <v>166</v>
      </c>
      <c r="B542" s="522"/>
      <c r="C542" s="522"/>
      <c r="D542" s="522"/>
      <c r="E542" s="523"/>
      <c r="F542" s="259" t="s">
        <v>429</v>
      </c>
      <c r="G542" s="182">
        <f>SUMIF($F$6:$F$541,F542,G6:G541)+$K$50+$K$109</f>
        <v>8820155859</v>
      </c>
      <c r="H542" s="182">
        <f>SUMIF($F$6:$F$541,F542,H6:H541)+$K$50+$K$109</f>
        <v>8820155859</v>
      </c>
      <c r="I542" s="252"/>
      <c r="J542" s="531"/>
      <c r="K542" s="326">
        <f>K545+K544</f>
        <v>1043537.25</v>
      </c>
      <c r="L542" s="327">
        <v>1043537.25</v>
      </c>
    </row>
    <row r="543" spans="1:12" ht="18" customHeight="1">
      <c r="A543" s="524"/>
      <c r="B543" s="525"/>
      <c r="C543" s="525"/>
      <c r="D543" s="525"/>
      <c r="E543" s="526"/>
      <c r="F543" s="259"/>
      <c r="G543" s="182" t="s">
        <v>476</v>
      </c>
      <c r="H543" s="182" t="s">
        <v>476</v>
      </c>
      <c r="I543" s="325"/>
      <c r="J543" s="479"/>
      <c r="K543" s="326"/>
      <c r="L543" s="327"/>
    </row>
    <row r="544" spans="1:12" ht="18" customHeight="1">
      <c r="A544" s="524"/>
      <c r="B544" s="527"/>
      <c r="C544" s="527"/>
      <c r="D544" s="527"/>
      <c r="E544" s="526"/>
      <c r="F544" s="259" t="s">
        <v>430</v>
      </c>
      <c r="G544" s="309"/>
      <c r="H544" s="182"/>
      <c r="I544" s="252"/>
      <c r="J544" s="479"/>
      <c r="K544" s="326">
        <v>134439.21</v>
      </c>
    </row>
    <row r="545" spans="1:11" ht="18" customHeight="1">
      <c r="A545" s="524"/>
      <c r="B545" s="527"/>
      <c r="C545" s="527"/>
      <c r="D545" s="527"/>
      <c r="E545" s="526"/>
      <c r="F545" s="281"/>
      <c r="G545" s="260"/>
      <c r="H545" s="260"/>
      <c r="I545" s="252"/>
      <c r="J545" s="479"/>
      <c r="K545" s="326">
        <v>909098.04</v>
      </c>
    </row>
    <row r="546" spans="1:11" ht="41.25" customHeight="1" thickBot="1">
      <c r="A546" s="528"/>
      <c r="B546" s="529"/>
      <c r="C546" s="529"/>
      <c r="D546" s="529"/>
      <c r="E546" s="530"/>
      <c r="F546" s="268" t="s">
        <v>20</v>
      </c>
      <c r="G546" s="269" t="s">
        <v>477</v>
      </c>
      <c r="H546" s="269" t="s">
        <v>477</v>
      </c>
      <c r="I546" s="253"/>
      <c r="J546" s="480"/>
    </row>
  </sheetData>
  <mergeCells count="608">
    <mergeCell ref="A537:A541"/>
    <mergeCell ref="B537:B541"/>
    <mergeCell ref="C537:C541"/>
    <mergeCell ref="D537:D541"/>
    <mergeCell ref="E537:E541"/>
    <mergeCell ref="J537:J541"/>
    <mergeCell ref="C26:C30"/>
    <mergeCell ref="J26:J30"/>
    <mergeCell ref="B31:B35"/>
    <mergeCell ref="C31:C35"/>
    <mergeCell ref="J31:J35"/>
    <mergeCell ref="B36:B40"/>
    <mergeCell ref="C36:C40"/>
    <mergeCell ref="J36:J40"/>
    <mergeCell ref="B41:B45"/>
    <mergeCell ref="C41:C45"/>
    <mergeCell ref="J41:J45"/>
    <mergeCell ref="D6:D45"/>
    <mergeCell ref="E6:E45"/>
    <mergeCell ref="B207:B211"/>
    <mergeCell ref="C207:C211"/>
    <mergeCell ref="D207:D211"/>
    <mergeCell ref="E207:E211"/>
    <mergeCell ref="J207:J211"/>
    <mergeCell ref="J212:J216"/>
    <mergeCell ref="A222:A226"/>
    <mergeCell ref="B222:B226"/>
    <mergeCell ref="C222:C226"/>
    <mergeCell ref="D222:D226"/>
    <mergeCell ref="E222:E226"/>
    <mergeCell ref="J222:J226"/>
    <mergeCell ref="A242:A246"/>
    <mergeCell ref="B242:B246"/>
    <mergeCell ref="C242:C246"/>
    <mergeCell ref="D242:D246"/>
    <mergeCell ref="E242:E246"/>
    <mergeCell ref="A212:A216"/>
    <mergeCell ref="B212:B216"/>
    <mergeCell ref="C212:C216"/>
    <mergeCell ref="D212:D216"/>
    <mergeCell ref="E212:E216"/>
    <mergeCell ref="J237:J241"/>
    <mergeCell ref="A272:A276"/>
    <mergeCell ref="B272:B276"/>
    <mergeCell ref="C272:C276"/>
    <mergeCell ref="D272:D276"/>
    <mergeCell ref="E272:E276"/>
    <mergeCell ref="J272:J276"/>
    <mergeCell ref="J262:J266"/>
    <mergeCell ref="B252:B256"/>
    <mergeCell ref="C252:C256"/>
    <mergeCell ref="D252:D256"/>
    <mergeCell ref="E252:E256"/>
    <mergeCell ref="J252:J256"/>
    <mergeCell ref="A252:A256"/>
    <mergeCell ref="A257:A261"/>
    <mergeCell ref="B257:B261"/>
    <mergeCell ref="C257:C261"/>
    <mergeCell ref="D257:D261"/>
    <mergeCell ref="E257:E261"/>
    <mergeCell ref="J257:J261"/>
    <mergeCell ref="A267:A271"/>
    <mergeCell ref="B267:B271"/>
    <mergeCell ref="C267:C271"/>
    <mergeCell ref="D267:D271"/>
    <mergeCell ref="E267:E271"/>
    <mergeCell ref="A282:A286"/>
    <mergeCell ref="B282:B286"/>
    <mergeCell ref="C282:C286"/>
    <mergeCell ref="D282:D286"/>
    <mergeCell ref="E282:E286"/>
    <mergeCell ref="J282:J286"/>
    <mergeCell ref="E143:E147"/>
    <mergeCell ref="A232:A236"/>
    <mergeCell ref="B232:B236"/>
    <mergeCell ref="C232:C236"/>
    <mergeCell ref="D232:D236"/>
    <mergeCell ref="E232:E236"/>
    <mergeCell ref="J232:J236"/>
    <mergeCell ref="A227:A231"/>
    <mergeCell ref="B227:B231"/>
    <mergeCell ref="C227:C231"/>
    <mergeCell ref="D227:D231"/>
    <mergeCell ref="E227:E231"/>
    <mergeCell ref="J227:J231"/>
    <mergeCell ref="J202:J206"/>
    <mergeCell ref="A197:A201"/>
    <mergeCell ref="B197:B201"/>
    <mergeCell ref="C197:C201"/>
    <mergeCell ref="D197:D201"/>
    <mergeCell ref="J197:J201"/>
    <mergeCell ref="A158:A162"/>
    <mergeCell ref="B158:B162"/>
    <mergeCell ref="C158:C162"/>
    <mergeCell ref="D158:D162"/>
    <mergeCell ref="E158:E162"/>
    <mergeCell ref="J158:J162"/>
    <mergeCell ref="A202:A206"/>
    <mergeCell ref="B202:B206"/>
    <mergeCell ref="C202:C206"/>
    <mergeCell ref="D202:D206"/>
    <mergeCell ref="E202:E206"/>
    <mergeCell ref="E197:E201"/>
    <mergeCell ref="D163:D167"/>
    <mergeCell ref="E163:E167"/>
    <mergeCell ref="J163:J167"/>
    <mergeCell ref="B163:B167"/>
    <mergeCell ref="C163:C167"/>
    <mergeCell ref="D168:D172"/>
    <mergeCell ref="E168:E172"/>
    <mergeCell ref="J168:J172"/>
    <mergeCell ref="B168:B172"/>
    <mergeCell ref="C168:C172"/>
    <mergeCell ref="A207:A211"/>
    <mergeCell ref="A153:A157"/>
    <mergeCell ref="B153:B157"/>
    <mergeCell ref="C153:C157"/>
    <mergeCell ref="D153:D157"/>
    <mergeCell ref="J143:J147"/>
    <mergeCell ref="E153:E157"/>
    <mergeCell ref="J153:J157"/>
    <mergeCell ref="A143:A147"/>
    <mergeCell ref="B143:B147"/>
    <mergeCell ref="C143:C147"/>
    <mergeCell ref="B183:E186"/>
    <mergeCell ref="J183:J186"/>
    <mergeCell ref="D178:D182"/>
    <mergeCell ref="E178:E182"/>
    <mergeCell ref="J178:J182"/>
    <mergeCell ref="B178:B182"/>
    <mergeCell ref="C178:C182"/>
    <mergeCell ref="A163:A186"/>
    <mergeCell ref="D173:D177"/>
    <mergeCell ref="E173:E177"/>
    <mergeCell ref="J173:J177"/>
    <mergeCell ref="B173:B177"/>
    <mergeCell ref="C173:C177"/>
    <mergeCell ref="A104:A108"/>
    <mergeCell ref="B104:B108"/>
    <mergeCell ref="C104:C108"/>
    <mergeCell ref="D104:D108"/>
    <mergeCell ref="E104:E108"/>
    <mergeCell ref="J104:J108"/>
    <mergeCell ref="A148:A152"/>
    <mergeCell ref="B148:B152"/>
    <mergeCell ref="C148:C152"/>
    <mergeCell ref="D148:D152"/>
    <mergeCell ref="E148:E152"/>
    <mergeCell ref="J148:J152"/>
    <mergeCell ref="A138:A142"/>
    <mergeCell ref="B138:B142"/>
    <mergeCell ref="C138:C142"/>
    <mergeCell ref="D138:D142"/>
    <mergeCell ref="E138:E142"/>
    <mergeCell ref="J138:J142"/>
    <mergeCell ref="D143:D147"/>
    <mergeCell ref="J124:J128"/>
    <mergeCell ref="B124:B128"/>
    <mergeCell ref="C124:C128"/>
    <mergeCell ref="D124:D128"/>
    <mergeCell ref="E109:E113"/>
    <mergeCell ref="A542:E546"/>
    <mergeCell ref="J542:J546"/>
    <mergeCell ref="A70:A74"/>
    <mergeCell ref="B70:B74"/>
    <mergeCell ref="C70:C74"/>
    <mergeCell ref="D70:D74"/>
    <mergeCell ref="E70:E74"/>
    <mergeCell ref="J70:J74"/>
    <mergeCell ref="A75:A79"/>
    <mergeCell ref="B75:B79"/>
    <mergeCell ref="C75:C79"/>
    <mergeCell ref="D75:D79"/>
    <mergeCell ref="E75:E79"/>
    <mergeCell ref="A109:A113"/>
    <mergeCell ref="B109:B113"/>
    <mergeCell ref="C109:C113"/>
    <mergeCell ref="D109:D113"/>
    <mergeCell ref="J109:J113"/>
    <mergeCell ref="A80:A84"/>
    <mergeCell ref="B80:B84"/>
    <mergeCell ref="C80:C84"/>
    <mergeCell ref="D80:D84"/>
    <mergeCell ref="E80:E84"/>
    <mergeCell ref="J80:J84"/>
    <mergeCell ref="J267:J271"/>
    <mergeCell ref="A247:A251"/>
    <mergeCell ref="B247:B251"/>
    <mergeCell ref="C247:C251"/>
    <mergeCell ref="D247:D251"/>
    <mergeCell ref="E247:E251"/>
    <mergeCell ref="J247:J251"/>
    <mergeCell ref="J242:J246"/>
    <mergeCell ref="A237:A241"/>
    <mergeCell ref="B237:B241"/>
    <mergeCell ref="C237:C241"/>
    <mergeCell ref="D237:D241"/>
    <mergeCell ref="E237:E241"/>
    <mergeCell ref="A262:A266"/>
    <mergeCell ref="B262:B266"/>
    <mergeCell ref="C262:C266"/>
    <mergeCell ref="D262:D266"/>
    <mergeCell ref="E262:E266"/>
    <mergeCell ref="A65:A69"/>
    <mergeCell ref="B65:B69"/>
    <mergeCell ref="C65:C69"/>
    <mergeCell ref="D65:D69"/>
    <mergeCell ref="E65:E69"/>
    <mergeCell ref="J65:J69"/>
    <mergeCell ref="A217:A221"/>
    <mergeCell ref="B217:B221"/>
    <mergeCell ref="C217:C221"/>
    <mergeCell ref="D217:D221"/>
    <mergeCell ref="E217:E221"/>
    <mergeCell ref="J217:J221"/>
    <mergeCell ref="A187:A191"/>
    <mergeCell ref="B187:B191"/>
    <mergeCell ref="C187:C191"/>
    <mergeCell ref="D187:D191"/>
    <mergeCell ref="E187:E191"/>
    <mergeCell ref="J187:J191"/>
    <mergeCell ref="A192:A196"/>
    <mergeCell ref="B192:B196"/>
    <mergeCell ref="C192:C196"/>
    <mergeCell ref="D192:D196"/>
    <mergeCell ref="E192:E196"/>
    <mergeCell ref="J192:J196"/>
    <mergeCell ref="A1:J1"/>
    <mergeCell ref="B2:J2"/>
    <mergeCell ref="A4:D4"/>
    <mergeCell ref="B5:C5"/>
    <mergeCell ref="A6:A49"/>
    <mergeCell ref="B6:B10"/>
    <mergeCell ref="C6:C10"/>
    <mergeCell ref="J6:J10"/>
    <mergeCell ref="B11:B15"/>
    <mergeCell ref="C11:C15"/>
    <mergeCell ref="J11:J15"/>
    <mergeCell ref="B46:E49"/>
    <mergeCell ref="J46:J49"/>
    <mergeCell ref="B16:B20"/>
    <mergeCell ref="C16:C20"/>
    <mergeCell ref="J16:J20"/>
    <mergeCell ref="B21:B25"/>
    <mergeCell ref="C21:C25"/>
    <mergeCell ref="J21:J25"/>
    <mergeCell ref="B26:B30"/>
    <mergeCell ref="A50:A54"/>
    <mergeCell ref="D50:D54"/>
    <mergeCell ref="E50:E54"/>
    <mergeCell ref="J50:J54"/>
    <mergeCell ref="A277:A281"/>
    <mergeCell ref="B277:B281"/>
    <mergeCell ref="C277:C281"/>
    <mergeCell ref="D277:D281"/>
    <mergeCell ref="E277:E281"/>
    <mergeCell ref="J277:J281"/>
    <mergeCell ref="B50:B54"/>
    <mergeCell ref="C50:C54"/>
    <mergeCell ref="A60:A64"/>
    <mergeCell ref="B60:B64"/>
    <mergeCell ref="C60:C64"/>
    <mergeCell ref="D60:D64"/>
    <mergeCell ref="E60:E64"/>
    <mergeCell ref="J60:J64"/>
    <mergeCell ref="A55:A59"/>
    <mergeCell ref="B55:B59"/>
    <mergeCell ref="C55:C59"/>
    <mergeCell ref="D55:D59"/>
    <mergeCell ref="E55:E59"/>
    <mergeCell ref="J55:J59"/>
    <mergeCell ref="C287:C291"/>
    <mergeCell ref="D287:D291"/>
    <mergeCell ref="E287:E291"/>
    <mergeCell ref="J287:J291"/>
    <mergeCell ref="A297:A301"/>
    <mergeCell ref="B297:B301"/>
    <mergeCell ref="C297:C301"/>
    <mergeCell ref="D297:D301"/>
    <mergeCell ref="E297:E301"/>
    <mergeCell ref="J297:J301"/>
    <mergeCell ref="A292:A296"/>
    <mergeCell ref="B292:B296"/>
    <mergeCell ref="C292:C296"/>
    <mergeCell ref="D292:D296"/>
    <mergeCell ref="E292:E296"/>
    <mergeCell ref="J292:J296"/>
    <mergeCell ref="A287:A291"/>
    <mergeCell ref="B287:B291"/>
    <mergeCell ref="A302:A306"/>
    <mergeCell ref="B302:B306"/>
    <mergeCell ref="C302:C306"/>
    <mergeCell ref="D302:D306"/>
    <mergeCell ref="E302:E306"/>
    <mergeCell ref="J302:J306"/>
    <mergeCell ref="A307:A311"/>
    <mergeCell ref="B307:B311"/>
    <mergeCell ref="C307:C311"/>
    <mergeCell ref="D307:D311"/>
    <mergeCell ref="E307:E311"/>
    <mergeCell ref="J307:J311"/>
    <mergeCell ref="A312:A316"/>
    <mergeCell ref="B312:B316"/>
    <mergeCell ref="C312:C316"/>
    <mergeCell ref="D312:D316"/>
    <mergeCell ref="E312:E316"/>
    <mergeCell ref="J312:J316"/>
    <mergeCell ref="A317:A321"/>
    <mergeCell ref="B317:B321"/>
    <mergeCell ref="C317:C321"/>
    <mergeCell ref="D317:D321"/>
    <mergeCell ref="E317:E321"/>
    <mergeCell ref="J317:J321"/>
    <mergeCell ref="A322:A326"/>
    <mergeCell ref="B322:B326"/>
    <mergeCell ref="C322:C326"/>
    <mergeCell ref="D322:D326"/>
    <mergeCell ref="E322:E326"/>
    <mergeCell ref="J322:J326"/>
    <mergeCell ref="A327:A331"/>
    <mergeCell ref="B327:B331"/>
    <mergeCell ref="C327:C331"/>
    <mergeCell ref="D327:D331"/>
    <mergeCell ref="E327:E331"/>
    <mergeCell ref="J327:J331"/>
    <mergeCell ref="A332:A336"/>
    <mergeCell ref="B332:B336"/>
    <mergeCell ref="C332:C336"/>
    <mergeCell ref="D332:D336"/>
    <mergeCell ref="E332:E336"/>
    <mergeCell ref="J332:J336"/>
    <mergeCell ref="A337:A341"/>
    <mergeCell ref="B337:B341"/>
    <mergeCell ref="C337:C341"/>
    <mergeCell ref="D337:D341"/>
    <mergeCell ref="E337:E341"/>
    <mergeCell ref="J337:J341"/>
    <mergeCell ref="A342:A346"/>
    <mergeCell ref="B342:B346"/>
    <mergeCell ref="C342:C346"/>
    <mergeCell ref="D342:D346"/>
    <mergeCell ref="E342:E346"/>
    <mergeCell ref="J342:J346"/>
    <mergeCell ref="A347:A351"/>
    <mergeCell ref="B347:B351"/>
    <mergeCell ref="C347:C351"/>
    <mergeCell ref="D347:D351"/>
    <mergeCell ref="E347:E351"/>
    <mergeCell ref="J347:J351"/>
    <mergeCell ref="A352:A356"/>
    <mergeCell ref="B352:B356"/>
    <mergeCell ref="C352:C356"/>
    <mergeCell ref="D352:D356"/>
    <mergeCell ref="E352:E356"/>
    <mergeCell ref="J352:J356"/>
    <mergeCell ref="A357:A361"/>
    <mergeCell ref="B357:B361"/>
    <mergeCell ref="C357:C361"/>
    <mergeCell ref="D357:D361"/>
    <mergeCell ref="E357:E361"/>
    <mergeCell ref="J357:J361"/>
    <mergeCell ref="A362:A366"/>
    <mergeCell ref="B362:B366"/>
    <mergeCell ref="C362:C366"/>
    <mergeCell ref="D362:D366"/>
    <mergeCell ref="E362:E366"/>
    <mergeCell ref="J362:J366"/>
    <mergeCell ref="A367:A371"/>
    <mergeCell ref="B367:B371"/>
    <mergeCell ref="C367:C371"/>
    <mergeCell ref="D367:D371"/>
    <mergeCell ref="E367:E371"/>
    <mergeCell ref="J367:J371"/>
    <mergeCell ref="A372:A376"/>
    <mergeCell ref="B372:B376"/>
    <mergeCell ref="C372:C376"/>
    <mergeCell ref="D372:D376"/>
    <mergeCell ref="E372:E376"/>
    <mergeCell ref="J372:J376"/>
    <mergeCell ref="A377:A381"/>
    <mergeCell ref="B377:B381"/>
    <mergeCell ref="C377:C381"/>
    <mergeCell ref="D377:D381"/>
    <mergeCell ref="E377:E381"/>
    <mergeCell ref="J377:J381"/>
    <mergeCell ref="A382:A386"/>
    <mergeCell ref="B382:B386"/>
    <mergeCell ref="C382:C386"/>
    <mergeCell ref="D382:D386"/>
    <mergeCell ref="E382:E386"/>
    <mergeCell ref="J382:J386"/>
    <mergeCell ref="A387:A391"/>
    <mergeCell ref="B387:B391"/>
    <mergeCell ref="C387:C391"/>
    <mergeCell ref="D387:D391"/>
    <mergeCell ref="E387:E391"/>
    <mergeCell ref="J387:J391"/>
    <mergeCell ref="A392:A396"/>
    <mergeCell ref="B392:B396"/>
    <mergeCell ref="C392:C396"/>
    <mergeCell ref="D392:D396"/>
    <mergeCell ref="E392:E396"/>
    <mergeCell ref="J392:J396"/>
    <mergeCell ref="A397:A401"/>
    <mergeCell ref="B397:B401"/>
    <mergeCell ref="C397:C401"/>
    <mergeCell ref="D397:D401"/>
    <mergeCell ref="E397:E401"/>
    <mergeCell ref="J397:J401"/>
    <mergeCell ref="A402:A406"/>
    <mergeCell ref="B402:B406"/>
    <mergeCell ref="C402:C406"/>
    <mergeCell ref="D402:D406"/>
    <mergeCell ref="E402:E406"/>
    <mergeCell ref="J402:J406"/>
    <mergeCell ref="A407:A411"/>
    <mergeCell ref="B407:B411"/>
    <mergeCell ref="C407:C411"/>
    <mergeCell ref="D407:D411"/>
    <mergeCell ref="E407:E411"/>
    <mergeCell ref="J407:J411"/>
    <mergeCell ref="A412:A416"/>
    <mergeCell ref="B412:B416"/>
    <mergeCell ref="C412:C416"/>
    <mergeCell ref="D412:D416"/>
    <mergeCell ref="E412:E416"/>
    <mergeCell ref="J412:J416"/>
    <mergeCell ref="A417:A421"/>
    <mergeCell ref="B417:B421"/>
    <mergeCell ref="C417:C421"/>
    <mergeCell ref="D417:D421"/>
    <mergeCell ref="E417:E421"/>
    <mergeCell ref="J417:J421"/>
    <mergeCell ref="A422:A426"/>
    <mergeCell ref="B422:B426"/>
    <mergeCell ref="C422:C426"/>
    <mergeCell ref="D422:D426"/>
    <mergeCell ref="E422:E426"/>
    <mergeCell ref="J422:J426"/>
    <mergeCell ref="A427:A431"/>
    <mergeCell ref="B427:B431"/>
    <mergeCell ref="C427:C431"/>
    <mergeCell ref="D427:D431"/>
    <mergeCell ref="E427:E431"/>
    <mergeCell ref="J427:J431"/>
    <mergeCell ref="A432:A436"/>
    <mergeCell ref="B432:B436"/>
    <mergeCell ref="C432:C436"/>
    <mergeCell ref="D432:D436"/>
    <mergeCell ref="E432:E436"/>
    <mergeCell ref="J432:J436"/>
    <mergeCell ref="A437:A441"/>
    <mergeCell ref="B437:B441"/>
    <mergeCell ref="C437:C441"/>
    <mergeCell ref="D437:D441"/>
    <mergeCell ref="E437:E441"/>
    <mergeCell ref="J437:J441"/>
    <mergeCell ref="A442:A446"/>
    <mergeCell ref="B442:B446"/>
    <mergeCell ref="C442:C446"/>
    <mergeCell ref="D442:D446"/>
    <mergeCell ref="E442:E446"/>
    <mergeCell ref="J442:J446"/>
    <mergeCell ref="A447:A451"/>
    <mergeCell ref="B447:B451"/>
    <mergeCell ref="C447:C451"/>
    <mergeCell ref="D447:D451"/>
    <mergeCell ref="E447:E451"/>
    <mergeCell ref="J447:J451"/>
    <mergeCell ref="A452:A456"/>
    <mergeCell ref="B452:B456"/>
    <mergeCell ref="C452:C456"/>
    <mergeCell ref="D452:D456"/>
    <mergeCell ref="E452:E456"/>
    <mergeCell ref="J452:J456"/>
    <mergeCell ref="A457:A461"/>
    <mergeCell ref="B457:B461"/>
    <mergeCell ref="C457:C461"/>
    <mergeCell ref="D457:D461"/>
    <mergeCell ref="E457:E461"/>
    <mergeCell ref="J457:J461"/>
    <mergeCell ref="A462:A466"/>
    <mergeCell ref="B462:B466"/>
    <mergeCell ref="C462:C466"/>
    <mergeCell ref="D462:D466"/>
    <mergeCell ref="E462:E466"/>
    <mergeCell ref="J462:J466"/>
    <mergeCell ref="A467:A471"/>
    <mergeCell ref="B467:B471"/>
    <mergeCell ref="C467:C471"/>
    <mergeCell ref="D467:D471"/>
    <mergeCell ref="E467:E471"/>
    <mergeCell ref="J467:J471"/>
    <mergeCell ref="A472:A476"/>
    <mergeCell ref="B472:B476"/>
    <mergeCell ref="C472:C476"/>
    <mergeCell ref="D472:D476"/>
    <mergeCell ref="E472:E476"/>
    <mergeCell ref="J472:J476"/>
    <mergeCell ref="A477:A481"/>
    <mergeCell ref="B477:B481"/>
    <mergeCell ref="C477:C481"/>
    <mergeCell ref="D477:D481"/>
    <mergeCell ref="E477:E481"/>
    <mergeCell ref="J477:J481"/>
    <mergeCell ref="A482:A486"/>
    <mergeCell ref="B482:B486"/>
    <mergeCell ref="C482:C486"/>
    <mergeCell ref="D482:D486"/>
    <mergeCell ref="E482:E486"/>
    <mergeCell ref="J482:J486"/>
    <mergeCell ref="A487:A491"/>
    <mergeCell ref="B487:B491"/>
    <mergeCell ref="C487:C491"/>
    <mergeCell ref="D487:D491"/>
    <mergeCell ref="E487:E491"/>
    <mergeCell ref="J487:J491"/>
    <mergeCell ref="A492:A496"/>
    <mergeCell ref="B492:B496"/>
    <mergeCell ref="C492:C496"/>
    <mergeCell ref="D492:D496"/>
    <mergeCell ref="E492:E496"/>
    <mergeCell ref="J492:J496"/>
    <mergeCell ref="A497:A501"/>
    <mergeCell ref="B497:B501"/>
    <mergeCell ref="C497:C501"/>
    <mergeCell ref="D497:D501"/>
    <mergeCell ref="E497:E501"/>
    <mergeCell ref="J497:J501"/>
    <mergeCell ref="A502:A506"/>
    <mergeCell ref="B502:B506"/>
    <mergeCell ref="C502:C506"/>
    <mergeCell ref="D502:D506"/>
    <mergeCell ref="E502:E506"/>
    <mergeCell ref="J502:J506"/>
    <mergeCell ref="A507:A511"/>
    <mergeCell ref="B507:B511"/>
    <mergeCell ref="C507:C511"/>
    <mergeCell ref="D507:D511"/>
    <mergeCell ref="E507:E511"/>
    <mergeCell ref="J507:J511"/>
    <mergeCell ref="A512:A516"/>
    <mergeCell ref="B512:B516"/>
    <mergeCell ref="C512:C516"/>
    <mergeCell ref="D512:D516"/>
    <mergeCell ref="E512:E516"/>
    <mergeCell ref="J512:J516"/>
    <mergeCell ref="A517:A521"/>
    <mergeCell ref="B517:B521"/>
    <mergeCell ref="C517:C521"/>
    <mergeCell ref="D517:D521"/>
    <mergeCell ref="E517:E521"/>
    <mergeCell ref="J517:J521"/>
    <mergeCell ref="A532:A536"/>
    <mergeCell ref="B532:B536"/>
    <mergeCell ref="C532:C536"/>
    <mergeCell ref="D532:D536"/>
    <mergeCell ref="E532:E536"/>
    <mergeCell ref="J532:J536"/>
    <mergeCell ref="A522:A526"/>
    <mergeCell ref="B522:B526"/>
    <mergeCell ref="C522:C526"/>
    <mergeCell ref="D522:D526"/>
    <mergeCell ref="E522:E526"/>
    <mergeCell ref="J522:J526"/>
    <mergeCell ref="A527:A531"/>
    <mergeCell ref="B527:B531"/>
    <mergeCell ref="C527:C531"/>
    <mergeCell ref="D527:D531"/>
    <mergeCell ref="E527:E531"/>
    <mergeCell ref="J527:J531"/>
    <mergeCell ref="A114:A137"/>
    <mergeCell ref="B95:B99"/>
    <mergeCell ref="C95:C99"/>
    <mergeCell ref="D95:D99"/>
    <mergeCell ref="E95:E99"/>
    <mergeCell ref="J95:J99"/>
    <mergeCell ref="J114:J118"/>
    <mergeCell ref="B114:B118"/>
    <mergeCell ref="C114:C118"/>
    <mergeCell ref="D114:D118"/>
    <mergeCell ref="E114:E118"/>
    <mergeCell ref="B100:E103"/>
    <mergeCell ref="J100:J103"/>
    <mergeCell ref="A85:A103"/>
    <mergeCell ref="B85:B89"/>
    <mergeCell ref="C85:C89"/>
    <mergeCell ref="D85:D89"/>
    <mergeCell ref="E85:E89"/>
    <mergeCell ref="J85:J89"/>
    <mergeCell ref="B90:B94"/>
    <mergeCell ref="C90:C94"/>
    <mergeCell ref="D90:D94"/>
    <mergeCell ref="E90:E94"/>
    <mergeCell ref="J90:J94"/>
    <mergeCell ref="E124:E128"/>
    <mergeCell ref="J119:J123"/>
    <mergeCell ref="B119:B123"/>
    <mergeCell ref="C119:C123"/>
    <mergeCell ref="D119:D123"/>
    <mergeCell ref="E119:E123"/>
    <mergeCell ref="B134:E137"/>
    <mergeCell ref="J134:J137"/>
    <mergeCell ref="J129:J133"/>
    <mergeCell ref="B129:B133"/>
    <mergeCell ref="C129:C133"/>
    <mergeCell ref="D129:D133"/>
    <mergeCell ref="E129:E133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scale="66" fitToHeight="0" orientation="landscape" r:id="rId1"/>
  <headerFooter>
    <oddFooter>&amp;C&amp;"맑은 고딕,Regular"&amp;P</oddFooter>
  </headerFooter>
  <rowBreaks count="19" manualBreakCount="19">
    <brk id="1" max="1048575" man="1"/>
    <brk id="35" max="9" man="1"/>
    <brk id="59" max="9" man="1"/>
    <brk id="84" max="9" man="1"/>
    <brk id="108" max="9" man="1"/>
    <brk id="137" max="9" man="1"/>
    <brk id="162" max="9" man="1"/>
    <brk id="191" max="9" man="1"/>
    <brk id="221" max="9" man="1"/>
    <brk id="251" max="9" man="1"/>
    <brk id="281" max="9" man="1"/>
    <brk id="316" max="9" man="1"/>
    <brk id="351" max="1048575" man="1"/>
    <brk id="381" max="1048575" man="1"/>
    <brk id="411" max="1048575" man="1"/>
    <brk id="441" max="1048575" man="1"/>
    <brk id="471" max="1048575" man="1"/>
    <brk id="501" max="1048575" man="1"/>
    <brk id="536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252"/>
  <sheetViews>
    <sheetView view="pageBreakPreview" topLeftCell="A397" zoomScale="80" zoomScaleNormal="100" zoomScaleSheetLayoutView="80" workbookViewId="0">
      <selection activeCell="C426" sqref="C426:G426"/>
    </sheetView>
  </sheetViews>
  <sheetFormatPr defaultColWidth="9.109375" defaultRowHeight="31.5" customHeight="1"/>
  <cols>
    <col min="1" max="2" width="7.77734375" style="71" customWidth="1"/>
    <col min="3" max="3" width="6.77734375" style="71" customWidth="1"/>
    <col min="4" max="4" width="4.77734375" style="71" customWidth="1"/>
    <col min="5" max="5" width="10.77734375" style="71" customWidth="1"/>
    <col min="6" max="6" width="14.77734375" style="71" customWidth="1"/>
    <col min="7" max="7" width="20.77734375" style="71" customWidth="1"/>
    <col min="8" max="16384" width="9.109375" style="71"/>
  </cols>
  <sheetData>
    <row r="1" spans="1:10" ht="399.95" customHeight="1">
      <c r="A1" s="417" t="s">
        <v>77</v>
      </c>
      <c r="B1" s="417"/>
      <c r="C1" s="417"/>
      <c r="D1" s="417"/>
      <c r="E1" s="417"/>
      <c r="F1" s="417"/>
      <c r="G1" s="417"/>
    </row>
    <row r="2" spans="1:10" ht="31.5" customHeight="1">
      <c r="A2" s="417" t="s">
        <v>77</v>
      </c>
      <c r="B2" s="417"/>
      <c r="C2" s="417"/>
      <c r="D2" s="417"/>
      <c r="E2" s="417"/>
      <c r="F2" s="417"/>
      <c r="G2" s="417"/>
      <c r="I2" s="71" t="s">
        <v>77</v>
      </c>
    </row>
    <row r="3" spans="1:10" ht="31.5" customHeight="1">
      <c r="A3" s="127"/>
      <c r="B3" s="127"/>
      <c r="C3" s="127"/>
      <c r="D3" s="127"/>
      <c r="E3" s="127"/>
      <c r="F3" s="127"/>
      <c r="G3" s="127"/>
    </row>
    <row r="4" spans="1:10" ht="31.5" customHeight="1">
      <c r="A4" s="428" t="s">
        <v>34</v>
      </c>
      <c r="B4" s="425"/>
      <c r="C4" s="419" t="s">
        <v>479</v>
      </c>
      <c r="D4" s="420"/>
      <c r="E4" s="420"/>
      <c r="F4" s="62" t="s">
        <v>261</v>
      </c>
      <c r="G4" s="25" t="s">
        <v>480</v>
      </c>
      <c r="I4" s="71" t="s">
        <v>351</v>
      </c>
    </row>
    <row r="5" spans="1:10" ht="31.5" customHeight="1">
      <c r="A5" s="546" t="s">
        <v>146</v>
      </c>
      <c r="B5" s="62" t="s">
        <v>185</v>
      </c>
      <c r="C5" s="549"/>
      <c r="D5" s="418"/>
      <c r="E5" s="418"/>
      <c r="F5" s="418"/>
      <c r="G5" s="418"/>
    </row>
    <row r="6" spans="1:10" ht="31.5" customHeight="1">
      <c r="A6" s="547"/>
      <c r="B6" s="18" t="s">
        <v>180</v>
      </c>
      <c r="C6" s="419"/>
      <c r="D6" s="420"/>
      <c r="E6" s="420"/>
      <c r="F6" s="420"/>
      <c r="G6" s="424"/>
    </row>
    <row r="7" spans="1:10" ht="31.5" customHeight="1">
      <c r="A7" s="548"/>
      <c r="B7" s="62" t="s">
        <v>23</v>
      </c>
      <c r="C7" s="550"/>
      <c r="D7" s="551"/>
      <c r="E7" s="551"/>
      <c r="F7" s="62" t="s">
        <v>151</v>
      </c>
      <c r="G7" s="25"/>
    </row>
    <row r="8" spans="1:10" ht="31.5" customHeight="1">
      <c r="A8" s="419" t="s">
        <v>125</v>
      </c>
      <c r="B8" s="420"/>
      <c r="C8" s="563" t="s">
        <v>270</v>
      </c>
      <c r="D8" s="420"/>
      <c r="E8" s="420"/>
      <c r="F8" s="62" t="s">
        <v>190</v>
      </c>
      <c r="G8" s="25"/>
    </row>
    <row r="9" spans="1:10" ht="31.5" customHeight="1">
      <c r="A9" s="428" t="s">
        <v>385</v>
      </c>
      <c r="B9" s="429"/>
      <c r="C9" s="19" t="s">
        <v>153</v>
      </c>
      <c r="D9" s="425"/>
      <c r="E9" s="425"/>
      <c r="F9" s="426" t="str">
        <f>회생채권총괄!F6</f>
        <v>대여금채권</v>
      </c>
      <c r="G9" s="427"/>
    </row>
    <row r="10" spans="1:10" ht="31.5" customHeight="1">
      <c r="A10" s="430"/>
      <c r="B10" s="431"/>
      <c r="C10" s="19" t="s">
        <v>181</v>
      </c>
      <c r="D10" s="19" t="s">
        <v>260</v>
      </c>
      <c r="E10" s="68" t="s">
        <v>18</v>
      </c>
      <c r="F10" s="302">
        <v>506000000</v>
      </c>
      <c r="G10" s="21" t="s">
        <v>238</v>
      </c>
    </row>
    <row r="11" spans="1:10" ht="31.5" customHeight="1">
      <c r="A11" s="430"/>
      <c r="B11" s="431"/>
      <c r="D11" s="19" t="s">
        <v>260</v>
      </c>
      <c r="E11" s="68" t="s">
        <v>184</v>
      </c>
      <c r="F11" s="59">
        <f>회생채권총괄!G8</f>
        <v>0</v>
      </c>
      <c r="G11" s="21" t="s">
        <v>238</v>
      </c>
    </row>
    <row r="12" spans="1:10" ht="31.5" customHeight="1">
      <c r="A12" s="432"/>
      <c r="B12" s="433"/>
      <c r="C12" s="20"/>
      <c r="D12" s="27"/>
      <c r="E12" s="27"/>
      <c r="G12" s="150"/>
    </row>
    <row r="13" spans="1:10" ht="31.5" customHeight="1">
      <c r="A13" s="447" t="s">
        <v>202</v>
      </c>
      <c r="B13" s="542"/>
      <c r="C13" s="44"/>
      <c r="D13" s="41"/>
      <c r="E13" s="151"/>
      <c r="F13" s="61"/>
      <c r="G13" s="69" t="s">
        <v>238</v>
      </c>
    </row>
    <row r="14" spans="1:10" ht="31.5" customHeight="1">
      <c r="A14" s="447" t="s">
        <v>121</v>
      </c>
      <c r="B14" s="542"/>
      <c r="C14" s="228"/>
      <c r="D14" s="41"/>
      <c r="E14" s="151"/>
      <c r="F14" s="57">
        <f>F10</f>
        <v>506000000</v>
      </c>
      <c r="G14" s="69" t="s">
        <v>238</v>
      </c>
    </row>
    <row r="15" spans="1:10" ht="28.5" customHeight="1">
      <c r="A15" s="447" t="s">
        <v>19</v>
      </c>
      <c r="B15" s="542"/>
      <c r="C15" s="445" t="s">
        <v>1</v>
      </c>
      <c r="D15" s="557"/>
      <c r="E15" s="557"/>
      <c r="F15" s="557"/>
      <c r="G15" s="446"/>
      <c r="I15" s="71" t="s">
        <v>177</v>
      </c>
      <c r="J15" s="71" t="s">
        <v>338</v>
      </c>
    </row>
    <row r="16" spans="1:10" ht="28.5" customHeight="1">
      <c r="A16" s="419" t="s">
        <v>125</v>
      </c>
      <c r="B16" s="420"/>
      <c r="C16" s="552" t="s">
        <v>405</v>
      </c>
      <c r="D16" s="553"/>
      <c r="E16" s="553"/>
      <c r="F16" s="25" t="s">
        <v>190</v>
      </c>
      <c r="G16" s="58"/>
    </row>
    <row r="17" spans="1:10" ht="28.5" customHeight="1">
      <c r="A17" s="428" t="s">
        <v>385</v>
      </c>
      <c r="B17" s="425"/>
      <c r="C17" s="17" t="s">
        <v>153</v>
      </c>
      <c r="D17" s="425" t="s">
        <v>136</v>
      </c>
      <c r="E17" s="425"/>
      <c r="F17" s="425"/>
      <c r="G17" s="429"/>
    </row>
    <row r="18" spans="1:10" ht="28.5" customHeight="1">
      <c r="A18" s="430"/>
      <c r="B18" s="559"/>
      <c r="C18" s="18" t="s">
        <v>181</v>
      </c>
      <c r="D18" s="19" t="s">
        <v>260</v>
      </c>
      <c r="E18" s="68" t="s">
        <v>18</v>
      </c>
      <c r="F18" s="302">
        <v>97226722</v>
      </c>
      <c r="G18" s="21" t="s">
        <v>238</v>
      </c>
    </row>
    <row r="19" spans="1:10" ht="28.5" customHeight="1">
      <c r="A19" s="430"/>
      <c r="B19" s="559"/>
      <c r="C19" s="22"/>
      <c r="D19" s="19" t="s">
        <v>260</v>
      </c>
      <c r="E19" s="68" t="s">
        <v>184</v>
      </c>
      <c r="F19" s="59"/>
      <c r="G19" s="21" t="s">
        <v>238</v>
      </c>
    </row>
    <row r="20" spans="1:10" ht="28.5" customHeight="1">
      <c r="A20" s="432"/>
      <c r="B20" s="562"/>
      <c r="C20" s="26"/>
      <c r="D20" s="27"/>
      <c r="E20" s="153"/>
      <c r="F20" s="153"/>
      <c r="G20" s="154"/>
    </row>
    <row r="21" spans="1:10" ht="28.5" customHeight="1">
      <c r="A21" s="447" t="s">
        <v>202</v>
      </c>
      <c r="B21" s="542"/>
      <c r="C21" s="40"/>
      <c r="D21" s="41"/>
      <c r="E21" s="151"/>
      <c r="F21" s="41"/>
      <c r="G21" s="69" t="s">
        <v>238</v>
      </c>
    </row>
    <row r="22" spans="1:10" ht="28.5" customHeight="1">
      <c r="A22" s="447" t="s">
        <v>121</v>
      </c>
      <c r="B22" s="542"/>
      <c r="C22" s="44"/>
      <c r="D22" s="41"/>
      <c r="E22" s="151"/>
      <c r="F22" s="41"/>
      <c r="G22" s="69" t="s">
        <v>238</v>
      </c>
    </row>
    <row r="23" spans="1:10" ht="28.5" customHeight="1">
      <c r="A23" s="447" t="s">
        <v>19</v>
      </c>
      <c r="B23" s="542"/>
      <c r="C23" s="445" t="s">
        <v>1</v>
      </c>
      <c r="D23" s="557"/>
      <c r="E23" s="557"/>
      <c r="F23" s="557"/>
      <c r="G23" s="446"/>
      <c r="I23" s="71" t="s">
        <v>177</v>
      </c>
      <c r="J23" s="71" t="s">
        <v>338</v>
      </c>
    </row>
    <row r="24" spans="1:10" ht="31.5" customHeight="1">
      <c r="A24" s="419" t="s">
        <v>125</v>
      </c>
      <c r="B24" s="420"/>
      <c r="C24" s="563" t="s">
        <v>406</v>
      </c>
      <c r="D24" s="420"/>
      <c r="E24" s="420"/>
      <c r="F24" s="62" t="s">
        <v>190</v>
      </c>
      <c r="G24" s="25"/>
    </row>
    <row r="25" spans="1:10" ht="31.5" customHeight="1">
      <c r="A25" s="428" t="s">
        <v>385</v>
      </c>
      <c r="B25" s="429"/>
      <c r="C25" s="19" t="s">
        <v>153</v>
      </c>
      <c r="D25" s="425"/>
      <c r="E25" s="425"/>
      <c r="F25" s="426" t="s">
        <v>136</v>
      </c>
      <c r="G25" s="427"/>
    </row>
    <row r="26" spans="1:10" ht="31.5" customHeight="1">
      <c r="A26" s="430"/>
      <c r="B26" s="431"/>
      <c r="C26" s="19" t="s">
        <v>181</v>
      </c>
      <c r="D26" s="19" t="s">
        <v>260</v>
      </c>
      <c r="E26" s="68" t="s">
        <v>18</v>
      </c>
      <c r="F26" s="302">
        <v>256000000</v>
      </c>
      <c r="G26" s="21" t="s">
        <v>238</v>
      </c>
    </row>
    <row r="27" spans="1:10" ht="31.5" customHeight="1">
      <c r="A27" s="430"/>
      <c r="B27" s="431"/>
      <c r="D27" s="19" t="s">
        <v>260</v>
      </c>
      <c r="E27" s="68" t="s">
        <v>184</v>
      </c>
      <c r="F27" s="59"/>
      <c r="G27" s="21" t="s">
        <v>238</v>
      </c>
    </row>
    <row r="28" spans="1:10" ht="31.5" customHeight="1">
      <c r="A28" s="432"/>
      <c r="B28" s="433"/>
      <c r="C28" s="20"/>
      <c r="D28" s="27"/>
      <c r="E28" s="27"/>
      <c r="G28" s="150"/>
    </row>
    <row r="29" spans="1:10" ht="31.5" customHeight="1">
      <c r="A29" s="447" t="s">
        <v>202</v>
      </c>
      <c r="B29" s="542"/>
      <c r="C29" s="44"/>
      <c r="D29" s="41"/>
      <c r="E29" s="151"/>
      <c r="F29" s="61"/>
      <c r="G29" s="69" t="s">
        <v>238</v>
      </c>
    </row>
    <row r="30" spans="1:10" ht="31.5" customHeight="1">
      <c r="A30" s="447" t="s">
        <v>121</v>
      </c>
      <c r="B30" s="542"/>
      <c r="C30" s="228"/>
      <c r="D30" s="41"/>
      <c r="E30" s="151"/>
      <c r="F30" s="57">
        <f>F26</f>
        <v>256000000</v>
      </c>
      <c r="G30" s="69" t="s">
        <v>238</v>
      </c>
    </row>
    <row r="31" spans="1:10" ht="28.5" customHeight="1">
      <c r="A31" s="447" t="s">
        <v>19</v>
      </c>
      <c r="B31" s="542"/>
      <c r="C31" s="445" t="s">
        <v>1</v>
      </c>
      <c r="D31" s="557"/>
      <c r="E31" s="557"/>
      <c r="F31" s="557"/>
      <c r="G31" s="446"/>
      <c r="I31" s="71" t="s">
        <v>177</v>
      </c>
      <c r="J31" s="71" t="s">
        <v>338</v>
      </c>
    </row>
    <row r="32" spans="1:10" ht="31.5" customHeight="1">
      <c r="A32" s="419" t="s">
        <v>125</v>
      </c>
      <c r="B32" s="420"/>
      <c r="C32" s="563" t="s">
        <v>407</v>
      </c>
      <c r="D32" s="420"/>
      <c r="E32" s="420"/>
      <c r="F32" s="62" t="s">
        <v>190</v>
      </c>
      <c r="G32" s="25"/>
    </row>
    <row r="33" spans="1:10" ht="31.5" customHeight="1">
      <c r="A33" s="428" t="s">
        <v>385</v>
      </c>
      <c r="B33" s="429"/>
      <c r="C33" s="19" t="s">
        <v>153</v>
      </c>
      <c r="D33" s="425"/>
      <c r="E33" s="425"/>
      <c r="F33" s="426" t="s">
        <v>136</v>
      </c>
      <c r="G33" s="427"/>
    </row>
    <row r="34" spans="1:10" ht="31.5" customHeight="1">
      <c r="A34" s="430"/>
      <c r="B34" s="431"/>
      <c r="C34" s="19" t="s">
        <v>181</v>
      </c>
      <c r="D34" s="19" t="s">
        <v>260</v>
      </c>
      <c r="E34" s="68" t="s">
        <v>18</v>
      </c>
      <c r="F34" s="302">
        <v>99990000</v>
      </c>
      <c r="G34" s="21" t="s">
        <v>238</v>
      </c>
    </row>
    <row r="35" spans="1:10" ht="31.5" customHeight="1">
      <c r="A35" s="430"/>
      <c r="B35" s="431"/>
      <c r="D35" s="19" t="s">
        <v>260</v>
      </c>
      <c r="E35" s="68" t="s">
        <v>184</v>
      </c>
      <c r="F35" s="59">
        <f>회생채권총괄!G62</f>
        <v>0</v>
      </c>
      <c r="G35" s="21" t="s">
        <v>238</v>
      </c>
    </row>
    <row r="36" spans="1:10" ht="31.5" customHeight="1">
      <c r="A36" s="432"/>
      <c r="B36" s="433"/>
      <c r="C36" s="20"/>
      <c r="D36" s="27"/>
      <c r="E36" s="27"/>
      <c r="G36" s="150"/>
    </row>
    <row r="37" spans="1:10" ht="31.5" customHeight="1">
      <c r="A37" s="447" t="s">
        <v>202</v>
      </c>
      <c r="B37" s="542"/>
      <c r="C37" s="44"/>
      <c r="D37" s="41"/>
      <c r="E37" s="151"/>
      <c r="F37" s="61"/>
      <c r="G37" s="69" t="s">
        <v>238</v>
      </c>
    </row>
    <row r="38" spans="1:10" ht="31.5" customHeight="1">
      <c r="A38" s="447" t="s">
        <v>121</v>
      </c>
      <c r="B38" s="542"/>
      <c r="C38" s="228"/>
      <c r="D38" s="41"/>
      <c r="E38" s="151"/>
      <c r="F38" s="57">
        <f>F34</f>
        <v>99990000</v>
      </c>
      <c r="G38" s="69" t="s">
        <v>238</v>
      </c>
    </row>
    <row r="39" spans="1:10" ht="28.5" customHeight="1">
      <c r="A39" s="447" t="s">
        <v>19</v>
      </c>
      <c r="B39" s="542"/>
      <c r="C39" s="445" t="s">
        <v>1</v>
      </c>
      <c r="D39" s="557"/>
      <c r="E39" s="557"/>
      <c r="F39" s="557"/>
      <c r="G39" s="446"/>
      <c r="I39" s="71" t="s">
        <v>177</v>
      </c>
      <c r="J39" s="71" t="s">
        <v>338</v>
      </c>
    </row>
    <row r="40" spans="1:10" ht="31.5" customHeight="1">
      <c r="A40" s="419" t="s">
        <v>125</v>
      </c>
      <c r="B40" s="420"/>
      <c r="C40" s="563" t="s">
        <v>408</v>
      </c>
      <c r="D40" s="420"/>
      <c r="E40" s="420"/>
      <c r="F40" s="62" t="s">
        <v>190</v>
      </c>
      <c r="G40" s="25"/>
    </row>
    <row r="41" spans="1:10" ht="31.5" customHeight="1">
      <c r="A41" s="428" t="s">
        <v>385</v>
      </c>
      <c r="B41" s="429"/>
      <c r="C41" s="19" t="s">
        <v>153</v>
      </c>
      <c r="D41" s="425"/>
      <c r="E41" s="425"/>
      <c r="F41" s="426" t="s">
        <v>136</v>
      </c>
      <c r="G41" s="427"/>
    </row>
    <row r="42" spans="1:10" ht="31.5" customHeight="1">
      <c r="A42" s="430"/>
      <c r="B42" s="431"/>
      <c r="C42" s="19" t="s">
        <v>181</v>
      </c>
      <c r="D42" s="19" t="s">
        <v>260</v>
      </c>
      <c r="E42" s="68" t="s">
        <v>18</v>
      </c>
      <c r="F42" s="302">
        <v>498827527</v>
      </c>
      <c r="G42" s="21" t="s">
        <v>238</v>
      </c>
    </row>
    <row r="43" spans="1:10" ht="31.5" customHeight="1">
      <c r="A43" s="430"/>
      <c r="B43" s="431"/>
      <c r="D43" s="19" t="s">
        <v>260</v>
      </c>
      <c r="E43" s="68" t="s">
        <v>184</v>
      </c>
      <c r="F43" s="59">
        <f>회생채권총괄!G70</f>
        <v>0</v>
      </c>
      <c r="G43" s="21" t="s">
        <v>238</v>
      </c>
    </row>
    <row r="44" spans="1:10" ht="31.5" customHeight="1">
      <c r="A44" s="432"/>
      <c r="B44" s="433"/>
      <c r="C44" s="20"/>
      <c r="D44" s="27"/>
      <c r="E44" s="27"/>
      <c r="G44" s="150"/>
    </row>
    <row r="45" spans="1:10" ht="31.5" customHeight="1">
      <c r="A45" s="447" t="s">
        <v>202</v>
      </c>
      <c r="B45" s="542"/>
      <c r="C45" s="44"/>
      <c r="D45" s="41"/>
      <c r="E45" s="151"/>
      <c r="F45" s="61"/>
      <c r="G45" s="69" t="s">
        <v>238</v>
      </c>
    </row>
    <row r="46" spans="1:10" ht="31.5" customHeight="1">
      <c r="A46" s="447" t="s">
        <v>121</v>
      </c>
      <c r="B46" s="542"/>
      <c r="C46" s="228"/>
      <c r="D46" s="41"/>
      <c r="E46" s="151"/>
      <c r="F46" s="57">
        <f>F42</f>
        <v>498827527</v>
      </c>
      <c r="G46" s="69" t="s">
        <v>238</v>
      </c>
    </row>
    <row r="47" spans="1:10" ht="28.5" customHeight="1">
      <c r="A47" s="447" t="s">
        <v>19</v>
      </c>
      <c r="B47" s="542"/>
      <c r="C47" s="445" t="s">
        <v>1</v>
      </c>
      <c r="D47" s="557"/>
      <c r="E47" s="557"/>
      <c r="F47" s="557"/>
      <c r="G47" s="446"/>
      <c r="I47" s="71" t="s">
        <v>177</v>
      </c>
      <c r="J47" s="71" t="s">
        <v>338</v>
      </c>
    </row>
    <row r="48" spans="1:10" ht="31.5" customHeight="1">
      <c r="A48" s="419" t="s">
        <v>125</v>
      </c>
      <c r="B48" s="420"/>
      <c r="C48" s="563" t="s">
        <v>410</v>
      </c>
      <c r="D48" s="420"/>
      <c r="E48" s="420"/>
      <c r="F48" s="62" t="s">
        <v>190</v>
      </c>
      <c r="G48" s="25"/>
    </row>
    <row r="49" spans="1:10" ht="31.5" customHeight="1">
      <c r="A49" s="428" t="s">
        <v>385</v>
      </c>
      <c r="B49" s="429"/>
      <c r="C49" s="19" t="s">
        <v>153</v>
      </c>
      <c r="D49" s="425"/>
      <c r="E49" s="425"/>
      <c r="F49" s="426" t="s">
        <v>136</v>
      </c>
      <c r="G49" s="427"/>
    </row>
    <row r="50" spans="1:10" ht="31.5" customHeight="1">
      <c r="A50" s="430"/>
      <c r="B50" s="431"/>
      <c r="C50" s="19" t="s">
        <v>181</v>
      </c>
      <c r="D50" s="19" t="s">
        <v>260</v>
      </c>
      <c r="E50" s="68" t="s">
        <v>18</v>
      </c>
      <c r="F50" s="302">
        <v>500000000</v>
      </c>
      <c r="G50" s="21" t="s">
        <v>238</v>
      </c>
    </row>
    <row r="51" spans="1:10" ht="31.5" customHeight="1">
      <c r="A51" s="430"/>
      <c r="B51" s="431"/>
      <c r="D51" s="19" t="s">
        <v>260</v>
      </c>
      <c r="E51" s="68" t="s">
        <v>184</v>
      </c>
      <c r="F51" s="59">
        <f>회생채권총괄!G70</f>
        <v>0</v>
      </c>
      <c r="G51" s="21" t="s">
        <v>238</v>
      </c>
    </row>
    <row r="52" spans="1:10" ht="31.5" customHeight="1">
      <c r="A52" s="432"/>
      <c r="B52" s="433"/>
      <c r="C52" s="20"/>
      <c r="D52" s="27"/>
      <c r="E52" s="27"/>
      <c r="G52" s="150"/>
    </row>
    <row r="53" spans="1:10" ht="31.5" customHeight="1">
      <c r="A53" s="447" t="s">
        <v>202</v>
      </c>
      <c r="B53" s="542"/>
      <c r="C53" s="44"/>
      <c r="D53" s="41"/>
      <c r="E53" s="151"/>
      <c r="F53" s="61"/>
      <c r="G53" s="69" t="s">
        <v>238</v>
      </c>
    </row>
    <row r="54" spans="1:10" ht="31.5" customHeight="1">
      <c r="A54" s="447" t="s">
        <v>121</v>
      </c>
      <c r="B54" s="542"/>
      <c r="C54" s="228"/>
      <c r="D54" s="41"/>
      <c r="E54" s="151"/>
      <c r="F54" s="57">
        <f>F50</f>
        <v>500000000</v>
      </c>
      <c r="G54" s="69" t="s">
        <v>238</v>
      </c>
    </row>
    <row r="55" spans="1:10" ht="28.5" customHeight="1">
      <c r="A55" s="447" t="s">
        <v>19</v>
      </c>
      <c r="B55" s="542"/>
      <c r="C55" s="445" t="s">
        <v>1</v>
      </c>
      <c r="D55" s="557"/>
      <c r="E55" s="557"/>
      <c r="F55" s="557"/>
      <c r="G55" s="446"/>
      <c r="I55" s="71" t="s">
        <v>177</v>
      </c>
      <c r="J55" s="71" t="s">
        <v>338</v>
      </c>
    </row>
    <row r="56" spans="1:10" ht="31.5" customHeight="1">
      <c r="A56" s="419" t="s">
        <v>125</v>
      </c>
      <c r="B56" s="420"/>
      <c r="C56" s="563" t="s">
        <v>412</v>
      </c>
      <c r="D56" s="420"/>
      <c r="E56" s="420"/>
      <c r="F56" s="62" t="s">
        <v>190</v>
      </c>
      <c r="G56" s="25"/>
    </row>
    <row r="57" spans="1:10" ht="31.5" customHeight="1">
      <c r="A57" s="428" t="s">
        <v>385</v>
      </c>
      <c r="B57" s="429"/>
      <c r="C57" s="19" t="s">
        <v>153</v>
      </c>
      <c r="D57" s="425"/>
      <c r="E57" s="425"/>
      <c r="F57" s="426" t="s">
        <v>136</v>
      </c>
      <c r="G57" s="427"/>
    </row>
    <row r="58" spans="1:10" ht="31.5" customHeight="1">
      <c r="A58" s="430"/>
      <c r="B58" s="431"/>
      <c r="C58" s="19" t="s">
        <v>181</v>
      </c>
      <c r="D58" s="19" t="s">
        <v>260</v>
      </c>
      <c r="E58" s="68" t="s">
        <v>18</v>
      </c>
      <c r="F58" s="302">
        <v>497203787</v>
      </c>
      <c r="G58" s="21" t="s">
        <v>238</v>
      </c>
    </row>
    <row r="59" spans="1:10" ht="31.5" customHeight="1">
      <c r="A59" s="430"/>
      <c r="B59" s="431"/>
      <c r="D59" s="19" t="s">
        <v>260</v>
      </c>
      <c r="E59" s="68" t="s">
        <v>184</v>
      </c>
      <c r="F59" s="59">
        <f>회생채권총괄!G78</f>
        <v>0</v>
      </c>
      <c r="G59" s="21" t="s">
        <v>238</v>
      </c>
    </row>
    <row r="60" spans="1:10" ht="31.5" customHeight="1">
      <c r="A60" s="432"/>
      <c r="B60" s="433"/>
      <c r="C60" s="20"/>
      <c r="D60" s="27"/>
      <c r="E60" s="27"/>
      <c r="G60" s="150"/>
    </row>
    <row r="61" spans="1:10" ht="31.5" customHeight="1">
      <c r="A61" s="447" t="s">
        <v>202</v>
      </c>
      <c r="B61" s="542"/>
      <c r="C61" s="44"/>
      <c r="D61" s="41"/>
      <c r="E61" s="151"/>
      <c r="F61" s="61"/>
      <c r="G61" s="69" t="s">
        <v>238</v>
      </c>
    </row>
    <row r="62" spans="1:10" ht="31.5" customHeight="1">
      <c r="A62" s="447" t="s">
        <v>121</v>
      </c>
      <c r="B62" s="542"/>
      <c r="C62" s="228"/>
      <c r="D62" s="41"/>
      <c r="E62" s="151"/>
      <c r="F62" s="57">
        <f>F58</f>
        <v>497203787</v>
      </c>
      <c r="G62" s="69" t="s">
        <v>238</v>
      </c>
    </row>
    <row r="63" spans="1:10" ht="28.5" customHeight="1">
      <c r="A63" s="447" t="s">
        <v>19</v>
      </c>
      <c r="B63" s="542"/>
      <c r="C63" s="445" t="s">
        <v>1</v>
      </c>
      <c r="D63" s="557"/>
      <c r="E63" s="557"/>
      <c r="F63" s="557"/>
      <c r="G63" s="446"/>
      <c r="I63" s="71" t="s">
        <v>177</v>
      </c>
      <c r="J63" s="71" t="s">
        <v>338</v>
      </c>
    </row>
    <row r="64" spans="1:10" ht="31.5" customHeight="1">
      <c r="A64" s="419" t="s">
        <v>125</v>
      </c>
      <c r="B64" s="420"/>
      <c r="C64" s="563" t="s">
        <v>414</v>
      </c>
      <c r="D64" s="420"/>
      <c r="E64" s="420"/>
      <c r="F64" s="62" t="s">
        <v>190</v>
      </c>
      <c r="G64" s="25"/>
    </row>
    <row r="65" spans="1:7" ht="31.5" customHeight="1">
      <c r="A65" s="428" t="s">
        <v>385</v>
      </c>
      <c r="B65" s="429"/>
      <c r="C65" s="19" t="s">
        <v>153</v>
      </c>
      <c r="D65" s="425"/>
      <c r="E65" s="425"/>
      <c r="F65" s="426" t="str">
        <f>회생채권총괄!F11</f>
        <v>대여금채권</v>
      </c>
      <c r="G65" s="427"/>
    </row>
    <row r="66" spans="1:7" ht="31.5" customHeight="1">
      <c r="A66" s="430"/>
      <c r="B66" s="431"/>
      <c r="C66" s="19" t="s">
        <v>181</v>
      </c>
      <c r="D66" s="19" t="s">
        <v>260</v>
      </c>
      <c r="E66" s="68" t="s">
        <v>18</v>
      </c>
      <c r="F66" s="302">
        <v>120000000</v>
      </c>
      <c r="G66" s="21" t="s">
        <v>238</v>
      </c>
    </row>
    <row r="67" spans="1:7" ht="31.5" customHeight="1">
      <c r="A67" s="430"/>
      <c r="B67" s="431"/>
      <c r="D67" s="19" t="s">
        <v>260</v>
      </c>
      <c r="E67" s="68" t="s">
        <v>184</v>
      </c>
      <c r="F67" s="59">
        <f>회생채권총괄!G13</f>
        <v>0</v>
      </c>
      <c r="G67" s="21" t="s">
        <v>238</v>
      </c>
    </row>
    <row r="68" spans="1:7" ht="31.5" customHeight="1">
      <c r="A68" s="447" t="s">
        <v>202</v>
      </c>
      <c r="B68" s="542"/>
      <c r="C68" s="44"/>
      <c r="D68" s="41"/>
      <c r="E68" s="151"/>
      <c r="F68" s="61"/>
      <c r="G68" s="69" t="s">
        <v>238</v>
      </c>
    </row>
    <row r="69" spans="1:7" ht="31.5" customHeight="1">
      <c r="A69" s="447" t="s">
        <v>121</v>
      </c>
      <c r="B69" s="542"/>
      <c r="C69" s="152"/>
      <c r="D69" s="42"/>
      <c r="F69" s="57">
        <f>F66</f>
        <v>120000000</v>
      </c>
      <c r="G69" s="70" t="s">
        <v>238</v>
      </c>
    </row>
    <row r="70" spans="1:7" ht="31.5" customHeight="1">
      <c r="A70" s="447" t="s">
        <v>32</v>
      </c>
      <c r="B70" s="542"/>
      <c r="C70" s="447"/>
      <c r="D70" s="542"/>
      <c r="E70" s="542"/>
      <c r="F70" s="542"/>
      <c r="G70" s="448"/>
    </row>
    <row r="71" spans="1:7" ht="31.5" customHeight="1">
      <c r="A71" s="447" t="s">
        <v>311</v>
      </c>
      <c r="B71" s="542"/>
      <c r="C71" s="567"/>
      <c r="D71" s="568"/>
      <c r="E71" s="568"/>
      <c r="F71" s="568"/>
      <c r="G71" s="569"/>
    </row>
    <row r="72" spans="1:7" ht="31.5" customHeight="1">
      <c r="A72" s="447" t="s">
        <v>19</v>
      </c>
      <c r="B72" s="542"/>
      <c r="C72" s="570"/>
      <c r="D72" s="571"/>
      <c r="E72" s="571"/>
      <c r="F72" s="571"/>
      <c r="G72" s="572"/>
    </row>
    <row r="73" spans="1:7" ht="31.5" customHeight="1">
      <c r="A73" s="417" t="s">
        <v>77</v>
      </c>
      <c r="B73" s="417"/>
      <c r="C73" s="417"/>
      <c r="D73" s="417"/>
      <c r="E73" s="417"/>
      <c r="F73" s="417"/>
      <c r="G73" s="417"/>
    </row>
    <row r="74" spans="1:7" ht="31.5" customHeight="1">
      <c r="A74" s="127"/>
      <c r="B74" s="127"/>
      <c r="C74" s="127"/>
      <c r="D74" s="127"/>
      <c r="E74" s="127"/>
      <c r="F74" s="127"/>
      <c r="G74" s="127"/>
    </row>
    <row r="75" spans="1:7" ht="31.5" customHeight="1">
      <c r="A75" s="428" t="s">
        <v>34</v>
      </c>
      <c r="B75" s="425"/>
      <c r="C75" s="419" t="s">
        <v>479</v>
      </c>
      <c r="D75" s="420"/>
      <c r="E75" s="420"/>
      <c r="F75" s="324" t="s">
        <v>261</v>
      </c>
      <c r="G75" s="323" t="s">
        <v>480</v>
      </c>
    </row>
    <row r="76" spans="1:7" ht="31.5" customHeight="1">
      <c r="A76" s="546" t="s">
        <v>146</v>
      </c>
      <c r="B76" s="62" t="s">
        <v>185</v>
      </c>
      <c r="C76" s="564"/>
      <c r="D76" s="565"/>
      <c r="E76" s="565"/>
      <c r="F76" s="565"/>
      <c r="G76" s="566"/>
    </row>
    <row r="77" spans="1:7" ht="31.5" customHeight="1">
      <c r="A77" s="547"/>
      <c r="B77" s="18" t="s">
        <v>180</v>
      </c>
      <c r="C77" s="564"/>
      <c r="D77" s="565"/>
      <c r="E77" s="565"/>
      <c r="F77" s="565"/>
      <c r="G77" s="566"/>
    </row>
    <row r="78" spans="1:7" ht="31.5" customHeight="1">
      <c r="A78" s="548"/>
      <c r="B78" s="62" t="s">
        <v>23</v>
      </c>
      <c r="C78" s="550"/>
      <c r="D78" s="551"/>
      <c r="E78" s="551"/>
      <c r="F78" s="62" t="s">
        <v>151</v>
      </c>
      <c r="G78" s="25"/>
    </row>
    <row r="79" spans="1:7" ht="31.5" customHeight="1">
      <c r="A79" s="419" t="s">
        <v>125</v>
      </c>
      <c r="B79" s="420"/>
      <c r="C79" s="575" t="s">
        <v>286</v>
      </c>
      <c r="D79" s="576"/>
      <c r="E79" s="576"/>
      <c r="F79" s="62" t="s">
        <v>190</v>
      </c>
      <c r="G79" s="25"/>
    </row>
    <row r="80" spans="1:7" ht="31.5" customHeight="1">
      <c r="A80" s="428" t="s">
        <v>385</v>
      </c>
      <c r="B80" s="429"/>
      <c r="C80" s="19" t="s">
        <v>153</v>
      </c>
      <c r="D80" s="425"/>
      <c r="E80" s="425"/>
      <c r="F80" s="426" t="s">
        <v>197</v>
      </c>
      <c r="G80" s="427"/>
    </row>
    <row r="81" spans="1:7" ht="31.5" customHeight="1">
      <c r="A81" s="430"/>
      <c r="B81" s="431"/>
      <c r="C81" s="19" t="s">
        <v>181</v>
      </c>
      <c r="D81" s="19" t="s">
        <v>260</v>
      </c>
      <c r="E81" s="68" t="s">
        <v>18</v>
      </c>
      <c r="F81" s="322" t="s">
        <v>446</v>
      </c>
      <c r="G81" s="21" t="s">
        <v>425</v>
      </c>
    </row>
    <row r="82" spans="1:7" ht="31.5" customHeight="1">
      <c r="A82" s="430"/>
      <c r="B82" s="431"/>
      <c r="C82" s="19"/>
      <c r="D82" s="19"/>
      <c r="E82" s="68"/>
      <c r="F82" s="59">
        <v>1246555232</v>
      </c>
      <c r="G82" s="300" t="s">
        <v>238</v>
      </c>
    </row>
    <row r="83" spans="1:7" ht="31.5" customHeight="1">
      <c r="A83" s="430"/>
      <c r="B83" s="431"/>
      <c r="D83" s="19" t="s">
        <v>260</v>
      </c>
      <c r="E83" s="68" t="s">
        <v>184</v>
      </c>
      <c r="F83" s="59">
        <f>회생채권총괄!G52</f>
        <v>0</v>
      </c>
      <c r="G83" s="21" t="s">
        <v>238</v>
      </c>
    </row>
    <row r="84" spans="1:7" ht="31.5" customHeight="1">
      <c r="A84" s="447" t="s">
        <v>202</v>
      </c>
      <c r="B84" s="542"/>
      <c r="C84" s="44"/>
      <c r="D84" s="41"/>
      <c r="E84" s="151"/>
      <c r="F84" s="61"/>
      <c r="G84" s="69" t="s">
        <v>238</v>
      </c>
    </row>
    <row r="85" spans="1:7" ht="31.5" customHeight="1">
      <c r="A85" s="447" t="s">
        <v>121</v>
      </c>
      <c r="B85" s="542"/>
      <c r="C85" s="228"/>
      <c r="D85" s="41"/>
      <c r="E85" s="151"/>
      <c r="F85" s="59">
        <v>1246555232</v>
      </c>
      <c r="G85" s="69" t="s">
        <v>447</v>
      </c>
    </row>
    <row r="86" spans="1:7" ht="24.95" customHeight="1">
      <c r="A86" s="419" t="s">
        <v>125</v>
      </c>
      <c r="B86" s="420"/>
      <c r="C86" s="558"/>
      <c r="D86" s="553"/>
      <c r="E86" s="553"/>
      <c r="F86" s="25" t="s">
        <v>190</v>
      </c>
      <c r="G86" s="58"/>
    </row>
    <row r="87" spans="1:7" ht="24.95" customHeight="1">
      <c r="A87" s="428" t="s">
        <v>385</v>
      </c>
      <c r="B87" s="425"/>
      <c r="C87" s="17" t="s">
        <v>153</v>
      </c>
      <c r="D87" s="425"/>
      <c r="E87" s="425"/>
      <c r="F87" s="425"/>
      <c r="G87" s="429"/>
    </row>
    <row r="88" spans="1:7" ht="24.95" customHeight="1">
      <c r="A88" s="430"/>
      <c r="B88" s="559"/>
      <c r="C88" s="18" t="s">
        <v>181</v>
      </c>
      <c r="D88" s="559"/>
      <c r="E88" s="559"/>
      <c r="F88" s="559"/>
      <c r="G88" s="431"/>
    </row>
    <row r="89" spans="1:7" ht="24.95" customHeight="1">
      <c r="A89" s="430"/>
      <c r="B89" s="559"/>
      <c r="C89" s="22"/>
      <c r="D89" s="19"/>
      <c r="G89" s="150"/>
    </row>
    <row r="90" spans="1:7" ht="24.95" customHeight="1">
      <c r="A90" s="432"/>
      <c r="B90" s="562"/>
      <c r="C90" s="26"/>
      <c r="D90" s="27"/>
      <c r="E90" s="153"/>
      <c r="F90" s="153"/>
      <c r="G90" s="154"/>
    </row>
    <row r="91" spans="1:7" ht="24.95" customHeight="1">
      <c r="A91" s="447" t="s">
        <v>202</v>
      </c>
      <c r="B91" s="542"/>
      <c r="C91" s="40"/>
      <c r="D91" s="41"/>
      <c r="E91" s="151"/>
      <c r="F91" s="41"/>
      <c r="G91" s="69" t="s">
        <v>238</v>
      </c>
    </row>
    <row r="92" spans="1:7" ht="24.95" customHeight="1">
      <c r="A92" s="447" t="s">
        <v>121</v>
      </c>
      <c r="B92" s="542"/>
      <c r="C92" s="43"/>
      <c r="D92" s="42"/>
      <c r="F92" s="41"/>
      <c r="G92" s="70" t="s">
        <v>238</v>
      </c>
    </row>
    <row r="93" spans="1:7" ht="24.95" customHeight="1">
      <c r="A93" s="447" t="s">
        <v>32</v>
      </c>
      <c r="B93" s="542"/>
      <c r="C93" s="447"/>
      <c r="D93" s="542"/>
      <c r="E93" s="542"/>
      <c r="F93" s="542"/>
      <c r="G93" s="448"/>
    </row>
    <row r="94" spans="1:7" ht="24.95" customHeight="1">
      <c r="A94" s="447" t="s">
        <v>311</v>
      </c>
      <c r="B94" s="542"/>
      <c r="C94" s="447"/>
      <c r="D94" s="542"/>
      <c r="E94" s="542"/>
      <c r="F94" s="542"/>
      <c r="G94" s="448"/>
    </row>
    <row r="95" spans="1:7" ht="42.75" customHeight="1">
      <c r="A95" s="447" t="s">
        <v>19</v>
      </c>
      <c r="B95" s="542"/>
      <c r="C95" s="445" t="s">
        <v>436</v>
      </c>
      <c r="D95" s="557"/>
      <c r="E95" s="557"/>
      <c r="F95" s="557"/>
      <c r="G95" s="446"/>
    </row>
    <row r="96" spans="1:7" ht="31.5" customHeight="1">
      <c r="A96" s="417" t="s">
        <v>77</v>
      </c>
      <c r="B96" s="417"/>
      <c r="C96" s="417"/>
      <c r="D96" s="417"/>
      <c r="E96" s="417"/>
      <c r="F96" s="417"/>
      <c r="G96" s="417"/>
    </row>
    <row r="97" spans="1:7" ht="31.5" customHeight="1">
      <c r="A97" s="127"/>
      <c r="B97" s="127"/>
      <c r="C97" s="127"/>
      <c r="D97" s="127"/>
      <c r="E97" s="127"/>
      <c r="F97" s="127"/>
      <c r="G97" s="127"/>
    </row>
    <row r="98" spans="1:7" ht="31.5" customHeight="1">
      <c r="A98" s="428" t="s">
        <v>34</v>
      </c>
      <c r="B98" s="425"/>
      <c r="C98" s="419" t="s">
        <v>479</v>
      </c>
      <c r="D98" s="420"/>
      <c r="E98" s="420"/>
      <c r="F98" s="324" t="s">
        <v>261</v>
      </c>
      <c r="G98" s="323" t="s">
        <v>480</v>
      </c>
    </row>
    <row r="99" spans="1:7" ht="31.5" customHeight="1">
      <c r="A99" s="546" t="s">
        <v>146</v>
      </c>
      <c r="B99" s="62" t="s">
        <v>185</v>
      </c>
      <c r="C99" s="549"/>
      <c r="D99" s="418"/>
      <c r="E99" s="418"/>
      <c r="F99" s="418"/>
      <c r="G99" s="418"/>
    </row>
    <row r="100" spans="1:7" ht="31.5" customHeight="1">
      <c r="A100" s="547"/>
      <c r="B100" s="18" t="s">
        <v>180</v>
      </c>
      <c r="C100" s="419"/>
      <c r="D100" s="420"/>
      <c r="E100" s="420"/>
      <c r="F100" s="420"/>
      <c r="G100" s="424"/>
    </row>
    <row r="101" spans="1:7" ht="31.5" customHeight="1">
      <c r="A101" s="548"/>
      <c r="B101" s="62" t="s">
        <v>23</v>
      </c>
      <c r="C101" s="550"/>
      <c r="D101" s="551"/>
      <c r="E101" s="551"/>
      <c r="F101" s="62" t="s">
        <v>151</v>
      </c>
      <c r="G101" s="25"/>
    </row>
    <row r="102" spans="1:7" ht="31.5" customHeight="1">
      <c r="A102" s="419" t="s">
        <v>125</v>
      </c>
      <c r="B102" s="420"/>
      <c r="C102" s="419">
        <v>3</v>
      </c>
      <c r="D102" s="420"/>
      <c r="E102" s="420"/>
      <c r="F102" s="62" t="s">
        <v>190</v>
      </c>
      <c r="G102" s="25"/>
    </row>
    <row r="103" spans="1:7" ht="31.5" customHeight="1">
      <c r="A103" s="428" t="s">
        <v>385</v>
      </c>
      <c r="B103" s="429"/>
      <c r="C103" s="19" t="s">
        <v>153</v>
      </c>
      <c r="D103" s="425"/>
      <c r="E103" s="425"/>
      <c r="F103" s="426" t="s">
        <v>478</v>
      </c>
      <c r="G103" s="427"/>
    </row>
    <row r="104" spans="1:7" ht="31.5" customHeight="1">
      <c r="A104" s="430"/>
      <c r="B104" s="431"/>
      <c r="C104" s="19" t="s">
        <v>181</v>
      </c>
      <c r="D104" s="19" t="s">
        <v>260</v>
      </c>
      <c r="E104" s="68" t="s">
        <v>18</v>
      </c>
      <c r="F104" s="59">
        <v>850000000</v>
      </c>
      <c r="G104" s="21" t="s">
        <v>238</v>
      </c>
    </row>
    <row r="105" spans="1:7" ht="31.5" customHeight="1">
      <c r="A105" s="430"/>
      <c r="B105" s="431"/>
      <c r="D105" s="19" t="s">
        <v>260</v>
      </c>
      <c r="E105" s="68" t="s">
        <v>184</v>
      </c>
      <c r="F105" s="59">
        <f>회생채권총괄!G57</f>
        <v>0</v>
      </c>
      <c r="G105" s="21" t="s">
        <v>238</v>
      </c>
    </row>
    <row r="106" spans="1:7" ht="31.5" customHeight="1">
      <c r="A106" s="432"/>
      <c r="B106" s="433"/>
      <c r="C106" s="20"/>
      <c r="D106" s="27"/>
      <c r="E106" s="27"/>
      <c r="G106" s="150"/>
    </row>
    <row r="107" spans="1:7" ht="31.5" customHeight="1">
      <c r="A107" s="447" t="s">
        <v>202</v>
      </c>
      <c r="B107" s="542"/>
      <c r="C107" s="44"/>
      <c r="D107" s="41"/>
      <c r="E107" s="151"/>
      <c r="F107" s="61"/>
      <c r="G107" s="69" t="s">
        <v>238</v>
      </c>
    </row>
    <row r="108" spans="1:7" ht="31.5" customHeight="1">
      <c r="A108" s="447" t="s">
        <v>121</v>
      </c>
      <c r="B108" s="542"/>
      <c r="C108" s="228"/>
      <c r="D108" s="41"/>
      <c r="E108" s="151"/>
      <c r="F108" s="57">
        <f>F104</f>
        <v>850000000</v>
      </c>
      <c r="G108" s="69" t="s">
        <v>238</v>
      </c>
    </row>
    <row r="109" spans="1:7" ht="31.5" customHeight="1">
      <c r="A109" s="419" t="s">
        <v>125</v>
      </c>
      <c r="B109" s="420"/>
      <c r="C109" s="552"/>
      <c r="D109" s="553"/>
      <c r="E109" s="553"/>
      <c r="F109" s="25" t="s">
        <v>190</v>
      </c>
      <c r="G109" s="58"/>
    </row>
    <row r="110" spans="1:7" ht="31.5" customHeight="1">
      <c r="A110" s="428" t="s">
        <v>385</v>
      </c>
      <c r="B110" s="429"/>
      <c r="C110" s="19" t="s">
        <v>153</v>
      </c>
      <c r="D110" s="425"/>
      <c r="E110" s="425"/>
      <c r="F110" s="426"/>
      <c r="G110" s="427"/>
    </row>
    <row r="111" spans="1:7" ht="31.5" customHeight="1">
      <c r="A111" s="430"/>
      <c r="B111" s="431"/>
      <c r="C111" s="19" t="s">
        <v>181</v>
      </c>
      <c r="D111" s="19"/>
      <c r="E111" s="68"/>
      <c r="F111" s="59"/>
      <c r="G111" s="21"/>
    </row>
    <row r="112" spans="1:7" ht="31.5" customHeight="1">
      <c r="A112" s="432"/>
      <c r="B112" s="433"/>
      <c r="D112" s="19"/>
      <c r="E112" s="68"/>
      <c r="F112" s="60"/>
      <c r="G112" s="21"/>
    </row>
    <row r="113" spans="1:7" ht="31.5" customHeight="1">
      <c r="A113" s="447" t="s">
        <v>202</v>
      </c>
      <c r="B113" s="542"/>
      <c r="C113" s="40"/>
      <c r="D113" s="41"/>
      <c r="E113" s="151"/>
      <c r="F113" s="41"/>
      <c r="G113" s="69" t="s">
        <v>238</v>
      </c>
    </row>
    <row r="114" spans="1:7" ht="31.5" customHeight="1">
      <c r="A114" s="447" t="s">
        <v>121</v>
      </c>
      <c r="B114" s="542"/>
      <c r="C114" s="44"/>
      <c r="D114" s="41"/>
      <c r="E114" s="151"/>
      <c r="F114" s="229"/>
      <c r="G114" s="69" t="s">
        <v>238</v>
      </c>
    </row>
    <row r="115" spans="1:7" ht="31.5" customHeight="1">
      <c r="A115" s="447" t="s">
        <v>32</v>
      </c>
      <c r="B115" s="542"/>
      <c r="C115" s="447"/>
      <c r="D115" s="542"/>
      <c r="E115" s="542"/>
      <c r="F115" s="542"/>
      <c r="G115" s="448"/>
    </row>
    <row r="116" spans="1:7" ht="31.5" customHeight="1">
      <c r="A116" s="447" t="s">
        <v>311</v>
      </c>
      <c r="B116" s="542"/>
      <c r="C116" s="447"/>
      <c r="D116" s="542"/>
      <c r="E116" s="542"/>
      <c r="F116" s="542"/>
      <c r="G116" s="448"/>
    </row>
    <row r="117" spans="1:7" ht="31.5" customHeight="1">
      <c r="A117" s="447" t="s">
        <v>19</v>
      </c>
      <c r="B117" s="542"/>
      <c r="C117" s="445" t="s">
        <v>426</v>
      </c>
      <c r="D117" s="557"/>
      <c r="E117" s="557"/>
      <c r="F117" s="557"/>
      <c r="G117" s="446"/>
    </row>
    <row r="118" spans="1:7" ht="31.5" customHeight="1">
      <c r="A118" s="417" t="s">
        <v>77</v>
      </c>
      <c r="B118" s="417"/>
      <c r="C118" s="417"/>
      <c r="D118" s="417"/>
      <c r="E118" s="417"/>
      <c r="F118" s="417"/>
      <c r="G118" s="417"/>
    </row>
    <row r="119" spans="1:7" ht="31.5" customHeight="1">
      <c r="A119" s="127"/>
      <c r="B119" s="127"/>
      <c r="C119" s="127"/>
      <c r="D119" s="127"/>
      <c r="E119" s="127"/>
      <c r="F119" s="127"/>
      <c r="G119" s="127"/>
    </row>
    <row r="120" spans="1:7" ht="31.5" customHeight="1">
      <c r="A120" s="428" t="s">
        <v>34</v>
      </c>
      <c r="B120" s="425"/>
      <c r="C120" s="419" t="s">
        <v>479</v>
      </c>
      <c r="D120" s="420"/>
      <c r="E120" s="420"/>
      <c r="F120" s="324" t="s">
        <v>261</v>
      </c>
      <c r="G120" s="323" t="s">
        <v>480</v>
      </c>
    </row>
    <row r="121" spans="1:7" ht="31.5" customHeight="1">
      <c r="A121" s="546" t="s">
        <v>146</v>
      </c>
      <c r="B121" s="62" t="s">
        <v>185</v>
      </c>
      <c r="C121" s="549"/>
      <c r="D121" s="418"/>
      <c r="E121" s="418"/>
      <c r="F121" s="418"/>
      <c r="G121" s="418"/>
    </row>
    <row r="122" spans="1:7" ht="31.5" customHeight="1">
      <c r="A122" s="547"/>
      <c r="B122" s="18" t="s">
        <v>180</v>
      </c>
      <c r="C122" s="419"/>
      <c r="D122" s="420"/>
      <c r="E122" s="420"/>
      <c r="F122" s="420"/>
      <c r="G122" s="424"/>
    </row>
    <row r="123" spans="1:7" ht="31.5" customHeight="1">
      <c r="A123" s="548"/>
      <c r="B123" s="62" t="s">
        <v>23</v>
      </c>
      <c r="C123" s="550"/>
      <c r="D123" s="551"/>
      <c r="E123" s="573"/>
      <c r="F123" s="62" t="s">
        <v>151</v>
      </c>
      <c r="G123" s="25"/>
    </row>
    <row r="124" spans="1:7" ht="31.5" customHeight="1">
      <c r="A124" s="419" t="s">
        <v>125</v>
      </c>
      <c r="B124" s="420"/>
      <c r="C124" s="419">
        <v>4</v>
      </c>
      <c r="D124" s="420"/>
      <c r="E124" s="424"/>
      <c r="F124" s="62" t="s">
        <v>190</v>
      </c>
      <c r="G124" s="25"/>
    </row>
    <row r="125" spans="1:7" ht="31.5" customHeight="1">
      <c r="A125" s="428" t="s">
        <v>385</v>
      </c>
      <c r="B125" s="429"/>
      <c r="C125" s="19" t="s">
        <v>153</v>
      </c>
      <c r="D125" s="425"/>
      <c r="E125" s="425"/>
      <c r="F125" s="426" t="s">
        <v>197</v>
      </c>
      <c r="G125" s="427"/>
    </row>
    <row r="126" spans="1:7" ht="31.5" customHeight="1">
      <c r="A126" s="430"/>
      <c r="B126" s="431"/>
      <c r="C126" s="19" t="s">
        <v>181</v>
      </c>
      <c r="D126" s="19" t="s">
        <v>260</v>
      </c>
      <c r="E126" s="68" t="s">
        <v>18</v>
      </c>
      <c r="F126" s="59">
        <v>708094895</v>
      </c>
      <c r="G126" s="21" t="s">
        <v>238</v>
      </c>
    </row>
    <row r="127" spans="1:7" ht="31.5" customHeight="1">
      <c r="A127" s="430"/>
      <c r="B127" s="431"/>
      <c r="D127" s="19" t="s">
        <v>260</v>
      </c>
      <c r="E127" s="68" t="s">
        <v>184</v>
      </c>
      <c r="F127" s="59">
        <f>회생채권총괄!G62</f>
        <v>0</v>
      </c>
      <c r="G127" s="21" t="s">
        <v>238</v>
      </c>
    </row>
    <row r="128" spans="1:7" ht="31.5" customHeight="1">
      <c r="A128" s="432"/>
      <c r="B128" s="433"/>
      <c r="C128" s="20"/>
      <c r="D128" s="27"/>
      <c r="E128" s="27"/>
      <c r="G128" s="150"/>
    </row>
    <row r="129" spans="1:7" ht="31.5" customHeight="1">
      <c r="A129" s="447" t="s">
        <v>202</v>
      </c>
      <c r="B129" s="542"/>
      <c r="C129" s="44"/>
      <c r="D129" s="41"/>
      <c r="E129" s="151"/>
      <c r="F129" s="61"/>
      <c r="G129" s="69" t="s">
        <v>238</v>
      </c>
    </row>
    <row r="130" spans="1:7" ht="31.5" customHeight="1">
      <c r="A130" s="447" t="s">
        <v>121</v>
      </c>
      <c r="B130" s="542"/>
      <c r="C130" s="228"/>
      <c r="D130" s="41"/>
      <c r="E130" s="151"/>
      <c r="F130" s="57">
        <f>F126</f>
        <v>708094895</v>
      </c>
      <c r="G130" s="69" t="s">
        <v>238</v>
      </c>
    </row>
    <row r="131" spans="1:7" ht="31.5" customHeight="1">
      <c r="A131" s="419" t="s">
        <v>125</v>
      </c>
      <c r="B131" s="420"/>
      <c r="C131" s="552"/>
      <c r="D131" s="553"/>
      <c r="E131" s="553"/>
      <c r="F131" s="25" t="s">
        <v>190</v>
      </c>
      <c r="G131" s="58"/>
    </row>
    <row r="132" spans="1:7" ht="31.5" customHeight="1">
      <c r="A132" s="428" t="s">
        <v>385</v>
      </c>
      <c r="B132" s="429"/>
      <c r="C132" s="19" t="s">
        <v>153</v>
      </c>
      <c r="D132" s="425"/>
      <c r="E132" s="425"/>
      <c r="F132" s="426"/>
      <c r="G132" s="427"/>
    </row>
    <row r="133" spans="1:7" ht="31.5" customHeight="1">
      <c r="A133" s="430"/>
      <c r="B133" s="431"/>
      <c r="C133" s="19" t="s">
        <v>181</v>
      </c>
      <c r="D133" s="19"/>
      <c r="E133" s="68"/>
      <c r="F133" s="59"/>
      <c r="G133" s="21"/>
    </row>
    <row r="134" spans="1:7" ht="31.5" customHeight="1">
      <c r="A134" s="432"/>
      <c r="B134" s="433"/>
      <c r="D134" s="19"/>
      <c r="E134" s="68"/>
      <c r="F134" s="60"/>
      <c r="G134" s="21"/>
    </row>
    <row r="135" spans="1:7" ht="31.5" customHeight="1">
      <c r="A135" s="447" t="s">
        <v>202</v>
      </c>
      <c r="B135" s="542"/>
      <c r="C135" s="40"/>
      <c r="D135" s="41"/>
      <c r="E135" s="151"/>
      <c r="F135" s="41"/>
      <c r="G135" s="69" t="s">
        <v>238</v>
      </c>
    </row>
    <row r="136" spans="1:7" ht="31.5" customHeight="1">
      <c r="A136" s="447" t="s">
        <v>121</v>
      </c>
      <c r="B136" s="542"/>
      <c r="C136" s="44"/>
      <c r="D136" s="41"/>
      <c r="E136" s="151"/>
      <c r="F136" s="229"/>
      <c r="G136" s="69" t="s">
        <v>238</v>
      </c>
    </row>
    <row r="137" spans="1:7" ht="31.5" customHeight="1">
      <c r="A137" s="447" t="s">
        <v>32</v>
      </c>
      <c r="B137" s="542"/>
      <c r="C137" s="447"/>
      <c r="D137" s="542"/>
      <c r="E137" s="542"/>
      <c r="F137" s="542"/>
      <c r="G137" s="448"/>
    </row>
    <row r="138" spans="1:7" ht="31.5" customHeight="1">
      <c r="A138" s="447" t="s">
        <v>311</v>
      </c>
      <c r="B138" s="542"/>
      <c r="C138" s="447"/>
      <c r="D138" s="542"/>
      <c r="E138" s="542"/>
      <c r="F138" s="542"/>
      <c r="G138" s="448"/>
    </row>
    <row r="139" spans="1:7" ht="31.5" customHeight="1">
      <c r="A139" s="447" t="s">
        <v>19</v>
      </c>
      <c r="B139" s="542"/>
      <c r="C139" s="445" t="s">
        <v>1</v>
      </c>
      <c r="D139" s="557"/>
      <c r="E139" s="557"/>
      <c r="F139" s="557"/>
      <c r="G139" s="446"/>
    </row>
    <row r="140" spans="1:7" ht="31.5" customHeight="1">
      <c r="A140" s="417" t="s">
        <v>77</v>
      </c>
      <c r="B140" s="417"/>
      <c r="C140" s="417"/>
      <c r="D140" s="417"/>
      <c r="E140" s="417"/>
      <c r="F140" s="417"/>
      <c r="G140" s="417"/>
    </row>
    <row r="141" spans="1:7" ht="31.5" customHeight="1">
      <c r="A141" s="127"/>
      <c r="B141" s="127"/>
      <c r="C141" s="127"/>
      <c r="D141" s="127"/>
      <c r="E141" s="127"/>
      <c r="F141" s="127"/>
      <c r="G141" s="127"/>
    </row>
    <row r="142" spans="1:7" ht="31.5" customHeight="1">
      <c r="A142" s="428" t="s">
        <v>34</v>
      </c>
      <c r="B142" s="425"/>
      <c r="C142" s="419"/>
      <c r="D142" s="420"/>
      <c r="E142" s="420"/>
      <c r="F142" s="62" t="s">
        <v>261</v>
      </c>
      <c r="G142" s="25"/>
    </row>
    <row r="143" spans="1:7" ht="31.5" customHeight="1">
      <c r="A143" s="546" t="s">
        <v>146</v>
      </c>
      <c r="B143" s="62" t="s">
        <v>185</v>
      </c>
      <c r="C143" s="549"/>
      <c r="D143" s="418"/>
      <c r="E143" s="418"/>
      <c r="F143" s="418"/>
      <c r="G143" s="418"/>
    </row>
    <row r="144" spans="1:7" ht="31.5" customHeight="1">
      <c r="A144" s="547"/>
      <c r="B144" s="18" t="s">
        <v>180</v>
      </c>
      <c r="C144" s="419"/>
      <c r="D144" s="420"/>
      <c r="E144" s="420"/>
      <c r="F144" s="420"/>
      <c r="G144" s="424"/>
    </row>
    <row r="145" spans="1:7" ht="31.5" customHeight="1">
      <c r="A145" s="548"/>
      <c r="B145" s="62" t="s">
        <v>23</v>
      </c>
      <c r="C145" s="550"/>
      <c r="D145" s="551"/>
      <c r="E145" s="551"/>
      <c r="F145" s="62" t="s">
        <v>151</v>
      </c>
      <c r="G145" s="25"/>
    </row>
    <row r="146" spans="1:7" ht="31.5" customHeight="1">
      <c r="A146" s="419" t="s">
        <v>125</v>
      </c>
      <c r="B146" s="420"/>
      <c r="C146" s="552">
        <v>5</v>
      </c>
      <c r="D146" s="553"/>
      <c r="E146" s="553"/>
      <c r="F146" s="25" t="s">
        <v>190</v>
      </c>
      <c r="G146" s="58"/>
    </row>
    <row r="147" spans="1:7" ht="31.5" customHeight="1">
      <c r="A147" s="428" t="s">
        <v>385</v>
      </c>
      <c r="B147" s="425"/>
      <c r="C147" s="17" t="s">
        <v>153</v>
      </c>
      <c r="D147" s="425"/>
      <c r="E147" s="425"/>
      <c r="F147" s="426" t="s">
        <v>197</v>
      </c>
      <c r="G147" s="427"/>
    </row>
    <row r="148" spans="1:7" ht="31.5" customHeight="1">
      <c r="A148" s="430"/>
      <c r="B148" s="559"/>
      <c r="C148" s="18" t="s">
        <v>181</v>
      </c>
      <c r="D148" s="19" t="s">
        <v>260</v>
      </c>
      <c r="E148" s="68" t="s">
        <v>18</v>
      </c>
      <c r="F148" s="59">
        <v>633710599</v>
      </c>
      <c r="G148" s="21" t="s">
        <v>238</v>
      </c>
    </row>
    <row r="149" spans="1:7" ht="31.5" customHeight="1">
      <c r="A149" s="430"/>
      <c r="B149" s="559"/>
      <c r="C149" s="152"/>
      <c r="D149" s="19" t="s">
        <v>260</v>
      </c>
      <c r="E149" s="68" t="s">
        <v>184</v>
      </c>
      <c r="F149" s="59">
        <f>회생채권총괄!G67</f>
        <v>0</v>
      </c>
      <c r="G149" s="21" t="s">
        <v>238</v>
      </c>
    </row>
    <row r="150" spans="1:7" ht="31.5" customHeight="1">
      <c r="A150" s="430"/>
      <c r="B150" s="559"/>
      <c r="C150" s="152"/>
      <c r="D150" s="19"/>
      <c r="E150" s="68"/>
      <c r="F150" s="59"/>
      <c r="G150" s="21"/>
    </row>
    <row r="151" spans="1:7" ht="31.5" customHeight="1">
      <c r="A151" s="447" t="s">
        <v>202</v>
      </c>
      <c r="B151" s="542"/>
      <c r="C151" s="44"/>
      <c r="D151" s="41"/>
      <c r="E151" s="151"/>
      <c r="F151" s="61"/>
      <c r="G151" s="69" t="s">
        <v>238</v>
      </c>
    </row>
    <row r="152" spans="1:7" ht="31.5" customHeight="1">
      <c r="A152" s="447" t="s">
        <v>121</v>
      </c>
      <c r="B152" s="542"/>
      <c r="C152" s="152"/>
      <c r="D152" s="42"/>
      <c r="F152" s="229">
        <f>F148</f>
        <v>633710599</v>
      </c>
      <c r="G152" s="70" t="s">
        <v>238</v>
      </c>
    </row>
    <row r="153" spans="1:7" ht="31.5" customHeight="1">
      <c r="A153" s="419" t="s">
        <v>125</v>
      </c>
      <c r="B153" s="420"/>
      <c r="C153" s="560"/>
      <c r="D153" s="420"/>
      <c r="E153" s="420"/>
      <c r="F153" s="62" t="s">
        <v>190</v>
      </c>
      <c r="G153" s="25"/>
    </row>
    <row r="154" spans="1:7" ht="31.5" customHeight="1">
      <c r="A154" s="428" t="s">
        <v>385</v>
      </c>
      <c r="B154" s="429"/>
      <c r="C154" s="19" t="s">
        <v>153</v>
      </c>
      <c r="D154" s="425"/>
      <c r="E154" s="425"/>
      <c r="F154" s="426"/>
      <c r="G154" s="427"/>
    </row>
    <row r="155" spans="1:7" ht="31.5" customHeight="1">
      <c r="A155" s="430"/>
      <c r="B155" s="431"/>
      <c r="C155" s="19" t="s">
        <v>181</v>
      </c>
      <c r="D155" s="19"/>
      <c r="E155" s="68"/>
      <c r="F155" s="59"/>
      <c r="G155" s="21"/>
    </row>
    <row r="156" spans="1:7" ht="31.5" customHeight="1">
      <c r="A156" s="432"/>
      <c r="B156" s="433"/>
      <c r="D156" s="19"/>
      <c r="E156" s="68"/>
      <c r="F156" s="59"/>
      <c r="G156" s="21"/>
    </row>
    <row r="157" spans="1:7" ht="31.5" customHeight="1">
      <c r="A157" s="447" t="s">
        <v>202</v>
      </c>
      <c r="B157" s="542"/>
      <c r="C157" s="44"/>
      <c r="D157" s="41"/>
      <c r="E157" s="151"/>
      <c r="F157" s="61"/>
      <c r="G157" s="69" t="s">
        <v>238</v>
      </c>
    </row>
    <row r="158" spans="1:7" ht="31.5" customHeight="1">
      <c r="A158" s="447" t="s">
        <v>121</v>
      </c>
      <c r="B158" s="542"/>
      <c r="C158" s="152"/>
      <c r="D158" s="42"/>
      <c r="F158" s="57"/>
      <c r="G158" s="70" t="s">
        <v>238</v>
      </c>
    </row>
    <row r="159" spans="1:7" ht="31.5" customHeight="1">
      <c r="A159" s="447" t="s">
        <v>32</v>
      </c>
      <c r="B159" s="542"/>
      <c r="C159" s="447"/>
      <c r="D159" s="542"/>
      <c r="E159" s="542"/>
      <c r="F159" s="542"/>
      <c r="G159" s="448"/>
    </row>
    <row r="160" spans="1:7" ht="31.5" customHeight="1">
      <c r="A160" s="447" t="s">
        <v>311</v>
      </c>
      <c r="B160" s="542"/>
      <c r="C160" s="447"/>
      <c r="D160" s="542"/>
      <c r="E160" s="542"/>
      <c r="F160" s="542"/>
      <c r="G160" s="448"/>
    </row>
    <row r="161" spans="1:7" ht="31.5" customHeight="1">
      <c r="A161" s="447" t="s">
        <v>19</v>
      </c>
      <c r="B161" s="542"/>
      <c r="C161" s="445" t="s">
        <v>1</v>
      </c>
      <c r="D161" s="557"/>
      <c r="E161" s="557"/>
      <c r="F161" s="557"/>
      <c r="G161" s="446"/>
    </row>
    <row r="162" spans="1:7" ht="31.5" customHeight="1">
      <c r="A162" s="417" t="s">
        <v>77</v>
      </c>
      <c r="B162" s="417"/>
      <c r="C162" s="417"/>
      <c r="D162" s="417"/>
      <c r="E162" s="417"/>
      <c r="F162" s="417"/>
      <c r="G162" s="417"/>
    </row>
    <row r="163" spans="1:7" ht="31.5" customHeight="1">
      <c r="A163" s="127"/>
      <c r="B163" s="127"/>
      <c r="C163" s="127"/>
      <c r="D163" s="127"/>
      <c r="E163" s="127"/>
      <c r="F163" s="127"/>
      <c r="G163" s="127"/>
    </row>
    <row r="164" spans="1:7" ht="31.5" customHeight="1">
      <c r="A164" s="428" t="s">
        <v>34</v>
      </c>
      <c r="B164" s="425"/>
      <c r="C164" s="419"/>
      <c r="D164" s="420"/>
      <c r="E164" s="420"/>
      <c r="F164" s="62" t="s">
        <v>261</v>
      </c>
      <c r="G164" s="25"/>
    </row>
    <row r="165" spans="1:7" ht="31.5" customHeight="1">
      <c r="A165" s="546" t="s">
        <v>146</v>
      </c>
      <c r="B165" s="62" t="s">
        <v>185</v>
      </c>
      <c r="C165" s="418"/>
      <c r="D165" s="418"/>
      <c r="E165" s="418"/>
      <c r="F165" s="418"/>
      <c r="G165" s="418"/>
    </row>
    <row r="166" spans="1:7" ht="31.5" customHeight="1">
      <c r="A166" s="547"/>
      <c r="B166" s="18" t="s">
        <v>180</v>
      </c>
      <c r="C166" s="419"/>
      <c r="D166" s="420"/>
      <c r="E166" s="420"/>
      <c r="F166" s="420"/>
      <c r="G166" s="424"/>
    </row>
    <row r="167" spans="1:7" ht="31.5" customHeight="1">
      <c r="A167" s="548"/>
      <c r="B167" s="62" t="s">
        <v>23</v>
      </c>
      <c r="C167" s="550"/>
      <c r="D167" s="551"/>
      <c r="E167" s="551"/>
      <c r="F167" s="62" t="s">
        <v>151</v>
      </c>
      <c r="G167" s="25"/>
    </row>
    <row r="168" spans="1:7" ht="31.5" customHeight="1">
      <c r="A168" s="419" t="s">
        <v>125</v>
      </c>
      <c r="B168" s="420"/>
      <c r="C168" s="419">
        <v>6</v>
      </c>
      <c r="D168" s="420"/>
      <c r="E168" s="420"/>
      <c r="F168" s="62" t="s">
        <v>190</v>
      </c>
      <c r="G168" s="25"/>
    </row>
    <row r="169" spans="1:7" ht="31.5" customHeight="1">
      <c r="A169" s="428" t="s">
        <v>385</v>
      </c>
      <c r="B169" s="429"/>
      <c r="C169" s="19" t="s">
        <v>153</v>
      </c>
      <c r="D169" s="425"/>
      <c r="E169" s="425"/>
      <c r="F169" s="426" t="s">
        <v>136</v>
      </c>
      <c r="G169" s="427"/>
    </row>
    <row r="170" spans="1:7" ht="31.5" customHeight="1">
      <c r="A170" s="430"/>
      <c r="B170" s="431"/>
      <c r="C170" s="19" t="s">
        <v>181</v>
      </c>
      <c r="D170" s="19" t="s">
        <v>260</v>
      </c>
      <c r="E170" s="68" t="s">
        <v>18</v>
      </c>
      <c r="F170" s="59">
        <v>580000000</v>
      </c>
      <c r="G170" s="21" t="s">
        <v>238</v>
      </c>
    </row>
    <row r="171" spans="1:7" ht="31.5" customHeight="1">
      <c r="A171" s="430"/>
      <c r="B171" s="431"/>
      <c r="D171" s="19" t="s">
        <v>260</v>
      </c>
      <c r="E171" s="68" t="s">
        <v>184</v>
      </c>
      <c r="F171" s="60"/>
      <c r="G171" s="21" t="s">
        <v>238</v>
      </c>
    </row>
    <row r="172" spans="1:7" ht="31.5" customHeight="1">
      <c r="A172" s="432"/>
      <c r="B172" s="433"/>
      <c r="C172" s="20"/>
      <c r="D172" s="27"/>
      <c r="E172" s="27"/>
      <c r="G172" s="150"/>
    </row>
    <row r="173" spans="1:7" ht="31.5" customHeight="1">
      <c r="A173" s="447" t="s">
        <v>202</v>
      </c>
      <c r="B173" s="542"/>
      <c r="C173" s="44"/>
      <c r="D173" s="41"/>
      <c r="E173" s="151"/>
      <c r="F173" s="61"/>
      <c r="G173" s="69" t="s">
        <v>238</v>
      </c>
    </row>
    <row r="174" spans="1:7" ht="31.5" customHeight="1">
      <c r="A174" s="447" t="s">
        <v>121</v>
      </c>
      <c r="B174" s="542"/>
      <c r="C174" s="152"/>
      <c r="D174" s="42"/>
      <c r="F174" s="57">
        <f>F170</f>
        <v>580000000</v>
      </c>
      <c r="G174" s="70" t="s">
        <v>238</v>
      </c>
    </row>
    <row r="175" spans="1:7" ht="31.5" customHeight="1">
      <c r="A175" s="419" t="s">
        <v>125</v>
      </c>
      <c r="B175" s="420"/>
      <c r="C175" s="558"/>
      <c r="D175" s="553"/>
      <c r="E175" s="553"/>
      <c r="F175" s="25" t="s">
        <v>190</v>
      </c>
      <c r="G175" s="58"/>
    </row>
    <row r="176" spans="1:7" ht="31.5" customHeight="1">
      <c r="A176" s="428" t="s">
        <v>385</v>
      </c>
      <c r="B176" s="425"/>
      <c r="C176" s="17" t="s">
        <v>153</v>
      </c>
      <c r="D176" s="425"/>
      <c r="E176" s="425"/>
      <c r="F176" s="425"/>
      <c r="G176" s="429"/>
    </row>
    <row r="177" spans="1:7" ht="31.5" customHeight="1">
      <c r="A177" s="430"/>
      <c r="B177" s="559"/>
      <c r="C177" s="18" t="s">
        <v>181</v>
      </c>
      <c r="D177" s="19"/>
      <c r="E177" s="68"/>
      <c r="F177" s="59"/>
      <c r="G177" s="21"/>
    </row>
    <row r="178" spans="1:7" ht="31.5" customHeight="1">
      <c r="A178" s="432"/>
      <c r="B178" s="562"/>
      <c r="C178" s="283"/>
      <c r="D178" s="19"/>
      <c r="E178" s="68"/>
      <c r="F178" s="59"/>
      <c r="G178" s="21"/>
    </row>
    <row r="179" spans="1:7" ht="31.5" customHeight="1">
      <c r="A179" s="447" t="s">
        <v>202</v>
      </c>
      <c r="B179" s="542"/>
      <c r="C179" s="40"/>
      <c r="D179" s="41"/>
      <c r="E179" s="151"/>
      <c r="F179" s="41"/>
      <c r="G179" s="69" t="s">
        <v>238</v>
      </c>
    </row>
    <row r="180" spans="1:7" ht="31.5" customHeight="1">
      <c r="A180" s="447" t="s">
        <v>121</v>
      </c>
      <c r="B180" s="542"/>
      <c r="C180" s="43"/>
      <c r="D180" s="42"/>
      <c r="F180" s="41"/>
      <c r="G180" s="70" t="s">
        <v>238</v>
      </c>
    </row>
    <row r="181" spans="1:7" ht="31.5" customHeight="1">
      <c r="A181" s="447" t="s">
        <v>32</v>
      </c>
      <c r="B181" s="542"/>
      <c r="C181" s="447"/>
      <c r="D181" s="542"/>
      <c r="E181" s="542"/>
      <c r="F181" s="542"/>
      <c r="G181" s="448"/>
    </row>
    <row r="182" spans="1:7" ht="31.5" customHeight="1">
      <c r="A182" s="447" t="s">
        <v>311</v>
      </c>
      <c r="B182" s="542"/>
      <c r="C182" s="447"/>
      <c r="D182" s="542"/>
      <c r="E182" s="542"/>
      <c r="F182" s="542"/>
      <c r="G182" s="448"/>
    </row>
    <row r="183" spans="1:7" ht="31.5" customHeight="1">
      <c r="A183" s="447" t="s">
        <v>19</v>
      </c>
      <c r="B183" s="542"/>
      <c r="C183" s="445"/>
      <c r="D183" s="557"/>
      <c r="E183" s="557"/>
      <c r="F183" s="557"/>
      <c r="G183" s="446"/>
    </row>
    <row r="184" spans="1:7" ht="31.5" customHeight="1">
      <c r="A184" s="417" t="s">
        <v>77</v>
      </c>
      <c r="B184" s="417"/>
      <c r="C184" s="417"/>
      <c r="D184" s="417"/>
      <c r="E184" s="417"/>
      <c r="F184" s="417"/>
      <c r="G184" s="417"/>
    </row>
    <row r="185" spans="1:7" ht="31.5" customHeight="1">
      <c r="A185" s="127"/>
      <c r="B185" s="127"/>
      <c r="C185" s="127"/>
      <c r="D185" s="127"/>
      <c r="E185" s="127"/>
      <c r="F185" s="127"/>
      <c r="G185" s="127"/>
    </row>
    <row r="186" spans="1:7" ht="31.5" customHeight="1">
      <c r="A186" s="428" t="s">
        <v>34</v>
      </c>
      <c r="B186" s="425"/>
      <c r="C186" s="419"/>
      <c r="D186" s="420"/>
      <c r="E186" s="420"/>
      <c r="F186" s="62" t="s">
        <v>261</v>
      </c>
      <c r="G186" s="25"/>
    </row>
    <row r="187" spans="1:7" ht="31.5" customHeight="1">
      <c r="A187" s="546" t="s">
        <v>146</v>
      </c>
      <c r="B187" s="62" t="s">
        <v>185</v>
      </c>
      <c r="C187" s="549"/>
      <c r="D187" s="418"/>
      <c r="E187" s="418"/>
      <c r="F187" s="418"/>
      <c r="G187" s="418"/>
    </row>
    <row r="188" spans="1:7" ht="31.5" customHeight="1">
      <c r="A188" s="547"/>
      <c r="B188" s="18" t="s">
        <v>180</v>
      </c>
      <c r="C188" s="564"/>
      <c r="D188" s="565"/>
      <c r="E188" s="565"/>
      <c r="F188" s="565"/>
      <c r="G188" s="566"/>
    </row>
    <row r="189" spans="1:7" ht="31.5" customHeight="1">
      <c r="A189" s="548"/>
      <c r="B189" s="62" t="s">
        <v>23</v>
      </c>
      <c r="C189" s="550"/>
      <c r="D189" s="551"/>
      <c r="E189" s="551"/>
      <c r="F189" s="62" t="s">
        <v>151</v>
      </c>
      <c r="G189" s="25"/>
    </row>
    <row r="190" spans="1:7" ht="31.5" customHeight="1">
      <c r="A190" s="419" t="s">
        <v>125</v>
      </c>
      <c r="B190" s="420"/>
      <c r="C190" s="419">
        <v>7</v>
      </c>
      <c r="D190" s="420"/>
      <c r="E190" s="420"/>
      <c r="F190" s="62" t="s">
        <v>190</v>
      </c>
      <c r="G190" s="25"/>
    </row>
    <row r="191" spans="1:7" ht="31.5" customHeight="1">
      <c r="A191" s="428" t="s">
        <v>385</v>
      </c>
      <c r="B191" s="429"/>
      <c r="C191" s="19" t="s">
        <v>153</v>
      </c>
      <c r="D191" s="425"/>
      <c r="E191" s="425"/>
      <c r="F191" s="426" t="s">
        <v>136</v>
      </c>
      <c r="G191" s="427"/>
    </row>
    <row r="192" spans="1:7" ht="31.5" customHeight="1">
      <c r="A192" s="430"/>
      <c r="B192" s="431"/>
      <c r="C192" s="19" t="s">
        <v>181</v>
      </c>
      <c r="D192" s="19" t="s">
        <v>260</v>
      </c>
      <c r="E192" s="68" t="s">
        <v>18</v>
      </c>
      <c r="F192" s="302">
        <v>564000000</v>
      </c>
      <c r="G192" s="21" t="s">
        <v>238</v>
      </c>
    </row>
    <row r="193" spans="1:7" ht="31.5" customHeight="1">
      <c r="A193" s="430"/>
      <c r="B193" s="431"/>
      <c r="D193" s="19" t="s">
        <v>260</v>
      </c>
      <c r="E193" s="68" t="s">
        <v>184</v>
      </c>
      <c r="F193" s="60"/>
      <c r="G193" s="21" t="s">
        <v>238</v>
      </c>
    </row>
    <row r="194" spans="1:7" ht="31.5" customHeight="1">
      <c r="A194" s="432"/>
      <c r="B194" s="433"/>
      <c r="C194" s="20"/>
      <c r="D194" s="27"/>
      <c r="E194" s="27"/>
      <c r="G194" s="150"/>
    </row>
    <row r="195" spans="1:7" ht="31.5" customHeight="1">
      <c r="A195" s="447" t="s">
        <v>202</v>
      </c>
      <c r="B195" s="542"/>
      <c r="C195" s="44"/>
      <c r="D195" s="41"/>
      <c r="E195" s="151"/>
      <c r="F195" s="61"/>
      <c r="G195" s="69" t="s">
        <v>238</v>
      </c>
    </row>
    <row r="196" spans="1:7" ht="31.5" customHeight="1">
      <c r="A196" s="447" t="s">
        <v>121</v>
      </c>
      <c r="B196" s="542"/>
      <c r="C196" s="152"/>
      <c r="D196" s="42"/>
      <c r="F196" s="57">
        <v>576000000</v>
      </c>
      <c r="G196" s="70" t="s">
        <v>238</v>
      </c>
    </row>
    <row r="197" spans="1:7" ht="31.5" customHeight="1">
      <c r="A197" s="419" t="s">
        <v>125</v>
      </c>
      <c r="B197" s="420"/>
      <c r="C197" s="558"/>
      <c r="D197" s="553"/>
      <c r="E197" s="553"/>
      <c r="F197" s="25" t="s">
        <v>190</v>
      </c>
      <c r="G197" s="58"/>
    </row>
    <row r="198" spans="1:7" ht="31.5" customHeight="1">
      <c r="A198" s="428" t="s">
        <v>385</v>
      </c>
      <c r="B198" s="425"/>
      <c r="C198" s="17" t="s">
        <v>153</v>
      </c>
      <c r="D198" s="425"/>
      <c r="E198" s="425"/>
      <c r="F198" s="425"/>
      <c r="G198" s="429"/>
    </row>
    <row r="199" spans="1:7" ht="31.5" customHeight="1">
      <c r="A199" s="430"/>
      <c r="B199" s="559"/>
      <c r="C199" s="18" t="s">
        <v>181</v>
      </c>
      <c r="D199" s="559"/>
      <c r="E199" s="559"/>
      <c r="F199" s="559"/>
      <c r="G199" s="431"/>
    </row>
    <row r="200" spans="1:7" ht="31.5" customHeight="1">
      <c r="A200" s="432"/>
      <c r="B200" s="562"/>
      <c r="C200" s="26"/>
      <c r="D200" s="27"/>
      <c r="E200" s="153"/>
      <c r="F200" s="153"/>
      <c r="G200" s="154"/>
    </row>
    <row r="201" spans="1:7" ht="31.5" customHeight="1">
      <c r="A201" s="447" t="s">
        <v>202</v>
      </c>
      <c r="B201" s="542"/>
      <c r="C201" s="40"/>
      <c r="D201" s="41"/>
      <c r="E201" s="151"/>
      <c r="F201" s="41"/>
      <c r="G201" s="69" t="s">
        <v>238</v>
      </c>
    </row>
    <row r="202" spans="1:7" ht="31.5" customHeight="1">
      <c r="A202" s="447" t="s">
        <v>121</v>
      </c>
      <c r="B202" s="542"/>
      <c r="C202" s="43"/>
      <c r="D202" s="42"/>
      <c r="F202" s="41"/>
      <c r="G202" s="70" t="s">
        <v>238</v>
      </c>
    </row>
    <row r="203" spans="1:7" ht="31.5" customHeight="1">
      <c r="A203" s="447" t="s">
        <v>32</v>
      </c>
      <c r="B203" s="542"/>
      <c r="C203" s="447"/>
      <c r="D203" s="542"/>
      <c r="E203" s="542"/>
      <c r="F203" s="542"/>
      <c r="G203" s="448"/>
    </row>
    <row r="204" spans="1:7" ht="31.5" customHeight="1">
      <c r="A204" s="447" t="s">
        <v>311</v>
      </c>
      <c r="B204" s="542"/>
      <c r="C204" s="447"/>
      <c r="D204" s="542"/>
      <c r="E204" s="542"/>
      <c r="F204" s="542"/>
      <c r="G204" s="448"/>
    </row>
    <row r="205" spans="1:7" ht="31.5" customHeight="1">
      <c r="A205" s="447" t="s">
        <v>19</v>
      </c>
      <c r="B205" s="542"/>
      <c r="C205" s="445"/>
      <c r="D205" s="557"/>
      <c r="E205" s="557"/>
      <c r="F205" s="557"/>
      <c r="G205" s="446"/>
    </row>
    <row r="206" spans="1:7" ht="31.5" customHeight="1">
      <c r="A206" s="417" t="s">
        <v>77</v>
      </c>
      <c r="B206" s="417"/>
      <c r="C206" s="417"/>
      <c r="D206" s="417"/>
      <c r="E206" s="417"/>
      <c r="F206" s="417"/>
      <c r="G206" s="417"/>
    </row>
    <row r="207" spans="1:7" ht="31.5" customHeight="1">
      <c r="A207" s="127"/>
      <c r="B207" s="127"/>
      <c r="C207" s="127"/>
      <c r="D207" s="127"/>
      <c r="E207" s="127"/>
      <c r="F207" s="127"/>
      <c r="G207" s="127"/>
    </row>
    <row r="208" spans="1:7" ht="31.5" customHeight="1">
      <c r="A208" s="428" t="s">
        <v>34</v>
      </c>
      <c r="B208" s="425"/>
      <c r="C208" s="419"/>
      <c r="D208" s="420"/>
      <c r="E208" s="420"/>
      <c r="F208" s="62" t="s">
        <v>261</v>
      </c>
      <c r="G208" s="25"/>
    </row>
    <row r="209" spans="1:7" ht="31.5" customHeight="1">
      <c r="A209" s="546" t="s">
        <v>146</v>
      </c>
      <c r="B209" s="62" t="s">
        <v>185</v>
      </c>
      <c r="C209" s="549"/>
      <c r="D209" s="418"/>
      <c r="E209" s="418"/>
      <c r="F209" s="418"/>
      <c r="G209" s="418"/>
    </row>
    <row r="210" spans="1:7" ht="31.5" customHeight="1">
      <c r="A210" s="547"/>
      <c r="B210" s="18" t="s">
        <v>180</v>
      </c>
      <c r="C210" s="419"/>
      <c r="D210" s="420"/>
      <c r="E210" s="420"/>
      <c r="F210" s="420"/>
      <c r="G210" s="424"/>
    </row>
    <row r="211" spans="1:7" ht="31.5" customHeight="1">
      <c r="A211" s="548"/>
      <c r="B211" s="62" t="s">
        <v>23</v>
      </c>
      <c r="C211" s="550"/>
      <c r="D211" s="551"/>
      <c r="E211" s="551"/>
      <c r="F211" s="62" t="s">
        <v>151</v>
      </c>
      <c r="G211" s="25"/>
    </row>
    <row r="212" spans="1:7" ht="31.5" customHeight="1">
      <c r="A212" s="419" t="s">
        <v>125</v>
      </c>
      <c r="B212" s="420"/>
      <c r="C212" s="419">
        <v>8</v>
      </c>
      <c r="D212" s="420"/>
      <c r="E212" s="420"/>
      <c r="F212" s="62" t="s">
        <v>190</v>
      </c>
      <c r="G212" s="25"/>
    </row>
    <row r="213" spans="1:7" ht="31.5" customHeight="1">
      <c r="A213" s="428" t="s">
        <v>385</v>
      </c>
      <c r="B213" s="429"/>
      <c r="C213" s="19" t="s">
        <v>153</v>
      </c>
      <c r="D213" s="425"/>
      <c r="E213" s="425"/>
      <c r="F213" s="426" t="s">
        <v>197</v>
      </c>
      <c r="G213" s="427"/>
    </row>
    <row r="214" spans="1:7" ht="31.5" customHeight="1">
      <c r="A214" s="430"/>
      <c r="B214" s="431"/>
      <c r="C214" s="19" t="s">
        <v>181</v>
      </c>
      <c r="D214" s="19" t="s">
        <v>260</v>
      </c>
      <c r="E214" s="68" t="s">
        <v>18</v>
      </c>
      <c r="F214" s="59">
        <v>380608300</v>
      </c>
      <c r="G214" s="21" t="s">
        <v>238</v>
      </c>
    </row>
    <row r="215" spans="1:7" ht="31.5" customHeight="1">
      <c r="A215" s="430"/>
      <c r="B215" s="431"/>
      <c r="D215" s="19" t="s">
        <v>260</v>
      </c>
      <c r="E215" s="68" t="s">
        <v>184</v>
      </c>
      <c r="F215" s="60"/>
      <c r="G215" s="21" t="s">
        <v>238</v>
      </c>
    </row>
    <row r="216" spans="1:7" ht="31.5" customHeight="1">
      <c r="A216" s="432"/>
      <c r="B216" s="433"/>
      <c r="C216" s="20"/>
      <c r="D216" s="27"/>
      <c r="E216" s="27"/>
      <c r="G216" s="150"/>
    </row>
    <row r="217" spans="1:7" ht="31.5" customHeight="1">
      <c r="A217" s="447" t="s">
        <v>202</v>
      </c>
      <c r="B217" s="542"/>
      <c r="C217" s="44"/>
      <c r="D217" s="41"/>
      <c r="E217" s="151"/>
      <c r="F217" s="61"/>
      <c r="G217" s="69" t="s">
        <v>238</v>
      </c>
    </row>
    <row r="218" spans="1:7" ht="31.5" customHeight="1">
      <c r="A218" s="447" t="s">
        <v>121</v>
      </c>
      <c r="B218" s="542"/>
      <c r="C218" s="152"/>
      <c r="D218" s="42"/>
      <c r="F218" s="57">
        <f>F214</f>
        <v>380608300</v>
      </c>
      <c r="G218" s="70" t="s">
        <v>238</v>
      </c>
    </row>
    <row r="219" spans="1:7" ht="31.5" customHeight="1">
      <c r="A219" s="419" t="s">
        <v>125</v>
      </c>
      <c r="B219" s="420"/>
      <c r="C219" s="558"/>
      <c r="D219" s="553"/>
      <c r="E219" s="553"/>
      <c r="F219" s="25" t="s">
        <v>190</v>
      </c>
      <c r="G219" s="58"/>
    </row>
    <row r="220" spans="1:7" ht="31.5" customHeight="1">
      <c r="A220" s="428" t="s">
        <v>385</v>
      </c>
      <c r="B220" s="425"/>
      <c r="C220" s="17" t="s">
        <v>153</v>
      </c>
      <c r="D220" s="425"/>
      <c r="E220" s="425"/>
      <c r="F220" s="425"/>
      <c r="G220" s="429"/>
    </row>
    <row r="221" spans="1:7" ht="31.5" customHeight="1">
      <c r="A221" s="430"/>
      <c r="B221" s="559"/>
      <c r="C221" s="18" t="s">
        <v>181</v>
      </c>
      <c r="D221" s="559"/>
      <c r="E221" s="559"/>
      <c r="F221" s="559"/>
      <c r="G221" s="431"/>
    </row>
    <row r="222" spans="1:7" ht="31.5" customHeight="1">
      <c r="A222" s="432"/>
      <c r="B222" s="562"/>
      <c r="C222" s="26"/>
      <c r="D222" s="27"/>
      <c r="E222" s="153"/>
      <c r="F222" s="153"/>
      <c r="G222" s="154"/>
    </row>
    <row r="223" spans="1:7" ht="31.5" customHeight="1">
      <c r="A223" s="447" t="s">
        <v>202</v>
      </c>
      <c r="B223" s="542"/>
      <c r="C223" s="40"/>
      <c r="D223" s="41"/>
      <c r="E223" s="151"/>
      <c r="F223" s="41"/>
      <c r="G223" s="69" t="s">
        <v>238</v>
      </c>
    </row>
    <row r="224" spans="1:7" ht="31.5" customHeight="1">
      <c r="A224" s="447" t="s">
        <v>121</v>
      </c>
      <c r="B224" s="542"/>
      <c r="C224" s="43"/>
      <c r="D224" s="42"/>
      <c r="F224" s="301"/>
      <c r="G224" s="70" t="s">
        <v>238</v>
      </c>
    </row>
    <row r="225" spans="1:7" ht="31.5" customHeight="1">
      <c r="A225" s="447" t="s">
        <v>32</v>
      </c>
      <c r="B225" s="542"/>
      <c r="C225" s="447"/>
      <c r="D225" s="542"/>
      <c r="E225" s="542"/>
      <c r="F225" s="542"/>
      <c r="G225" s="448"/>
    </row>
    <row r="226" spans="1:7" ht="31.5" customHeight="1">
      <c r="A226" s="447" t="s">
        <v>311</v>
      </c>
      <c r="B226" s="542"/>
      <c r="C226" s="447"/>
      <c r="D226" s="542"/>
      <c r="E226" s="542"/>
      <c r="F226" s="542"/>
      <c r="G226" s="448"/>
    </row>
    <row r="227" spans="1:7" ht="31.5" customHeight="1">
      <c r="A227" s="447" t="s">
        <v>19</v>
      </c>
      <c r="B227" s="542"/>
      <c r="C227" s="445"/>
      <c r="D227" s="557"/>
      <c r="E227" s="557"/>
      <c r="F227" s="557"/>
      <c r="G227" s="446"/>
    </row>
    <row r="228" spans="1:7" ht="31.5" customHeight="1">
      <c r="A228" s="417" t="s">
        <v>77</v>
      </c>
      <c r="B228" s="417"/>
      <c r="C228" s="417"/>
      <c r="D228" s="417"/>
      <c r="E228" s="417"/>
      <c r="F228" s="417"/>
      <c r="G228" s="417"/>
    </row>
    <row r="229" spans="1:7" ht="31.5" customHeight="1">
      <c r="A229" s="127"/>
      <c r="B229" s="127"/>
      <c r="C229" s="127"/>
      <c r="D229" s="127"/>
      <c r="E229" s="127"/>
      <c r="F229" s="127"/>
      <c r="G229" s="127"/>
    </row>
    <row r="230" spans="1:7" ht="31.5" customHeight="1">
      <c r="A230" s="428" t="s">
        <v>34</v>
      </c>
      <c r="B230" s="425"/>
      <c r="C230" s="419"/>
      <c r="D230" s="420"/>
      <c r="E230" s="420"/>
      <c r="F230" s="62" t="s">
        <v>261</v>
      </c>
      <c r="G230" s="25"/>
    </row>
    <row r="231" spans="1:7" ht="31.5" customHeight="1">
      <c r="A231" s="546" t="s">
        <v>146</v>
      </c>
      <c r="B231" s="62" t="s">
        <v>185</v>
      </c>
      <c r="C231" s="549"/>
      <c r="D231" s="418"/>
      <c r="E231" s="418"/>
      <c r="F231" s="418"/>
      <c r="G231" s="418"/>
    </row>
    <row r="232" spans="1:7" ht="31.5" customHeight="1">
      <c r="A232" s="547"/>
      <c r="B232" s="18" t="s">
        <v>180</v>
      </c>
      <c r="C232" s="419"/>
      <c r="D232" s="420"/>
      <c r="E232" s="420"/>
      <c r="F232" s="420"/>
      <c r="G232" s="424"/>
    </row>
    <row r="233" spans="1:7" ht="31.5" customHeight="1">
      <c r="A233" s="548"/>
      <c r="B233" s="62" t="s">
        <v>23</v>
      </c>
      <c r="C233" s="550"/>
      <c r="D233" s="551"/>
      <c r="E233" s="551"/>
      <c r="F233" s="62" t="s">
        <v>151</v>
      </c>
      <c r="G233" s="25"/>
    </row>
    <row r="234" spans="1:7" ht="31.5" customHeight="1">
      <c r="A234" s="419" t="s">
        <v>125</v>
      </c>
      <c r="B234" s="420"/>
      <c r="C234" s="560" t="s">
        <v>304</v>
      </c>
      <c r="D234" s="420"/>
      <c r="E234" s="420"/>
      <c r="F234" s="62" t="s">
        <v>190</v>
      </c>
      <c r="G234" s="25"/>
    </row>
    <row r="235" spans="1:7" ht="31.5" customHeight="1">
      <c r="A235" s="428" t="s">
        <v>385</v>
      </c>
      <c r="B235" s="429"/>
      <c r="C235" s="19" t="s">
        <v>153</v>
      </c>
      <c r="D235" s="425"/>
      <c r="E235" s="425"/>
      <c r="F235" s="426" t="s">
        <v>197</v>
      </c>
      <c r="G235" s="427"/>
    </row>
    <row r="236" spans="1:7" ht="31.5" customHeight="1">
      <c r="A236" s="430"/>
      <c r="B236" s="431"/>
      <c r="C236" s="19" t="s">
        <v>181</v>
      </c>
      <c r="D236" s="19" t="s">
        <v>260</v>
      </c>
      <c r="E236" s="68" t="s">
        <v>18</v>
      </c>
      <c r="F236" s="59">
        <v>121534945</v>
      </c>
      <c r="G236" s="21" t="s">
        <v>238</v>
      </c>
    </row>
    <row r="237" spans="1:7" ht="31.5" customHeight="1">
      <c r="A237" s="430"/>
      <c r="B237" s="431"/>
      <c r="D237" s="19" t="s">
        <v>260</v>
      </c>
      <c r="E237" s="68" t="s">
        <v>184</v>
      </c>
      <c r="F237" s="60"/>
      <c r="G237" s="21" t="s">
        <v>238</v>
      </c>
    </row>
    <row r="238" spans="1:7" ht="31.5" customHeight="1">
      <c r="A238" s="432"/>
      <c r="B238" s="433"/>
      <c r="C238" s="20"/>
      <c r="D238" s="27"/>
      <c r="E238" s="27"/>
      <c r="G238" s="150"/>
    </row>
    <row r="239" spans="1:7" ht="31.5" customHeight="1">
      <c r="A239" s="447" t="s">
        <v>202</v>
      </c>
      <c r="B239" s="542"/>
      <c r="C239" s="44"/>
      <c r="D239" s="41"/>
      <c r="E239" s="151"/>
      <c r="F239" s="61"/>
      <c r="G239" s="69" t="s">
        <v>238</v>
      </c>
    </row>
    <row r="240" spans="1:7" ht="31.5" customHeight="1">
      <c r="A240" s="447" t="s">
        <v>121</v>
      </c>
      <c r="B240" s="542"/>
      <c r="C240" s="152"/>
      <c r="D240" s="42"/>
      <c r="F240" s="57">
        <f>F236</f>
        <v>121534945</v>
      </c>
      <c r="G240" s="70" t="s">
        <v>238</v>
      </c>
    </row>
    <row r="241" spans="1:7" ht="31.5" customHeight="1">
      <c r="A241" s="419" t="s">
        <v>125</v>
      </c>
      <c r="B241" s="420"/>
      <c r="C241" s="558"/>
      <c r="D241" s="553"/>
      <c r="E241" s="553"/>
      <c r="F241" s="25" t="s">
        <v>190</v>
      </c>
      <c r="G241" s="58"/>
    </row>
    <row r="242" spans="1:7" ht="31.5" customHeight="1">
      <c r="A242" s="428" t="s">
        <v>385</v>
      </c>
      <c r="B242" s="425"/>
      <c r="C242" s="17" t="s">
        <v>153</v>
      </c>
      <c r="D242" s="425"/>
      <c r="E242" s="425"/>
      <c r="F242" s="425"/>
      <c r="G242" s="429"/>
    </row>
    <row r="243" spans="1:7" ht="31.5" customHeight="1">
      <c r="A243" s="430"/>
      <c r="B243" s="559"/>
      <c r="C243" s="18" t="s">
        <v>181</v>
      </c>
      <c r="D243" s="559"/>
      <c r="E243" s="559"/>
      <c r="F243" s="559"/>
      <c r="G243" s="431"/>
    </row>
    <row r="244" spans="1:7" ht="31.5" customHeight="1">
      <c r="A244" s="432"/>
      <c r="B244" s="562"/>
      <c r="C244" s="26"/>
      <c r="D244" s="27"/>
      <c r="E244" s="153"/>
      <c r="F244" s="153"/>
      <c r="G244" s="154"/>
    </row>
    <row r="245" spans="1:7" ht="31.5" customHeight="1">
      <c r="A245" s="447" t="s">
        <v>202</v>
      </c>
      <c r="B245" s="542"/>
      <c r="C245" s="40"/>
      <c r="D245" s="41"/>
      <c r="E245" s="151"/>
      <c r="F245" s="41"/>
      <c r="G245" s="69" t="s">
        <v>238</v>
      </c>
    </row>
    <row r="246" spans="1:7" ht="31.5" customHeight="1">
      <c r="A246" s="447" t="s">
        <v>121</v>
      </c>
      <c r="B246" s="542"/>
      <c r="C246" s="43"/>
      <c r="D246" s="42"/>
      <c r="F246" s="41"/>
      <c r="G246" s="70" t="s">
        <v>238</v>
      </c>
    </row>
    <row r="247" spans="1:7" ht="31.5" customHeight="1">
      <c r="A247" s="447" t="s">
        <v>32</v>
      </c>
      <c r="B247" s="542"/>
      <c r="C247" s="447"/>
      <c r="D247" s="542"/>
      <c r="E247" s="542"/>
      <c r="F247" s="542"/>
      <c r="G247" s="448"/>
    </row>
    <row r="248" spans="1:7" ht="31.5" customHeight="1">
      <c r="A248" s="447" t="s">
        <v>311</v>
      </c>
      <c r="B248" s="542"/>
      <c r="C248" s="447"/>
      <c r="D248" s="542"/>
      <c r="E248" s="542"/>
      <c r="F248" s="542"/>
      <c r="G248" s="448"/>
    </row>
    <row r="249" spans="1:7" ht="75.75" customHeight="1">
      <c r="A249" s="447" t="s">
        <v>19</v>
      </c>
      <c r="B249" s="542"/>
      <c r="C249" s="543" t="s">
        <v>481</v>
      </c>
      <c r="D249" s="544"/>
      <c r="E249" s="544"/>
      <c r="F249" s="544"/>
      <c r="G249" s="545"/>
    </row>
    <row r="250" spans="1:7" ht="31.5" customHeight="1">
      <c r="A250" s="417" t="s">
        <v>77</v>
      </c>
      <c r="B250" s="417"/>
      <c r="C250" s="417"/>
      <c r="D250" s="417"/>
      <c r="E250" s="417"/>
      <c r="F250" s="417"/>
      <c r="G250" s="417"/>
    </row>
    <row r="251" spans="1:7" ht="31.5" customHeight="1">
      <c r="A251" s="127"/>
      <c r="B251" s="127"/>
      <c r="C251" s="127"/>
      <c r="D251" s="127"/>
      <c r="E251" s="127"/>
      <c r="F251" s="127"/>
      <c r="G251" s="127"/>
    </row>
    <row r="252" spans="1:7" ht="31.5" customHeight="1">
      <c r="A252" s="428" t="s">
        <v>34</v>
      </c>
      <c r="B252" s="425"/>
      <c r="C252" s="419"/>
      <c r="D252" s="420"/>
      <c r="E252" s="420"/>
      <c r="F252" s="62" t="s">
        <v>261</v>
      </c>
      <c r="G252" s="25"/>
    </row>
    <row r="253" spans="1:7" ht="31.5" customHeight="1">
      <c r="A253" s="546" t="s">
        <v>146</v>
      </c>
      <c r="B253" s="62" t="s">
        <v>185</v>
      </c>
      <c r="C253" s="549"/>
      <c r="D253" s="418"/>
      <c r="E253" s="418"/>
      <c r="F253" s="418"/>
      <c r="G253" s="418"/>
    </row>
    <row r="254" spans="1:7" ht="31.5" customHeight="1">
      <c r="A254" s="547"/>
      <c r="B254" s="18" t="s">
        <v>180</v>
      </c>
      <c r="C254" s="419"/>
      <c r="D254" s="420"/>
      <c r="E254" s="420"/>
      <c r="F254" s="420"/>
      <c r="G254" s="424"/>
    </row>
    <row r="255" spans="1:7" ht="31.5" customHeight="1">
      <c r="A255" s="548"/>
      <c r="B255" s="62" t="s">
        <v>23</v>
      </c>
      <c r="C255" s="550"/>
      <c r="D255" s="551"/>
      <c r="E255" s="551"/>
      <c r="F255" s="62" t="s">
        <v>151</v>
      </c>
      <c r="G255" s="25"/>
    </row>
    <row r="256" spans="1:7" ht="31.5" customHeight="1">
      <c r="A256" s="419" t="s">
        <v>125</v>
      </c>
      <c r="B256" s="420"/>
      <c r="C256" s="560" t="s">
        <v>306</v>
      </c>
      <c r="D256" s="420"/>
      <c r="E256" s="420"/>
      <c r="F256" s="62" t="s">
        <v>190</v>
      </c>
      <c r="G256" s="25"/>
    </row>
    <row r="257" spans="1:7" ht="31.5" customHeight="1">
      <c r="A257" s="428" t="s">
        <v>385</v>
      </c>
      <c r="B257" s="429"/>
      <c r="C257" s="19" t="s">
        <v>153</v>
      </c>
      <c r="D257" s="425"/>
      <c r="E257" s="425"/>
      <c r="F257" s="426" t="s">
        <v>197</v>
      </c>
      <c r="G257" s="427"/>
    </row>
    <row r="258" spans="1:7" ht="31.5" customHeight="1">
      <c r="A258" s="430"/>
      <c r="B258" s="431"/>
      <c r="C258" s="19" t="s">
        <v>181</v>
      </c>
      <c r="D258" s="19" t="s">
        <v>260</v>
      </c>
      <c r="E258" s="68" t="s">
        <v>18</v>
      </c>
      <c r="F258" s="59">
        <v>115181683</v>
      </c>
      <c r="G258" s="21" t="s">
        <v>238</v>
      </c>
    </row>
    <row r="259" spans="1:7" ht="31.5" customHeight="1">
      <c r="A259" s="430"/>
      <c r="B259" s="431"/>
      <c r="D259" s="19" t="s">
        <v>260</v>
      </c>
      <c r="E259" s="68" t="s">
        <v>184</v>
      </c>
      <c r="F259" s="60"/>
      <c r="G259" s="21" t="s">
        <v>238</v>
      </c>
    </row>
    <row r="260" spans="1:7" ht="31.5" customHeight="1">
      <c r="A260" s="432"/>
      <c r="B260" s="433"/>
      <c r="C260" s="20"/>
      <c r="D260" s="27"/>
      <c r="E260" s="27"/>
      <c r="G260" s="150"/>
    </row>
    <row r="261" spans="1:7" ht="31.5" customHeight="1">
      <c r="A261" s="447" t="s">
        <v>202</v>
      </c>
      <c r="B261" s="542"/>
      <c r="C261" s="44"/>
      <c r="D261" s="41"/>
      <c r="E261" s="151"/>
      <c r="F261" s="61"/>
      <c r="G261" s="69" t="s">
        <v>238</v>
      </c>
    </row>
    <row r="262" spans="1:7" ht="31.5" customHeight="1">
      <c r="A262" s="447" t="s">
        <v>121</v>
      </c>
      <c r="B262" s="542"/>
      <c r="C262" s="152"/>
      <c r="D262" s="42"/>
      <c r="F262" s="57">
        <f>F258</f>
        <v>115181683</v>
      </c>
      <c r="G262" s="70" t="s">
        <v>238</v>
      </c>
    </row>
    <row r="263" spans="1:7" ht="31.5" customHeight="1">
      <c r="A263" s="419" t="s">
        <v>125</v>
      </c>
      <c r="B263" s="420"/>
      <c r="C263" s="558"/>
      <c r="D263" s="553"/>
      <c r="E263" s="553"/>
      <c r="F263" s="25" t="s">
        <v>190</v>
      </c>
      <c r="G263" s="58"/>
    </row>
    <row r="264" spans="1:7" ht="31.5" customHeight="1">
      <c r="A264" s="428" t="s">
        <v>385</v>
      </c>
      <c r="B264" s="425"/>
      <c r="C264" s="17" t="s">
        <v>153</v>
      </c>
      <c r="D264" s="425"/>
      <c r="E264" s="425"/>
      <c r="F264" s="425"/>
      <c r="G264" s="429"/>
    </row>
    <row r="265" spans="1:7" ht="31.5" customHeight="1">
      <c r="A265" s="430"/>
      <c r="B265" s="559"/>
      <c r="C265" s="18" t="s">
        <v>181</v>
      </c>
      <c r="D265" s="559"/>
      <c r="E265" s="559"/>
      <c r="F265" s="559"/>
      <c r="G265" s="431"/>
    </row>
    <row r="266" spans="1:7" ht="31.5" customHeight="1">
      <c r="A266" s="432"/>
      <c r="B266" s="562"/>
      <c r="C266" s="26"/>
      <c r="D266" s="27"/>
      <c r="E266" s="153"/>
      <c r="F266" s="153"/>
      <c r="G266" s="154"/>
    </row>
    <row r="267" spans="1:7" ht="31.5" customHeight="1">
      <c r="A267" s="447" t="s">
        <v>202</v>
      </c>
      <c r="B267" s="542"/>
      <c r="C267" s="40"/>
      <c r="D267" s="41"/>
      <c r="E267" s="151"/>
      <c r="F267" s="41"/>
      <c r="G267" s="69" t="s">
        <v>238</v>
      </c>
    </row>
    <row r="268" spans="1:7" ht="31.5" customHeight="1">
      <c r="A268" s="447" t="s">
        <v>121</v>
      </c>
      <c r="B268" s="542"/>
      <c r="C268" s="43"/>
      <c r="D268" s="42"/>
      <c r="F268" s="41"/>
      <c r="G268" s="70" t="s">
        <v>238</v>
      </c>
    </row>
    <row r="269" spans="1:7" ht="31.5" customHeight="1">
      <c r="A269" s="447" t="s">
        <v>32</v>
      </c>
      <c r="B269" s="542"/>
      <c r="C269" s="447"/>
      <c r="D269" s="542"/>
      <c r="E269" s="542"/>
      <c r="F269" s="542"/>
      <c r="G269" s="448"/>
    </row>
    <row r="270" spans="1:7" ht="31.5" customHeight="1">
      <c r="A270" s="447" t="s">
        <v>311</v>
      </c>
      <c r="B270" s="542"/>
      <c r="C270" s="447"/>
      <c r="D270" s="542"/>
      <c r="E270" s="542"/>
      <c r="F270" s="542"/>
      <c r="G270" s="448"/>
    </row>
    <row r="271" spans="1:7" ht="31.5" customHeight="1">
      <c r="A271" s="447" t="s">
        <v>19</v>
      </c>
      <c r="B271" s="542"/>
      <c r="C271" s="574"/>
      <c r="D271" s="574"/>
      <c r="E271" s="574"/>
      <c r="F271" s="574"/>
      <c r="G271" s="574"/>
    </row>
    <row r="272" spans="1:7" ht="31.5" customHeight="1">
      <c r="A272" s="417" t="s">
        <v>77</v>
      </c>
      <c r="B272" s="417"/>
      <c r="C272" s="417"/>
      <c r="D272" s="417"/>
      <c r="E272" s="417"/>
      <c r="F272" s="417"/>
      <c r="G272" s="417"/>
    </row>
    <row r="273" spans="1:7" ht="31.5" customHeight="1">
      <c r="A273" s="127"/>
      <c r="B273" s="127"/>
      <c r="C273" s="127"/>
      <c r="D273" s="127"/>
      <c r="E273" s="127"/>
      <c r="F273" s="127"/>
      <c r="G273" s="127"/>
    </row>
    <row r="274" spans="1:7" ht="31.5" customHeight="1">
      <c r="A274" s="428" t="s">
        <v>34</v>
      </c>
      <c r="B274" s="425"/>
      <c r="C274" s="419"/>
      <c r="D274" s="420"/>
      <c r="E274" s="420"/>
      <c r="F274" s="62" t="s">
        <v>261</v>
      </c>
      <c r="G274" s="25"/>
    </row>
    <row r="275" spans="1:7" ht="31.5" customHeight="1">
      <c r="A275" s="546" t="s">
        <v>146</v>
      </c>
      <c r="B275" s="62" t="s">
        <v>185</v>
      </c>
      <c r="C275" s="549"/>
      <c r="D275" s="418"/>
      <c r="E275" s="418"/>
      <c r="F275" s="418"/>
      <c r="G275" s="418"/>
    </row>
    <row r="276" spans="1:7" ht="31.5" customHeight="1">
      <c r="A276" s="547"/>
      <c r="B276" s="18" t="s">
        <v>180</v>
      </c>
      <c r="C276" s="419"/>
      <c r="D276" s="420"/>
      <c r="E276" s="420"/>
      <c r="F276" s="420"/>
      <c r="G276" s="424"/>
    </row>
    <row r="277" spans="1:7" ht="31.5" customHeight="1">
      <c r="A277" s="548"/>
      <c r="B277" s="62" t="s">
        <v>23</v>
      </c>
      <c r="C277" s="550"/>
      <c r="D277" s="551"/>
      <c r="E277" s="551"/>
      <c r="F277" s="62" t="s">
        <v>151</v>
      </c>
      <c r="G277" s="25"/>
    </row>
    <row r="278" spans="1:7" ht="31.5" customHeight="1">
      <c r="A278" s="419" t="s">
        <v>125</v>
      </c>
      <c r="B278" s="420"/>
      <c r="C278" s="560" t="s">
        <v>305</v>
      </c>
      <c r="D278" s="420"/>
      <c r="E278" s="420"/>
      <c r="F278" s="62" t="s">
        <v>190</v>
      </c>
      <c r="G278" s="25"/>
    </row>
    <row r="279" spans="1:7" ht="31.5" customHeight="1">
      <c r="A279" s="428" t="s">
        <v>385</v>
      </c>
      <c r="B279" s="429"/>
      <c r="C279" s="19" t="s">
        <v>153</v>
      </c>
      <c r="D279" s="425"/>
      <c r="E279" s="425"/>
      <c r="F279" s="426" t="s">
        <v>197</v>
      </c>
      <c r="G279" s="427"/>
    </row>
    <row r="280" spans="1:7" ht="31.5" customHeight="1">
      <c r="A280" s="430"/>
      <c r="B280" s="431"/>
      <c r="C280" s="19" t="s">
        <v>181</v>
      </c>
      <c r="D280" s="19" t="s">
        <v>260</v>
      </c>
      <c r="E280" s="68" t="s">
        <v>18</v>
      </c>
      <c r="F280" s="59">
        <v>97557491</v>
      </c>
      <c r="G280" s="21" t="s">
        <v>238</v>
      </c>
    </row>
    <row r="281" spans="1:7" ht="31.5" customHeight="1">
      <c r="A281" s="430"/>
      <c r="B281" s="431"/>
      <c r="D281" s="19" t="s">
        <v>260</v>
      </c>
      <c r="E281" s="68" t="s">
        <v>184</v>
      </c>
      <c r="F281" s="60"/>
      <c r="G281" s="21" t="s">
        <v>238</v>
      </c>
    </row>
    <row r="282" spans="1:7" ht="31.5" customHeight="1">
      <c r="A282" s="432"/>
      <c r="B282" s="433"/>
      <c r="C282" s="20"/>
      <c r="D282" s="27"/>
      <c r="E282" s="27"/>
      <c r="G282" s="150"/>
    </row>
    <row r="283" spans="1:7" ht="31.5" customHeight="1">
      <c r="A283" s="447" t="s">
        <v>202</v>
      </c>
      <c r="B283" s="542"/>
      <c r="C283" s="44"/>
      <c r="D283" s="41"/>
      <c r="E283" s="151"/>
      <c r="F283" s="61"/>
      <c r="G283" s="69" t="s">
        <v>238</v>
      </c>
    </row>
    <row r="284" spans="1:7" ht="31.5" customHeight="1">
      <c r="A284" s="447" t="s">
        <v>121</v>
      </c>
      <c r="B284" s="542"/>
      <c r="C284" s="152"/>
      <c r="D284" s="42"/>
      <c r="F284" s="57">
        <f>F280</f>
        <v>97557491</v>
      </c>
      <c r="G284" s="70" t="s">
        <v>238</v>
      </c>
    </row>
    <row r="285" spans="1:7" ht="31.5" customHeight="1">
      <c r="A285" s="419" t="s">
        <v>125</v>
      </c>
      <c r="B285" s="420"/>
      <c r="C285" s="558"/>
      <c r="D285" s="553"/>
      <c r="E285" s="553"/>
      <c r="F285" s="25" t="s">
        <v>190</v>
      </c>
      <c r="G285" s="58"/>
    </row>
    <row r="286" spans="1:7" ht="31.5" customHeight="1">
      <c r="A286" s="428" t="s">
        <v>385</v>
      </c>
      <c r="B286" s="425"/>
      <c r="C286" s="17" t="s">
        <v>153</v>
      </c>
      <c r="D286" s="425"/>
      <c r="E286" s="425"/>
      <c r="F286" s="425"/>
      <c r="G286" s="429"/>
    </row>
    <row r="287" spans="1:7" ht="31.5" customHeight="1">
      <c r="A287" s="430"/>
      <c r="B287" s="559"/>
      <c r="C287" s="18" t="s">
        <v>181</v>
      </c>
      <c r="D287" s="559"/>
      <c r="E287" s="559"/>
      <c r="F287" s="559"/>
      <c r="G287" s="431"/>
    </row>
    <row r="288" spans="1:7" ht="31.5" customHeight="1">
      <c r="A288" s="432"/>
      <c r="B288" s="562"/>
      <c r="C288" s="26"/>
      <c r="D288" s="27"/>
      <c r="E288" s="153"/>
      <c r="F288" s="153"/>
      <c r="G288" s="154"/>
    </row>
    <row r="289" spans="1:7" ht="31.5" customHeight="1">
      <c r="A289" s="447" t="s">
        <v>202</v>
      </c>
      <c r="B289" s="542"/>
      <c r="C289" s="40"/>
      <c r="D289" s="41"/>
      <c r="E289" s="151"/>
      <c r="F289" s="41"/>
      <c r="G289" s="69" t="s">
        <v>238</v>
      </c>
    </row>
    <row r="290" spans="1:7" ht="31.5" customHeight="1">
      <c r="A290" s="447" t="s">
        <v>121</v>
      </c>
      <c r="B290" s="542"/>
      <c r="C290" s="43"/>
      <c r="D290" s="42"/>
      <c r="F290" s="41"/>
      <c r="G290" s="70" t="s">
        <v>238</v>
      </c>
    </row>
    <row r="291" spans="1:7" ht="31.5" customHeight="1">
      <c r="A291" s="447" t="s">
        <v>32</v>
      </c>
      <c r="B291" s="542"/>
      <c r="C291" s="447"/>
      <c r="D291" s="542"/>
      <c r="E291" s="542"/>
      <c r="F291" s="542"/>
      <c r="G291" s="448"/>
    </row>
    <row r="292" spans="1:7" ht="31.5" customHeight="1">
      <c r="A292" s="447" t="s">
        <v>311</v>
      </c>
      <c r="B292" s="542"/>
      <c r="C292" s="447"/>
      <c r="D292" s="542"/>
      <c r="E292" s="542"/>
      <c r="F292" s="542"/>
      <c r="G292" s="448"/>
    </row>
    <row r="293" spans="1:7" ht="72.75" customHeight="1">
      <c r="A293" s="447" t="s">
        <v>19</v>
      </c>
      <c r="B293" s="542"/>
      <c r="C293" s="543" t="s">
        <v>482</v>
      </c>
      <c r="D293" s="544"/>
      <c r="E293" s="544"/>
      <c r="F293" s="544"/>
      <c r="G293" s="545"/>
    </row>
    <row r="294" spans="1:7" ht="31.5" customHeight="1">
      <c r="A294" s="417" t="s">
        <v>77</v>
      </c>
      <c r="B294" s="417"/>
      <c r="C294" s="417"/>
      <c r="D294" s="417"/>
      <c r="E294" s="417"/>
      <c r="F294" s="417"/>
      <c r="G294" s="417"/>
    </row>
    <row r="295" spans="1:7" ht="31.5" customHeight="1">
      <c r="A295" s="127"/>
      <c r="B295" s="127"/>
      <c r="C295" s="127"/>
      <c r="D295" s="127"/>
      <c r="E295" s="127"/>
      <c r="F295" s="127"/>
      <c r="G295" s="127"/>
    </row>
    <row r="296" spans="1:7" ht="31.5" customHeight="1">
      <c r="A296" s="428" t="s">
        <v>34</v>
      </c>
      <c r="B296" s="425"/>
      <c r="C296" s="419"/>
      <c r="D296" s="420"/>
      <c r="E296" s="420"/>
      <c r="F296" s="62" t="s">
        <v>261</v>
      </c>
      <c r="G296" s="25"/>
    </row>
    <row r="297" spans="1:7" ht="31.5" customHeight="1">
      <c r="A297" s="546" t="s">
        <v>146</v>
      </c>
      <c r="B297" s="62" t="s">
        <v>185</v>
      </c>
      <c r="C297" s="549"/>
      <c r="D297" s="418"/>
      <c r="E297" s="418"/>
      <c r="F297" s="418"/>
      <c r="G297" s="418"/>
    </row>
    <row r="298" spans="1:7" ht="31.5" customHeight="1">
      <c r="A298" s="547"/>
      <c r="B298" s="18" t="s">
        <v>180</v>
      </c>
      <c r="C298" s="419"/>
      <c r="D298" s="420"/>
      <c r="E298" s="420"/>
      <c r="F298" s="420"/>
      <c r="G298" s="424"/>
    </row>
    <row r="299" spans="1:7" ht="31.5" customHeight="1">
      <c r="A299" s="548"/>
      <c r="B299" s="62" t="s">
        <v>23</v>
      </c>
      <c r="C299" s="550"/>
      <c r="D299" s="551"/>
      <c r="E299" s="551"/>
      <c r="F299" s="62" t="s">
        <v>151</v>
      </c>
      <c r="G299" s="25"/>
    </row>
    <row r="300" spans="1:7" ht="31.5" customHeight="1">
      <c r="A300" s="419" t="s">
        <v>125</v>
      </c>
      <c r="B300" s="420"/>
      <c r="C300" s="419">
        <v>10</v>
      </c>
      <c r="D300" s="420"/>
      <c r="E300" s="420"/>
      <c r="F300" s="62" t="s">
        <v>190</v>
      </c>
      <c r="G300" s="25"/>
    </row>
    <row r="301" spans="1:7" ht="31.5" customHeight="1">
      <c r="A301" s="428" t="s">
        <v>385</v>
      </c>
      <c r="B301" s="429"/>
      <c r="C301" s="19" t="s">
        <v>153</v>
      </c>
      <c r="D301" s="425"/>
      <c r="E301" s="425"/>
      <c r="F301" s="426" t="s">
        <v>159</v>
      </c>
      <c r="G301" s="427"/>
    </row>
    <row r="302" spans="1:7" ht="31.5" customHeight="1">
      <c r="A302" s="430"/>
      <c r="B302" s="431"/>
      <c r="C302" s="19" t="s">
        <v>181</v>
      </c>
      <c r="D302" s="19" t="s">
        <v>260</v>
      </c>
      <c r="E302" s="68" t="s">
        <v>18</v>
      </c>
      <c r="F302" s="59">
        <v>300000000</v>
      </c>
      <c r="G302" s="21" t="s">
        <v>238</v>
      </c>
    </row>
    <row r="303" spans="1:7" ht="31.5" customHeight="1">
      <c r="A303" s="430"/>
      <c r="B303" s="431"/>
      <c r="D303" s="19" t="s">
        <v>260</v>
      </c>
      <c r="E303" s="68" t="s">
        <v>184</v>
      </c>
      <c r="F303" s="60"/>
      <c r="G303" s="21" t="s">
        <v>238</v>
      </c>
    </row>
    <row r="304" spans="1:7" ht="31.5" customHeight="1">
      <c r="A304" s="432"/>
      <c r="B304" s="433"/>
      <c r="C304" s="20"/>
      <c r="D304" s="27"/>
      <c r="E304" s="27"/>
      <c r="G304" s="150"/>
    </row>
    <row r="305" spans="1:7" ht="31.5" customHeight="1">
      <c r="A305" s="447" t="s">
        <v>202</v>
      </c>
      <c r="B305" s="542"/>
      <c r="C305" s="44"/>
      <c r="D305" s="41"/>
      <c r="E305" s="151"/>
      <c r="F305" s="61"/>
      <c r="G305" s="69" t="s">
        <v>238</v>
      </c>
    </row>
    <row r="306" spans="1:7" ht="31.5" customHeight="1">
      <c r="A306" s="447" t="s">
        <v>121</v>
      </c>
      <c r="B306" s="542"/>
      <c r="C306" s="152"/>
      <c r="D306" s="42"/>
      <c r="F306" s="57">
        <f>F302</f>
        <v>300000000</v>
      </c>
      <c r="G306" s="70" t="s">
        <v>238</v>
      </c>
    </row>
    <row r="307" spans="1:7" ht="31.5" customHeight="1">
      <c r="A307" s="419" t="s">
        <v>125</v>
      </c>
      <c r="B307" s="420"/>
      <c r="C307" s="552"/>
      <c r="D307" s="553"/>
      <c r="E307" s="553"/>
      <c r="F307" s="25" t="s">
        <v>190</v>
      </c>
      <c r="G307" s="58"/>
    </row>
    <row r="308" spans="1:7" ht="31.5" customHeight="1">
      <c r="A308" s="428" t="s">
        <v>385</v>
      </c>
      <c r="B308" s="429"/>
      <c r="C308" s="19" t="s">
        <v>153</v>
      </c>
      <c r="D308" s="425"/>
      <c r="E308" s="425"/>
      <c r="F308" s="426"/>
      <c r="G308" s="427"/>
    </row>
    <row r="309" spans="1:7" ht="31.5" customHeight="1">
      <c r="A309" s="430"/>
      <c r="B309" s="431"/>
      <c r="C309" s="19" t="s">
        <v>181</v>
      </c>
      <c r="D309" s="19"/>
      <c r="E309" s="68"/>
      <c r="F309" s="59"/>
      <c r="G309" s="21"/>
    </row>
    <row r="310" spans="1:7" ht="31.5" customHeight="1">
      <c r="A310" s="432"/>
      <c r="B310" s="433"/>
      <c r="D310" s="19"/>
      <c r="E310" s="68"/>
      <c r="F310" s="60"/>
      <c r="G310" s="21"/>
    </row>
    <row r="311" spans="1:7" ht="31.5" customHeight="1">
      <c r="A311" s="447" t="s">
        <v>202</v>
      </c>
      <c r="B311" s="542"/>
      <c r="C311" s="40"/>
      <c r="D311" s="41"/>
      <c r="E311" s="151"/>
      <c r="F311" s="41"/>
      <c r="G311" s="69" t="s">
        <v>238</v>
      </c>
    </row>
    <row r="312" spans="1:7" ht="31.5" customHeight="1">
      <c r="A312" s="447" t="s">
        <v>121</v>
      </c>
      <c r="B312" s="542"/>
      <c r="C312" s="44"/>
      <c r="D312" s="41"/>
      <c r="E312" s="151"/>
      <c r="F312" s="229"/>
      <c r="G312" s="69" t="s">
        <v>238</v>
      </c>
    </row>
    <row r="313" spans="1:7" ht="31.5" customHeight="1">
      <c r="A313" s="447" t="s">
        <v>32</v>
      </c>
      <c r="B313" s="542"/>
      <c r="C313" s="447"/>
      <c r="D313" s="542"/>
      <c r="E313" s="542"/>
      <c r="F313" s="542"/>
      <c r="G313" s="448"/>
    </row>
    <row r="314" spans="1:7" ht="31.5" customHeight="1">
      <c r="A314" s="447" t="s">
        <v>311</v>
      </c>
      <c r="B314" s="542"/>
      <c r="C314" s="447"/>
      <c r="D314" s="542"/>
      <c r="E314" s="542"/>
      <c r="F314" s="542"/>
      <c r="G314" s="448"/>
    </row>
    <row r="315" spans="1:7" ht="31.5" customHeight="1">
      <c r="A315" s="447" t="s">
        <v>19</v>
      </c>
      <c r="B315" s="542"/>
      <c r="C315" s="445" t="s">
        <v>390</v>
      </c>
      <c r="D315" s="557"/>
      <c r="E315" s="557"/>
      <c r="F315" s="557"/>
      <c r="G315" s="446"/>
    </row>
    <row r="316" spans="1:7" ht="31.5" customHeight="1">
      <c r="A316" s="417" t="s">
        <v>77</v>
      </c>
      <c r="B316" s="417"/>
      <c r="C316" s="417"/>
      <c r="D316" s="417"/>
      <c r="E316" s="417"/>
      <c r="F316" s="417"/>
      <c r="G316" s="417"/>
    </row>
    <row r="317" spans="1:7" ht="31.5" customHeight="1">
      <c r="A317" s="127"/>
      <c r="B317" s="127"/>
      <c r="C317" s="127"/>
      <c r="D317" s="127"/>
      <c r="E317" s="127"/>
      <c r="F317" s="127"/>
      <c r="G317" s="127"/>
    </row>
    <row r="318" spans="1:7" ht="31.5" customHeight="1">
      <c r="A318" s="428" t="s">
        <v>34</v>
      </c>
      <c r="B318" s="425"/>
      <c r="C318" s="419"/>
      <c r="D318" s="420"/>
      <c r="E318" s="420"/>
      <c r="F318" s="62" t="s">
        <v>261</v>
      </c>
      <c r="G318" s="25"/>
    </row>
    <row r="319" spans="1:7" ht="31.5" customHeight="1">
      <c r="A319" s="546" t="s">
        <v>146</v>
      </c>
      <c r="B319" s="62" t="s">
        <v>185</v>
      </c>
      <c r="C319" s="419"/>
      <c r="D319" s="420"/>
      <c r="E319" s="420"/>
      <c r="F319" s="420"/>
      <c r="G319" s="424"/>
    </row>
    <row r="320" spans="1:7" ht="36.75" customHeight="1">
      <c r="A320" s="547"/>
      <c r="B320" s="18" t="s">
        <v>180</v>
      </c>
      <c r="C320" s="564"/>
      <c r="D320" s="565"/>
      <c r="E320" s="565"/>
      <c r="F320" s="565"/>
      <c r="G320" s="566"/>
    </row>
    <row r="321" spans="1:7" ht="31.5" customHeight="1">
      <c r="A321" s="548"/>
      <c r="B321" s="62" t="s">
        <v>23</v>
      </c>
      <c r="C321" s="550"/>
      <c r="D321" s="551"/>
      <c r="E321" s="551"/>
      <c r="F321" s="62" t="s">
        <v>151</v>
      </c>
      <c r="G321" s="25"/>
    </row>
    <row r="322" spans="1:7" ht="31.5" customHeight="1">
      <c r="A322" s="419" t="s">
        <v>125</v>
      </c>
      <c r="B322" s="420"/>
      <c r="C322" s="419">
        <v>11</v>
      </c>
      <c r="D322" s="420"/>
      <c r="E322" s="420"/>
      <c r="F322" s="62" t="s">
        <v>190</v>
      </c>
      <c r="G322" s="25"/>
    </row>
    <row r="323" spans="1:7" ht="31.5" customHeight="1">
      <c r="A323" s="428" t="s">
        <v>385</v>
      </c>
      <c r="B323" s="429"/>
      <c r="C323" s="19" t="s">
        <v>153</v>
      </c>
      <c r="D323" s="425"/>
      <c r="E323" s="425"/>
      <c r="F323" s="426" t="s">
        <v>197</v>
      </c>
      <c r="G323" s="427"/>
    </row>
    <row r="324" spans="1:7" ht="31.5" customHeight="1">
      <c r="A324" s="430"/>
      <c r="B324" s="431"/>
      <c r="C324" s="19" t="s">
        <v>181</v>
      </c>
      <c r="D324" s="19" t="s">
        <v>260</v>
      </c>
      <c r="E324" s="68" t="s">
        <v>18</v>
      </c>
      <c r="F324" s="322" t="s">
        <v>444</v>
      </c>
      <c r="G324" s="21"/>
    </row>
    <row r="325" spans="1:7" ht="31.5" customHeight="1">
      <c r="A325" s="430"/>
      <c r="B325" s="431"/>
      <c r="C325" s="19"/>
      <c r="D325" s="19"/>
      <c r="E325" s="68"/>
      <c r="F325" s="59">
        <v>184343044</v>
      </c>
      <c r="G325" s="21" t="s">
        <v>238</v>
      </c>
    </row>
    <row r="326" spans="1:7" ht="31.5" customHeight="1">
      <c r="A326" s="430"/>
      <c r="B326" s="431"/>
      <c r="D326" s="19" t="s">
        <v>260</v>
      </c>
      <c r="E326" s="68" t="s">
        <v>184</v>
      </c>
      <c r="F326" s="60"/>
      <c r="G326" s="21" t="s">
        <v>238</v>
      </c>
    </row>
    <row r="327" spans="1:7" ht="31.5" customHeight="1">
      <c r="A327" s="432"/>
      <c r="B327" s="433"/>
      <c r="C327" s="20"/>
      <c r="D327" s="27"/>
      <c r="E327" s="27"/>
      <c r="G327" s="150"/>
    </row>
    <row r="328" spans="1:7" ht="31.5" customHeight="1">
      <c r="A328" s="447" t="s">
        <v>202</v>
      </c>
      <c r="B328" s="542"/>
      <c r="C328" s="44"/>
      <c r="D328" s="41"/>
      <c r="E328" s="151"/>
      <c r="F328" s="61"/>
      <c r="G328" s="69" t="s">
        <v>238</v>
      </c>
    </row>
    <row r="329" spans="1:7" ht="31.5" customHeight="1">
      <c r="A329" s="447" t="s">
        <v>121</v>
      </c>
      <c r="B329" s="542"/>
      <c r="C329" s="152"/>
      <c r="D329" s="42"/>
      <c r="F329" s="57">
        <f>F325</f>
        <v>184343044</v>
      </c>
      <c r="G329" s="70" t="s">
        <v>445</v>
      </c>
    </row>
    <row r="330" spans="1:7" ht="31.5" customHeight="1">
      <c r="A330" s="419" t="s">
        <v>125</v>
      </c>
      <c r="B330" s="420"/>
      <c r="C330" s="558"/>
      <c r="D330" s="553"/>
      <c r="E330" s="553"/>
      <c r="F330" s="25" t="s">
        <v>190</v>
      </c>
      <c r="G330" s="58"/>
    </row>
    <row r="331" spans="1:7" ht="31.5" customHeight="1">
      <c r="A331" s="428" t="s">
        <v>385</v>
      </c>
      <c r="B331" s="425"/>
      <c r="C331" s="17" t="s">
        <v>153</v>
      </c>
      <c r="D331" s="425"/>
      <c r="E331" s="425"/>
      <c r="F331" s="425"/>
      <c r="G331" s="429"/>
    </row>
    <row r="332" spans="1:7" ht="31.5" customHeight="1">
      <c r="A332" s="430"/>
      <c r="B332" s="559"/>
      <c r="C332" s="18" t="s">
        <v>181</v>
      </c>
      <c r="D332" s="559"/>
      <c r="E332" s="559"/>
      <c r="F332" s="559"/>
      <c r="G332" s="431"/>
    </row>
    <row r="333" spans="1:7" ht="31.5" customHeight="1">
      <c r="A333" s="432"/>
      <c r="B333" s="562"/>
      <c r="C333" s="26"/>
      <c r="D333" s="27"/>
      <c r="E333" s="153"/>
      <c r="F333" s="153"/>
      <c r="G333" s="154"/>
    </row>
    <row r="334" spans="1:7" ht="31.5" customHeight="1">
      <c r="A334" s="447" t="s">
        <v>202</v>
      </c>
      <c r="B334" s="542"/>
      <c r="C334" s="40"/>
      <c r="D334" s="41"/>
      <c r="E334" s="151"/>
      <c r="F334" s="41"/>
      <c r="G334" s="69" t="s">
        <v>238</v>
      </c>
    </row>
    <row r="335" spans="1:7" ht="31.5" customHeight="1">
      <c r="A335" s="447" t="s">
        <v>121</v>
      </c>
      <c r="B335" s="542"/>
      <c r="C335" s="43"/>
      <c r="D335" s="42"/>
      <c r="F335" s="41"/>
      <c r="G335" s="70" t="s">
        <v>238</v>
      </c>
    </row>
    <row r="336" spans="1:7" ht="31.5" customHeight="1">
      <c r="A336" s="447" t="s">
        <v>32</v>
      </c>
      <c r="B336" s="542"/>
      <c r="C336" s="447"/>
      <c r="D336" s="542"/>
      <c r="E336" s="542"/>
      <c r="F336" s="542"/>
      <c r="G336" s="448"/>
    </row>
    <row r="337" spans="1:7" ht="31.5" customHeight="1">
      <c r="A337" s="447" t="s">
        <v>311</v>
      </c>
      <c r="B337" s="542"/>
      <c r="C337" s="447"/>
      <c r="D337" s="542"/>
      <c r="E337" s="542"/>
      <c r="F337" s="542"/>
      <c r="G337" s="448"/>
    </row>
    <row r="338" spans="1:7" ht="31.5" customHeight="1">
      <c r="A338" s="447" t="s">
        <v>19</v>
      </c>
      <c r="B338" s="542"/>
      <c r="C338" s="440" t="s">
        <v>437</v>
      </c>
      <c r="D338" s="441"/>
      <c r="E338" s="441"/>
      <c r="F338" s="441"/>
      <c r="G338" s="442"/>
    </row>
    <row r="339" spans="1:7" ht="31.5" customHeight="1">
      <c r="A339" s="417" t="s">
        <v>77</v>
      </c>
      <c r="B339" s="417"/>
      <c r="C339" s="417"/>
      <c r="D339" s="417"/>
      <c r="E339" s="417"/>
      <c r="F339" s="417"/>
      <c r="G339" s="417"/>
    </row>
    <row r="340" spans="1:7" ht="31.5" customHeight="1">
      <c r="A340" s="127"/>
      <c r="B340" s="127"/>
      <c r="C340" s="127"/>
      <c r="D340" s="127"/>
      <c r="E340" s="127"/>
      <c r="F340" s="127"/>
      <c r="G340" s="127"/>
    </row>
    <row r="341" spans="1:7" ht="31.5" customHeight="1">
      <c r="A341" s="428" t="s">
        <v>34</v>
      </c>
      <c r="B341" s="425"/>
      <c r="C341" s="419"/>
      <c r="D341" s="420"/>
      <c r="E341" s="420"/>
      <c r="F341" s="62" t="s">
        <v>261</v>
      </c>
      <c r="G341" s="25"/>
    </row>
    <row r="342" spans="1:7" ht="31.5" customHeight="1">
      <c r="A342" s="546" t="s">
        <v>146</v>
      </c>
      <c r="B342" s="62" t="s">
        <v>185</v>
      </c>
      <c r="C342" s="549"/>
      <c r="D342" s="418"/>
      <c r="E342" s="418"/>
      <c r="F342" s="418"/>
      <c r="G342" s="418"/>
    </row>
    <row r="343" spans="1:7" ht="31.5" customHeight="1">
      <c r="A343" s="547"/>
      <c r="B343" s="18" t="s">
        <v>180</v>
      </c>
      <c r="C343" s="419"/>
      <c r="D343" s="420"/>
      <c r="E343" s="420"/>
      <c r="F343" s="420"/>
      <c r="G343" s="424"/>
    </row>
    <row r="344" spans="1:7" ht="31.5" customHeight="1">
      <c r="A344" s="548"/>
      <c r="B344" s="62" t="s">
        <v>23</v>
      </c>
      <c r="C344" s="550"/>
      <c r="D344" s="551"/>
      <c r="E344" s="551"/>
      <c r="F344" s="62" t="s">
        <v>151</v>
      </c>
      <c r="G344" s="25"/>
    </row>
    <row r="345" spans="1:7" ht="31.5" customHeight="1">
      <c r="A345" s="419" t="s">
        <v>125</v>
      </c>
      <c r="B345" s="420"/>
      <c r="C345" s="561" t="s">
        <v>230</v>
      </c>
      <c r="D345" s="420"/>
      <c r="E345" s="420"/>
      <c r="F345" s="62" t="s">
        <v>190</v>
      </c>
      <c r="G345" s="25"/>
    </row>
    <row r="346" spans="1:7" ht="31.5" customHeight="1">
      <c r="A346" s="428" t="s">
        <v>385</v>
      </c>
      <c r="B346" s="429"/>
      <c r="C346" s="19" t="s">
        <v>153</v>
      </c>
      <c r="D346" s="425"/>
      <c r="E346" s="425"/>
      <c r="F346" s="426" t="s">
        <v>197</v>
      </c>
      <c r="G346" s="427"/>
    </row>
    <row r="347" spans="1:7" ht="31.5" customHeight="1">
      <c r="A347" s="430"/>
      <c r="B347" s="431"/>
      <c r="C347" s="19" t="s">
        <v>181</v>
      </c>
      <c r="D347" s="19" t="s">
        <v>260</v>
      </c>
      <c r="E347" s="68" t="s">
        <v>18</v>
      </c>
      <c r="F347" s="59">
        <v>124545516</v>
      </c>
      <c r="G347" s="21" t="s">
        <v>238</v>
      </c>
    </row>
    <row r="348" spans="1:7" ht="31.5" customHeight="1">
      <c r="A348" s="430"/>
      <c r="B348" s="431"/>
      <c r="D348" s="19" t="s">
        <v>260</v>
      </c>
      <c r="E348" s="68" t="s">
        <v>184</v>
      </c>
      <c r="F348" s="60"/>
      <c r="G348" s="21" t="s">
        <v>238</v>
      </c>
    </row>
    <row r="349" spans="1:7" ht="31.5" customHeight="1">
      <c r="A349" s="432"/>
      <c r="B349" s="433"/>
      <c r="C349" s="20"/>
      <c r="D349" s="27"/>
      <c r="E349" s="27"/>
      <c r="G349" s="150"/>
    </row>
    <row r="350" spans="1:7" ht="31.5" customHeight="1">
      <c r="A350" s="447" t="s">
        <v>202</v>
      </c>
      <c r="B350" s="542"/>
      <c r="C350" s="44"/>
      <c r="D350" s="41"/>
      <c r="E350" s="151"/>
      <c r="F350" s="61"/>
      <c r="G350" s="69" t="s">
        <v>238</v>
      </c>
    </row>
    <row r="351" spans="1:7" ht="31.5" customHeight="1">
      <c r="A351" s="447" t="s">
        <v>121</v>
      </c>
      <c r="B351" s="542"/>
      <c r="C351" s="152"/>
      <c r="D351" s="42"/>
      <c r="F351" s="57">
        <f>F347</f>
        <v>124545516</v>
      </c>
      <c r="G351" s="70" t="s">
        <v>238</v>
      </c>
    </row>
    <row r="352" spans="1:7" ht="31.5" customHeight="1">
      <c r="A352" s="419" t="s">
        <v>125</v>
      </c>
      <c r="B352" s="420"/>
      <c r="C352" s="558"/>
      <c r="D352" s="553"/>
      <c r="E352" s="553"/>
      <c r="F352" s="25" t="s">
        <v>190</v>
      </c>
      <c r="G352" s="58"/>
    </row>
    <row r="353" spans="1:7" ht="31.5" customHeight="1">
      <c r="A353" s="428" t="s">
        <v>385</v>
      </c>
      <c r="B353" s="429"/>
      <c r="C353" s="277" t="s">
        <v>153</v>
      </c>
      <c r="D353" s="425"/>
      <c r="E353" s="425"/>
      <c r="F353" s="425"/>
      <c r="G353" s="429"/>
    </row>
    <row r="354" spans="1:7" ht="31.5" customHeight="1">
      <c r="A354" s="430"/>
      <c r="B354" s="431"/>
      <c r="C354" s="19" t="s">
        <v>181</v>
      </c>
      <c r="D354" s="19"/>
      <c r="E354" s="19"/>
      <c r="F354" s="19"/>
      <c r="G354" s="23"/>
    </row>
    <row r="355" spans="1:7" ht="31.5" customHeight="1">
      <c r="A355" s="432"/>
      <c r="B355" s="433"/>
      <c r="D355" s="559"/>
      <c r="E355" s="559"/>
      <c r="F355" s="559"/>
      <c r="G355" s="431"/>
    </row>
    <row r="356" spans="1:7" ht="31.5" customHeight="1">
      <c r="A356" s="447" t="s">
        <v>202</v>
      </c>
      <c r="B356" s="542"/>
      <c r="C356" s="40"/>
      <c r="D356" s="41"/>
      <c r="E356" s="151"/>
      <c r="F356" s="41"/>
      <c r="G356" s="69" t="s">
        <v>238</v>
      </c>
    </row>
    <row r="357" spans="1:7" ht="31.5" customHeight="1">
      <c r="A357" s="447" t="s">
        <v>121</v>
      </c>
      <c r="B357" s="542"/>
      <c r="C357" s="43"/>
      <c r="D357" s="42"/>
      <c r="F357" s="41"/>
      <c r="G357" s="70" t="s">
        <v>238</v>
      </c>
    </row>
    <row r="358" spans="1:7" ht="31.5" customHeight="1">
      <c r="A358" s="447" t="s">
        <v>32</v>
      </c>
      <c r="B358" s="542"/>
      <c r="C358" s="447"/>
      <c r="D358" s="542"/>
      <c r="E358" s="542"/>
      <c r="F358" s="542"/>
      <c r="G358" s="448"/>
    </row>
    <row r="359" spans="1:7" ht="31.5" customHeight="1">
      <c r="A359" s="447" t="s">
        <v>311</v>
      </c>
      <c r="B359" s="542"/>
      <c r="C359" s="447"/>
      <c r="D359" s="542"/>
      <c r="E359" s="542"/>
      <c r="F359" s="542"/>
      <c r="G359" s="448"/>
    </row>
    <row r="360" spans="1:7" ht="57.75" customHeight="1">
      <c r="A360" s="447" t="s">
        <v>19</v>
      </c>
      <c r="B360" s="542"/>
      <c r="C360" s="574"/>
      <c r="D360" s="574"/>
      <c r="E360" s="574"/>
      <c r="F360" s="574"/>
      <c r="G360" s="574"/>
    </row>
    <row r="361" spans="1:7" ht="31.5" customHeight="1">
      <c r="A361" s="417" t="s">
        <v>77</v>
      </c>
      <c r="B361" s="417"/>
      <c r="C361" s="417"/>
      <c r="D361" s="417"/>
      <c r="E361" s="417"/>
      <c r="F361" s="417"/>
      <c r="G361" s="417"/>
    </row>
    <row r="362" spans="1:7" ht="31.5" customHeight="1">
      <c r="A362" s="127"/>
      <c r="B362" s="127"/>
      <c r="C362" s="127"/>
      <c r="D362" s="127"/>
      <c r="E362" s="127"/>
      <c r="F362" s="127"/>
      <c r="G362" s="127"/>
    </row>
    <row r="363" spans="1:7" ht="31.5" customHeight="1">
      <c r="A363" s="428" t="s">
        <v>34</v>
      </c>
      <c r="B363" s="425"/>
      <c r="C363" s="419"/>
      <c r="D363" s="420"/>
      <c r="E363" s="420"/>
      <c r="F363" s="62" t="s">
        <v>261</v>
      </c>
      <c r="G363" s="25"/>
    </row>
    <row r="364" spans="1:7" ht="31.5" customHeight="1">
      <c r="A364" s="546" t="s">
        <v>146</v>
      </c>
      <c r="B364" s="62" t="s">
        <v>185</v>
      </c>
      <c r="C364" s="549"/>
      <c r="D364" s="418"/>
      <c r="E364" s="418"/>
      <c r="F364" s="418"/>
      <c r="G364" s="418"/>
    </row>
    <row r="365" spans="1:7" ht="31.5" customHeight="1">
      <c r="A365" s="547"/>
      <c r="B365" s="18" t="s">
        <v>180</v>
      </c>
      <c r="C365" s="419"/>
      <c r="D365" s="420"/>
      <c r="E365" s="420"/>
      <c r="F365" s="420"/>
      <c r="G365" s="424"/>
    </row>
    <row r="366" spans="1:7" ht="31.5" customHeight="1">
      <c r="A366" s="548"/>
      <c r="B366" s="62" t="s">
        <v>23</v>
      </c>
      <c r="C366" s="550"/>
      <c r="D366" s="551"/>
      <c r="E366" s="551"/>
      <c r="F366" s="62" t="s">
        <v>151</v>
      </c>
      <c r="G366" s="25"/>
    </row>
    <row r="367" spans="1:7" ht="31.5" customHeight="1">
      <c r="A367" s="419" t="s">
        <v>125</v>
      </c>
      <c r="B367" s="420"/>
      <c r="C367" s="560" t="s">
        <v>231</v>
      </c>
      <c r="D367" s="420"/>
      <c r="E367" s="420"/>
      <c r="F367" s="62" t="s">
        <v>190</v>
      </c>
      <c r="G367" s="25"/>
    </row>
    <row r="368" spans="1:7" ht="31.5" customHeight="1">
      <c r="A368" s="428" t="s">
        <v>385</v>
      </c>
      <c r="B368" s="429"/>
      <c r="C368" s="19" t="s">
        <v>153</v>
      </c>
      <c r="D368" s="425"/>
      <c r="E368" s="425"/>
      <c r="F368" s="426" t="s">
        <v>197</v>
      </c>
      <c r="G368" s="427"/>
    </row>
    <row r="369" spans="1:7" ht="31.5" customHeight="1">
      <c r="A369" s="430"/>
      <c r="B369" s="431"/>
      <c r="C369" s="19" t="s">
        <v>181</v>
      </c>
      <c r="D369" s="19" t="s">
        <v>260</v>
      </c>
      <c r="E369" s="68" t="s">
        <v>18</v>
      </c>
      <c r="F369" s="59">
        <v>9100000</v>
      </c>
      <c r="G369" s="21" t="s">
        <v>238</v>
      </c>
    </row>
    <row r="370" spans="1:7" ht="31.5" customHeight="1">
      <c r="A370" s="430"/>
      <c r="B370" s="431"/>
      <c r="D370" s="19" t="s">
        <v>260</v>
      </c>
      <c r="E370" s="68" t="s">
        <v>184</v>
      </c>
      <c r="F370" s="60"/>
      <c r="G370" s="21" t="s">
        <v>238</v>
      </c>
    </row>
    <row r="371" spans="1:7" ht="31.5" customHeight="1">
      <c r="A371" s="432"/>
      <c r="B371" s="433"/>
      <c r="C371" s="20"/>
      <c r="D371" s="27"/>
      <c r="E371" s="27"/>
      <c r="G371" s="150"/>
    </row>
    <row r="372" spans="1:7" ht="31.5" customHeight="1">
      <c r="A372" s="447" t="s">
        <v>202</v>
      </c>
      <c r="B372" s="542"/>
      <c r="C372" s="44"/>
      <c r="D372" s="41"/>
      <c r="E372" s="151"/>
      <c r="F372" s="61"/>
      <c r="G372" s="69" t="s">
        <v>238</v>
      </c>
    </row>
    <row r="373" spans="1:7" ht="31.5" customHeight="1">
      <c r="A373" s="447" t="s">
        <v>121</v>
      </c>
      <c r="B373" s="542"/>
      <c r="C373" s="152"/>
      <c r="D373" s="42"/>
      <c r="F373" s="57">
        <f>F369</f>
        <v>9100000</v>
      </c>
      <c r="G373" s="70" t="s">
        <v>238</v>
      </c>
    </row>
    <row r="374" spans="1:7" ht="31.5" customHeight="1">
      <c r="A374" s="419" t="s">
        <v>125</v>
      </c>
      <c r="B374" s="420"/>
      <c r="C374" s="558"/>
      <c r="D374" s="553"/>
      <c r="E374" s="553"/>
      <c r="F374" s="25" t="s">
        <v>190</v>
      </c>
      <c r="G374" s="58"/>
    </row>
    <row r="375" spans="1:7" ht="31.5" customHeight="1">
      <c r="A375" s="428" t="s">
        <v>385</v>
      </c>
      <c r="B375" s="429"/>
      <c r="C375" s="277" t="s">
        <v>153</v>
      </c>
      <c r="D375" s="425"/>
      <c r="E375" s="425"/>
      <c r="F375" s="425"/>
      <c r="G375" s="429"/>
    </row>
    <row r="376" spans="1:7" ht="31.5" customHeight="1">
      <c r="A376" s="430"/>
      <c r="B376" s="431"/>
      <c r="C376" s="19" t="s">
        <v>181</v>
      </c>
      <c r="D376" s="19"/>
      <c r="E376" s="19"/>
      <c r="F376" s="19"/>
      <c r="G376" s="23"/>
    </row>
    <row r="377" spans="1:7" ht="31.5" customHeight="1">
      <c r="A377" s="432"/>
      <c r="B377" s="433"/>
      <c r="D377" s="559"/>
      <c r="E377" s="559"/>
      <c r="F377" s="559"/>
      <c r="G377" s="431"/>
    </row>
    <row r="378" spans="1:7" ht="31.5" customHeight="1">
      <c r="A378" s="447" t="s">
        <v>202</v>
      </c>
      <c r="B378" s="542"/>
      <c r="C378" s="40"/>
      <c r="D378" s="41"/>
      <c r="E378" s="151"/>
      <c r="F378" s="41"/>
      <c r="G378" s="69" t="s">
        <v>238</v>
      </c>
    </row>
    <row r="379" spans="1:7" ht="31.5" customHeight="1">
      <c r="A379" s="447" t="s">
        <v>121</v>
      </c>
      <c r="B379" s="542"/>
      <c r="C379" s="43"/>
      <c r="D379" s="42"/>
      <c r="F379" s="41"/>
      <c r="G379" s="70" t="s">
        <v>238</v>
      </c>
    </row>
    <row r="380" spans="1:7" ht="31.5" customHeight="1">
      <c r="A380" s="447" t="s">
        <v>32</v>
      </c>
      <c r="B380" s="542"/>
      <c r="C380" s="447"/>
      <c r="D380" s="542"/>
      <c r="E380" s="542"/>
      <c r="F380" s="542"/>
      <c r="G380" s="448"/>
    </row>
    <row r="381" spans="1:7" ht="31.5" customHeight="1">
      <c r="A381" s="447" t="s">
        <v>311</v>
      </c>
      <c r="B381" s="542"/>
      <c r="C381" s="447"/>
      <c r="D381" s="542"/>
      <c r="E381" s="542"/>
      <c r="F381" s="542"/>
      <c r="G381" s="448"/>
    </row>
    <row r="382" spans="1:7" ht="67.5" customHeight="1">
      <c r="A382" s="447" t="s">
        <v>19</v>
      </c>
      <c r="B382" s="542"/>
      <c r="C382" s="445" t="s">
        <v>483</v>
      </c>
      <c r="D382" s="557"/>
      <c r="E382" s="557"/>
      <c r="F382" s="557"/>
      <c r="G382" s="446"/>
    </row>
    <row r="383" spans="1:7" ht="31.5" customHeight="1">
      <c r="A383" s="417" t="s">
        <v>77</v>
      </c>
      <c r="B383" s="417"/>
      <c r="C383" s="417"/>
      <c r="D383" s="417"/>
      <c r="E383" s="417"/>
      <c r="F383" s="417"/>
      <c r="G383" s="417"/>
    </row>
    <row r="384" spans="1:7" ht="31.5" customHeight="1">
      <c r="A384" s="127"/>
      <c r="B384" s="127"/>
      <c r="C384" s="127"/>
      <c r="D384" s="127"/>
      <c r="E384" s="127"/>
      <c r="F384" s="127"/>
      <c r="G384" s="127"/>
    </row>
    <row r="385" spans="1:7" ht="31.5" customHeight="1">
      <c r="A385" s="428" t="s">
        <v>34</v>
      </c>
      <c r="B385" s="425"/>
      <c r="C385" s="419"/>
      <c r="D385" s="420"/>
      <c r="E385" s="420"/>
      <c r="F385" s="62" t="s">
        <v>261</v>
      </c>
      <c r="G385" s="25"/>
    </row>
    <row r="386" spans="1:7" ht="31.5" customHeight="1">
      <c r="A386" s="546" t="s">
        <v>146</v>
      </c>
      <c r="B386" s="62" t="s">
        <v>185</v>
      </c>
    </row>
    <row r="387" spans="1:7" ht="31.5" customHeight="1">
      <c r="A387" s="547"/>
      <c r="B387" s="18" t="s">
        <v>180</v>
      </c>
      <c r="C387" s="549"/>
      <c r="D387" s="418"/>
      <c r="E387" s="418"/>
      <c r="F387" s="418"/>
      <c r="G387" s="418"/>
    </row>
    <row r="388" spans="1:7" ht="31.5" customHeight="1">
      <c r="A388" s="548"/>
      <c r="B388" s="62" t="s">
        <v>23</v>
      </c>
      <c r="C388" s="550"/>
      <c r="D388" s="551"/>
      <c r="E388" s="551"/>
      <c r="F388" s="62" t="s">
        <v>151</v>
      </c>
      <c r="G388" s="25"/>
    </row>
    <row r="389" spans="1:7" ht="31.5" customHeight="1">
      <c r="A389" s="419" t="s">
        <v>125</v>
      </c>
      <c r="B389" s="420"/>
      <c r="C389" s="560" t="s">
        <v>232</v>
      </c>
      <c r="D389" s="420"/>
      <c r="E389" s="420"/>
      <c r="F389" s="62" t="s">
        <v>190</v>
      </c>
      <c r="G389" s="25"/>
    </row>
    <row r="390" spans="1:7" ht="31.5" customHeight="1">
      <c r="A390" s="428" t="s">
        <v>385</v>
      </c>
      <c r="B390" s="429"/>
      <c r="C390" s="19" t="s">
        <v>153</v>
      </c>
      <c r="D390" s="425"/>
      <c r="E390" s="425"/>
      <c r="F390" s="426" t="s">
        <v>197</v>
      </c>
      <c r="G390" s="427"/>
    </row>
    <row r="391" spans="1:7" ht="31.5" customHeight="1">
      <c r="A391" s="430"/>
      <c r="B391" s="431"/>
      <c r="C391" s="19" t="s">
        <v>181</v>
      </c>
      <c r="D391" s="19" t="s">
        <v>260</v>
      </c>
      <c r="E391" s="68" t="s">
        <v>18</v>
      </c>
      <c r="F391" s="59">
        <v>6500000</v>
      </c>
      <c r="G391" s="21" t="s">
        <v>238</v>
      </c>
    </row>
    <row r="392" spans="1:7" ht="31.5" customHeight="1">
      <c r="A392" s="430"/>
      <c r="B392" s="431"/>
      <c r="D392" s="19" t="s">
        <v>260</v>
      </c>
      <c r="E392" s="68" t="s">
        <v>184</v>
      </c>
      <c r="F392" s="60"/>
      <c r="G392" s="21" t="s">
        <v>238</v>
      </c>
    </row>
    <row r="393" spans="1:7" ht="31.5" customHeight="1">
      <c r="A393" s="432"/>
      <c r="B393" s="433"/>
      <c r="C393" s="20"/>
      <c r="D393" s="27"/>
      <c r="E393" s="27"/>
      <c r="G393" s="150"/>
    </row>
    <row r="394" spans="1:7" ht="31.5" customHeight="1">
      <c r="A394" s="447" t="s">
        <v>202</v>
      </c>
      <c r="B394" s="542"/>
      <c r="C394" s="44"/>
      <c r="D394" s="41"/>
      <c r="E394" s="151"/>
      <c r="F394" s="61"/>
      <c r="G394" s="69" t="s">
        <v>238</v>
      </c>
    </row>
    <row r="395" spans="1:7" ht="31.5" customHeight="1">
      <c r="A395" s="447" t="s">
        <v>121</v>
      </c>
      <c r="B395" s="542"/>
      <c r="C395" s="152"/>
      <c r="D395" s="42"/>
      <c r="F395" s="57">
        <f>F391</f>
        <v>6500000</v>
      </c>
      <c r="G395" s="70" t="s">
        <v>238</v>
      </c>
    </row>
    <row r="396" spans="1:7" ht="31.5" customHeight="1">
      <c r="A396" s="419" t="s">
        <v>125</v>
      </c>
      <c r="B396" s="420"/>
      <c r="C396" s="558"/>
      <c r="D396" s="553"/>
      <c r="E396" s="553"/>
      <c r="F396" s="25" t="s">
        <v>190</v>
      </c>
      <c r="G396" s="58"/>
    </row>
    <row r="397" spans="1:7" ht="31.5" customHeight="1">
      <c r="A397" s="428" t="s">
        <v>385</v>
      </c>
      <c r="B397" s="429"/>
      <c r="C397" s="277" t="s">
        <v>153</v>
      </c>
      <c r="D397" s="425"/>
      <c r="E397" s="425"/>
      <c r="F397" s="425"/>
      <c r="G397" s="429"/>
    </row>
    <row r="398" spans="1:7" ht="31.5" customHeight="1">
      <c r="A398" s="430"/>
      <c r="B398" s="431"/>
      <c r="C398" s="19" t="s">
        <v>181</v>
      </c>
      <c r="D398" s="19"/>
      <c r="E398" s="19"/>
      <c r="F398" s="19"/>
      <c r="G398" s="23"/>
    </row>
    <row r="399" spans="1:7" ht="31.5" customHeight="1">
      <c r="A399" s="432"/>
      <c r="B399" s="433"/>
      <c r="D399" s="559"/>
      <c r="E399" s="559"/>
      <c r="F399" s="559"/>
      <c r="G399" s="431"/>
    </row>
    <row r="400" spans="1:7" ht="31.5" customHeight="1">
      <c r="A400" s="447" t="s">
        <v>202</v>
      </c>
      <c r="B400" s="542"/>
      <c r="C400" s="40"/>
      <c r="D400" s="41"/>
      <c r="E400" s="151"/>
      <c r="F400" s="41"/>
      <c r="G400" s="69" t="s">
        <v>238</v>
      </c>
    </row>
    <row r="401" spans="1:7" ht="31.5" customHeight="1">
      <c r="A401" s="447" t="s">
        <v>121</v>
      </c>
      <c r="B401" s="542"/>
      <c r="C401" s="43"/>
      <c r="D401" s="42"/>
      <c r="F401" s="41"/>
      <c r="G401" s="70" t="s">
        <v>238</v>
      </c>
    </row>
    <row r="402" spans="1:7" ht="31.5" customHeight="1">
      <c r="A402" s="447" t="s">
        <v>32</v>
      </c>
      <c r="B402" s="542"/>
      <c r="C402" s="447"/>
      <c r="D402" s="542"/>
      <c r="E402" s="542"/>
      <c r="F402" s="542"/>
      <c r="G402" s="448"/>
    </row>
    <row r="403" spans="1:7" ht="31.5" customHeight="1">
      <c r="A403" s="447" t="s">
        <v>311</v>
      </c>
      <c r="B403" s="542"/>
      <c r="C403" s="447"/>
      <c r="D403" s="542"/>
      <c r="E403" s="542"/>
      <c r="F403" s="542"/>
      <c r="G403" s="448"/>
    </row>
    <row r="404" spans="1:7" ht="68.25" customHeight="1">
      <c r="A404" s="447" t="s">
        <v>19</v>
      </c>
      <c r="B404" s="542"/>
      <c r="C404" s="445" t="s">
        <v>484</v>
      </c>
      <c r="D404" s="557"/>
      <c r="E404" s="557"/>
      <c r="F404" s="557"/>
      <c r="G404" s="446"/>
    </row>
    <row r="405" spans="1:7" ht="31.5" customHeight="1">
      <c r="A405" s="417" t="s">
        <v>77</v>
      </c>
      <c r="B405" s="417"/>
      <c r="C405" s="417"/>
      <c r="D405" s="417"/>
      <c r="E405" s="417"/>
      <c r="F405" s="417"/>
      <c r="G405" s="417"/>
    </row>
    <row r="406" spans="1:7" ht="31.5" customHeight="1">
      <c r="A406" s="127"/>
      <c r="B406" s="127"/>
      <c r="C406" s="127"/>
      <c r="D406" s="127"/>
      <c r="E406" s="127"/>
      <c r="F406" s="127"/>
      <c r="G406" s="127"/>
    </row>
    <row r="407" spans="1:7" ht="31.5" customHeight="1">
      <c r="A407" s="428" t="s">
        <v>34</v>
      </c>
      <c r="B407" s="425"/>
      <c r="C407" s="419"/>
      <c r="D407" s="420"/>
      <c r="E407" s="420"/>
      <c r="F407" s="62" t="s">
        <v>261</v>
      </c>
      <c r="G407" s="25"/>
    </row>
    <row r="408" spans="1:7" ht="31.5" customHeight="1">
      <c r="A408" s="546" t="s">
        <v>146</v>
      </c>
      <c r="B408" s="62" t="s">
        <v>185</v>
      </c>
      <c r="C408" s="549"/>
      <c r="D408" s="418"/>
      <c r="E408" s="418"/>
      <c r="F408" s="418"/>
      <c r="G408" s="418"/>
    </row>
    <row r="409" spans="1:7" ht="31.5" customHeight="1">
      <c r="A409" s="547"/>
      <c r="B409" s="18" t="s">
        <v>180</v>
      </c>
      <c r="C409" s="419"/>
      <c r="D409" s="420"/>
      <c r="E409" s="420"/>
      <c r="F409" s="420"/>
      <c r="G409" s="424"/>
    </row>
    <row r="410" spans="1:7" ht="31.5" customHeight="1">
      <c r="A410" s="548"/>
      <c r="B410" s="62" t="s">
        <v>23</v>
      </c>
      <c r="C410" s="550"/>
      <c r="D410" s="551"/>
      <c r="E410" s="551"/>
      <c r="F410" s="62" t="s">
        <v>151</v>
      </c>
      <c r="G410" s="25"/>
    </row>
    <row r="411" spans="1:7" ht="31.5" customHeight="1">
      <c r="A411" s="419" t="s">
        <v>125</v>
      </c>
      <c r="B411" s="420"/>
      <c r="C411" s="560" t="s">
        <v>51</v>
      </c>
      <c r="D411" s="420"/>
      <c r="E411" s="420"/>
      <c r="F411" s="62" t="s">
        <v>190</v>
      </c>
      <c r="G411" s="25"/>
    </row>
    <row r="412" spans="1:7" ht="31.5" customHeight="1">
      <c r="A412" s="428" t="s">
        <v>385</v>
      </c>
      <c r="B412" s="429"/>
      <c r="C412" s="19" t="s">
        <v>153</v>
      </c>
      <c r="D412" s="425"/>
      <c r="E412" s="425"/>
      <c r="F412" s="426" t="s">
        <v>197</v>
      </c>
      <c r="G412" s="427"/>
    </row>
    <row r="413" spans="1:7" ht="31.5" customHeight="1">
      <c r="A413" s="430"/>
      <c r="B413" s="431"/>
      <c r="C413" s="19" t="s">
        <v>181</v>
      </c>
      <c r="D413" s="19" t="s">
        <v>260</v>
      </c>
      <c r="E413" s="68" t="s">
        <v>18</v>
      </c>
      <c r="F413" s="59">
        <v>3000000</v>
      </c>
      <c r="G413" s="21" t="s">
        <v>238</v>
      </c>
    </row>
    <row r="414" spans="1:7" ht="31.5" customHeight="1">
      <c r="A414" s="430"/>
      <c r="B414" s="431"/>
      <c r="D414" s="19" t="s">
        <v>260</v>
      </c>
      <c r="E414" s="68" t="s">
        <v>184</v>
      </c>
      <c r="F414" s="60"/>
      <c r="G414" s="21" t="s">
        <v>238</v>
      </c>
    </row>
    <row r="415" spans="1:7" ht="31.5" customHeight="1">
      <c r="A415" s="432"/>
      <c r="B415" s="433"/>
      <c r="C415" s="20"/>
      <c r="D415" s="27"/>
      <c r="E415" s="27"/>
      <c r="G415" s="150"/>
    </row>
    <row r="416" spans="1:7" ht="31.5" customHeight="1">
      <c r="A416" s="447" t="s">
        <v>202</v>
      </c>
      <c r="B416" s="542"/>
      <c r="C416" s="44"/>
      <c r="D416" s="41"/>
      <c r="E416" s="151"/>
      <c r="F416" s="61"/>
      <c r="G416" s="69" t="s">
        <v>238</v>
      </c>
    </row>
    <row r="417" spans="1:7" ht="31.5" customHeight="1">
      <c r="A417" s="447" t="s">
        <v>121</v>
      </c>
      <c r="B417" s="542"/>
      <c r="C417" s="152"/>
      <c r="D417" s="42"/>
      <c r="F417" s="57">
        <f>F413</f>
        <v>3000000</v>
      </c>
      <c r="G417" s="70" t="s">
        <v>238</v>
      </c>
    </row>
    <row r="418" spans="1:7" ht="31.5" customHeight="1">
      <c r="A418" s="419" t="s">
        <v>125</v>
      </c>
      <c r="B418" s="420"/>
      <c r="C418" s="558"/>
      <c r="D418" s="553"/>
      <c r="E418" s="553"/>
      <c r="F418" s="25" t="s">
        <v>190</v>
      </c>
      <c r="G418" s="58"/>
    </row>
    <row r="419" spans="1:7" ht="31.5" customHeight="1">
      <c r="A419" s="428" t="s">
        <v>385</v>
      </c>
      <c r="B419" s="429"/>
      <c r="C419" s="277" t="s">
        <v>153</v>
      </c>
      <c r="D419" s="425"/>
      <c r="E419" s="425"/>
      <c r="F419" s="425"/>
      <c r="G419" s="429"/>
    </row>
    <row r="420" spans="1:7" ht="31.5" customHeight="1">
      <c r="A420" s="430"/>
      <c r="B420" s="431"/>
      <c r="C420" s="19" t="s">
        <v>181</v>
      </c>
      <c r="D420" s="19"/>
      <c r="E420" s="19"/>
      <c r="F420" s="19"/>
      <c r="G420" s="23"/>
    </row>
    <row r="421" spans="1:7" ht="31.5" customHeight="1">
      <c r="A421" s="432"/>
      <c r="B421" s="433"/>
      <c r="D421" s="559"/>
      <c r="E421" s="559"/>
      <c r="F421" s="559"/>
      <c r="G421" s="431"/>
    </row>
    <row r="422" spans="1:7" ht="31.5" customHeight="1">
      <c r="A422" s="447" t="s">
        <v>202</v>
      </c>
      <c r="B422" s="542"/>
      <c r="C422" s="40"/>
      <c r="D422" s="41"/>
      <c r="E422" s="151"/>
      <c r="F422" s="41"/>
      <c r="G422" s="69" t="s">
        <v>238</v>
      </c>
    </row>
    <row r="423" spans="1:7" ht="31.5" customHeight="1">
      <c r="A423" s="447" t="s">
        <v>121</v>
      </c>
      <c r="B423" s="542"/>
      <c r="C423" s="43"/>
      <c r="D423" s="42"/>
      <c r="F423" s="41"/>
      <c r="G423" s="70" t="s">
        <v>238</v>
      </c>
    </row>
    <row r="424" spans="1:7" ht="31.5" customHeight="1">
      <c r="A424" s="447" t="s">
        <v>32</v>
      </c>
      <c r="B424" s="542"/>
      <c r="C424" s="447"/>
      <c r="D424" s="542"/>
      <c r="E424" s="542"/>
      <c r="F424" s="542"/>
      <c r="G424" s="448"/>
    </row>
    <row r="425" spans="1:7" ht="31.5" customHeight="1">
      <c r="A425" s="447" t="s">
        <v>311</v>
      </c>
      <c r="B425" s="542"/>
      <c r="C425" s="447"/>
      <c r="D425" s="542"/>
      <c r="E425" s="542"/>
      <c r="F425" s="542"/>
      <c r="G425" s="448"/>
    </row>
    <row r="426" spans="1:7" ht="69" customHeight="1">
      <c r="A426" s="447" t="s">
        <v>19</v>
      </c>
      <c r="B426" s="542"/>
      <c r="C426" s="445" t="s">
        <v>485</v>
      </c>
      <c r="D426" s="557"/>
      <c r="E426" s="557"/>
      <c r="F426" s="557"/>
      <c r="G426" s="446"/>
    </row>
    <row r="427" spans="1:7" ht="31.5" customHeight="1">
      <c r="A427" s="417" t="s">
        <v>77</v>
      </c>
      <c r="B427" s="417"/>
      <c r="C427" s="417"/>
      <c r="D427" s="417"/>
      <c r="E427" s="417"/>
      <c r="F427" s="417"/>
      <c r="G427" s="417"/>
    </row>
    <row r="428" spans="1:7" ht="31.5" customHeight="1">
      <c r="A428" s="127"/>
      <c r="B428" s="127"/>
      <c r="C428" s="127"/>
      <c r="D428" s="127"/>
      <c r="E428" s="127"/>
      <c r="F428" s="127"/>
      <c r="G428" s="127"/>
    </row>
    <row r="429" spans="1:7" ht="31.5" customHeight="1">
      <c r="A429" s="428" t="s">
        <v>34</v>
      </c>
      <c r="B429" s="425"/>
      <c r="C429" s="419"/>
      <c r="D429" s="420"/>
      <c r="E429" s="420"/>
      <c r="F429" s="62" t="s">
        <v>261</v>
      </c>
      <c r="G429" s="25"/>
    </row>
    <row r="430" spans="1:7" ht="31.5" customHeight="1">
      <c r="A430" s="546" t="s">
        <v>146</v>
      </c>
      <c r="B430" s="62" t="s">
        <v>185</v>
      </c>
      <c r="C430" s="549"/>
      <c r="D430" s="418"/>
      <c r="E430" s="418"/>
      <c r="F430" s="418"/>
      <c r="G430" s="418"/>
    </row>
    <row r="431" spans="1:7" ht="31.5" customHeight="1">
      <c r="A431" s="547"/>
      <c r="B431" s="18" t="s">
        <v>180</v>
      </c>
      <c r="C431" s="419"/>
      <c r="D431" s="420"/>
      <c r="E431" s="420"/>
      <c r="F431" s="420"/>
      <c r="G431" s="424"/>
    </row>
    <row r="432" spans="1:7" ht="31.5" customHeight="1">
      <c r="A432" s="548"/>
      <c r="B432" s="62" t="s">
        <v>23</v>
      </c>
      <c r="C432" s="550"/>
      <c r="D432" s="551"/>
      <c r="E432" s="551"/>
      <c r="F432" s="62" t="s">
        <v>151</v>
      </c>
      <c r="G432" s="25"/>
    </row>
    <row r="433" spans="1:7" ht="31.5" customHeight="1">
      <c r="A433" s="419" t="s">
        <v>125</v>
      </c>
      <c r="B433" s="420"/>
      <c r="C433" s="419">
        <v>13</v>
      </c>
      <c r="D433" s="420"/>
      <c r="E433" s="420"/>
      <c r="F433" s="62" t="s">
        <v>190</v>
      </c>
      <c r="G433" s="25"/>
    </row>
    <row r="434" spans="1:7" ht="31.5" customHeight="1">
      <c r="A434" s="428" t="s">
        <v>385</v>
      </c>
      <c r="B434" s="429"/>
      <c r="C434" s="19" t="s">
        <v>153</v>
      </c>
      <c r="D434" s="425"/>
      <c r="E434" s="425"/>
      <c r="F434" s="426" t="s">
        <v>197</v>
      </c>
      <c r="G434" s="427"/>
    </row>
    <row r="435" spans="1:7" ht="31.5" customHeight="1">
      <c r="A435" s="430"/>
      <c r="B435" s="431"/>
      <c r="C435" s="19" t="s">
        <v>181</v>
      </c>
      <c r="D435" s="19" t="s">
        <v>260</v>
      </c>
      <c r="E435" s="68" t="s">
        <v>18</v>
      </c>
      <c r="F435" s="59">
        <v>133133121</v>
      </c>
      <c r="G435" s="21" t="s">
        <v>238</v>
      </c>
    </row>
    <row r="436" spans="1:7" ht="31.5" customHeight="1">
      <c r="A436" s="430"/>
      <c r="B436" s="431"/>
      <c r="D436" s="19" t="s">
        <v>260</v>
      </c>
      <c r="E436" s="68" t="s">
        <v>184</v>
      </c>
      <c r="F436" s="60"/>
      <c r="G436" s="21" t="s">
        <v>238</v>
      </c>
    </row>
    <row r="437" spans="1:7" ht="31.5" customHeight="1">
      <c r="A437" s="432"/>
      <c r="B437" s="433"/>
      <c r="C437" s="20"/>
      <c r="D437" s="27"/>
      <c r="E437" s="27"/>
      <c r="G437" s="150"/>
    </row>
    <row r="438" spans="1:7" ht="31.5" customHeight="1">
      <c r="A438" s="447" t="s">
        <v>202</v>
      </c>
      <c r="B438" s="542"/>
      <c r="C438" s="44"/>
      <c r="D438" s="41"/>
      <c r="E438" s="151"/>
      <c r="F438" s="61"/>
      <c r="G438" s="69" t="s">
        <v>238</v>
      </c>
    </row>
    <row r="439" spans="1:7" ht="31.5" customHeight="1">
      <c r="A439" s="447" t="s">
        <v>121</v>
      </c>
      <c r="B439" s="542"/>
      <c r="C439" s="152"/>
      <c r="D439" s="42"/>
      <c r="F439" s="57">
        <f>F435</f>
        <v>133133121</v>
      </c>
      <c r="G439" s="70" t="s">
        <v>238</v>
      </c>
    </row>
    <row r="440" spans="1:7" ht="31.5" customHeight="1">
      <c r="A440" s="419" t="s">
        <v>125</v>
      </c>
      <c r="B440" s="420"/>
      <c r="C440" s="558"/>
      <c r="D440" s="553"/>
      <c r="E440" s="553"/>
      <c r="F440" s="25" t="s">
        <v>190</v>
      </c>
      <c r="G440" s="58"/>
    </row>
    <row r="441" spans="1:7" ht="31.5" customHeight="1">
      <c r="A441" s="428" t="s">
        <v>385</v>
      </c>
      <c r="B441" s="425"/>
      <c r="C441" s="17" t="s">
        <v>153</v>
      </c>
      <c r="D441" s="425"/>
      <c r="E441" s="425"/>
      <c r="F441" s="425"/>
      <c r="G441" s="429"/>
    </row>
    <row r="442" spans="1:7" ht="31.5" customHeight="1">
      <c r="A442" s="430"/>
      <c r="B442" s="559"/>
      <c r="C442" s="18" t="s">
        <v>181</v>
      </c>
      <c r="D442" s="559"/>
      <c r="E442" s="559"/>
      <c r="F442" s="559"/>
      <c r="G442" s="431"/>
    </row>
    <row r="443" spans="1:7" ht="31.5" customHeight="1">
      <c r="A443" s="432"/>
      <c r="B443" s="562"/>
      <c r="C443" s="26"/>
      <c r="D443" s="27"/>
      <c r="E443" s="153"/>
      <c r="F443" s="153"/>
      <c r="G443" s="154"/>
    </row>
    <row r="444" spans="1:7" ht="31.5" customHeight="1">
      <c r="A444" s="447" t="s">
        <v>202</v>
      </c>
      <c r="B444" s="542"/>
      <c r="C444" s="40"/>
      <c r="D444" s="41"/>
      <c r="E444" s="151"/>
      <c r="F444" s="41"/>
      <c r="G444" s="69" t="s">
        <v>238</v>
      </c>
    </row>
    <row r="445" spans="1:7" ht="31.5" customHeight="1">
      <c r="A445" s="447" t="s">
        <v>121</v>
      </c>
      <c r="B445" s="542"/>
      <c r="C445" s="43"/>
      <c r="D445" s="42"/>
      <c r="F445" s="41"/>
      <c r="G445" s="70" t="s">
        <v>238</v>
      </c>
    </row>
    <row r="446" spans="1:7" ht="31.5" customHeight="1">
      <c r="A446" s="447" t="s">
        <v>32</v>
      </c>
      <c r="B446" s="542"/>
      <c r="C446" s="447"/>
      <c r="D446" s="542"/>
      <c r="E446" s="542"/>
      <c r="F446" s="542"/>
      <c r="G446" s="448"/>
    </row>
    <row r="447" spans="1:7" ht="31.5" customHeight="1">
      <c r="A447" s="447" t="s">
        <v>311</v>
      </c>
      <c r="B447" s="542"/>
      <c r="C447" s="447"/>
      <c r="D447" s="542"/>
      <c r="E447" s="542"/>
      <c r="F447" s="542"/>
      <c r="G447" s="448"/>
    </row>
    <row r="448" spans="1:7" ht="31.5" customHeight="1">
      <c r="A448" s="447" t="s">
        <v>19</v>
      </c>
      <c r="B448" s="542"/>
      <c r="C448" s="445"/>
      <c r="D448" s="557"/>
      <c r="E448" s="557"/>
      <c r="F448" s="557"/>
      <c r="G448" s="446"/>
    </row>
    <row r="449" spans="1:7" ht="31.5" customHeight="1">
      <c r="A449" s="417" t="s">
        <v>77</v>
      </c>
      <c r="B449" s="417"/>
      <c r="C449" s="417"/>
      <c r="D449" s="417"/>
      <c r="E449" s="417"/>
      <c r="F449" s="417"/>
      <c r="G449" s="417"/>
    </row>
    <row r="450" spans="1:7" ht="31.5" customHeight="1">
      <c r="A450" s="127"/>
      <c r="B450" s="127"/>
      <c r="C450" s="127"/>
      <c r="D450" s="127"/>
      <c r="E450" s="127"/>
      <c r="F450" s="127"/>
      <c r="G450" s="127"/>
    </row>
    <row r="451" spans="1:7" ht="31.5" customHeight="1">
      <c r="A451" s="428" t="s">
        <v>34</v>
      </c>
      <c r="B451" s="425"/>
      <c r="C451" s="419"/>
      <c r="D451" s="420"/>
      <c r="E451" s="420"/>
      <c r="F451" s="62" t="s">
        <v>261</v>
      </c>
      <c r="G451" s="25"/>
    </row>
    <row r="452" spans="1:7" ht="31.5" customHeight="1">
      <c r="A452" s="546" t="s">
        <v>146</v>
      </c>
      <c r="B452" s="62" t="s">
        <v>185</v>
      </c>
      <c r="C452" s="419"/>
      <c r="D452" s="420"/>
      <c r="E452" s="420"/>
      <c r="F452" s="420"/>
      <c r="G452" s="424"/>
    </row>
    <row r="453" spans="1:7" ht="31.5" customHeight="1">
      <c r="A453" s="547"/>
      <c r="B453" s="18" t="s">
        <v>180</v>
      </c>
      <c r="C453" s="419"/>
      <c r="D453" s="420"/>
      <c r="E453" s="420"/>
      <c r="F453" s="420"/>
      <c r="G453" s="424"/>
    </row>
    <row r="454" spans="1:7" ht="31.5" customHeight="1">
      <c r="A454" s="548"/>
      <c r="B454" s="62" t="s">
        <v>23</v>
      </c>
      <c r="C454" s="550"/>
      <c r="D454" s="551"/>
      <c r="E454" s="551"/>
      <c r="F454" s="62" t="s">
        <v>151</v>
      </c>
      <c r="G454" s="25"/>
    </row>
    <row r="455" spans="1:7" ht="31.5" customHeight="1">
      <c r="A455" s="419" t="s">
        <v>125</v>
      </c>
      <c r="B455" s="420"/>
      <c r="C455" s="419">
        <v>14</v>
      </c>
      <c r="D455" s="420"/>
      <c r="E455" s="420"/>
      <c r="F455" s="62" t="s">
        <v>190</v>
      </c>
      <c r="G455" s="25"/>
    </row>
    <row r="456" spans="1:7" ht="31.5" customHeight="1">
      <c r="A456" s="428" t="s">
        <v>385</v>
      </c>
      <c r="B456" s="429"/>
      <c r="C456" s="19" t="s">
        <v>153</v>
      </c>
      <c r="D456" s="425"/>
      <c r="E456" s="425"/>
      <c r="F456" s="426" t="s">
        <v>197</v>
      </c>
      <c r="G456" s="427"/>
    </row>
    <row r="457" spans="1:7" ht="31.5" customHeight="1">
      <c r="A457" s="430"/>
      <c r="B457" s="431"/>
      <c r="C457" s="19" t="s">
        <v>181</v>
      </c>
      <c r="D457" s="19" t="s">
        <v>260</v>
      </c>
      <c r="E457" s="68" t="s">
        <v>18</v>
      </c>
      <c r="F457" s="59">
        <v>123779412</v>
      </c>
      <c r="G457" s="21" t="s">
        <v>238</v>
      </c>
    </row>
    <row r="458" spans="1:7" ht="31.5" customHeight="1">
      <c r="A458" s="430"/>
      <c r="B458" s="431"/>
      <c r="D458" s="19" t="s">
        <v>260</v>
      </c>
      <c r="E458" s="68" t="s">
        <v>184</v>
      </c>
      <c r="F458" s="60"/>
      <c r="G458" s="21" t="s">
        <v>238</v>
      </c>
    </row>
    <row r="459" spans="1:7" ht="31.5" customHeight="1">
      <c r="A459" s="432"/>
      <c r="B459" s="433"/>
      <c r="C459" s="20"/>
      <c r="D459" s="27"/>
      <c r="E459" s="27"/>
      <c r="G459" s="150"/>
    </row>
    <row r="460" spans="1:7" ht="31.5" customHeight="1">
      <c r="A460" s="447" t="s">
        <v>202</v>
      </c>
      <c r="B460" s="542"/>
      <c r="C460" s="44"/>
      <c r="D460" s="41"/>
      <c r="E460" s="151"/>
      <c r="F460" s="61"/>
      <c r="G460" s="69" t="s">
        <v>238</v>
      </c>
    </row>
    <row r="461" spans="1:7" ht="31.5" customHeight="1">
      <c r="A461" s="447" t="s">
        <v>121</v>
      </c>
      <c r="B461" s="542"/>
      <c r="C461" s="152"/>
      <c r="D461" s="42"/>
      <c r="F461" s="59">
        <f>F457</f>
        <v>123779412</v>
      </c>
      <c r="G461" s="70" t="s">
        <v>238</v>
      </c>
    </row>
    <row r="462" spans="1:7" ht="31.5" customHeight="1">
      <c r="A462" s="419" t="s">
        <v>125</v>
      </c>
      <c r="B462" s="420"/>
      <c r="C462" s="558"/>
      <c r="D462" s="553"/>
      <c r="E462" s="553"/>
      <c r="F462" s="25" t="s">
        <v>190</v>
      </c>
      <c r="G462" s="58"/>
    </row>
    <row r="463" spans="1:7" ht="31.5" customHeight="1">
      <c r="A463" s="428" t="s">
        <v>385</v>
      </c>
      <c r="B463" s="425"/>
      <c r="C463" s="17" t="s">
        <v>153</v>
      </c>
      <c r="D463" s="425"/>
      <c r="E463" s="425"/>
      <c r="F463" s="425"/>
      <c r="G463" s="429"/>
    </row>
    <row r="464" spans="1:7" ht="31.5" customHeight="1">
      <c r="A464" s="430"/>
      <c r="B464" s="559"/>
      <c r="C464" s="18" t="s">
        <v>181</v>
      </c>
      <c r="D464" s="559"/>
      <c r="E464" s="559"/>
      <c r="F464" s="559"/>
      <c r="G464" s="431"/>
    </row>
    <row r="465" spans="1:7" ht="31.5" customHeight="1">
      <c r="A465" s="432"/>
      <c r="B465" s="562"/>
      <c r="C465" s="26"/>
      <c r="D465" s="27"/>
      <c r="E465" s="153"/>
      <c r="F465" s="153"/>
      <c r="G465" s="154"/>
    </row>
    <row r="466" spans="1:7" ht="31.5" customHeight="1">
      <c r="A466" s="447" t="s">
        <v>202</v>
      </c>
      <c r="B466" s="542"/>
      <c r="C466" s="40"/>
      <c r="D466" s="41"/>
      <c r="E466" s="151"/>
      <c r="F466" s="41"/>
      <c r="G466" s="69" t="s">
        <v>238</v>
      </c>
    </row>
    <row r="467" spans="1:7" ht="31.5" customHeight="1">
      <c r="A467" s="447" t="s">
        <v>121</v>
      </c>
      <c r="B467" s="542"/>
      <c r="C467" s="43"/>
      <c r="D467" s="42"/>
      <c r="F467" s="41"/>
      <c r="G467" s="70" t="s">
        <v>238</v>
      </c>
    </row>
    <row r="468" spans="1:7" ht="31.5" customHeight="1">
      <c r="A468" s="447" t="s">
        <v>32</v>
      </c>
      <c r="B468" s="542"/>
      <c r="C468" s="447"/>
      <c r="D468" s="542"/>
      <c r="E468" s="542"/>
      <c r="F468" s="542"/>
      <c r="G468" s="448"/>
    </row>
    <row r="469" spans="1:7" ht="31.5" customHeight="1">
      <c r="A469" s="447" t="s">
        <v>311</v>
      </c>
      <c r="B469" s="542"/>
      <c r="C469" s="447"/>
      <c r="D469" s="542"/>
      <c r="E469" s="542"/>
      <c r="F469" s="542"/>
      <c r="G469" s="448"/>
    </row>
    <row r="470" spans="1:7" ht="31.5" customHeight="1">
      <c r="A470" s="447" t="s">
        <v>19</v>
      </c>
      <c r="B470" s="542"/>
      <c r="C470" s="445"/>
      <c r="D470" s="557"/>
      <c r="E470" s="557"/>
      <c r="F470" s="557"/>
      <c r="G470" s="446"/>
    </row>
    <row r="471" spans="1:7" ht="31.5" customHeight="1">
      <c r="A471" s="417" t="s">
        <v>77</v>
      </c>
      <c r="B471" s="417"/>
      <c r="C471" s="417"/>
      <c r="D471" s="417"/>
      <c r="E471" s="417"/>
      <c r="F471" s="417"/>
      <c r="G471" s="417"/>
    </row>
    <row r="472" spans="1:7" ht="31.5" customHeight="1">
      <c r="A472" s="127"/>
      <c r="B472" s="127"/>
      <c r="C472" s="127"/>
      <c r="D472" s="127"/>
      <c r="E472" s="127"/>
      <c r="F472" s="127"/>
      <c r="G472" s="127"/>
    </row>
    <row r="473" spans="1:7" ht="31.5" customHeight="1">
      <c r="A473" s="428" t="s">
        <v>34</v>
      </c>
      <c r="B473" s="425"/>
      <c r="C473" s="419"/>
      <c r="D473" s="420"/>
      <c r="E473" s="420"/>
      <c r="F473" s="62" t="s">
        <v>261</v>
      </c>
      <c r="G473" s="25"/>
    </row>
    <row r="474" spans="1:7" ht="31.5" customHeight="1">
      <c r="A474" s="546" t="s">
        <v>146</v>
      </c>
      <c r="B474" s="62" t="s">
        <v>185</v>
      </c>
      <c r="C474" s="549"/>
      <c r="D474" s="418"/>
      <c r="E474" s="418"/>
      <c r="F474" s="418"/>
      <c r="G474" s="418"/>
    </row>
    <row r="475" spans="1:7" ht="31.5" customHeight="1">
      <c r="A475" s="547"/>
      <c r="B475" s="18" t="s">
        <v>180</v>
      </c>
      <c r="C475" s="419"/>
      <c r="D475" s="420"/>
      <c r="E475" s="420"/>
      <c r="F475" s="420"/>
      <c r="G475" s="424"/>
    </row>
    <row r="476" spans="1:7" ht="31.5" customHeight="1">
      <c r="A476" s="548"/>
      <c r="B476" s="62" t="s">
        <v>23</v>
      </c>
      <c r="C476" s="550"/>
      <c r="D476" s="551"/>
      <c r="E476" s="551"/>
      <c r="F476" s="62" t="s">
        <v>151</v>
      </c>
      <c r="G476" s="25"/>
    </row>
    <row r="477" spans="1:7" ht="31.5" customHeight="1">
      <c r="A477" s="419" t="s">
        <v>125</v>
      </c>
      <c r="B477" s="420"/>
      <c r="C477" s="419">
        <v>15</v>
      </c>
      <c r="D477" s="420"/>
      <c r="E477" s="420"/>
      <c r="F477" s="62" t="s">
        <v>190</v>
      </c>
      <c r="G477" s="25"/>
    </row>
    <row r="478" spans="1:7" ht="31.5" customHeight="1">
      <c r="A478" s="428" t="s">
        <v>385</v>
      </c>
      <c r="B478" s="429"/>
      <c r="C478" s="19" t="s">
        <v>153</v>
      </c>
      <c r="D478" s="425"/>
      <c r="E478" s="425"/>
      <c r="F478" s="426" t="s">
        <v>197</v>
      </c>
      <c r="G478" s="427"/>
    </row>
    <row r="479" spans="1:7" ht="31.5" customHeight="1">
      <c r="A479" s="430"/>
      <c r="B479" s="431"/>
      <c r="C479" s="19" t="s">
        <v>181</v>
      </c>
      <c r="D479" s="19" t="s">
        <v>260</v>
      </c>
      <c r="E479" s="68" t="s">
        <v>18</v>
      </c>
      <c r="F479" s="59">
        <v>63263585</v>
      </c>
      <c r="G479" s="21" t="s">
        <v>238</v>
      </c>
    </row>
    <row r="480" spans="1:7" ht="31.5" customHeight="1">
      <c r="A480" s="430"/>
      <c r="B480" s="431"/>
      <c r="D480" s="19" t="s">
        <v>260</v>
      </c>
      <c r="E480" s="68" t="s">
        <v>184</v>
      </c>
      <c r="F480" s="60"/>
      <c r="G480" s="21" t="s">
        <v>238</v>
      </c>
    </row>
    <row r="481" spans="1:7" ht="31.5" customHeight="1">
      <c r="A481" s="432"/>
      <c r="B481" s="433"/>
      <c r="C481" s="20"/>
      <c r="D481" s="27"/>
      <c r="E481" s="27"/>
      <c r="G481" s="150"/>
    </row>
    <row r="482" spans="1:7" ht="31.5" customHeight="1">
      <c r="A482" s="447" t="s">
        <v>202</v>
      </c>
      <c r="B482" s="542"/>
      <c r="C482" s="44"/>
      <c r="D482" s="41"/>
      <c r="E482" s="151"/>
      <c r="F482" s="61"/>
      <c r="G482" s="69" t="s">
        <v>238</v>
      </c>
    </row>
    <row r="483" spans="1:7" ht="31.5" customHeight="1">
      <c r="A483" s="447" t="s">
        <v>121</v>
      </c>
      <c r="B483" s="542"/>
      <c r="C483" s="152"/>
      <c r="D483" s="42"/>
      <c r="F483" s="57">
        <f>F479</f>
        <v>63263585</v>
      </c>
      <c r="G483" s="70" t="s">
        <v>238</v>
      </c>
    </row>
    <row r="484" spans="1:7" ht="31.5" customHeight="1">
      <c r="A484" s="419" t="s">
        <v>125</v>
      </c>
      <c r="B484" s="420"/>
      <c r="C484" s="558"/>
      <c r="D484" s="553"/>
      <c r="E484" s="553"/>
      <c r="F484" s="25" t="s">
        <v>190</v>
      </c>
      <c r="G484" s="58"/>
    </row>
    <row r="485" spans="1:7" ht="31.5" customHeight="1">
      <c r="A485" s="428" t="s">
        <v>385</v>
      </c>
      <c r="B485" s="425"/>
      <c r="C485" s="17" t="s">
        <v>153</v>
      </c>
      <c r="D485" s="425"/>
      <c r="E485" s="425"/>
      <c r="F485" s="425"/>
      <c r="G485" s="429"/>
    </row>
    <row r="486" spans="1:7" ht="31.5" customHeight="1">
      <c r="A486" s="430"/>
      <c r="B486" s="559"/>
      <c r="C486" s="18" t="s">
        <v>181</v>
      </c>
      <c r="D486" s="559"/>
      <c r="E486" s="559"/>
      <c r="F486" s="559"/>
      <c r="G486" s="431"/>
    </row>
    <row r="487" spans="1:7" ht="31.5" customHeight="1">
      <c r="A487" s="432"/>
      <c r="B487" s="562"/>
      <c r="C487" s="26"/>
      <c r="D487" s="27"/>
      <c r="E487" s="153"/>
      <c r="F487" s="153"/>
      <c r="G487" s="154"/>
    </row>
    <row r="488" spans="1:7" ht="31.5" customHeight="1">
      <c r="A488" s="447" t="s">
        <v>202</v>
      </c>
      <c r="B488" s="542"/>
      <c r="C488" s="40"/>
      <c r="D488" s="41"/>
      <c r="E488" s="151"/>
      <c r="F488" s="41"/>
      <c r="G488" s="69" t="s">
        <v>238</v>
      </c>
    </row>
    <row r="489" spans="1:7" ht="31.5" customHeight="1">
      <c r="A489" s="447" t="s">
        <v>121</v>
      </c>
      <c r="B489" s="542"/>
      <c r="C489" s="43"/>
      <c r="D489" s="42"/>
      <c r="F489" s="41"/>
      <c r="G489" s="70" t="s">
        <v>238</v>
      </c>
    </row>
    <row r="490" spans="1:7" ht="31.5" customHeight="1">
      <c r="A490" s="447" t="s">
        <v>32</v>
      </c>
      <c r="B490" s="542"/>
      <c r="C490" s="447"/>
      <c r="D490" s="542"/>
      <c r="E490" s="542"/>
      <c r="F490" s="542"/>
      <c r="G490" s="448"/>
    </row>
    <row r="491" spans="1:7" ht="31.5" customHeight="1">
      <c r="A491" s="447" t="s">
        <v>311</v>
      </c>
      <c r="B491" s="542"/>
      <c r="C491" s="447"/>
      <c r="D491" s="542"/>
      <c r="E491" s="542"/>
      <c r="F491" s="542"/>
      <c r="G491" s="448"/>
    </row>
    <row r="492" spans="1:7" ht="31.5" customHeight="1">
      <c r="A492" s="447" t="s">
        <v>19</v>
      </c>
      <c r="B492" s="542"/>
      <c r="C492" s="445"/>
      <c r="D492" s="557"/>
      <c r="E492" s="557"/>
      <c r="F492" s="557"/>
      <c r="G492" s="446"/>
    </row>
    <row r="493" spans="1:7" ht="31.5" customHeight="1">
      <c r="A493" s="417" t="s">
        <v>77</v>
      </c>
      <c r="B493" s="417"/>
      <c r="C493" s="417"/>
      <c r="D493" s="417"/>
      <c r="E493" s="417"/>
      <c r="F493" s="417"/>
      <c r="G493" s="417"/>
    </row>
    <row r="494" spans="1:7" ht="31.5" customHeight="1">
      <c r="A494" s="127"/>
      <c r="B494" s="127"/>
      <c r="C494" s="127"/>
      <c r="D494" s="127"/>
      <c r="E494" s="127"/>
      <c r="F494" s="127"/>
      <c r="G494" s="127"/>
    </row>
    <row r="495" spans="1:7" ht="31.5" customHeight="1">
      <c r="A495" s="428"/>
      <c r="B495" s="425"/>
      <c r="C495" s="419"/>
      <c r="D495" s="420"/>
      <c r="E495" s="420"/>
      <c r="F495" s="62"/>
      <c r="G495" s="25"/>
    </row>
    <row r="496" spans="1:7" ht="31.5" customHeight="1">
      <c r="A496" s="546"/>
      <c r="B496" s="62"/>
      <c r="C496" s="418"/>
      <c r="D496" s="418"/>
      <c r="E496" s="418"/>
      <c r="F496" s="418"/>
      <c r="G496" s="418"/>
    </row>
    <row r="497" spans="1:7" ht="31.5" customHeight="1">
      <c r="A497" s="547"/>
      <c r="B497" s="18"/>
      <c r="C497" s="419"/>
      <c r="D497" s="420"/>
      <c r="E497" s="420"/>
      <c r="F497" s="420"/>
      <c r="G497" s="424"/>
    </row>
    <row r="498" spans="1:7" ht="31.5" customHeight="1">
      <c r="A498" s="548"/>
      <c r="B498" s="62"/>
      <c r="C498" s="550"/>
      <c r="D498" s="551"/>
      <c r="E498" s="551"/>
      <c r="F498" s="62"/>
      <c r="G498" s="25"/>
    </row>
    <row r="499" spans="1:7" ht="31.5" customHeight="1">
      <c r="A499" s="419"/>
      <c r="B499" s="420"/>
      <c r="C499" s="419"/>
      <c r="D499" s="420"/>
      <c r="E499" s="420"/>
      <c r="F499" s="62"/>
      <c r="G499" s="25"/>
    </row>
    <row r="500" spans="1:7" ht="31.5" customHeight="1">
      <c r="A500" s="428"/>
      <c r="B500" s="429"/>
      <c r="C500" s="19"/>
      <c r="D500" s="425"/>
      <c r="E500" s="425"/>
      <c r="F500" s="426"/>
      <c r="G500" s="427"/>
    </row>
    <row r="501" spans="1:7" ht="31.5" customHeight="1">
      <c r="A501" s="430"/>
      <c r="B501" s="431"/>
      <c r="C501" s="19"/>
      <c r="D501" s="19"/>
      <c r="E501" s="68"/>
      <c r="F501" s="59"/>
      <c r="G501" s="21"/>
    </row>
    <row r="502" spans="1:7" ht="31.5" customHeight="1">
      <c r="A502" s="430"/>
      <c r="B502" s="431"/>
      <c r="D502" s="19"/>
      <c r="E502" s="68"/>
      <c r="F502" s="60"/>
      <c r="G502" s="21"/>
    </row>
    <row r="503" spans="1:7" ht="31.5" customHeight="1">
      <c r="A503" s="432"/>
      <c r="B503" s="433"/>
      <c r="C503" s="20"/>
      <c r="D503" s="27"/>
      <c r="E503" s="27"/>
      <c r="G503" s="150"/>
    </row>
    <row r="504" spans="1:7" ht="31.5" customHeight="1">
      <c r="A504" s="447"/>
      <c r="B504" s="542"/>
      <c r="C504" s="44"/>
      <c r="D504" s="41"/>
      <c r="E504" s="151"/>
      <c r="F504" s="61"/>
      <c r="G504" s="69"/>
    </row>
    <row r="505" spans="1:7" ht="31.5" customHeight="1">
      <c r="A505" s="447"/>
      <c r="B505" s="542"/>
      <c r="C505" s="152"/>
      <c r="D505" s="42"/>
      <c r="F505" s="57"/>
      <c r="G505" s="70"/>
    </row>
    <row r="506" spans="1:7" ht="31.5" customHeight="1">
      <c r="A506" s="419"/>
      <c r="B506" s="420"/>
      <c r="C506" s="558"/>
      <c r="D506" s="553"/>
      <c r="E506" s="553"/>
      <c r="F506" s="25"/>
      <c r="G506" s="58"/>
    </row>
    <row r="507" spans="1:7" ht="31.5" customHeight="1">
      <c r="A507" s="428"/>
      <c r="B507" s="425"/>
      <c r="C507" s="17"/>
      <c r="D507" s="425"/>
      <c r="E507" s="425"/>
      <c r="F507" s="425"/>
      <c r="G507" s="429"/>
    </row>
    <row r="508" spans="1:7" ht="31.5" customHeight="1">
      <c r="A508" s="430"/>
      <c r="B508" s="559"/>
      <c r="C508" s="18"/>
      <c r="D508" s="559"/>
      <c r="E508" s="559"/>
      <c r="F508" s="559"/>
      <c r="G508" s="431"/>
    </row>
    <row r="509" spans="1:7" ht="31.5" customHeight="1">
      <c r="A509" s="432"/>
      <c r="B509" s="562"/>
      <c r="C509" s="26"/>
      <c r="D509" s="27"/>
      <c r="E509" s="153"/>
      <c r="F509" s="153"/>
      <c r="G509" s="154"/>
    </row>
    <row r="510" spans="1:7" ht="31.5" customHeight="1">
      <c r="A510" s="447"/>
      <c r="B510" s="542"/>
      <c r="C510" s="40"/>
      <c r="D510" s="41"/>
      <c r="E510" s="151"/>
      <c r="F510" s="41"/>
      <c r="G510" s="69"/>
    </row>
    <row r="511" spans="1:7" ht="31.5" customHeight="1">
      <c r="A511" s="447"/>
      <c r="B511" s="542"/>
      <c r="C511" s="43"/>
      <c r="D511" s="42"/>
      <c r="F511" s="41"/>
      <c r="G511" s="70"/>
    </row>
    <row r="512" spans="1:7" ht="31.5" customHeight="1">
      <c r="A512" s="447"/>
      <c r="B512" s="542"/>
      <c r="C512" s="447"/>
      <c r="D512" s="542"/>
      <c r="E512" s="542"/>
      <c r="F512" s="542"/>
      <c r="G512" s="448"/>
    </row>
    <row r="513" spans="1:7" ht="31.5" customHeight="1">
      <c r="A513" s="447"/>
      <c r="B513" s="542"/>
      <c r="C513" s="447"/>
      <c r="D513" s="542"/>
      <c r="E513" s="542"/>
      <c r="F513" s="542"/>
      <c r="G513" s="448"/>
    </row>
    <row r="514" spans="1:7" ht="31.5" customHeight="1">
      <c r="A514" s="447"/>
      <c r="B514" s="542"/>
      <c r="C514" s="445"/>
      <c r="D514" s="557"/>
      <c r="E514" s="557"/>
      <c r="F514" s="557"/>
      <c r="G514" s="446"/>
    </row>
    <row r="515" spans="1:7" ht="31.5" customHeight="1">
      <c r="A515" s="417"/>
      <c r="B515" s="417"/>
      <c r="C515" s="417"/>
      <c r="D515" s="417"/>
      <c r="E515" s="417"/>
      <c r="F515" s="417"/>
      <c r="G515" s="417"/>
    </row>
    <row r="516" spans="1:7" ht="31.5" customHeight="1">
      <c r="A516" s="127"/>
      <c r="B516" s="127"/>
      <c r="C516" s="127"/>
      <c r="D516" s="127"/>
      <c r="E516" s="127"/>
      <c r="F516" s="127"/>
      <c r="G516" s="127"/>
    </row>
    <row r="517" spans="1:7" ht="31.5" customHeight="1">
      <c r="A517" s="428"/>
      <c r="B517" s="425"/>
      <c r="C517" s="419"/>
      <c r="D517" s="420"/>
      <c r="E517" s="420"/>
      <c r="F517" s="62"/>
      <c r="G517" s="25"/>
    </row>
    <row r="518" spans="1:7" ht="31.5" customHeight="1">
      <c r="A518" s="546"/>
      <c r="B518" s="62"/>
      <c r="C518" s="418"/>
      <c r="D518" s="418"/>
      <c r="E518" s="418"/>
      <c r="F518" s="418"/>
      <c r="G518" s="418"/>
    </row>
    <row r="519" spans="1:7" ht="31.5" customHeight="1">
      <c r="A519" s="547"/>
      <c r="B519" s="18"/>
      <c r="C519" s="419"/>
      <c r="D519" s="420"/>
      <c r="E519" s="420"/>
      <c r="F519" s="420"/>
      <c r="G519" s="424"/>
    </row>
    <row r="520" spans="1:7" ht="31.5" customHeight="1">
      <c r="A520" s="548"/>
      <c r="B520" s="62"/>
      <c r="C520" s="550"/>
      <c r="D520" s="551"/>
      <c r="E520" s="551"/>
      <c r="F520" s="62"/>
      <c r="G520" s="25"/>
    </row>
    <row r="521" spans="1:7" ht="31.5" customHeight="1">
      <c r="A521" s="419"/>
      <c r="B521" s="420"/>
      <c r="C521" s="419"/>
      <c r="D521" s="420"/>
      <c r="E521" s="420"/>
      <c r="F521" s="62"/>
      <c r="G521" s="25"/>
    </row>
    <row r="522" spans="1:7" ht="31.5" customHeight="1">
      <c r="A522" s="428"/>
      <c r="B522" s="429"/>
      <c r="C522" s="19"/>
      <c r="D522" s="425"/>
      <c r="E522" s="425"/>
      <c r="F522" s="426"/>
      <c r="G522" s="427"/>
    </row>
    <row r="523" spans="1:7" ht="31.5" customHeight="1">
      <c r="A523" s="430"/>
      <c r="B523" s="431"/>
      <c r="C523" s="19"/>
      <c r="D523" s="19"/>
      <c r="E523" s="68"/>
      <c r="F523" s="59"/>
      <c r="G523" s="21"/>
    </row>
    <row r="524" spans="1:7" ht="31.5" customHeight="1">
      <c r="A524" s="430"/>
      <c r="B524" s="431"/>
      <c r="D524" s="19"/>
      <c r="E524" s="68"/>
      <c r="F524" s="60"/>
      <c r="G524" s="21"/>
    </row>
    <row r="525" spans="1:7" ht="31.5" customHeight="1">
      <c r="A525" s="432"/>
      <c r="B525" s="433"/>
      <c r="C525" s="20"/>
      <c r="D525" s="27"/>
      <c r="E525" s="27"/>
      <c r="G525" s="150"/>
    </row>
    <row r="526" spans="1:7" ht="31.5" customHeight="1">
      <c r="A526" s="447"/>
      <c r="B526" s="542"/>
      <c r="C526" s="44"/>
      <c r="D526" s="41"/>
      <c r="E526" s="151"/>
      <c r="F526" s="61"/>
      <c r="G526" s="69"/>
    </row>
    <row r="527" spans="1:7" ht="31.5" customHeight="1">
      <c r="A527" s="447"/>
      <c r="B527" s="542"/>
      <c r="C527" s="152"/>
      <c r="D527" s="42"/>
      <c r="F527" s="57"/>
      <c r="G527" s="70"/>
    </row>
    <row r="528" spans="1:7" ht="31.5" customHeight="1">
      <c r="A528" s="419"/>
      <c r="B528" s="420"/>
      <c r="C528" s="558"/>
      <c r="D528" s="553"/>
      <c r="E528" s="553"/>
      <c r="F528" s="25"/>
      <c r="G528" s="58"/>
    </row>
    <row r="529" spans="1:7" ht="31.5" customHeight="1">
      <c r="A529" s="428"/>
      <c r="B529" s="425"/>
      <c r="C529" s="17"/>
      <c r="D529" s="425"/>
      <c r="E529" s="425"/>
      <c r="F529" s="425"/>
      <c r="G529" s="429"/>
    </row>
    <row r="530" spans="1:7" ht="31.5" customHeight="1">
      <c r="A530" s="430"/>
      <c r="B530" s="559"/>
      <c r="C530" s="18"/>
      <c r="D530" s="559"/>
      <c r="E530" s="559"/>
      <c r="F530" s="559"/>
      <c r="G530" s="431"/>
    </row>
    <row r="531" spans="1:7" ht="31.5" customHeight="1">
      <c r="A531" s="432"/>
      <c r="B531" s="562"/>
      <c r="C531" s="26"/>
      <c r="D531" s="27"/>
      <c r="E531" s="153"/>
      <c r="F531" s="153"/>
      <c r="G531" s="154"/>
    </row>
    <row r="532" spans="1:7" ht="31.5" customHeight="1">
      <c r="A532" s="447"/>
      <c r="B532" s="542"/>
      <c r="C532" s="40"/>
      <c r="D532" s="41"/>
      <c r="E532" s="151"/>
      <c r="F532" s="41"/>
      <c r="G532" s="69"/>
    </row>
    <row r="533" spans="1:7" ht="31.5" customHeight="1">
      <c r="A533" s="447"/>
      <c r="B533" s="542"/>
      <c r="C533" s="43"/>
      <c r="D533" s="42"/>
      <c r="F533" s="41"/>
      <c r="G533" s="70"/>
    </row>
    <row r="534" spans="1:7" ht="31.5" customHeight="1">
      <c r="A534" s="447"/>
      <c r="B534" s="542"/>
      <c r="C534" s="447"/>
      <c r="D534" s="542"/>
      <c r="E534" s="542"/>
      <c r="F534" s="542"/>
      <c r="G534" s="448"/>
    </row>
    <row r="535" spans="1:7" ht="31.5" customHeight="1">
      <c r="A535" s="447"/>
      <c r="B535" s="542"/>
      <c r="C535" s="447"/>
      <c r="D535" s="542"/>
      <c r="E535" s="542"/>
      <c r="F535" s="542"/>
      <c r="G535" s="448"/>
    </row>
    <row r="536" spans="1:7" ht="31.5" customHeight="1">
      <c r="A536" s="447"/>
      <c r="B536" s="542"/>
      <c r="C536" s="445"/>
      <c r="D536" s="557"/>
      <c r="E536" s="557"/>
      <c r="F536" s="557"/>
      <c r="G536" s="446"/>
    </row>
    <row r="537" spans="1:7" ht="31.5" customHeight="1">
      <c r="A537" s="417"/>
      <c r="B537" s="417"/>
      <c r="C537" s="417"/>
      <c r="D537" s="417"/>
      <c r="E537" s="417"/>
      <c r="F537" s="417"/>
      <c r="G537" s="417"/>
    </row>
    <row r="538" spans="1:7" ht="31.5" customHeight="1">
      <c r="A538" s="127"/>
      <c r="B538" s="127"/>
      <c r="C538" s="127"/>
      <c r="D538" s="127"/>
      <c r="E538" s="127"/>
      <c r="F538" s="127"/>
      <c r="G538" s="127"/>
    </row>
    <row r="539" spans="1:7" ht="31.5" customHeight="1">
      <c r="A539" s="428"/>
      <c r="B539" s="425"/>
      <c r="C539" s="419"/>
      <c r="D539" s="420"/>
      <c r="E539" s="420"/>
      <c r="F539" s="62"/>
      <c r="G539" s="25"/>
    </row>
    <row r="540" spans="1:7" ht="31.5" customHeight="1">
      <c r="A540" s="546"/>
      <c r="B540" s="62"/>
      <c r="C540" s="549"/>
      <c r="D540" s="418"/>
      <c r="E540" s="418"/>
      <c r="F540" s="418"/>
      <c r="G540" s="418"/>
    </row>
    <row r="541" spans="1:7" ht="31.5" customHeight="1">
      <c r="A541" s="547"/>
      <c r="B541" s="18"/>
      <c r="C541" s="419"/>
      <c r="D541" s="420"/>
      <c r="E541" s="420"/>
      <c r="F541" s="420"/>
      <c r="G541" s="424"/>
    </row>
    <row r="542" spans="1:7" ht="31.5" customHeight="1">
      <c r="A542" s="548"/>
      <c r="B542" s="62"/>
      <c r="C542" s="550"/>
      <c r="D542" s="551"/>
      <c r="E542" s="551"/>
      <c r="F542" s="62"/>
      <c r="G542" s="25"/>
    </row>
    <row r="543" spans="1:7" ht="31.5" customHeight="1">
      <c r="A543" s="419"/>
      <c r="B543" s="420"/>
      <c r="C543" s="555"/>
      <c r="D543" s="556"/>
      <c r="E543" s="556"/>
      <c r="F543" s="62"/>
      <c r="G543" s="25"/>
    </row>
    <row r="544" spans="1:7" ht="31.5" customHeight="1">
      <c r="A544" s="428"/>
      <c r="B544" s="429"/>
      <c r="C544" s="19"/>
      <c r="D544" s="425"/>
      <c r="E544" s="425"/>
      <c r="F544" s="426"/>
      <c r="G544" s="427"/>
    </row>
    <row r="545" spans="1:7" ht="31.5" customHeight="1">
      <c r="A545" s="430"/>
      <c r="B545" s="431"/>
      <c r="C545" s="19"/>
      <c r="D545" s="19"/>
      <c r="E545" s="68"/>
      <c r="F545" s="59"/>
      <c r="G545" s="21"/>
    </row>
    <row r="546" spans="1:7" ht="31.5" customHeight="1">
      <c r="A546" s="430"/>
      <c r="B546" s="431"/>
      <c r="D546" s="19"/>
      <c r="E546" s="68"/>
      <c r="F546" s="60"/>
      <c r="G546" s="21"/>
    </row>
    <row r="547" spans="1:7" ht="31.5" customHeight="1">
      <c r="A547" s="432"/>
      <c r="B547" s="433"/>
      <c r="C547" s="20"/>
      <c r="D547" s="27"/>
      <c r="E547" s="27"/>
      <c r="G547" s="150"/>
    </row>
    <row r="548" spans="1:7" ht="31.5" customHeight="1">
      <c r="A548" s="447"/>
      <c r="B548" s="542"/>
      <c r="C548" s="44"/>
      <c r="D548" s="41"/>
      <c r="E548" s="151"/>
      <c r="F548" s="61"/>
      <c r="G548" s="69"/>
    </row>
    <row r="549" spans="1:7" ht="31.5" customHeight="1">
      <c r="A549" s="447"/>
      <c r="B549" s="542"/>
      <c r="C549" s="152"/>
      <c r="D549" s="42"/>
      <c r="F549" s="57"/>
      <c r="G549" s="70"/>
    </row>
    <row r="550" spans="1:7" ht="31.5" customHeight="1">
      <c r="A550" s="419"/>
      <c r="B550" s="420"/>
      <c r="C550" s="552"/>
      <c r="D550" s="553"/>
      <c r="E550" s="553"/>
      <c r="F550" s="25"/>
      <c r="G550" s="58"/>
    </row>
    <row r="551" spans="1:7" ht="31.5" customHeight="1">
      <c r="A551" s="428"/>
      <c r="B551" s="429"/>
      <c r="C551" s="19"/>
      <c r="D551" s="425"/>
      <c r="E551" s="425"/>
      <c r="F551" s="426"/>
      <c r="G551" s="427"/>
    </row>
    <row r="552" spans="1:7" ht="31.5" customHeight="1">
      <c r="A552" s="430"/>
      <c r="B552" s="431"/>
      <c r="C552" s="19"/>
      <c r="D552" s="19"/>
      <c r="E552" s="68"/>
      <c r="F552" s="59"/>
      <c r="G552" s="21"/>
    </row>
    <row r="553" spans="1:7" ht="31.5" customHeight="1">
      <c r="A553" s="432"/>
      <c r="B553" s="433"/>
      <c r="D553" s="19"/>
      <c r="E553" s="68"/>
      <c r="F553" s="60"/>
      <c r="G553" s="21"/>
    </row>
    <row r="554" spans="1:7" ht="31.5" customHeight="1">
      <c r="A554" s="447"/>
      <c r="B554" s="542"/>
      <c r="C554" s="40"/>
      <c r="D554" s="41"/>
      <c r="E554" s="151"/>
      <c r="F554" s="41"/>
      <c r="G554" s="69"/>
    </row>
    <row r="555" spans="1:7" ht="31.5" customHeight="1">
      <c r="A555" s="447"/>
      <c r="B555" s="542"/>
      <c r="C555" s="44"/>
      <c r="D555" s="41"/>
      <c r="E555" s="151"/>
      <c r="F555" s="229"/>
      <c r="G555" s="69"/>
    </row>
    <row r="556" spans="1:7" ht="31.5" customHeight="1">
      <c r="A556" s="447"/>
      <c r="B556" s="542"/>
      <c r="C556" s="447"/>
      <c r="D556" s="542"/>
      <c r="E556" s="542"/>
      <c r="F556" s="542"/>
      <c r="G556" s="448"/>
    </row>
    <row r="557" spans="1:7" ht="31.5" customHeight="1">
      <c r="A557" s="447"/>
      <c r="B557" s="542"/>
      <c r="C557" s="447"/>
      <c r="D557" s="542"/>
      <c r="E557" s="542"/>
      <c r="F557" s="542"/>
      <c r="G557" s="448"/>
    </row>
    <row r="558" spans="1:7" ht="70.5" customHeight="1">
      <c r="A558" s="447"/>
      <c r="B558" s="542"/>
      <c r="C558" s="543"/>
      <c r="D558" s="544"/>
      <c r="E558" s="544"/>
      <c r="F558" s="544"/>
      <c r="G558" s="545"/>
    </row>
    <row r="559" spans="1:7" ht="31.5" customHeight="1">
      <c r="A559" s="417"/>
      <c r="B559" s="417"/>
      <c r="C559" s="417"/>
      <c r="D559" s="417"/>
      <c r="E559" s="417"/>
      <c r="F559" s="417"/>
      <c r="G559" s="417"/>
    </row>
    <row r="560" spans="1:7" ht="31.5" customHeight="1">
      <c r="A560" s="127"/>
      <c r="B560" s="127"/>
      <c r="C560" s="127"/>
      <c r="D560" s="127"/>
      <c r="E560" s="127"/>
      <c r="F560" s="127"/>
      <c r="G560" s="127"/>
    </row>
    <row r="561" spans="1:7" ht="31.5" customHeight="1">
      <c r="A561" s="428"/>
      <c r="B561" s="425"/>
      <c r="C561" s="419"/>
      <c r="D561" s="420"/>
      <c r="E561" s="420"/>
      <c r="F561" s="62"/>
      <c r="G561" s="25"/>
    </row>
    <row r="562" spans="1:7" ht="31.5" customHeight="1">
      <c r="A562" s="546"/>
      <c r="B562" s="62"/>
      <c r="C562" s="549"/>
      <c r="D562" s="418"/>
      <c r="E562" s="418"/>
      <c r="F562" s="418"/>
      <c r="G562" s="418"/>
    </row>
    <row r="563" spans="1:7" ht="31.5" customHeight="1">
      <c r="A563" s="547"/>
      <c r="B563" s="18"/>
      <c r="C563" s="419"/>
      <c r="D563" s="420"/>
      <c r="E563" s="420"/>
      <c r="F563" s="420"/>
      <c r="G563" s="424"/>
    </row>
    <row r="564" spans="1:7" ht="31.5" customHeight="1">
      <c r="A564" s="548"/>
      <c r="B564" s="62"/>
      <c r="C564" s="550"/>
      <c r="D564" s="551"/>
      <c r="E564" s="551"/>
      <c r="F564" s="62"/>
      <c r="G564" s="25"/>
    </row>
    <row r="565" spans="1:7" ht="31.5" customHeight="1">
      <c r="A565" s="419"/>
      <c r="B565" s="420"/>
      <c r="C565" s="555"/>
      <c r="D565" s="556"/>
      <c r="E565" s="556"/>
      <c r="F565" s="62"/>
      <c r="G565" s="25"/>
    </row>
    <row r="566" spans="1:7" ht="31.5" customHeight="1">
      <c r="A566" s="428"/>
      <c r="B566" s="429"/>
      <c r="C566" s="19"/>
      <c r="D566" s="425"/>
      <c r="E566" s="425"/>
      <c r="F566" s="426"/>
      <c r="G566" s="427"/>
    </row>
    <row r="567" spans="1:7" ht="31.5" customHeight="1">
      <c r="A567" s="430"/>
      <c r="B567" s="431"/>
      <c r="C567" s="19"/>
      <c r="D567" s="19"/>
      <c r="E567" s="68"/>
      <c r="F567" s="59"/>
      <c r="G567" s="21"/>
    </row>
    <row r="568" spans="1:7" ht="31.5" customHeight="1">
      <c r="A568" s="430"/>
      <c r="B568" s="431"/>
      <c r="D568" s="19"/>
      <c r="E568" s="68"/>
      <c r="F568" s="60"/>
      <c r="G568" s="21"/>
    </row>
    <row r="569" spans="1:7" ht="31.5" customHeight="1">
      <c r="A569" s="432"/>
      <c r="B569" s="433"/>
      <c r="C569" s="20"/>
      <c r="D569" s="27"/>
      <c r="E569" s="27"/>
      <c r="G569" s="150"/>
    </row>
    <row r="570" spans="1:7" ht="31.5" customHeight="1">
      <c r="A570" s="447"/>
      <c r="B570" s="542"/>
      <c r="C570" s="44"/>
      <c r="D570" s="41"/>
      <c r="E570" s="151"/>
      <c r="F570" s="61"/>
      <c r="G570" s="69"/>
    </row>
    <row r="571" spans="1:7" ht="31.5" customHeight="1">
      <c r="A571" s="447"/>
      <c r="B571" s="542"/>
      <c r="C571" s="152"/>
      <c r="D571" s="42"/>
      <c r="F571" s="57"/>
      <c r="G571" s="70"/>
    </row>
    <row r="572" spans="1:7" ht="31.5" customHeight="1">
      <c r="A572" s="419"/>
      <c r="B572" s="420"/>
      <c r="C572" s="552"/>
      <c r="D572" s="553"/>
      <c r="E572" s="553"/>
      <c r="F572" s="25"/>
      <c r="G572" s="58"/>
    </row>
    <row r="573" spans="1:7" ht="31.5" customHeight="1">
      <c r="A573" s="428"/>
      <c r="B573" s="429"/>
      <c r="C573" s="19"/>
      <c r="D573" s="425"/>
      <c r="E573" s="425"/>
      <c r="F573" s="426"/>
      <c r="G573" s="427"/>
    </row>
    <row r="574" spans="1:7" ht="31.5" customHeight="1">
      <c r="A574" s="430"/>
      <c r="B574" s="431"/>
      <c r="C574" s="19"/>
      <c r="D574" s="19"/>
      <c r="E574" s="68"/>
      <c r="F574" s="59"/>
      <c r="G574" s="21"/>
    </row>
    <row r="575" spans="1:7" ht="31.5" customHeight="1">
      <c r="A575" s="432"/>
      <c r="B575" s="433"/>
      <c r="D575" s="19"/>
      <c r="E575" s="68"/>
      <c r="F575" s="60"/>
      <c r="G575" s="21"/>
    </row>
    <row r="576" spans="1:7" ht="31.5" customHeight="1">
      <c r="A576" s="447"/>
      <c r="B576" s="542"/>
      <c r="C576" s="40"/>
      <c r="D576" s="41"/>
      <c r="E576" s="151"/>
      <c r="F576" s="41"/>
      <c r="G576" s="69"/>
    </row>
    <row r="577" spans="1:7" ht="31.5" customHeight="1">
      <c r="A577" s="447"/>
      <c r="B577" s="542"/>
      <c r="C577" s="44"/>
      <c r="D577" s="41"/>
      <c r="E577" s="151"/>
      <c r="F577" s="229"/>
      <c r="G577" s="69"/>
    </row>
    <row r="578" spans="1:7" ht="31.5" customHeight="1">
      <c r="A578" s="447"/>
      <c r="B578" s="542"/>
      <c r="C578" s="447"/>
      <c r="D578" s="542"/>
      <c r="E578" s="542"/>
      <c r="F578" s="542"/>
      <c r="G578" s="448"/>
    </row>
    <row r="579" spans="1:7" ht="31.5" customHeight="1">
      <c r="A579" s="447"/>
      <c r="B579" s="542"/>
      <c r="C579" s="447"/>
      <c r="D579" s="542"/>
      <c r="E579" s="542"/>
      <c r="F579" s="542"/>
      <c r="G579" s="448"/>
    </row>
    <row r="580" spans="1:7" ht="69.75" customHeight="1">
      <c r="A580" s="447"/>
      <c r="B580" s="542"/>
      <c r="C580" s="543"/>
      <c r="D580" s="544"/>
      <c r="E580" s="544"/>
      <c r="F580" s="544"/>
      <c r="G580" s="545"/>
    </row>
    <row r="581" spans="1:7" ht="31.5" customHeight="1">
      <c r="A581" s="417"/>
      <c r="B581" s="417"/>
      <c r="C581" s="417"/>
      <c r="D581" s="417"/>
      <c r="E581" s="417"/>
      <c r="F581" s="417"/>
      <c r="G581" s="417"/>
    </row>
    <row r="582" spans="1:7" ht="31.5" customHeight="1">
      <c r="A582" s="127"/>
      <c r="B582" s="127"/>
      <c r="C582" s="127"/>
      <c r="D582" s="127"/>
      <c r="E582" s="127"/>
      <c r="F582" s="127"/>
      <c r="G582" s="127"/>
    </row>
    <row r="583" spans="1:7" ht="31.5" customHeight="1">
      <c r="A583" s="428"/>
      <c r="B583" s="425"/>
      <c r="C583" s="419"/>
      <c r="D583" s="420"/>
      <c r="E583" s="420"/>
      <c r="F583" s="62"/>
      <c r="G583" s="25"/>
    </row>
    <row r="584" spans="1:7" ht="31.5" customHeight="1">
      <c r="A584" s="546"/>
      <c r="B584" s="62"/>
      <c r="C584" s="549"/>
      <c r="D584" s="418"/>
      <c r="E584" s="418"/>
      <c r="F584" s="418"/>
      <c r="G584" s="418"/>
    </row>
    <row r="585" spans="1:7" ht="31.5" customHeight="1">
      <c r="A585" s="547"/>
      <c r="B585" s="18"/>
      <c r="C585" s="419"/>
      <c r="D585" s="420"/>
      <c r="E585" s="420"/>
      <c r="F585" s="420"/>
      <c r="G585" s="424"/>
    </row>
    <row r="586" spans="1:7" ht="31.5" customHeight="1">
      <c r="A586" s="548"/>
      <c r="B586" s="62"/>
      <c r="C586" s="550"/>
      <c r="D586" s="551"/>
      <c r="E586" s="551"/>
      <c r="F586" s="62"/>
      <c r="G586" s="25"/>
    </row>
    <row r="587" spans="1:7" ht="31.5" customHeight="1">
      <c r="A587" s="419"/>
      <c r="B587" s="420"/>
      <c r="C587" s="554"/>
      <c r="D587" s="420"/>
      <c r="E587" s="420"/>
      <c r="F587" s="62"/>
      <c r="G587" s="25"/>
    </row>
    <row r="588" spans="1:7" ht="31.5" customHeight="1">
      <c r="A588" s="428"/>
      <c r="B588" s="429"/>
      <c r="C588" s="19"/>
      <c r="D588" s="425"/>
      <c r="E588" s="425"/>
      <c r="F588" s="426"/>
      <c r="G588" s="427"/>
    </row>
    <row r="589" spans="1:7" ht="31.5" customHeight="1">
      <c r="A589" s="430"/>
      <c r="B589" s="431"/>
      <c r="C589" s="19"/>
      <c r="D589" s="19"/>
      <c r="E589" s="68"/>
      <c r="F589" s="59"/>
      <c r="G589" s="21"/>
    </row>
    <row r="590" spans="1:7" ht="31.5" customHeight="1">
      <c r="A590" s="430"/>
      <c r="B590" s="431"/>
      <c r="D590" s="19"/>
      <c r="E590" s="68"/>
      <c r="F590" s="60"/>
      <c r="G590" s="21"/>
    </row>
    <row r="591" spans="1:7" ht="31.5" customHeight="1">
      <c r="A591" s="432"/>
      <c r="B591" s="433"/>
      <c r="C591" s="20"/>
      <c r="D591" s="27"/>
      <c r="E591" s="27"/>
      <c r="G591" s="150"/>
    </row>
    <row r="592" spans="1:7" ht="31.5" customHeight="1">
      <c r="A592" s="447"/>
      <c r="B592" s="542"/>
      <c r="C592" s="44"/>
      <c r="D592" s="41"/>
      <c r="E592" s="151"/>
      <c r="F592" s="61"/>
      <c r="G592" s="69"/>
    </row>
    <row r="593" spans="1:7" ht="31.5" customHeight="1">
      <c r="A593" s="447"/>
      <c r="B593" s="542"/>
      <c r="C593" s="152"/>
      <c r="D593" s="42"/>
      <c r="F593" s="57"/>
      <c r="G593" s="70"/>
    </row>
    <row r="594" spans="1:7" ht="31.5" customHeight="1">
      <c r="A594" s="419"/>
      <c r="B594" s="420"/>
      <c r="C594" s="552"/>
      <c r="D594" s="553"/>
      <c r="E594" s="553"/>
      <c r="F594" s="25"/>
      <c r="G594" s="58"/>
    </row>
    <row r="595" spans="1:7" ht="31.5" customHeight="1">
      <c r="A595" s="428"/>
      <c r="B595" s="429"/>
      <c r="C595" s="19"/>
      <c r="D595" s="425"/>
      <c r="E595" s="425"/>
      <c r="F595" s="426"/>
      <c r="G595" s="427"/>
    </row>
    <row r="596" spans="1:7" ht="31.5" customHeight="1">
      <c r="A596" s="430"/>
      <c r="B596" s="431"/>
      <c r="C596" s="19"/>
      <c r="D596" s="19"/>
      <c r="E596" s="68"/>
      <c r="F596" s="59"/>
      <c r="G596" s="21"/>
    </row>
    <row r="597" spans="1:7" ht="31.5" customHeight="1">
      <c r="A597" s="432"/>
      <c r="B597" s="433"/>
      <c r="D597" s="19"/>
      <c r="E597" s="68"/>
      <c r="F597" s="60"/>
      <c r="G597" s="21"/>
    </row>
    <row r="598" spans="1:7" ht="31.5" customHeight="1">
      <c r="A598" s="447"/>
      <c r="B598" s="542"/>
      <c r="C598" s="40"/>
      <c r="D598" s="41"/>
      <c r="E598" s="151"/>
      <c r="F598" s="41"/>
      <c r="G598" s="69"/>
    </row>
    <row r="599" spans="1:7" ht="31.5" customHeight="1">
      <c r="A599" s="447"/>
      <c r="B599" s="542"/>
      <c r="C599" s="44"/>
      <c r="D599" s="41"/>
      <c r="E599" s="151"/>
      <c r="F599" s="229"/>
      <c r="G599" s="69"/>
    </row>
    <row r="600" spans="1:7" ht="31.5" customHeight="1">
      <c r="A600" s="447"/>
      <c r="B600" s="542"/>
      <c r="C600" s="447"/>
      <c r="D600" s="542"/>
      <c r="E600" s="542"/>
      <c r="F600" s="542"/>
      <c r="G600" s="448"/>
    </row>
    <row r="601" spans="1:7" ht="31.5" customHeight="1">
      <c r="A601" s="447"/>
      <c r="B601" s="542"/>
      <c r="C601" s="447"/>
      <c r="D601" s="542"/>
      <c r="E601" s="542"/>
      <c r="F601" s="542"/>
      <c r="G601" s="448"/>
    </row>
    <row r="602" spans="1:7" ht="31.5" customHeight="1">
      <c r="A602" s="447"/>
      <c r="B602" s="542"/>
      <c r="C602" s="574"/>
      <c r="D602" s="574"/>
      <c r="E602" s="574"/>
      <c r="F602" s="574"/>
      <c r="G602" s="574"/>
    </row>
    <row r="603" spans="1:7" ht="31.5" customHeight="1">
      <c r="A603" s="417"/>
      <c r="B603" s="417"/>
      <c r="C603" s="417"/>
      <c r="D603" s="417"/>
      <c r="E603" s="417"/>
      <c r="F603" s="417"/>
      <c r="G603" s="417"/>
    </row>
    <row r="604" spans="1:7" ht="31.5" customHeight="1">
      <c r="A604" s="127"/>
      <c r="B604" s="127"/>
      <c r="C604" s="127"/>
      <c r="D604" s="127"/>
      <c r="E604" s="127"/>
      <c r="F604" s="127"/>
      <c r="G604" s="127"/>
    </row>
    <row r="605" spans="1:7" ht="31.5" customHeight="1">
      <c r="A605" s="428"/>
      <c r="B605" s="425"/>
      <c r="C605" s="419"/>
      <c r="D605" s="420"/>
      <c r="E605" s="420"/>
      <c r="F605" s="62"/>
      <c r="G605" s="25"/>
    </row>
    <row r="606" spans="1:7" ht="31.5" customHeight="1">
      <c r="A606" s="546"/>
      <c r="B606" s="62"/>
      <c r="C606" s="549"/>
      <c r="D606" s="418"/>
      <c r="E606" s="418"/>
      <c r="F606" s="418"/>
      <c r="G606" s="418"/>
    </row>
    <row r="607" spans="1:7" ht="31.5" customHeight="1">
      <c r="A607" s="547"/>
      <c r="B607" s="18"/>
      <c r="C607" s="419"/>
      <c r="D607" s="420"/>
      <c r="E607" s="420"/>
      <c r="F607" s="420"/>
      <c r="G607" s="424"/>
    </row>
    <row r="608" spans="1:7" ht="31.5" customHeight="1">
      <c r="A608" s="548"/>
      <c r="B608" s="62"/>
      <c r="C608" s="550"/>
      <c r="D608" s="551"/>
      <c r="E608" s="551"/>
      <c r="F608" s="62"/>
      <c r="G608" s="25"/>
    </row>
    <row r="609" spans="1:7" ht="31.5" customHeight="1">
      <c r="A609" s="419"/>
      <c r="B609" s="420"/>
      <c r="C609" s="554"/>
      <c r="D609" s="420"/>
      <c r="E609" s="420"/>
      <c r="F609" s="62"/>
      <c r="G609" s="25"/>
    </row>
    <row r="610" spans="1:7" ht="31.5" customHeight="1">
      <c r="A610" s="428"/>
      <c r="B610" s="429"/>
      <c r="C610" s="19"/>
      <c r="D610" s="425"/>
      <c r="E610" s="425"/>
      <c r="F610" s="426"/>
      <c r="G610" s="427"/>
    </row>
    <row r="611" spans="1:7" ht="31.5" customHeight="1">
      <c r="A611" s="430"/>
      <c r="B611" s="431"/>
      <c r="C611" s="19"/>
      <c r="D611" s="19"/>
      <c r="E611" s="68"/>
      <c r="F611" s="59"/>
      <c r="G611" s="21"/>
    </row>
    <row r="612" spans="1:7" ht="31.5" customHeight="1">
      <c r="A612" s="430"/>
      <c r="B612" s="431"/>
      <c r="D612" s="19"/>
      <c r="E612" s="68"/>
      <c r="F612" s="60"/>
      <c r="G612" s="21"/>
    </row>
    <row r="613" spans="1:7" ht="31.5" customHeight="1">
      <c r="A613" s="432"/>
      <c r="B613" s="433"/>
      <c r="C613" s="20"/>
      <c r="D613" s="27"/>
      <c r="E613" s="27"/>
      <c r="G613" s="150"/>
    </row>
    <row r="614" spans="1:7" ht="31.5" customHeight="1">
      <c r="A614" s="447"/>
      <c r="B614" s="542"/>
      <c r="C614" s="44"/>
      <c r="D614" s="41"/>
      <c r="E614" s="151"/>
      <c r="F614" s="61"/>
      <c r="G614" s="69"/>
    </row>
    <row r="615" spans="1:7" ht="31.5" customHeight="1">
      <c r="A615" s="447"/>
      <c r="B615" s="542"/>
      <c r="C615" s="152"/>
      <c r="D615" s="42"/>
      <c r="F615" s="57"/>
      <c r="G615" s="70"/>
    </row>
    <row r="616" spans="1:7" ht="31.5" customHeight="1">
      <c r="A616" s="419"/>
      <c r="B616" s="420"/>
      <c r="C616" s="552"/>
      <c r="D616" s="553"/>
      <c r="E616" s="553"/>
      <c r="F616" s="25"/>
      <c r="G616" s="58"/>
    </row>
    <row r="617" spans="1:7" ht="31.5" customHeight="1">
      <c r="A617" s="428"/>
      <c r="B617" s="429"/>
      <c r="C617" s="19"/>
      <c r="D617" s="425"/>
      <c r="E617" s="425"/>
      <c r="F617" s="426"/>
      <c r="G617" s="427"/>
    </row>
    <row r="618" spans="1:7" ht="31.5" customHeight="1">
      <c r="A618" s="430"/>
      <c r="B618" s="431"/>
      <c r="C618" s="19"/>
      <c r="D618" s="19"/>
      <c r="E618" s="68"/>
      <c r="F618" s="59"/>
      <c r="G618" s="21"/>
    </row>
    <row r="619" spans="1:7" ht="31.5" customHeight="1">
      <c r="A619" s="432"/>
      <c r="B619" s="433"/>
      <c r="D619" s="19"/>
      <c r="E619" s="68"/>
      <c r="F619" s="60"/>
      <c r="G619" s="21"/>
    </row>
    <row r="620" spans="1:7" ht="31.5" customHeight="1">
      <c r="A620" s="447"/>
      <c r="B620" s="542"/>
      <c r="C620" s="40"/>
      <c r="D620" s="41"/>
      <c r="E620" s="151"/>
      <c r="F620" s="41"/>
      <c r="G620" s="69"/>
    </row>
    <row r="621" spans="1:7" ht="31.5" customHeight="1">
      <c r="A621" s="447"/>
      <c r="B621" s="542"/>
      <c r="C621" s="44"/>
      <c r="D621" s="41"/>
      <c r="E621" s="151"/>
      <c r="F621" s="229"/>
      <c r="G621" s="69"/>
    </row>
    <row r="622" spans="1:7" ht="31.5" customHeight="1">
      <c r="A622" s="447"/>
      <c r="B622" s="542"/>
      <c r="C622" s="447"/>
      <c r="D622" s="542"/>
      <c r="E622" s="542"/>
      <c r="F622" s="542"/>
      <c r="G622" s="448"/>
    </row>
    <row r="623" spans="1:7" ht="31.5" customHeight="1">
      <c r="A623" s="447"/>
      <c r="B623" s="542"/>
      <c r="C623" s="447"/>
      <c r="D623" s="542"/>
      <c r="E623" s="542"/>
      <c r="F623" s="542"/>
      <c r="G623" s="448"/>
    </row>
    <row r="624" spans="1:7" ht="72.75" customHeight="1">
      <c r="A624" s="447"/>
      <c r="B624" s="542"/>
      <c r="C624" s="543"/>
      <c r="D624" s="544"/>
      <c r="E624" s="544"/>
      <c r="F624" s="544"/>
      <c r="G624" s="545"/>
    </row>
    <row r="625" spans="1:7" ht="31.5" customHeight="1">
      <c r="A625" s="417"/>
      <c r="B625" s="417"/>
      <c r="C625" s="417"/>
      <c r="D625" s="417"/>
      <c r="E625" s="417"/>
      <c r="F625" s="417"/>
      <c r="G625" s="417"/>
    </row>
    <row r="626" spans="1:7" ht="31.5" customHeight="1">
      <c r="A626" s="127"/>
      <c r="B626" s="127"/>
      <c r="C626" s="127"/>
      <c r="D626" s="127"/>
      <c r="E626" s="127"/>
      <c r="F626" s="127"/>
      <c r="G626" s="127"/>
    </row>
    <row r="627" spans="1:7" ht="31.5" customHeight="1">
      <c r="A627" s="428"/>
      <c r="B627" s="425"/>
      <c r="C627" s="419"/>
      <c r="D627" s="420"/>
      <c r="E627" s="420"/>
      <c r="F627" s="62"/>
      <c r="G627" s="25"/>
    </row>
    <row r="628" spans="1:7" ht="31.5" customHeight="1">
      <c r="A628" s="546"/>
      <c r="B628" s="62"/>
      <c r="C628" s="418"/>
      <c r="D628" s="418"/>
      <c r="E628" s="418"/>
      <c r="F628" s="418"/>
      <c r="G628" s="418"/>
    </row>
    <row r="629" spans="1:7" ht="31.5" customHeight="1">
      <c r="A629" s="547"/>
      <c r="B629" s="18"/>
      <c r="C629" s="419"/>
      <c r="D629" s="420"/>
      <c r="E629" s="420"/>
      <c r="F629" s="420"/>
      <c r="G629" s="424"/>
    </row>
    <row r="630" spans="1:7" ht="31.5" customHeight="1">
      <c r="A630" s="548"/>
      <c r="B630" s="62"/>
      <c r="C630" s="550"/>
      <c r="D630" s="551"/>
      <c r="E630" s="551"/>
      <c r="F630" s="62"/>
      <c r="G630" s="25"/>
    </row>
    <row r="631" spans="1:7" ht="31.5" customHeight="1">
      <c r="A631" s="419"/>
      <c r="B631" s="420"/>
      <c r="C631" s="419"/>
      <c r="D631" s="420"/>
      <c r="E631" s="420"/>
      <c r="F631" s="62"/>
      <c r="G631" s="25"/>
    </row>
    <row r="632" spans="1:7" ht="31.5" customHeight="1">
      <c r="A632" s="428"/>
      <c r="B632" s="429"/>
      <c r="C632" s="19"/>
      <c r="D632" s="425"/>
      <c r="E632" s="425"/>
      <c r="F632" s="426"/>
      <c r="G632" s="427"/>
    </row>
    <row r="633" spans="1:7" ht="31.5" customHeight="1">
      <c r="A633" s="430"/>
      <c r="B633" s="431"/>
      <c r="C633" s="19"/>
      <c r="D633" s="19"/>
      <c r="E633" s="68"/>
      <c r="F633" s="59"/>
      <c r="G633" s="21"/>
    </row>
    <row r="634" spans="1:7" ht="31.5" customHeight="1">
      <c r="A634" s="430"/>
      <c r="B634" s="431"/>
      <c r="D634" s="19"/>
      <c r="E634" s="68"/>
      <c r="F634" s="60"/>
      <c r="G634" s="21"/>
    </row>
    <row r="635" spans="1:7" ht="31.5" customHeight="1">
      <c r="A635" s="432"/>
      <c r="B635" s="433"/>
      <c r="C635" s="20"/>
      <c r="D635" s="27"/>
      <c r="E635" s="27"/>
      <c r="G635" s="150"/>
    </row>
    <row r="636" spans="1:7" ht="31.5" customHeight="1">
      <c r="A636" s="447"/>
      <c r="B636" s="542"/>
      <c r="C636" s="44"/>
      <c r="D636" s="41"/>
      <c r="E636" s="151"/>
      <c r="F636" s="61"/>
      <c r="G636" s="69"/>
    </row>
    <row r="637" spans="1:7" ht="31.5" customHeight="1">
      <c r="A637" s="447"/>
      <c r="B637" s="542"/>
      <c r="C637" s="152"/>
      <c r="D637" s="42"/>
      <c r="F637" s="57"/>
      <c r="G637" s="70"/>
    </row>
    <row r="638" spans="1:7" ht="31.5" customHeight="1">
      <c r="A638" s="419"/>
      <c r="B638" s="420"/>
      <c r="C638" s="558"/>
      <c r="D638" s="553"/>
      <c r="E638" s="553"/>
      <c r="F638" s="25"/>
      <c r="G638" s="58"/>
    </row>
    <row r="639" spans="1:7" ht="31.5" customHeight="1">
      <c r="A639" s="428"/>
      <c r="B639" s="425"/>
      <c r="C639" s="17"/>
      <c r="D639" s="425"/>
      <c r="E639" s="425"/>
      <c r="F639" s="425"/>
      <c r="G639" s="429"/>
    </row>
    <row r="640" spans="1:7" ht="31.5" customHeight="1">
      <c r="A640" s="430"/>
      <c r="B640" s="559"/>
      <c r="C640" s="18"/>
      <c r="D640" s="559"/>
      <c r="E640" s="559"/>
      <c r="F640" s="559"/>
      <c r="G640" s="431"/>
    </row>
    <row r="641" spans="1:7" ht="31.5" customHeight="1">
      <c r="A641" s="432"/>
      <c r="B641" s="562"/>
      <c r="C641" s="26"/>
      <c r="D641" s="27"/>
      <c r="E641" s="153"/>
      <c r="F641" s="153"/>
      <c r="G641" s="154"/>
    </row>
    <row r="642" spans="1:7" ht="31.5" customHeight="1">
      <c r="A642" s="447"/>
      <c r="B642" s="542"/>
      <c r="C642" s="40"/>
      <c r="D642" s="41"/>
      <c r="E642" s="151"/>
      <c r="F642" s="41"/>
      <c r="G642" s="69"/>
    </row>
    <row r="643" spans="1:7" ht="31.5" customHeight="1">
      <c r="A643" s="447"/>
      <c r="B643" s="542"/>
      <c r="C643" s="43"/>
      <c r="D643" s="42"/>
      <c r="F643" s="41"/>
      <c r="G643" s="70"/>
    </row>
    <row r="644" spans="1:7" ht="31.5" customHeight="1">
      <c r="A644" s="447"/>
      <c r="B644" s="542"/>
      <c r="C644" s="447"/>
      <c r="D644" s="542"/>
      <c r="E644" s="542"/>
      <c r="F644" s="542"/>
      <c r="G644" s="448"/>
    </row>
    <row r="645" spans="1:7" ht="31.5" customHeight="1">
      <c r="A645" s="447"/>
      <c r="B645" s="542"/>
      <c r="C645" s="447"/>
      <c r="D645" s="542"/>
      <c r="E645" s="542"/>
      <c r="F645" s="542"/>
      <c r="G645" s="448"/>
    </row>
    <row r="646" spans="1:7" ht="31.5" customHeight="1">
      <c r="A646" s="447"/>
      <c r="B646" s="542"/>
      <c r="C646" s="445"/>
      <c r="D646" s="557"/>
      <c r="E646" s="557"/>
      <c r="F646" s="557"/>
      <c r="G646" s="446"/>
    </row>
    <row r="647" spans="1:7" ht="31.5" customHeight="1">
      <c r="A647" s="417"/>
      <c r="B647" s="417"/>
      <c r="C647" s="417"/>
      <c r="D647" s="417"/>
      <c r="E647" s="417"/>
      <c r="F647" s="417"/>
      <c r="G647" s="417"/>
    </row>
    <row r="648" spans="1:7" ht="31.5" customHeight="1">
      <c r="A648" s="127"/>
      <c r="B648" s="127"/>
      <c r="C648" s="127"/>
      <c r="D648" s="127"/>
      <c r="E648" s="127"/>
      <c r="F648" s="127"/>
      <c r="G648" s="127"/>
    </row>
    <row r="649" spans="1:7" ht="31.5" customHeight="1">
      <c r="A649" s="428"/>
      <c r="B649" s="425"/>
      <c r="C649" s="419"/>
      <c r="D649" s="420"/>
      <c r="E649" s="420"/>
      <c r="F649" s="62"/>
      <c r="G649" s="25"/>
    </row>
    <row r="650" spans="1:7" ht="31.5" customHeight="1">
      <c r="A650" s="546"/>
      <c r="B650" s="62"/>
      <c r="C650" s="549"/>
      <c r="D650" s="418"/>
      <c r="E650" s="418"/>
      <c r="F650" s="418"/>
      <c r="G650" s="418"/>
    </row>
    <row r="651" spans="1:7" ht="31.5" customHeight="1">
      <c r="A651" s="547"/>
      <c r="B651" s="18"/>
      <c r="C651" s="419"/>
      <c r="D651" s="420"/>
      <c r="E651" s="420"/>
      <c r="F651" s="420"/>
      <c r="G651" s="424"/>
    </row>
    <row r="652" spans="1:7" ht="31.5" customHeight="1">
      <c r="A652" s="548"/>
      <c r="B652" s="62"/>
      <c r="C652" s="550"/>
      <c r="D652" s="551"/>
      <c r="E652" s="551"/>
      <c r="F652" s="62"/>
      <c r="G652" s="25"/>
    </row>
    <row r="653" spans="1:7" ht="31.5" customHeight="1">
      <c r="A653" s="419"/>
      <c r="B653" s="420"/>
      <c r="C653" s="419"/>
      <c r="D653" s="420"/>
      <c r="E653" s="420"/>
      <c r="F653" s="62"/>
      <c r="G653" s="25"/>
    </row>
    <row r="654" spans="1:7" ht="31.5" customHeight="1">
      <c r="A654" s="428"/>
      <c r="B654" s="429"/>
      <c r="C654" s="19"/>
      <c r="D654" s="425"/>
      <c r="E654" s="425"/>
      <c r="F654" s="426"/>
      <c r="G654" s="427"/>
    </row>
    <row r="655" spans="1:7" ht="31.5" customHeight="1">
      <c r="A655" s="430"/>
      <c r="B655" s="431"/>
      <c r="C655" s="19"/>
      <c r="D655" s="19"/>
      <c r="E655" s="68"/>
      <c r="F655" s="59"/>
      <c r="G655" s="21"/>
    </row>
    <row r="656" spans="1:7" ht="31.5" customHeight="1">
      <c r="A656" s="430"/>
      <c r="B656" s="431"/>
      <c r="D656" s="19"/>
      <c r="E656" s="68"/>
      <c r="F656" s="60"/>
      <c r="G656" s="21"/>
    </row>
    <row r="657" spans="1:7" ht="31.5" customHeight="1">
      <c r="A657" s="432"/>
      <c r="B657" s="433"/>
      <c r="C657" s="20"/>
      <c r="D657" s="27"/>
      <c r="E657" s="27"/>
      <c r="G657" s="150"/>
    </row>
    <row r="658" spans="1:7" ht="31.5" customHeight="1">
      <c r="A658" s="447"/>
      <c r="B658" s="542"/>
      <c r="C658" s="44"/>
      <c r="D658" s="41"/>
      <c r="E658" s="151"/>
      <c r="F658" s="61"/>
      <c r="G658" s="69"/>
    </row>
    <row r="659" spans="1:7" ht="31.5" customHeight="1">
      <c r="A659" s="447"/>
      <c r="B659" s="542"/>
      <c r="C659" s="152"/>
      <c r="D659" s="42"/>
      <c r="F659" s="57"/>
      <c r="G659" s="70"/>
    </row>
    <row r="660" spans="1:7" ht="31.5" customHeight="1">
      <c r="A660" s="419"/>
      <c r="B660" s="420"/>
      <c r="C660" s="558"/>
      <c r="D660" s="553"/>
      <c r="E660" s="553"/>
      <c r="F660" s="25"/>
      <c r="G660" s="58"/>
    </row>
    <row r="661" spans="1:7" ht="31.5" customHeight="1">
      <c r="A661" s="428"/>
      <c r="B661" s="425"/>
      <c r="C661" s="17"/>
      <c r="D661" s="425"/>
      <c r="E661" s="425"/>
      <c r="F661" s="425"/>
      <c r="G661" s="429"/>
    </row>
    <row r="662" spans="1:7" ht="31.5" customHeight="1">
      <c r="A662" s="430"/>
      <c r="B662" s="559"/>
      <c r="C662" s="18"/>
      <c r="D662" s="559"/>
      <c r="E662" s="559"/>
      <c r="F662" s="559"/>
      <c r="G662" s="431"/>
    </row>
    <row r="663" spans="1:7" ht="31.5" customHeight="1">
      <c r="A663" s="432"/>
      <c r="B663" s="562"/>
      <c r="C663" s="26"/>
      <c r="D663" s="27"/>
      <c r="E663" s="153"/>
      <c r="F663" s="153"/>
      <c r="G663" s="154"/>
    </row>
    <row r="664" spans="1:7" ht="31.5" customHeight="1">
      <c r="A664" s="447"/>
      <c r="B664" s="542"/>
      <c r="C664" s="40"/>
      <c r="D664" s="41"/>
      <c r="E664" s="151"/>
      <c r="F664" s="41"/>
      <c r="G664" s="69"/>
    </row>
    <row r="665" spans="1:7" ht="31.5" customHeight="1">
      <c r="A665" s="447"/>
      <c r="B665" s="542"/>
      <c r="C665" s="43"/>
      <c r="D665" s="42"/>
      <c r="F665" s="41"/>
      <c r="G665" s="70"/>
    </row>
    <row r="666" spans="1:7" ht="31.5" customHeight="1">
      <c r="A666" s="447"/>
      <c r="B666" s="542"/>
      <c r="C666" s="447"/>
      <c r="D666" s="542"/>
      <c r="E666" s="542"/>
      <c r="F666" s="542"/>
      <c r="G666" s="448"/>
    </row>
    <row r="667" spans="1:7" ht="31.5" customHeight="1">
      <c r="A667" s="447"/>
      <c r="B667" s="542"/>
      <c r="C667" s="447"/>
      <c r="D667" s="542"/>
      <c r="E667" s="542"/>
      <c r="F667" s="542"/>
      <c r="G667" s="448"/>
    </row>
    <row r="668" spans="1:7" ht="31.5" customHeight="1">
      <c r="A668" s="447"/>
      <c r="B668" s="542"/>
      <c r="C668" s="445"/>
      <c r="D668" s="557"/>
      <c r="E668" s="557"/>
      <c r="F668" s="557"/>
      <c r="G668" s="446"/>
    </row>
    <row r="669" spans="1:7" ht="31.5" customHeight="1">
      <c r="A669" s="417"/>
      <c r="B669" s="417"/>
      <c r="C669" s="417"/>
      <c r="D669" s="417"/>
      <c r="E669" s="417"/>
      <c r="F669" s="417"/>
      <c r="G669" s="417"/>
    </row>
    <row r="670" spans="1:7" ht="31.5" customHeight="1">
      <c r="A670" s="127"/>
      <c r="B670" s="127"/>
      <c r="C670" s="127"/>
      <c r="D670" s="127"/>
      <c r="E670" s="127"/>
      <c r="F670" s="127"/>
      <c r="G670" s="127"/>
    </row>
    <row r="671" spans="1:7" ht="31.5" customHeight="1">
      <c r="A671" s="428"/>
      <c r="B671" s="425"/>
      <c r="C671" s="419"/>
      <c r="D671" s="420"/>
      <c r="E671" s="420"/>
      <c r="F671" s="62"/>
      <c r="G671" s="25"/>
    </row>
    <row r="672" spans="1:7" ht="31.5" customHeight="1">
      <c r="A672" s="546"/>
      <c r="B672" s="62"/>
      <c r="C672" s="418"/>
      <c r="D672" s="418"/>
      <c r="E672" s="418"/>
      <c r="F672" s="418"/>
      <c r="G672" s="418"/>
    </row>
    <row r="673" spans="1:7" ht="31.5" customHeight="1">
      <c r="A673" s="547"/>
      <c r="B673" s="18"/>
      <c r="C673" s="419"/>
      <c r="D673" s="420"/>
      <c r="E673" s="420"/>
      <c r="F673" s="420"/>
      <c r="G673" s="424"/>
    </row>
    <row r="674" spans="1:7" ht="31.5" customHeight="1">
      <c r="A674" s="548"/>
      <c r="B674" s="62"/>
      <c r="C674" s="550"/>
      <c r="D674" s="551"/>
      <c r="E674" s="551"/>
      <c r="F674" s="62"/>
      <c r="G674" s="25"/>
    </row>
    <row r="675" spans="1:7" ht="31.5" customHeight="1">
      <c r="A675" s="419"/>
      <c r="B675" s="420"/>
      <c r="C675" s="419"/>
      <c r="D675" s="420"/>
      <c r="E675" s="420"/>
      <c r="F675" s="62"/>
      <c r="G675" s="25"/>
    </row>
    <row r="676" spans="1:7" ht="31.5" customHeight="1">
      <c r="A676" s="428"/>
      <c r="B676" s="429"/>
      <c r="C676" s="19"/>
      <c r="D676" s="425"/>
      <c r="E676" s="425"/>
      <c r="F676" s="426"/>
      <c r="G676" s="427"/>
    </row>
    <row r="677" spans="1:7" ht="31.5" customHeight="1">
      <c r="A677" s="430"/>
      <c r="B677" s="431"/>
      <c r="C677" s="19"/>
      <c r="D677" s="19"/>
      <c r="E677" s="68"/>
      <c r="F677" s="59"/>
      <c r="G677" s="21"/>
    </row>
    <row r="678" spans="1:7" ht="31.5" customHeight="1">
      <c r="A678" s="430"/>
      <c r="B678" s="431"/>
      <c r="D678" s="19"/>
      <c r="E678" s="68"/>
      <c r="F678" s="60"/>
      <c r="G678" s="21"/>
    </row>
    <row r="679" spans="1:7" ht="31.5" customHeight="1">
      <c r="A679" s="432"/>
      <c r="B679" s="433"/>
      <c r="C679" s="20"/>
      <c r="D679" s="27"/>
      <c r="E679" s="27"/>
      <c r="G679" s="150"/>
    </row>
    <row r="680" spans="1:7" ht="31.5" customHeight="1">
      <c r="A680" s="447"/>
      <c r="B680" s="542"/>
      <c r="C680" s="44"/>
      <c r="D680" s="41"/>
      <c r="E680" s="151"/>
      <c r="F680" s="61"/>
      <c r="G680" s="69"/>
    </row>
    <row r="681" spans="1:7" ht="31.5" customHeight="1">
      <c r="A681" s="447"/>
      <c r="B681" s="542"/>
      <c r="C681" s="152"/>
      <c r="D681" s="42"/>
      <c r="F681" s="57"/>
      <c r="G681" s="70"/>
    </row>
    <row r="682" spans="1:7" ht="31.5" customHeight="1">
      <c r="A682" s="419"/>
      <c r="B682" s="420"/>
      <c r="C682" s="558"/>
      <c r="D682" s="553"/>
      <c r="E682" s="553"/>
      <c r="F682" s="25"/>
      <c r="G682" s="58"/>
    </row>
    <row r="683" spans="1:7" ht="31.5" customHeight="1">
      <c r="A683" s="428"/>
      <c r="B683" s="425"/>
      <c r="C683" s="17"/>
      <c r="D683" s="425"/>
      <c r="E683" s="425"/>
      <c r="F683" s="425"/>
      <c r="G683" s="429"/>
    </row>
    <row r="684" spans="1:7" ht="31.5" customHeight="1">
      <c r="A684" s="430"/>
      <c r="B684" s="559"/>
      <c r="C684" s="18"/>
      <c r="D684" s="559"/>
      <c r="E684" s="559"/>
      <c r="F684" s="559"/>
      <c r="G684" s="431"/>
    </row>
    <row r="685" spans="1:7" ht="31.5" customHeight="1">
      <c r="A685" s="432"/>
      <c r="B685" s="562"/>
      <c r="C685" s="26"/>
      <c r="D685" s="27"/>
      <c r="E685" s="153"/>
      <c r="F685" s="153"/>
      <c r="G685" s="154"/>
    </row>
    <row r="686" spans="1:7" ht="31.5" customHeight="1">
      <c r="A686" s="447"/>
      <c r="B686" s="542"/>
      <c r="C686" s="40"/>
      <c r="D686" s="41"/>
      <c r="E686" s="151"/>
      <c r="F686" s="41"/>
      <c r="G686" s="69"/>
    </row>
    <row r="687" spans="1:7" ht="31.5" customHeight="1">
      <c r="A687" s="447"/>
      <c r="B687" s="542"/>
      <c r="C687" s="43"/>
      <c r="D687" s="42"/>
      <c r="F687" s="41"/>
      <c r="G687" s="70"/>
    </row>
    <row r="688" spans="1:7" ht="31.5" customHeight="1">
      <c r="A688" s="447"/>
      <c r="B688" s="542"/>
      <c r="C688" s="447"/>
      <c r="D688" s="542"/>
      <c r="E688" s="542"/>
      <c r="F688" s="542"/>
      <c r="G688" s="448"/>
    </row>
    <row r="689" spans="1:7" ht="31.5" customHeight="1">
      <c r="A689" s="447"/>
      <c r="B689" s="542"/>
      <c r="C689" s="447"/>
      <c r="D689" s="542"/>
      <c r="E689" s="542"/>
      <c r="F689" s="542"/>
      <c r="G689" s="448"/>
    </row>
    <row r="690" spans="1:7" ht="31.5" customHeight="1">
      <c r="A690" s="447"/>
      <c r="B690" s="542"/>
      <c r="C690" s="445"/>
      <c r="D690" s="557"/>
      <c r="E690" s="557"/>
      <c r="F690" s="557"/>
      <c r="G690" s="446"/>
    </row>
    <row r="691" spans="1:7" ht="31.5" customHeight="1">
      <c r="A691" s="417"/>
      <c r="B691" s="417"/>
      <c r="C691" s="417"/>
      <c r="D691" s="417"/>
      <c r="E691" s="417"/>
      <c r="F691" s="417"/>
      <c r="G691" s="417"/>
    </row>
    <row r="692" spans="1:7" ht="31.5" customHeight="1">
      <c r="A692" s="127"/>
      <c r="B692" s="127"/>
      <c r="C692" s="127"/>
      <c r="D692" s="127"/>
      <c r="E692" s="127"/>
      <c r="F692" s="127"/>
      <c r="G692" s="127"/>
    </row>
    <row r="693" spans="1:7" ht="31.5" customHeight="1">
      <c r="A693" s="428"/>
      <c r="B693" s="425"/>
      <c r="C693" s="419"/>
      <c r="D693" s="420"/>
      <c r="E693" s="420"/>
      <c r="F693" s="62"/>
      <c r="G693" s="25"/>
    </row>
    <row r="694" spans="1:7" ht="31.5" customHeight="1">
      <c r="A694" s="546"/>
      <c r="B694" s="62"/>
      <c r="C694" s="564"/>
      <c r="D694" s="420"/>
      <c r="E694" s="420"/>
      <c r="F694" s="420"/>
      <c r="G694" s="424"/>
    </row>
    <row r="695" spans="1:7" ht="31.5" customHeight="1">
      <c r="A695" s="547"/>
      <c r="B695" s="18"/>
      <c r="C695" s="419"/>
      <c r="D695" s="420"/>
      <c r="E695" s="420"/>
      <c r="F695" s="420"/>
      <c r="G695" s="424"/>
    </row>
    <row r="696" spans="1:7" ht="31.5" customHeight="1">
      <c r="A696" s="548"/>
      <c r="B696" s="62"/>
      <c r="C696" s="550"/>
      <c r="D696" s="551"/>
      <c r="E696" s="551"/>
      <c r="F696" s="62"/>
      <c r="G696" s="25"/>
    </row>
    <row r="697" spans="1:7" ht="31.5" customHeight="1">
      <c r="A697" s="419"/>
      <c r="B697" s="420"/>
      <c r="C697" s="419"/>
      <c r="D697" s="420"/>
      <c r="E697" s="420"/>
      <c r="F697" s="62"/>
      <c r="G697" s="25"/>
    </row>
    <row r="698" spans="1:7" ht="31.5" customHeight="1">
      <c r="A698" s="428"/>
      <c r="B698" s="429"/>
      <c r="C698" s="19"/>
      <c r="D698" s="425"/>
      <c r="E698" s="425"/>
      <c r="F698" s="426"/>
      <c r="G698" s="427"/>
    </row>
    <row r="699" spans="1:7" ht="31.5" customHeight="1">
      <c r="A699" s="430"/>
      <c r="B699" s="431"/>
      <c r="C699" s="19"/>
      <c r="D699" s="19"/>
      <c r="E699" s="68"/>
      <c r="F699" s="59"/>
      <c r="G699" s="21"/>
    </row>
    <row r="700" spans="1:7" ht="31.5" customHeight="1">
      <c r="A700" s="430"/>
      <c r="B700" s="431"/>
      <c r="D700" s="19"/>
      <c r="E700" s="68"/>
      <c r="F700" s="60"/>
      <c r="G700" s="21"/>
    </row>
    <row r="701" spans="1:7" ht="31.5" customHeight="1">
      <c r="A701" s="432"/>
      <c r="B701" s="433"/>
      <c r="C701" s="20"/>
      <c r="D701" s="27"/>
      <c r="E701" s="27"/>
      <c r="G701" s="150"/>
    </row>
    <row r="702" spans="1:7" ht="31.5" customHeight="1">
      <c r="A702" s="447"/>
      <c r="B702" s="542"/>
      <c r="C702" s="44"/>
      <c r="D702" s="41"/>
      <c r="E702" s="151"/>
      <c r="F702" s="61"/>
      <c r="G702" s="69"/>
    </row>
    <row r="703" spans="1:7" ht="31.5" customHeight="1">
      <c r="A703" s="447"/>
      <c r="B703" s="542"/>
      <c r="C703" s="152"/>
      <c r="D703" s="42"/>
      <c r="F703" s="57"/>
      <c r="G703" s="70"/>
    </row>
    <row r="704" spans="1:7" ht="31.5" customHeight="1">
      <c r="A704" s="419"/>
      <c r="B704" s="420"/>
      <c r="C704" s="558"/>
      <c r="D704" s="553"/>
      <c r="E704" s="553"/>
      <c r="F704" s="25"/>
      <c r="G704" s="58"/>
    </row>
    <row r="705" spans="1:7" ht="31.5" customHeight="1">
      <c r="A705" s="428"/>
      <c r="B705" s="425"/>
      <c r="C705" s="17"/>
      <c r="D705" s="425"/>
      <c r="E705" s="425"/>
      <c r="F705" s="425"/>
      <c r="G705" s="429"/>
    </row>
    <row r="706" spans="1:7" ht="31.5" customHeight="1">
      <c r="A706" s="430"/>
      <c r="B706" s="559"/>
      <c r="C706" s="18"/>
      <c r="D706" s="559"/>
      <c r="E706" s="559"/>
      <c r="F706" s="559"/>
      <c r="G706" s="431"/>
    </row>
    <row r="707" spans="1:7" ht="31.5" customHeight="1">
      <c r="A707" s="432"/>
      <c r="B707" s="562"/>
      <c r="C707" s="26"/>
      <c r="D707" s="27"/>
      <c r="E707" s="153"/>
      <c r="F707" s="153"/>
      <c r="G707" s="154"/>
    </row>
    <row r="708" spans="1:7" ht="31.5" customHeight="1">
      <c r="A708" s="447"/>
      <c r="B708" s="542"/>
      <c r="C708" s="40"/>
      <c r="D708" s="41"/>
      <c r="E708" s="151"/>
      <c r="F708" s="41"/>
      <c r="G708" s="69"/>
    </row>
    <row r="709" spans="1:7" ht="31.5" customHeight="1">
      <c r="A709" s="447"/>
      <c r="B709" s="542"/>
      <c r="C709" s="43"/>
      <c r="D709" s="42"/>
      <c r="F709" s="41"/>
      <c r="G709" s="70"/>
    </row>
    <row r="710" spans="1:7" ht="31.5" customHeight="1">
      <c r="A710" s="447"/>
      <c r="B710" s="542"/>
      <c r="C710" s="447"/>
      <c r="D710" s="542"/>
      <c r="E710" s="542"/>
      <c r="F710" s="542"/>
      <c r="G710" s="448"/>
    </row>
    <row r="711" spans="1:7" ht="31.5" customHeight="1">
      <c r="A711" s="447"/>
      <c r="B711" s="542"/>
      <c r="C711" s="447"/>
      <c r="D711" s="542"/>
      <c r="E711" s="542"/>
      <c r="F711" s="542"/>
      <c r="G711" s="448"/>
    </row>
    <row r="712" spans="1:7" ht="31.5" customHeight="1">
      <c r="A712" s="447"/>
      <c r="B712" s="542"/>
      <c r="C712" s="445"/>
      <c r="D712" s="557"/>
      <c r="E712" s="557"/>
      <c r="F712" s="557"/>
      <c r="G712" s="446"/>
    </row>
    <row r="713" spans="1:7" ht="31.5" customHeight="1">
      <c r="A713" s="417"/>
      <c r="B713" s="417"/>
      <c r="C713" s="417"/>
      <c r="D713" s="417"/>
      <c r="E713" s="417"/>
      <c r="F713" s="417"/>
      <c r="G713" s="417"/>
    </row>
    <row r="714" spans="1:7" ht="31.5" customHeight="1">
      <c r="A714" s="127"/>
      <c r="B714" s="127"/>
      <c r="C714" s="127"/>
      <c r="D714" s="127"/>
      <c r="E714" s="127"/>
      <c r="F714" s="127"/>
      <c r="G714" s="127"/>
    </row>
    <row r="715" spans="1:7" ht="31.5" customHeight="1">
      <c r="A715" s="428"/>
      <c r="B715" s="425"/>
      <c r="C715" s="419"/>
      <c r="D715" s="420"/>
      <c r="E715" s="420"/>
      <c r="F715" s="62"/>
      <c r="G715" s="25"/>
    </row>
    <row r="716" spans="1:7" ht="31.5" customHeight="1">
      <c r="A716" s="546"/>
      <c r="B716" s="62"/>
      <c r="C716" s="549"/>
      <c r="D716" s="418"/>
      <c r="E716" s="418"/>
      <c r="F716" s="418"/>
      <c r="G716" s="418"/>
    </row>
    <row r="717" spans="1:7" ht="31.5" customHeight="1">
      <c r="A717" s="547"/>
      <c r="B717" s="18"/>
      <c r="C717" s="419"/>
      <c r="D717" s="420"/>
      <c r="E717" s="420"/>
      <c r="F717" s="420"/>
      <c r="G717" s="424"/>
    </row>
    <row r="718" spans="1:7" ht="31.5" customHeight="1">
      <c r="A718" s="548"/>
      <c r="B718" s="62"/>
      <c r="C718" s="550"/>
      <c r="D718" s="551"/>
      <c r="E718" s="551"/>
      <c r="F718" s="62"/>
      <c r="G718" s="25"/>
    </row>
    <row r="719" spans="1:7" ht="31.5" customHeight="1">
      <c r="A719" s="419"/>
      <c r="B719" s="420"/>
      <c r="C719" s="419"/>
      <c r="D719" s="420"/>
      <c r="E719" s="420"/>
      <c r="F719" s="62"/>
      <c r="G719" s="25"/>
    </row>
    <row r="720" spans="1:7" ht="31.5" customHeight="1">
      <c r="A720" s="428"/>
      <c r="B720" s="429"/>
      <c r="C720" s="19"/>
      <c r="D720" s="425"/>
      <c r="E720" s="425"/>
      <c r="F720" s="426"/>
      <c r="G720" s="427"/>
    </row>
    <row r="721" spans="1:7" ht="31.5" customHeight="1">
      <c r="A721" s="430"/>
      <c r="B721" s="431"/>
      <c r="C721" s="19"/>
      <c r="D721" s="19"/>
      <c r="E721" s="68"/>
      <c r="F721" s="59"/>
      <c r="G721" s="21"/>
    </row>
    <row r="722" spans="1:7" ht="31.5" customHeight="1">
      <c r="A722" s="430"/>
      <c r="B722" s="431"/>
      <c r="D722" s="19"/>
      <c r="E722" s="68"/>
      <c r="F722" s="60"/>
      <c r="G722" s="21"/>
    </row>
    <row r="723" spans="1:7" ht="31.5" customHeight="1">
      <c r="A723" s="432"/>
      <c r="B723" s="433"/>
      <c r="C723" s="20"/>
      <c r="D723" s="27"/>
      <c r="E723" s="27"/>
      <c r="G723" s="150"/>
    </row>
    <row r="724" spans="1:7" ht="31.5" customHeight="1">
      <c r="A724" s="447"/>
      <c r="B724" s="542"/>
      <c r="C724" s="44"/>
      <c r="D724" s="41"/>
      <c r="E724" s="151"/>
      <c r="F724" s="61"/>
      <c r="G724" s="69"/>
    </row>
    <row r="725" spans="1:7" ht="31.5" customHeight="1">
      <c r="A725" s="447"/>
      <c r="B725" s="542"/>
      <c r="C725" s="152"/>
      <c r="D725" s="42"/>
      <c r="F725" s="57"/>
      <c r="G725" s="70"/>
    </row>
    <row r="726" spans="1:7" ht="31.5" customHeight="1">
      <c r="A726" s="419"/>
      <c r="B726" s="420"/>
      <c r="C726" s="558"/>
      <c r="D726" s="553"/>
      <c r="E726" s="553"/>
      <c r="F726" s="25"/>
      <c r="G726" s="58"/>
    </row>
    <row r="727" spans="1:7" ht="31.5" customHeight="1">
      <c r="A727" s="428"/>
      <c r="B727" s="425"/>
      <c r="C727" s="17"/>
      <c r="D727" s="425"/>
      <c r="E727" s="425"/>
      <c r="F727" s="425"/>
      <c r="G727" s="429"/>
    </row>
    <row r="728" spans="1:7" ht="31.5" customHeight="1">
      <c r="A728" s="430"/>
      <c r="B728" s="559"/>
      <c r="C728" s="18"/>
      <c r="D728" s="559"/>
      <c r="E728" s="559"/>
      <c r="F728" s="559"/>
      <c r="G728" s="431"/>
    </row>
    <row r="729" spans="1:7" ht="31.5" customHeight="1">
      <c r="A729" s="432"/>
      <c r="B729" s="562"/>
      <c r="C729" s="26"/>
      <c r="D729" s="27"/>
      <c r="E729" s="153"/>
      <c r="F729" s="153"/>
      <c r="G729" s="154"/>
    </row>
    <row r="730" spans="1:7" ht="31.5" customHeight="1">
      <c r="A730" s="447"/>
      <c r="B730" s="542"/>
      <c r="C730" s="40"/>
      <c r="D730" s="41"/>
      <c r="E730" s="151"/>
      <c r="F730" s="41"/>
      <c r="G730" s="69"/>
    </row>
    <row r="731" spans="1:7" ht="31.5" customHeight="1">
      <c r="A731" s="447"/>
      <c r="B731" s="542"/>
      <c r="C731" s="43"/>
      <c r="D731" s="42"/>
      <c r="F731" s="41"/>
      <c r="G731" s="70"/>
    </row>
    <row r="732" spans="1:7" ht="31.5" customHeight="1">
      <c r="A732" s="447"/>
      <c r="B732" s="542"/>
      <c r="C732" s="447"/>
      <c r="D732" s="542"/>
      <c r="E732" s="542"/>
      <c r="F732" s="542"/>
      <c r="G732" s="448"/>
    </row>
    <row r="733" spans="1:7" ht="31.5" customHeight="1">
      <c r="A733" s="447"/>
      <c r="B733" s="542"/>
      <c r="C733" s="447"/>
      <c r="D733" s="542"/>
      <c r="E733" s="542"/>
      <c r="F733" s="542"/>
      <c r="G733" s="448"/>
    </row>
    <row r="734" spans="1:7" ht="31.5" customHeight="1">
      <c r="A734" s="447"/>
      <c r="B734" s="542"/>
      <c r="C734" s="445"/>
      <c r="D734" s="557"/>
      <c r="E734" s="557"/>
      <c r="F734" s="557"/>
      <c r="G734" s="446"/>
    </row>
    <row r="735" spans="1:7" ht="31.5" customHeight="1">
      <c r="A735" s="417"/>
      <c r="B735" s="417"/>
      <c r="C735" s="417"/>
      <c r="D735" s="417"/>
      <c r="E735" s="417"/>
      <c r="F735" s="417"/>
      <c r="G735" s="417"/>
    </row>
    <row r="736" spans="1:7" ht="31.5" customHeight="1">
      <c r="A736" s="127"/>
      <c r="B736" s="127"/>
      <c r="C736" s="127"/>
      <c r="D736" s="127"/>
      <c r="E736" s="127"/>
      <c r="F736" s="127"/>
      <c r="G736" s="127"/>
    </row>
    <row r="737" spans="1:7" ht="31.5" customHeight="1">
      <c r="A737" s="428"/>
      <c r="B737" s="425"/>
      <c r="C737" s="419"/>
      <c r="D737" s="420"/>
      <c r="E737" s="420"/>
      <c r="F737" s="62"/>
      <c r="G737" s="25"/>
    </row>
    <row r="738" spans="1:7" ht="31.5" customHeight="1">
      <c r="A738" s="546"/>
      <c r="B738" s="62"/>
      <c r="C738" s="549"/>
      <c r="D738" s="418"/>
      <c r="E738" s="418"/>
      <c r="F738" s="418"/>
      <c r="G738" s="418"/>
    </row>
    <row r="739" spans="1:7" ht="31.5" customHeight="1">
      <c r="A739" s="547"/>
      <c r="B739" s="18"/>
      <c r="C739" s="419"/>
      <c r="D739" s="420"/>
      <c r="E739" s="420"/>
      <c r="F739" s="420"/>
      <c r="G739" s="424"/>
    </row>
    <row r="740" spans="1:7" ht="31.5" customHeight="1">
      <c r="A740" s="548"/>
      <c r="B740" s="62"/>
      <c r="C740" s="550"/>
      <c r="D740" s="551"/>
      <c r="E740" s="551"/>
      <c r="F740" s="62"/>
      <c r="G740" s="25"/>
    </row>
    <row r="741" spans="1:7" ht="31.5" customHeight="1">
      <c r="A741" s="419"/>
      <c r="B741" s="420"/>
      <c r="C741" s="419"/>
      <c r="D741" s="420"/>
      <c r="E741" s="420"/>
      <c r="F741" s="62"/>
      <c r="G741" s="25"/>
    </row>
    <row r="742" spans="1:7" ht="31.5" customHeight="1">
      <c r="A742" s="428"/>
      <c r="B742" s="429"/>
      <c r="C742" s="19"/>
      <c r="D742" s="425"/>
      <c r="E742" s="425"/>
      <c r="F742" s="426"/>
      <c r="G742" s="427"/>
    </row>
    <row r="743" spans="1:7" ht="31.5" customHeight="1">
      <c r="A743" s="430"/>
      <c r="B743" s="431"/>
      <c r="C743" s="19"/>
      <c r="D743" s="19"/>
      <c r="E743" s="68"/>
      <c r="F743" s="59"/>
      <c r="G743" s="21"/>
    </row>
    <row r="744" spans="1:7" ht="31.5" customHeight="1">
      <c r="A744" s="430"/>
      <c r="B744" s="431"/>
      <c r="D744" s="19"/>
      <c r="E744" s="68"/>
      <c r="F744" s="60"/>
      <c r="G744" s="21"/>
    </row>
    <row r="745" spans="1:7" ht="31.5" customHeight="1">
      <c r="A745" s="432"/>
      <c r="B745" s="433"/>
      <c r="C745" s="20"/>
      <c r="D745" s="27"/>
      <c r="E745" s="27"/>
      <c r="G745" s="150"/>
    </row>
    <row r="746" spans="1:7" ht="31.5" customHeight="1">
      <c r="A746" s="447"/>
      <c r="B746" s="542"/>
      <c r="C746" s="44"/>
      <c r="D746" s="41"/>
      <c r="E746" s="151"/>
      <c r="F746" s="61"/>
      <c r="G746" s="69"/>
    </row>
    <row r="747" spans="1:7" ht="31.5" customHeight="1">
      <c r="A747" s="447"/>
      <c r="B747" s="542"/>
      <c r="C747" s="152"/>
      <c r="D747" s="42"/>
      <c r="F747" s="57"/>
      <c r="G747" s="70"/>
    </row>
    <row r="748" spans="1:7" ht="31.5" customHeight="1">
      <c r="A748" s="419"/>
      <c r="B748" s="420"/>
      <c r="C748" s="558"/>
      <c r="D748" s="553"/>
      <c r="E748" s="553"/>
      <c r="F748" s="25"/>
      <c r="G748" s="58"/>
    </row>
    <row r="749" spans="1:7" ht="31.5" customHeight="1">
      <c r="A749" s="428"/>
      <c r="B749" s="425"/>
      <c r="C749" s="17"/>
      <c r="D749" s="425"/>
      <c r="E749" s="425"/>
      <c r="F749" s="425"/>
      <c r="G749" s="429"/>
    </row>
    <row r="750" spans="1:7" ht="31.5" customHeight="1">
      <c r="A750" s="430"/>
      <c r="B750" s="559"/>
      <c r="C750" s="18"/>
      <c r="D750" s="559"/>
      <c r="E750" s="559"/>
      <c r="F750" s="559"/>
      <c r="G750" s="431"/>
    </row>
    <row r="751" spans="1:7" ht="31.5" customHeight="1">
      <c r="A751" s="430"/>
      <c r="B751" s="559"/>
      <c r="C751" s="22"/>
      <c r="D751" s="19"/>
      <c r="G751" s="150"/>
    </row>
    <row r="752" spans="1:7" ht="31.5" customHeight="1">
      <c r="A752" s="447"/>
      <c r="B752" s="542"/>
      <c r="C752" s="40"/>
      <c r="D752" s="41"/>
      <c r="E752" s="151"/>
      <c r="F752" s="41"/>
      <c r="G752" s="69"/>
    </row>
    <row r="753" spans="1:7" ht="31.5" customHeight="1">
      <c r="A753" s="447"/>
      <c r="B753" s="542"/>
      <c r="C753" s="43"/>
      <c r="D753" s="42"/>
      <c r="F753" s="41"/>
      <c r="G753" s="70"/>
    </row>
    <row r="754" spans="1:7" ht="31.5" customHeight="1">
      <c r="A754" s="447"/>
      <c r="B754" s="542"/>
      <c r="C754" s="447"/>
      <c r="D754" s="542"/>
      <c r="E754" s="542"/>
      <c r="F754" s="542"/>
      <c r="G754" s="448"/>
    </row>
    <row r="755" spans="1:7" ht="31.5" customHeight="1">
      <c r="A755" s="447"/>
      <c r="B755" s="542"/>
      <c r="C755" s="447"/>
      <c r="D755" s="542"/>
      <c r="E755" s="542"/>
      <c r="F755" s="542"/>
      <c r="G755" s="448"/>
    </row>
    <row r="756" spans="1:7" ht="31.5" customHeight="1">
      <c r="A756" s="447"/>
      <c r="B756" s="542"/>
      <c r="C756" s="445"/>
      <c r="D756" s="557"/>
      <c r="E756" s="557"/>
      <c r="F756" s="557"/>
      <c r="G756" s="446"/>
    </row>
    <row r="757" spans="1:7" ht="31.5" customHeight="1">
      <c r="A757" s="417"/>
      <c r="B757" s="417"/>
      <c r="C757" s="417"/>
      <c r="D757" s="417"/>
      <c r="E757" s="417"/>
      <c r="F757" s="417"/>
      <c r="G757" s="417"/>
    </row>
    <row r="758" spans="1:7" ht="31.5" customHeight="1">
      <c r="A758" s="127"/>
      <c r="B758" s="127"/>
      <c r="C758" s="127"/>
      <c r="D758" s="127"/>
      <c r="E758" s="127"/>
      <c r="F758" s="127"/>
      <c r="G758" s="127"/>
    </row>
    <row r="759" spans="1:7" ht="31.5" customHeight="1">
      <c r="A759" s="428"/>
      <c r="B759" s="425"/>
      <c r="C759" s="419"/>
      <c r="D759" s="420"/>
      <c r="E759" s="420"/>
      <c r="F759" s="62"/>
      <c r="G759" s="25"/>
    </row>
    <row r="760" spans="1:7" ht="31.5" customHeight="1">
      <c r="A760" s="546"/>
      <c r="B760" s="62"/>
      <c r="C760" s="549"/>
      <c r="D760" s="418"/>
      <c r="E760" s="418"/>
      <c r="F760" s="418"/>
      <c r="G760" s="418"/>
    </row>
    <row r="761" spans="1:7" ht="31.5" customHeight="1">
      <c r="A761" s="547"/>
      <c r="B761" s="18"/>
      <c r="C761" s="419"/>
      <c r="D761" s="420"/>
      <c r="E761" s="420"/>
      <c r="F761" s="420"/>
      <c r="G761" s="424"/>
    </row>
    <row r="762" spans="1:7" ht="31.5" customHeight="1">
      <c r="A762" s="548"/>
      <c r="B762" s="62"/>
      <c r="C762" s="550"/>
      <c r="D762" s="551"/>
      <c r="E762" s="551"/>
      <c r="F762" s="62"/>
      <c r="G762" s="25"/>
    </row>
    <row r="763" spans="1:7" ht="31.5" customHeight="1">
      <c r="A763" s="419"/>
      <c r="B763" s="420"/>
      <c r="C763" s="419"/>
      <c r="D763" s="420"/>
      <c r="E763" s="420"/>
      <c r="F763" s="62"/>
      <c r="G763" s="25"/>
    </row>
    <row r="764" spans="1:7" ht="31.5" customHeight="1">
      <c r="A764" s="428"/>
      <c r="B764" s="429"/>
      <c r="C764" s="19"/>
      <c r="D764" s="425"/>
      <c r="E764" s="425"/>
      <c r="F764" s="426"/>
      <c r="G764" s="427"/>
    </row>
    <row r="765" spans="1:7" ht="31.5" customHeight="1">
      <c r="A765" s="430"/>
      <c r="B765" s="431"/>
      <c r="C765" s="19"/>
      <c r="D765" s="19"/>
      <c r="E765" s="68"/>
      <c r="F765" s="59"/>
      <c r="G765" s="21"/>
    </row>
    <row r="766" spans="1:7" ht="31.5" customHeight="1">
      <c r="A766" s="430"/>
      <c r="B766" s="431"/>
      <c r="D766" s="19"/>
      <c r="E766" s="68"/>
      <c r="F766" s="60"/>
      <c r="G766" s="21"/>
    </row>
    <row r="767" spans="1:7" ht="31.5" customHeight="1">
      <c r="A767" s="432"/>
      <c r="B767" s="433"/>
      <c r="C767" s="20"/>
      <c r="D767" s="27"/>
      <c r="E767" s="27"/>
      <c r="G767" s="150"/>
    </row>
    <row r="768" spans="1:7" ht="31.5" customHeight="1">
      <c r="A768" s="447"/>
      <c r="B768" s="542"/>
      <c r="C768" s="44"/>
      <c r="D768" s="41"/>
      <c r="E768" s="151"/>
      <c r="F768" s="61"/>
      <c r="G768" s="69"/>
    </row>
    <row r="769" spans="1:7" ht="31.5" customHeight="1">
      <c r="A769" s="447"/>
      <c r="B769" s="542"/>
      <c r="C769" s="152"/>
      <c r="D769" s="42"/>
      <c r="F769" s="57"/>
      <c r="G769" s="70"/>
    </row>
    <row r="770" spans="1:7" ht="31.5" customHeight="1">
      <c r="A770" s="419"/>
      <c r="B770" s="420"/>
      <c r="C770" s="558"/>
      <c r="D770" s="553"/>
      <c r="E770" s="553"/>
      <c r="F770" s="25"/>
      <c r="G770" s="58"/>
    </row>
    <row r="771" spans="1:7" ht="31.5" customHeight="1">
      <c r="A771" s="428"/>
      <c r="B771" s="425"/>
      <c r="C771" s="17"/>
      <c r="D771" s="425"/>
      <c r="E771" s="425"/>
      <c r="F771" s="425"/>
      <c r="G771" s="429"/>
    </row>
    <row r="772" spans="1:7" ht="31.5" customHeight="1">
      <c r="A772" s="430"/>
      <c r="B772" s="559"/>
      <c r="C772" s="18"/>
      <c r="D772" s="559"/>
      <c r="E772" s="559"/>
      <c r="F772" s="559"/>
      <c r="G772" s="431"/>
    </row>
    <row r="773" spans="1:7" ht="31.5" customHeight="1">
      <c r="A773" s="432"/>
      <c r="B773" s="562"/>
      <c r="C773" s="26"/>
      <c r="D773" s="27"/>
      <c r="E773" s="153"/>
      <c r="F773" s="153"/>
      <c r="G773" s="154"/>
    </row>
    <row r="774" spans="1:7" ht="31.5" customHeight="1">
      <c r="A774" s="447"/>
      <c r="B774" s="542"/>
      <c r="C774" s="40"/>
      <c r="D774" s="41"/>
      <c r="E774" s="151"/>
      <c r="F774" s="41"/>
      <c r="G774" s="69"/>
    </row>
    <row r="775" spans="1:7" ht="31.5" customHeight="1">
      <c r="A775" s="447"/>
      <c r="B775" s="542"/>
      <c r="C775" s="43"/>
      <c r="D775" s="42"/>
      <c r="F775" s="41"/>
      <c r="G775" s="70"/>
    </row>
    <row r="776" spans="1:7" ht="31.5" customHeight="1">
      <c r="A776" s="447"/>
      <c r="B776" s="542"/>
      <c r="C776" s="447"/>
      <c r="D776" s="542"/>
      <c r="E776" s="542"/>
      <c r="F776" s="542"/>
      <c r="G776" s="448"/>
    </row>
    <row r="777" spans="1:7" ht="31.5" customHeight="1">
      <c r="A777" s="447"/>
      <c r="B777" s="542"/>
      <c r="C777" s="447"/>
      <c r="D777" s="542"/>
      <c r="E777" s="542"/>
      <c r="F777" s="542"/>
      <c r="G777" s="448"/>
    </row>
    <row r="778" spans="1:7" ht="31.5" customHeight="1">
      <c r="A778" s="447"/>
      <c r="B778" s="542"/>
      <c r="C778" s="445"/>
      <c r="D778" s="557"/>
      <c r="E778" s="557"/>
      <c r="F778" s="557"/>
      <c r="G778" s="446"/>
    </row>
    <row r="779" spans="1:7" ht="31.5" customHeight="1">
      <c r="A779" s="417"/>
      <c r="B779" s="417"/>
      <c r="C779" s="417"/>
      <c r="D779" s="417"/>
      <c r="E779" s="417"/>
      <c r="F779" s="417"/>
      <c r="G779" s="417"/>
    </row>
    <row r="780" spans="1:7" ht="31.5" customHeight="1">
      <c r="A780" s="127"/>
      <c r="B780" s="127"/>
      <c r="C780" s="127"/>
      <c r="D780" s="127"/>
      <c r="E780" s="127"/>
      <c r="F780" s="127"/>
      <c r="G780" s="127"/>
    </row>
    <row r="781" spans="1:7" ht="31.5" customHeight="1">
      <c r="A781" s="428"/>
      <c r="B781" s="425"/>
      <c r="C781" s="419"/>
      <c r="D781" s="420"/>
      <c r="E781" s="420"/>
      <c r="F781" s="62"/>
      <c r="G781" s="25"/>
    </row>
    <row r="782" spans="1:7" ht="31.5" customHeight="1">
      <c r="A782" s="546"/>
      <c r="B782" s="62"/>
      <c r="C782" s="564"/>
      <c r="D782" s="420"/>
      <c r="E782" s="420"/>
      <c r="F782" s="420"/>
      <c r="G782" s="424"/>
    </row>
    <row r="783" spans="1:7" ht="31.5" customHeight="1">
      <c r="A783" s="547"/>
      <c r="B783" s="18"/>
      <c r="C783" s="419"/>
      <c r="D783" s="420"/>
      <c r="E783" s="420"/>
      <c r="F783" s="420"/>
      <c r="G783" s="424"/>
    </row>
    <row r="784" spans="1:7" ht="31.5" customHeight="1">
      <c r="A784" s="548"/>
      <c r="B784" s="62"/>
      <c r="C784" s="550"/>
      <c r="D784" s="551"/>
      <c r="E784" s="551"/>
      <c r="F784" s="62"/>
      <c r="G784" s="25"/>
    </row>
    <row r="785" spans="1:7" ht="31.5" customHeight="1">
      <c r="A785" s="419"/>
      <c r="B785" s="420"/>
      <c r="C785" s="419"/>
      <c r="D785" s="420"/>
      <c r="E785" s="420"/>
      <c r="F785" s="62"/>
      <c r="G785" s="25"/>
    </row>
    <row r="786" spans="1:7" ht="31.5" customHeight="1">
      <c r="A786" s="428"/>
      <c r="B786" s="429"/>
      <c r="C786" s="19"/>
      <c r="D786" s="425"/>
      <c r="E786" s="425"/>
      <c r="F786" s="426"/>
      <c r="G786" s="427"/>
    </row>
    <row r="787" spans="1:7" ht="31.5" customHeight="1">
      <c r="A787" s="430"/>
      <c r="B787" s="431"/>
      <c r="C787" s="19"/>
      <c r="D787" s="19"/>
      <c r="E787" s="68"/>
      <c r="F787" s="59"/>
      <c r="G787" s="21"/>
    </row>
    <row r="788" spans="1:7" ht="31.5" customHeight="1">
      <c r="A788" s="430"/>
      <c r="B788" s="431"/>
      <c r="D788" s="19"/>
      <c r="E788" s="68"/>
      <c r="F788" s="60"/>
      <c r="G788" s="21"/>
    </row>
    <row r="789" spans="1:7" ht="31.5" customHeight="1">
      <c r="A789" s="432"/>
      <c r="B789" s="433"/>
      <c r="C789" s="20"/>
      <c r="D789" s="27"/>
      <c r="E789" s="27"/>
      <c r="G789" s="150"/>
    </row>
    <row r="790" spans="1:7" ht="31.5" customHeight="1">
      <c r="A790" s="447"/>
      <c r="B790" s="542"/>
      <c r="C790" s="44"/>
      <c r="D790" s="41"/>
      <c r="E790" s="151"/>
      <c r="F790" s="61"/>
      <c r="G790" s="69"/>
    </row>
    <row r="791" spans="1:7" ht="31.5" customHeight="1">
      <c r="A791" s="447"/>
      <c r="B791" s="542"/>
      <c r="C791" s="152"/>
      <c r="D791" s="42"/>
      <c r="F791" s="57"/>
      <c r="G791" s="70"/>
    </row>
    <row r="792" spans="1:7" ht="31.5" customHeight="1">
      <c r="A792" s="419"/>
      <c r="B792" s="420"/>
      <c r="C792" s="558"/>
      <c r="D792" s="553"/>
      <c r="E792" s="553"/>
      <c r="F792" s="25"/>
      <c r="G792" s="58"/>
    </row>
    <row r="793" spans="1:7" ht="31.5" customHeight="1">
      <c r="A793" s="428"/>
      <c r="B793" s="425"/>
      <c r="C793" s="17"/>
      <c r="D793" s="425"/>
      <c r="E793" s="425"/>
      <c r="F793" s="425"/>
      <c r="G793" s="429"/>
    </row>
    <row r="794" spans="1:7" ht="31.5" customHeight="1">
      <c r="A794" s="430"/>
      <c r="B794" s="559"/>
      <c r="C794" s="18"/>
      <c r="D794" s="559"/>
      <c r="E794" s="559"/>
      <c r="F794" s="559"/>
      <c r="G794" s="431"/>
    </row>
    <row r="795" spans="1:7" ht="31.5" customHeight="1">
      <c r="A795" s="432"/>
      <c r="B795" s="562"/>
      <c r="C795" s="26"/>
      <c r="D795" s="27"/>
      <c r="E795" s="153"/>
      <c r="F795" s="153"/>
      <c r="G795" s="154"/>
    </row>
    <row r="796" spans="1:7" ht="31.5" customHeight="1">
      <c r="A796" s="447"/>
      <c r="B796" s="542"/>
      <c r="C796" s="40"/>
      <c r="D796" s="41"/>
      <c r="E796" s="151"/>
      <c r="F796" s="41"/>
      <c r="G796" s="69"/>
    </row>
    <row r="797" spans="1:7" ht="31.5" customHeight="1">
      <c r="A797" s="447"/>
      <c r="B797" s="542"/>
      <c r="C797" s="43"/>
      <c r="D797" s="42"/>
      <c r="F797" s="41"/>
      <c r="G797" s="70"/>
    </row>
    <row r="798" spans="1:7" ht="31.5" customHeight="1">
      <c r="A798" s="447"/>
      <c r="B798" s="542"/>
      <c r="C798" s="447"/>
      <c r="D798" s="542"/>
      <c r="E798" s="542"/>
      <c r="F798" s="542"/>
      <c r="G798" s="448"/>
    </row>
    <row r="799" spans="1:7" ht="31.5" customHeight="1">
      <c r="A799" s="447"/>
      <c r="B799" s="542"/>
      <c r="C799" s="447"/>
      <c r="D799" s="542"/>
      <c r="E799" s="542"/>
      <c r="F799" s="542"/>
      <c r="G799" s="448"/>
    </row>
    <row r="800" spans="1:7" ht="31.5" customHeight="1">
      <c r="A800" s="447"/>
      <c r="B800" s="542"/>
      <c r="C800" s="445"/>
      <c r="D800" s="557"/>
      <c r="E800" s="557"/>
      <c r="F800" s="557"/>
      <c r="G800" s="446"/>
    </row>
    <row r="801" spans="1:7" ht="31.5" customHeight="1">
      <c r="A801" s="417"/>
      <c r="B801" s="417"/>
      <c r="C801" s="417"/>
      <c r="D801" s="417"/>
      <c r="E801" s="417"/>
      <c r="F801" s="417"/>
      <c r="G801" s="417"/>
    </row>
    <row r="802" spans="1:7" ht="31.5" customHeight="1">
      <c r="A802" s="127"/>
      <c r="B802" s="127"/>
      <c r="C802" s="127"/>
      <c r="D802" s="127"/>
      <c r="E802" s="127"/>
      <c r="F802" s="127"/>
      <c r="G802" s="127"/>
    </row>
    <row r="803" spans="1:7" ht="31.5" customHeight="1">
      <c r="A803" s="428"/>
      <c r="B803" s="425"/>
      <c r="C803" s="419"/>
      <c r="D803" s="420"/>
      <c r="E803" s="420"/>
      <c r="F803" s="62"/>
      <c r="G803" s="25"/>
    </row>
    <row r="804" spans="1:7" ht="31.5" customHeight="1">
      <c r="A804" s="546"/>
      <c r="B804" s="62"/>
      <c r="C804" s="549"/>
      <c r="D804" s="418"/>
      <c r="E804" s="418"/>
      <c r="F804" s="418"/>
      <c r="G804" s="418"/>
    </row>
    <row r="805" spans="1:7" ht="31.5" customHeight="1">
      <c r="A805" s="547"/>
      <c r="B805" s="18"/>
      <c r="C805" s="419"/>
      <c r="D805" s="420"/>
      <c r="E805" s="420"/>
      <c r="F805" s="420"/>
      <c r="G805" s="424"/>
    </row>
    <row r="806" spans="1:7" ht="31.5" customHeight="1">
      <c r="A806" s="548"/>
      <c r="B806" s="62"/>
      <c r="C806" s="550"/>
      <c r="D806" s="551"/>
      <c r="E806" s="551"/>
      <c r="F806" s="62"/>
      <c r="G806" s="25"/>
    </row>
    <row r="807" spans="1:7" ht="31.5" customHeight="1">
      <c r="A807" s="419"/>
      <c r="B807" s="420"/>
      <c r="C807" s="419"/>
      <c r="D807" s="420"/>
      <c r="E807" s="420"/>
      <c r="F807" s="62"/>
      <c r="G807" s="25"/>
    </row>
    <row r="808" spans="1:7" ht="31.5" customHeight="1">
      <c r="A808" s="428"/>
      <c r="B808" s="429"/>
      <c r="C808" s="19"/>
      <c r="D808" s="425"/>
      <c r="E808" s="425"/>
      <c r="F808" s="426"/>
      <c r="G808" s="427"/>
    </row>
    <row r="809" spans="1:7" ht="31.5" customHeight="1">
      <c r="A809" s="430"/>
      <c r="B809" s="431"/>
      <c r="C809" s="19"/>
      <c r="D809" s="19"/>
      <c r="E809" s="68"/>
      <c r="F809" s="59"/>
      <c r="G809" s="21"/>
    </row>
    <row r="810" spans="1:7" ht="31.5" customHeight="1">
      <c r="A810" s="430"/>
      <c r="B810" s="431"/>
      <c r="D810" s="19"/>
      <c r="E810" s="68"/>
      <c r="F810" s="60"/>
      <c r="G810" s="21"/>
    </row>
    <row r="811" spans="1:7" ht="31.5" customHeight="1">
      <c r="A811" s="432"/>
      <c r="B811" s="433"/>
      <c r="C811" s="20"/>
      <c r="D811" s="27"/>
      <c r="E811" s="27"/>
      <c r="G811" s="150"/>
    </row>
    <row r="812" spans="1:7" ht="31.5" customHeight="1">
      <c r="A812" s="447"/>
      <c r="B812" s="542"/>
      <c r="C812" s="44"/>
      <c r="D812" s="41"/>
      <c r="E812" s="151"/>
      <c r="F812" s="61"/>
      <c r="G812" s="69"/>
    </row>
    <row r="813" spans="1:7" ht="31.5" customHeight="1">
      <c r="A813" s="447"/>
      <c r="B813" s="542"/>
      <c r="C813" s="152"/>
      <c r="D813" s="42"/>
      <c r="F813" s="57"/>
      <c r="G813" s="70"/>
    </row>
    <row r="814" spans="1:7" ht="31.5" customHeight="1">
      <c r="A814" s="419"/>
      <c r="B814" s="420"/>
      <c r="C814" s="558"/>
      <c r="D814" s="553"/>
      <c r="E814" s="553"/>
      <c r="F814" s="25"/>
      <c r="G814" s="58"/>
    </row>
    <row r="815" spans="1:7" ht="31.5" customHeight="1">
      <c r="A815" s="428"/>
      <c r="B815" s="425"/>
      <c r="C815" s="17"/>
      <c r="D815" s="425"/>
      <c r="E815" s="425"/>
      <c r="F815" s="425"/>
      <c r="G815" s="429"/>
    </row>
    <row r="816" spans="1:7" ht="31.5" customHeight="1">
      <c r="A816" s="430"/>
      <c r="B816" s="559"/>
      <c r="C816" s="18"/>
      <c r="D816" s="559"/>
      <c r="E816" s="559"/>
      <c r="F816" s="559"/>
      <c r="G816" s="431"/>
    </row>
    <row r="817" spans="1:7" ht="31.5" customHeight="1">
      <c r="A817" s="432"/>
      <c r="B817" s="562"/>
      <c r="C817" s="26"/>
      <c r="D817" s="27"/>
      <c r="E817" s="153"/>
      <c r="F817" s="153"/>
      <c r="G817" s="154"/>
    </row>
    <row r="818" spans="1:7" ht="31.5" customHeight="1">
      <c r="A818" s="447"/>
      <c r="B818" s="542"/>
      <c r="C818" s="40"/>
      <c r="D818" s="41"/>
      <c r="E818" s="151"/>
      <c r="F818" s="41"/>
      <c r="G818" s="69"/>
    </row>
    <row r="819" spans="1:7" ht="31.5" customHeight="1">
      <c r="A819" s="447"/>
      <c r="B819" s="542"/>
      <c r="C819" s="43"/>
      <c r="D819" s="42"/>
      <c r="F819" s="41"/>
      <c r="G819" s="70"/>
    </row>
    <row r="820" spans="1:7" ht="31.5" customHeight="1">
      <c r="A820" s="447"/>
      <c r="B820" s="542"/>
      <c r="C820" s="447"/>
      <c r="D820" s="542"/>
      <c r="E820" s="542"/>
      <c r="F820" s="542"/>
      <c r="G820" s="448"/>
    </row>
    <row r="821" spans="1:7" ht="31.5" customHeight="1">
      <c r="A821" s="447"/>
      <c r="B821" s="542"/>
      <c r="C821" s="447"/>
      <c r="D821" s="542"/>
      <c r="E821" s="542"/>
      <c r="F821" s="542"/>
      <c r="G821" s="448"/>
    </row>
    <row r="822" spans="1:7" ht="31.5" customHeight="1">
      <c r="A822" s="447"/>
      <c r="B822" s="542"/>
      <c r="C822" s="445"/>
      <c r="D822" s="557"/>
      <c r="E822" s="557"/>
      <c r="F822" s="557"/>
      <c r="G822" s="446"/>
    </row>
    <row r="823" spans="1:7" ht="31.5" customHeight="1">
      <c r="A823" s="417"/>
      <c r="B823" s="417"/>
      <c r="C823" s="417"/>
      <c r="D823" s="417"/>
      <c r="E823" s="417"/>
      <c r="F823" s="417"/>
      <c r="G823" s="417"/>
    </row>
    <row r="824" spans="1:7" ht="31.5" customHeight="1">
      <c r="A824" s="127"/>
      <c r="B824" s="127"/>
      <c r="C824" s="127"/>
      <c r="D824" s="127"/>
      <c r="E824" s="127"/>
      <c r="F824" s="127"/>
      <c r="G824" s="127"/>
    </row>
    <row r="825" spans="1:7" ht="31.5" customHeight="1">
      <c r="A825" s="428"/>
      <c r="B825" s="425"/>
      <c r="C825" s="419"/>
      <c r="D825" s="420"/>
      <c r="E825" s="420"/>
      <c r="F825" s="62"/>
      <c r="G825" s="25"/>
    </row>
    <row r="826" spans="1:7" ht="31.5" customHeight="1">
      <c r="A826" s="546"/>
      <c r="B826" s="62"/>
      <c r="C826" s="549"/>
      <c r="D826" s="418"/>
      <c r="E826" s="418"/>
      <c r="F826" s="418"/>
      <c r="G826" s="418"/>
    </row>
    <row r="827" spans="1:7" ht="31.5" customHeight="1">
      <c r="A827" s="547"/>
      <c r="B827" s="18"/>
      <c r="C827" s="419"/>
      <c r="D827" s="420"/>
      <c r="E827" s="420"/>
      <c r="F827" s="420"/>
      <c r="G827" s="424"/>
    </row>
    <row r="828" spans="1:7" ht="31.5" customHeight="1">
      <c r="A828" s="548"/>
      <c r="B828" s="62"/>
      <c r="C828" s="550"/>
      <c r="D828" s="551"/>
      <c r="E828" s="551"/>
      <c r="F828" s="62"/>
      <c r="G828" s="25"/>
    </row>
    <row r="829" spans="1:7" ht="31.5" customHeight="1">
      <c r="A829" s="419"/>
      <c r="B829" s="420"/>
      <c r="C829" s="419"/>
      <c r="D829" s="420"/>
      <c r="E829" s="420"/>
      <c r="F829" s="62"/>
      <c r="G829" s="25"/>
    </row>
    <row r="830" spans="1:7" ht="31.5" customHeight="1">
      <c r="A830" s="428"/>
      <c r="B830" s="429"/>
      <c r="C830" s="19"/>
      <c r="D830" s="425"/>
      <c r="E830" s="425"/>
      <c r="F830" s="426"/>
      <c r="G830" s="427"/>
    </row>
    <row r="831" spans="1:7" ht="31.5" customHeight="1">
      <c r="A831" s="430"/>
      <c r="B831" s="431"/>
      <c r="C831" s="19"/>
      <c r="D831" s="19"/>
      <c r="E831" s="68"/>
      <c r="F831" s="59"/>
      <c r="G831" s="21"/>
    </row>
    <row r="832" spans="1:7" ht="31.5" customHeight="1">
      <c r="A832" s="430"/>
      <c r="B832" s="431"/>
      <c r="D832" s="19"/>
      <c r="E832" s="68"/>
      <c r="F832" s="60"/>
      <c r="G832" s="21"/>
    </row>
    <row r="833" spans="1:7" ht="31.5" customHeight="1">
      <c r="A833" s="432"/>
      <c r="B833" s="433"/>
      <c r="C833" s="20"/>
      <c r="D833" s="27"/>
      <c r="E833" s="27"/>
      <c r="G833" s="150"/>
    </row>
    <row r="834" spans="1:7" ht="31.5" customHeight="1">
      <c r="A834" s="447"/>
      <c r="B834" s="542"/>
      <c r="C834" s="44"/>
      <c r="D834" s="41"/>
      <c r="E834" s="151"/>
      <c r="F834" s="61"/>
      <c r="G834" s="69"/>
    </row>
    <row r="835" spans="1:7" ht="31.5" customHeight="1">
      <c r="A835" s="447"/>
      <c r="B835" s="542"/>
      <c r="C835" s="152"/>
      <c r="D835" s="42"/>
      <c r="F835" s="57"/>
      <c r="G835" s="70"/>
    </row>
    <row r="836" spans="1:7" ht="31.5" customHeight="1">
      <c r="A836" s="419"/>
      <c r="B836" s="420"/>
      <c r="C836" s="558"/>
      <c r="D836" s="553"/>
      <c r="E836" s="553"/>
      <c r="F836" s="25"/>
      <c r="G836" s="58"/>
    </row>
    <row r="837" spans="1:7" ht="31.5" customHeight="1">
      <c r="A837" s="428"/>
      <c r="B837" s="425"/>
      <c r="C837" s="17"/>
      <c r="D837" s="425"/>
      <c r="E837" s="425"/>
      <c r="F837" s="425"/>
      <c r="G837" s="429"/>
    </row>
    <row r="838" spans="1:7" ht="31.5" customHeight="1">
      <c r="A838" s="430"/>
      <c r="B838" s="559"/>
      <c r="C838" s="18"/>
      <c r="D838" s="559"/>
      <c r="E838" s="559"/>
      <c r="F838" s="559"/>
      <c r="G838" s="431"/>
    </row>
    <row r="839" spans="1:7" ht="31.5" customHeight="1">
      <c r="A839" s="432"/>
      <c r="B839" s="562"/>
      <c r="C839" s="26"/>
      <c r="D839" s="27"/>
      <c r="E839" s="153"/>
      <c r="F839" s="153"/>
      <c r="G839" s="154"/>
    </row>
    <row r="840" spans="1:7" ht="31.5" customHeight="1">
      <c r="A840" s="447"/>
      <c r="B840" s="542"/>
      <c r="C840" s="40"/>
      <c r="D840" s="41"/>
      <c r="E840" s="151"/>
      <c r="F840" s="41"/>
      <c r="G840" s="69"/>
    </row>
    <row r="841" spans="1:7" ht="31.5" customHeight="1">
      <c r="A841" s="447"/>
      <c r="B841" s="542"/>
      <c r="C841" s="43"/>
      <c r="D841" s="42"/>
      <c r="F841" s="41"/>
      <c r="G841" s="70"/>
    </row>
    <row r="842" spans="1:7" ht="31.5" customHeight="1">
      <c r="A842" s="447"/>
      <c r="B842" s="542"/>
      <c r="C842" s="447"/>
      <c r="D842" s="542"/>
      <c r="E842" s="542"/>
      <c r="F842" s="542"/>
      <c r="G842" s="448"/>
    </row>
    <row r="843" spans="1:7" ht="31.5" customHeight="1">
      <c r="A843" s="447"/>
      <c r="B843" s="542"/>
      <c r="C843" s="447"/>
      <c r="D843" s="542"/>
      <c r="E843" s="542"/>
      <c r="F843" s="542"/>
      <c r="G843" s="448"/>
    </row>
    <row r="844" spans="1:7" ht="31.5" customHeight="1">
      <c r="A844" s="447"/>
      <c r="B844" s="542"/>
      <c r="C844" s="445"/>
      <c r="D844" s="557"/>
      <c r="E844" s="557"/>
      <c r="F844" s="557"/>
      <c r="G844" s="446"/>
    </row>
    <row r="845" spans="1:7" ht="31.5" customHeight="1">
      <c r="A845" s="417"/>
      <c r="B845" s="417"/>
      <c r="C845" s="417"/>
      <c r="D845" s="417"/>
      <c r="E845" s="417"/>
      <c r="F845" s="417"/>
      <c r="G845" s="417"/>
    </row>
    <row r="846" spans="1:7" ht="31.5" customHeight="1">
      <c r="A846" s="127"/>
      <c r="B846" s="127"/>
      <c r="C846" s="127"/>
      <c r="D846" s="127"/>
      <c r="E846" s="127"/>
      <c r="F846" s="127"/>
      <c r="G846" s="127"/>
    </row>
    <row r="847" spans="1:7" ht="31.5" customHeight="1">
      <c r="A847" s="428"/>
      <c r="B847" s="425"/>
      <c r="C847" s="419"/>
      <c r="D847" s="420"/>
      <c r="E847" s="420"/>
      <c r="F847" s="62"/>
      <c r="G847" s="25"/>
    </row>
    <row r="848" spans="1:7" ht="31.5" customHeight="1">
      <c r="A848" s="546"/>
      <c r="B848" s="62"/>
      <c r="C848" s="418"/>
      <c r="D848" s="418"/>
      <c r="E848" s="418"/>
      <c r="F848" s="418"/>
      <c r="G848" s="418"/>
    </row>
    <row r="849" spans="1:7" ht="31.5" customHeight="1">
      <c r="A849" s="547"/>
      <c r="B849" s="18"/>
      <c r="C849" s="419"/>
      <c r="D849" s="420"/>
      <c r="E849" s="420"/>
      <c r="F849" s="420"/>
      <c r="G849" s="424"/>
    </row>
    <row r="850" spans="1:7" ht="31.5" customHeight="1">
      <c r="A850" s="548"/>
      <c r="B850" s="62"/>
      <c r="C850" s="550"/>
      <c r="D850" s="551"/>
      <c r="E850" s="551"/>
      <c r="F850" s="62"/>
      <c r="G850" s="25"/>
    </row>
    <row r="851" spans="1:7" ht="31.5" customHeight="1">
      <c r="A851" s="419"/>
      <c r="B851" s="420"/>
      <c r="C851" s="419"/>
      <c r="D851" s="420"/>
      <c r="E851" s="420"/>
      <c r="F851" s="62"/>
      <c r="G851" s="25"/>
    </row>
    <row r="852" spans="1:7" ht="31.5" customHeight="1">
      <c r="A852" s="428"/>
      <c r="B852" s="429"/>
      <c r="C852" s="19"/>
      <c r="D852" s="425"/>
      <c r="E852" s="425"/>
      <c r="F852" s="426"/>
      <c r="G852" s="427"/>
    </row>
    <row r="853" spans="1:7" ht="31.5" customHeight="1">
      <c r="A853" s="430"/>
      <c r="B853" s="431"/>
      <c r="C853" s="19"/>
      <c r="D853" s="19"/>
      <c r="E853" s="68"/>
      <c r="F853" s="59"/>
      <c r="G853" s="21"/>
    </row>
    <row r="854" spans="1:7" ht="31.5" customHeight="1">
      <c r="A854" s="430"/>
      <c r="B854" s="431"/>
      <c r="D854" s="19"/>
      <c r="E854" s="68"/>
      <c r="F854" s="60"/>
      <c r="G854" s="21"/>
    </row>
    <row r="855" spans="1:7" ht="31.5" customHeight="1">
      <c r="A855" s="432"/>
      <c r="B855" s="433"/>
      <c r="C855" s="20"/>
      <c r="D855" s="27"/>
      <c r="E855" s="27"/>
      <c r="G855" s="150"/>
    </row>
    <row r="856" spans="1:7" ht="31.5" customHeight="1">
      <c r="A856" s="447"/>
      <c r="B856" s="542"/>
      <c r="C856" s="44"/>
      <c r="D856" s="41"/>
      <c r="E856" s="151"/>
      <c r="F856" s="61"/>
      <c r="G856" s="69"/>
    </row>
    <row r="857" spans="1:7" ht="31.5" customHeight="1">
      <c r="A857" s="447"/>
      <c r="B857" s="542"/>
      <c r="C857" s="152"/>
      <c r="D857" s="42"/>
      <c r="F857" s="57"/>
      <c r="G857" s="70"/>
    </row>
    <row r="858" spans="1:7" ht="31.5" customHeight="1">
      <c r="A858" s="419"/>
      <c r="B858" s="420"/>
      <c r="C858" s="558"/>
      <c r="D858" s="553"/>
      <c r="E858" s="553"/>
      <c r="F858" s="25"/>
      <c r="G858" s="58"/>
    </row>
    <row r="859" spans="1:7" ht="31.5" customHeight="1">
      <c r="A859" s="428"/>
      <c r="B859" s="425"/>
      <c r="C859" s="17"/>
      <c r="D859" s="425"/>
      <c r="E859" s="425"/>
      <c r="F859" s="425"/>
      <c r="G859" s="429"/>
    </row>
    <row r="860" spans="1:7" ht="31.5" customHeight="1">
      <c r="A860" s="430"/>
      <c r="B860" s="559"/>
      <c r="C860" s="18"/>
      <c r="D860" s="559"/>
      <c r="E860" s="559"/>
      <c r="F860" s="559"/>
      <c r="G860" s="431"/>
    </row>
    <row r="861" spans="1:7" ht="31.5" customHeight="1">
      <c r="A861" s="432"/>
      <c r="B861" s="562"/>
      <c r="C861" s="26"/>
      <c r="D861" s="27"/>
      <c r="E861" s="153"/>
      <c r="F861" s="153"/>
      <c r="G861" s="154"/>
    </row>
    <row r="862" spans="1:7" ht="31.5" customHeight="1">
      <c r="A862" s="447"/>
      <c r="B862" s="542"/>
      <c r="C862" s="40"/>
      <c r="D862" s="41"/>
      <c r="E862" s="151"/>
      <c r="F862" s="41"/>
      <c r="G862" s="69"/>
    </row>
    <row r="863" spans="1:7" ht="31.5" customHeight="1">
      <c r="A863" s="447"/>
      <c r="B863" s="542"/>
      <c r="C863" s="43"/>
      <c r="D863" s="42"/>
      <c r="F863" s="41"/>
      <c r="G863" s="70"/>
    </row>
    <row r="864" spans="1:7" ht="31.5" customHeight="1">
      <c r="A864" s="447"/>
      <c r="B864" s="542"/>
      <c r="C864" s="447"/>
      <c r="D864" s="542"/>
      <c r="E864" s="542"/>
      <c r="F864" s="542"/>
      <c r="G864" s="448"/>
    </row>
    <row r="865" spans="1:7" ht="31.5" customHeight="1">
      <c r="A865" s="447"/>
      <c r="B865" s="542"/>
      <c r="C865" s="447"/>
      <c r="D865" s="542"/>
      <c r="E865" s="542"/>
      <c r="F865" s="542"/>
      <c r="G865" s="448"/>
    </row>
    <row r="866" spans="1:7" ht="31.5" customHeight="1">
      <c r="A866" s="447"/>
      <c r="B866" s="542"/>
      <c r="C866" s="445"/>
      <c r="D866" s="557"/>
      <c r="E866" s="557"/>
      <c r="F866" s="557"/>
      <c r="G866" s="446"/>
    </row>
    <row r="867" spans="1:7" ht="31.5" customHeight="1">
      <c r="A867" s="417"/>
      <c r="B867" s="417"/>
      <c r="C867" s="417"/>
      <c r="D867" s="417"/>
      <c r="E867" s="417"/>
      <c r="F867" s="417"/>
      <c r="G867" s="417"/>
    </row>
    <row r="868" spans="1:7" ht="31.5" customHeight="1">
      <c r="A868" s="127"/>
      <c r="B868" s="127"/>
      <c r="C868" s="127"/>
      <c r="D868" s="127"/>
      <c r="E868" s="127"/>
      <c r="F868" s="127"/>
      <c r="G868" s="127"/>
    </row>
    <row r="869" spans="1:7" ht="31.5" customHeight="1">
      <c r="A869" s="428"/>
      <c r="B869" s="425"/>
      <c r="C869" s="419"/>
      <c r="D869" s="420"/>
      <c r="E869" s="420"/>
      <c r="F869" s="62"/>
      <c r="G869" s="25"/>
    </row>
    <row r="870" spans="1:7" ht="31.5" customHeight="1">
      <c r="A870" s="546"/>
      <c r="B870" s="62"/>
      <c r="C870" s="549"/>
      <c r="D870" s="418"/>
      <c r="E870" s="418"/>
      <c r="F870" s="418"/>
      <c r="G870" s="418"/>
    </row>
    <row r="871" spans="1:7" ht="31.5" customHeight="1">
      <c r="A871" s="547"/>
      <c r="B871" s="18"/>
      <c r="C871" s="419"/>
      <c r="D871" s="420"/>
      <c r="E871" s="420"/>
      <c r="F871" s="420"/>
      <c r="G871" s="424"/>
    </row>
    <row r="872" spans="1:7" ht="31.5" customHeight="1">
      <c r="A872" s="548"/>
      <c r="B872" s="62"/>
      <c r="C872" s="550"/>
      <c r="D872" s="551"/>
      <c r="E872" s="551"/>
      <c r="F872" s="62"/>
      <c r="G872" s="25"/>
    </row>
    <row r="873" spans="1:7" ht="31.5" customHeight="1">
      <c r="A873" s="419"/>
      <c r="B873" s="420"/>
      <c r="C873" s="419"/>
      <c r="D873" s="420"/>
      <c r="E873" s="420"/>
      <c r="F873" s="62"/>
      <c r="G873" s="25"/>
    </row>
    <row r="874" spans="1:7" ht="31.5" customHeight="1">
      <c r="A874" s="428"/>
      <c r="B874" s="429"/>
      <c r="C874" s="19"/>
      <c r="D874" s="425"/>
      <c r="E874" s="425"/>
      <c r="F874" s="426"/>
      <c r="G874" s="427"/>
    </row>
    <row r="875" spans="1:7" ht="31.5" customHeight="1">
      <c r="A875" s="430"/>
      <c r="B875" s="431"/>
      <c r="C875" s="19"/>
      <c r="D875" s="19"/>
      <c r="E875" s="68"/>
      <c r="F875" s="59"/>
      <c r="G875" s="21"/>
    </row>
    <row r="876" spans="1:7" ht="31.5" customHeight="1">
      <c r="A876" s="430"/>
      <c r="B876" s="431"/>
      <c r="D876" s="19"/>
      <c r="E876" s="68"/>
      <c r="F876" s="60"/>
      <c r="G876" s="21"/>
    </row>
    <row r="877" spans="1:7" ht="31.5" customHeight="1">
      <c r="A877" s="432"/>
      <c r="B877" s="433"/>
      <c r="C877" s="20"/>
      <c r="D877" s="27"/>
      <c r="E877" s="27"/>
      <c r="G877" s="150"/>
    </row>
    <row r="878" spans="1:7" ht="31.5" customHeight="1">
      <c r="A878" s="447"/>
      <c r="B878" s="542"/>
      <c r="C878" s="44"/>
      <c r="D878" s="41"/>
      <c r="E878" s="151"/>
      <c r="F878" s="61"/>
      <c r="G878" s="69"/>
    </row>
    <row r="879" spans="1:7" ht="31.5" customHeight="1">
      <c r="A879" s="447"/>
      <c r="B879" s="542"/>
      <c r="C879" s="152"/>
      <c r="D879" s="42"/>
      <c r="F879" s="57"/>
      <c r="G879" s="70"/>
    </row>
    <row r="880" spans="1:7" ht="31.5" customHeight="1">
      <c r="A880" s="419"/>
      <c r="B880" s="420"/>
      <c r="C880" s="558"/>
      <c r="D880" s="553"/>
      <c r="E880" s="553"/>
      <c r="F880" s="25"/>
      <c r="G880" s="58"/>
    </row>
    <row r="881" spans="1:7" ht="31.5" customHeight="1">
      <c r="A881" s="428"/>
      <c r="B881" s="425"/>
      <c r="C881" s="17"/>
      <c r="D881" s="425"/>
      <c r="E881" s="425"/>
      <c r="F881" s="425"/>
      <c r="G881" s="429"/>
    </row>
    <row r="882" spans="1:7" ht="31.5" customHeight="1">
      <c r="A882" s="430"/>
      <c r="B882" s="559"/>
      <c r="C882" s="18"/>
      <c r="D882" s="559"/>
      <c r="E882" s="559"/>
      <c r="F882" s="559"/>
      <c r="G882" s="431"/>
    </row>
    <row r="883" spans="1:7" ht="31.5" customHeight="1">
      <c r="A883" s="432"/>
      <c r="B883" s="562"/>
      <c r="C883" s="26"/>
      <c r="D883" s="27"/>
      <c r="E883" s="153"/>
      <c r="F883" s="153"/>
      <c r="G883" s="154"/>
    </row>
    <row r="884" spans="1:7" ht="31.5" customHeight="1">
      <c r="A884" s="447"/>
      <c r="B884" s="542"/>
      <c r="C884" s="40"/>
      <c r="D884" s="41"/>
      <c r="E884" s="151"/>
      <c r="F884" s="41"/>
      <c r="G884" s="69"/>
    </row>
    <row r="885" spans="1:7" ht="31.5" customHeight="1">
      <c r="A885" s="447"/>
      <c r="B885" s="542"/>
      <c r="C885" s="43"/>
      <c r="D885" s="42"/>
      <c r="F885" s="41"/>
      <c r="G885" s="70"/>
    </row>
    <row r="886" spans="1:7" ht="31.5" customHeight="1">
      <c r="A886" s="447"/>
      <c r="B886" s="542"/>
      <c r="C886" s="447"/>
      <c r="D886" s="542"/>
      <c r="E886" s="542"/>
      <c r="F886" s="542"/>
      <c r="G886" s="448"/>
    </row>
    <row r="887" spans="1:7" ht="31.5" customHeight="1">
      <c r="A887" s="447"/>
      <c r="B887" s="542"/>
      <c r="C887" s="447"/>
      <c r="D887" s="542"/>
      <c r="E887" s="542"/>
      <c r="F887" s="542"/>
      <c r="G887" s="448"/>
    </row>
    <row r="888" spans="1:7" ht="31.5" customHeight="1">
      <c r="A888" s="447"/>
      <c r="B888" s="542"/>
      <c r="C888" s="445"/>
      <c r="D888" s="557"/>
      <c r="E888" s="557"/>
      <c r="F888" s="557"/>
      <c r="G888" s="446"/>
    </row>
    <row r="889" spans="1:7" ht="31.5" customHeight="1">
      <c r="A889" s="417"/>
      <c r="B889" s="417"/>
      <c r="C889" s="417"/>
      <c r="D889" s="417"/>
      <c r="E889" s="417"/>
      <c r="F889" s="417"/>
      <c r="G889" s="417"/>
    </row>
    <row r="890" spans="1:7" ht="31.5" customHeight="1">
      <c r="A890" s="127"/>
      <c r="B890" s="127"/>
      <c r="C890" s="127"/>
      <c r="D890" s="127"/>
      <c r="E890" s="127"/>
      <c r="F890" s="127"/>
      <c r="G890" s="127"/>
    </row>
    <row r="891" spans="1:7" ht="31.5" customHeight="1">
      <c r="A891" s="428"/>
      <c r="B891" s="425"/>
      <c r="C891" s="419"/>
      <c r="D891" s="420"/>
      <c r="E891" s="420"/>
      <c r="F891" s="62"/>
      <c r="G891" s="25"/>
    </row>
    <row r="892" spans="1:7" ht="31.5" customHeight="1">
      <c r="A892" s="546"/>
      <c r="B892" s="62"/>
      <c r="C892" s="549"/>
      <c r="D892" s="418"/>
      <c r="E892" s="418"/>
      <c r="F892" s="418"/>
      <c r="G892" s="418"/>
    </row>
    <row r="893" spans="1:7" ht="31.5" customHeight="1">
      <c r="A893" s="547"/>
      <c r="B893" s="18"/>
      <c r="C893" s="419"/>
      <c r="D893" s="420"/>
      <c r="E893" s="420"/>
      <c r="F893" s="420"/>
      <c r="G893" s="424"/>
    </row>
    <row r="894" spans="1:7" ht="31.5" customHeight="1">
      <c r="A894" s="548"/>
      <c r="B894" s="62"/>
      <c r="C894" s="550"/>
      <c r="D894" s="551"/>
      <c r="E894" s="551"/>
      <c r="F894" s="62"/>
      <c r="G894" s="25"/>
    </row>
    <row r="895" spans="1:7" ht="31.5" customHeight="1">
      <c r="A895" s="419"/>
      <c r="B895" s="420"/>
      <c r="C895" s="419"/>
      <c r="D895" s="420"/>
      <c r="E895" s="420"/>
      <c r="F895" s="62"/>
      <c r="G895" s="25"/>
    </row>
    <row r="896" spans="1:7" ht="31.5" customHeight="1">
      <c r="A896" s="428"/>
      <c r="B896" s="429"/>
      <c r="C896" s="19"/>
      <c r="D896" s="425"/>
      <c r="E896" s="425"/>
      <c r="F896" s="426"/>
      <c r="G896" s="427"/>
    </row>
    <row r="897" spans="1:7" ht="31.5" customHeight="1">
      <c r="A897" s="430"/>
      <c r="B897" s="431"/>
      <c r="C897" s="19"/>
      <c r="D897" s="19"/>
      <c r="E897" s="68"/>
      <c r="F897" s="59"/>
      <c r="G897" s="21"/>
    </row>
    <row r="898" spans="1:7" ht="31.5" customHeight="1">
      <c r="A898" s="430"/>
      <c r="B898" s="431"/>
      <c r="D898" s="19"/>
      <c r="E898" s="68"/>
      <c r="F898" s="60"/>
      <c r="G898" s="21"/>
    </row>
    <row r="899" spans="1:7" ht="31.5" customHeight="1">
      <c r="A899" s="432"/>
      <c r="B899" s="433"/>
      <c r="C899" s="20"/>
      <c r="D899" s="27"/>
      <c r="E899" s="27"/>
      <c r="G899" s="150"/>
    </row>
    <row r="900" spans="1:7" ht="31.5" customHeight="1">
      <c r="A900" s="447"/>
      <c r="B900" s="542"/>
      <c r="C900" s="44"/>
      <c r="D900" s="41"/>
      <c r="E900" s="151"/>
      <c r="F900" s="61"/>
      <c r="G900" s="69"/>
    </row>
    <row r="901" spans="1:7" ht="31.5" customHeight="1">
      <c r="A901" s="447"/>
      <c r="B901" s="542"/>
      <c r="C901" s="152"/>
      <c r="D901" s="42"/>
      <c r="F901" s="57"/>
      <c r="G901" s="70"/>
    </row>
    <row r="902" spans="1:7" ht="31.5" customHeight="1">
      <c r="A902" s="419"/>
      <c r="B902" s="420"/>
      <c r="C902" s="558"/>
      <c r="D902" s="553"/>
      <c r="E902" s="553"/>
      <c r="F902" s="25"/>
      <c r="G902" s="58"/>
    </row>
    <row r="903" spans="1:7" ht="31.5" customHeight="1">
      <c r="A903" s="428"/>
      <c r="B903" s="425"/>
      <c r="C903" s="17"/>
      <c r="D903" s="425"/>
      <c r="E903" s="425"/>
      <c r="F903" s="425"/>
      <c r="G903" s="429"/>
    </row>
    <row r="904" spans="1:7" ht="31.5" customHeight="1">
      <c r="A904" s="430"/>
      <c r="B904" s="559"/>
      <c r="C904" s="18"/>
      <c r="D904" s="559"/>
      <c r="E904" s="559"/>
      <c r="F904" s="559"/>
      <c r="G904" s="431"/>
    </row>
    <row r="905" spans="1:7" ht="31.5" customHeight="1">
      <c r="A905" s="432"/>
      <c r="B905" s="562"/>
      <c r="C905" s="26"/>
      <c r="D905" s="27"/>
      <c r="E905" s="153"/>
      <c r="F905" s="153"/>
      <c r="G905" s="154"/>
    </row>
    <row r="906" spans="1:7" ht="31.5" customHeight="1">
      <c r="A906" s="447"/>
      <c r="B906" s="542"/>
      <c r="C906" s="40"/>
      <c r="D906" s="41"/>
      <c r="E906" s="151"/>
      <c r="F906" s="41"/>
      <c r="G906" s="69"/>
    </row>
    <row r="907" spans="1:7" ht="31.5" customHeight="1">
      <c r="A907" s="447"/>
      <c r="B907" s="542"/>
      <c r="C907" s="43"/>
      <c r="D907" s="42"/>
      <c r="F907" s="41"/>
      <c r="G907" s="70"/>
    </row>
    <row r="908" spans="1:7" ht="31.5" customHeight="1">
      <c r="A908" s="447"/>
      <c r="B908" s="542"/>
      <c r="C908" s="447"/>
      <c r="D908" s="542"/>
      <c r="E908" s="542"/>
      <c r="F908" s="542"/>
      <c r="G908" s="448"/>
    </row>
    <row r="909" spans="1:7" ht="31.5" customHeight="1">
      <c r="A909" s="447"/>
      <c r="B909" s="542"/>
      <c r="C909" s="447"/>
      <c r="D909" s="542"/>
      <c r="E909" s="542"/>
      <c r="F909" s="542"/>
      <c r="G909" s="448"/>
    </row>
    <row r="910" spans="1:7" ht="31.5" customHeight="1">
      <c r="A910" s="447"/>
      <c r="B910" s="542"/>
      <c r="C910" s="445"/>
      <c r="D910" s="557"/>
      <c r="E910" s="557"/>
      <c r="F910" s="557"/>
      <c r="G910" s="446"/>
    </row>
    <row r="911" spans="1:7" ht="31.5" customHeight="1">
      <c r="A911" s="417"/>
      <c r="B911" s="417"/>
      <c r="C911" s="417"/>
      <c r="D911" s="417"/>
      <c r="E911" s="417"/>
      <c r="F911" s="417"/>
      <c r="G911" s="417"/>
    </row>
    <row r="912" spans="1:7" ht="31.5" customHeight="1">
      <c r="A912" s="127"/>
      <c r="B912" s="127"/>
      <c r="C912" s="127"/>
      <c r="D912" s="127"/>
      <c r="E912" s="127"/>
      <c r="F912" s="127"/>
      <c r="G912" s="127"/>
    </row>
    <row r="913" spans="1:7" ht="31.5" customHeight="1">
      <c r="A913" s="428"/>
      <c r="B913" s="425"/>
      <c r="C913" s="419"/>
      <c r="D913" s="420"/>
      <c r="E913" s="420"/>
      <c r="F913" s="62"/>
      <c r="G913" s="25"/>
    </row>
    <row r="914" spans="1:7" ht="31.5" customHeight="1">
      <c r="A914" s="546"/>
      <c r="B914" s="62"/>
      <c r="C914" s="418"/>
      <c r="D914" s="418"/>
      <c r="E914" s="418"/>
      <c r="F914" s="418"/>
      <c r="G914" s="418"/>
    </row>
    <row r="915" spans="1:7" ht="31.5" customHeight="1">
      <c r="A915" s="547"/>
      <c r="B915" s="18"/>
      <c r="C915" s="419"/>
      <c r="D915" s="420"/>
      <c r="E915" s="420"/>
      <c r="F915" s="420"/>
      <c r="G915" s="424"/>
    </row>
    <row r="916" spans="1:7" ht="31.5" customHeight="1">
      <c r="A916" s="548"/>
      <c r="B916" s="62"/>
      <c r="C916" s="550"/>
      <c r="D916" s="551"/>
      <c r="E916" s="551"/>
      <c r="F916" s="62"/>
      <c r="G916" s="25"/>
    </row>
    <row r="917" spans="1:7" ht="31.5" customHeight="1">
      <c r="A917" s="419"/>
      <c r="B917" s="420"/>
      <c r="C917" s="419"/>
      <c r="D917" s="420"/>
      <c r="E917" s="420"/>
      <c r="F917" s="62"/>
      <c r="G917" s="25"/>
    </row>
    <row r="918" spans="1:7" ht="31.5" customHeight="1">
      <c r="A918" s="428"/>
      <c r="B918" s="429"/>
      <c r="C918" s="19"/>
      <c r="D918" s="425"/>
      <c r="E918" s="425"/>
      <c r="F918" s="426"/>
      <c r="G918" s="427"/>
    </row>
    <row r="919" spans="1:7" ht="31.5" customHeight="1">
      <c r="A919" s="430"/>
      <c r="B919" s="431"/>
      <c r="C919" s="19"/>
      <c r="D919" s="19"/>
      <c r="E919" s="68"/>
      <c r="F919" s="59"/>
      <c r="G919" s="21"/>
    </row>
    <row r="920" spans="1:7" ht="31.5" customHeight="1">
      <c r="A920" s="430"/>
      <c r="B920" s="431"/>
      <c r="D920" s="19"/>
      <c r="E920" s="68"/>
      <c r="F920" s="60"/>
      <c r="G920" s="21"/>
    </row>
    <row r="921" spans="1:7" ht="31.5" customHeight="1">
      <c r="A921" s="432"/>
      <c r="B921" s="433"/>
      <c r="C921" s="20"/>
      <c r="D921" s="27"/>
      <c r="E921" s="27"/>
      <c r="G921" s="150"/>
    </row>
    <row r="922" spans="1:7" ht="31.5" customHeight="1">
      <c r="A922" s="447"/>
      <c r="B922" s="542"/>
      <c r="C922" s="44"/>
      <c r="D922" s="41"/>
      <c r="E922" s="151"/>
      <c r="F922" s="61"/>
      <c r="G922" s="69"/>
    </row>
    <row r="923" spans="1:7" ht="31.5" customHeight="1">
      <c r="A923" s="447"/>
      <c r="B923" s="542"/>
      <c r="C923" s="152"/>
      <c r="D923" s="42"/>
      <c r="F923" s="57"/>
      <c r="G923" s="70"/>
    </row>
    <row r="924" spans="1:7" ht="31.5" customHeight="1">
      <c r="A924" s="419"/>
      <c r="B924" s="420"/>
      <c r="C924" s="558"/>
      <c r="D924" s="553"/>
      <c r="E924" s="553"/>
      <c r="F924" s="25"/>
      <c r="G924" s="58"/>
    </row>
    <row r="925" spans="1:7" ht="31.5" customHeight="1">
      <c r="A925" s="428"/>
      <c r="B925" s="425"/>
      <c r="C925" s="17"/>
      <c r="D925" s="425"/>
      <c r="E925" s="425"/>
      <c r="F925" s="425"/>
      <c r="G925" s="429"/>
    </row>
    <row r="926" spans="1:7" ht="31.5" customHeight="1">
      <c r="A926" s="430"/>
      <c r="B926" s="559"/>
      <c r="C926" s="18"/>
      <c r="D926" s="559"/>
      <c r="E926" s="559"/>
      <c r="F926" s="559"/>
      <c r="G926" s="431"/>
    </row>
    <row r="927" spans="1:7" ht="31.5" customHeight="1">
      <c r="A927" s="432"/>
      <c r="B927" s="562"/>
      <c r="C927" s="26"/>
      <c r="D927" s="27"/>
      <c r="E927" s="153"/>
      <c r="F927" s="153"/>
      <c r="G927" s="154"/>
    </row>
    <row r="928" spans="1:7" ht="31.5" customHeight="1">
      <c r="A928" s="447"/>
      <c r="B928" s="542"/>
      <c r="C928" s="40"/>
      <c r="D928" s="41"/>
      <c r="E928" s="151"/>
      <c r="F928" s="41"/>
      <c r="G928" s="69"/>
    </row>
    <row r="929" spans="1:7" ht="31.5" customHeight="1">
      <c r="A929" s="447"/>
      <c r="B929" s="542"/>
      <c r="C929" s="43"/>
      <c r="D929" s="42"/>
      <c r="F929" s="41"/>
      <c r="G929" s="70"/>
    </row>
    <row r="930" spans="1:7" ht="31.5" customHeight="1">
      <c r="A930" s="447"/>
      <c r="B930" s="542"/>
      <c r="C930" s="447"/>
      <c r="D930" s="542"/>
      <c r="E930" s="542"/>
      <c r="F930" s="542"/>
      <c r="G930" s="448"/>
    </row>
    <row r="931" spans="1:7" ht="31.5" customHeight="1">
      <c r="A931" s="447"/>
      <c r="B931" s="542"/>
      <c r="C931" s="447"/>
      <c r="D931" s="542"/>
      <c r="E931" s="542"/>
      <c r="F931" s="542"/>
      <c r="G931" s="448"/>
    </row>
    <row r="932" spans="1:7" ht="31.5" customHeight="1">
      <c r="A932" s="447"/>
      <c r="B932" s="542"/>
      <c r="C932" s="445"/>
      <c r="D932" s="557"/>
      <c r="E932" s="557"/>
      <c r="F932" s="557"/>
      <c r="G932" s="446"/>
    </row>
    <row r="933" spans="1:7" ht="31.5" customHeight="1">
      <c r="A933" s="417"/>
      <c r="B933" s="417"/>
      <c r="C933" s="417"/>
      <c r="D933" s="417"/>
      <c r="E933" s="417"/>
      <c r="F933" s="417"/>
      <c r="G933" s="417"/>
    </row>
    <row r="934" spans="1:7" ht="31.5" customHeight="1">
      <c r="A934" s="127"/>
      <c r="B934" s="127"/>
      <c r="C934" s="127"/>
      <c r="D934" s="127"/>
      <c r="E934" s="127"/>
      <c r="F934" s="127"/>
      <c r="G934" s="127"/>
    </row>
    <row r="935" spans="1:7" ht="31.5" customHeight="1">
      <c r="A935" s="428"/>
      <c r="B935" s="425"/>
      <c r="C935" s="419"/>
      <c r="D935" s="420"/>
      <c r="E935" s="420"/>
      <c r="F935" s="62"/>
      <c r="G935" s="25"/>
    </row>
    <row r="936" spans="1:7" ht="31.5" customHeight="1">
      <c r="A936" s="546"/>
      <c r="B936" s="62"/>
      <c r="C936" s="549"/>
      <c r="D936" s="418"/>
      <c r="E936" s="418"/>
      <c r="F936" s="418"/>
      <c r="G936" s="418"/>
    </row>
    <row r="937" spans="1:7" ht="31.5" customHeight="1">
      <c r="A937" s="547"/>
      <c r="B937" s="18"/>
      <c r="C937" s="419"/>
      <c r="D937" s="420"/>
      <c r="E937" s="420"/>
      <c r="F937" s="420"/>
      <c r="G937" s="424"/>
    </row>
    <row r="938" spans="1:7" ht="31.5" customHeight="1">
      <c r="A938" s="548"/>
      <c r="B938" s="62"/>
      <c r="C938" s="550"/>
      <c r="D938" s="551"/>
      <c r="E938" s="551"/>
      <c r="F938" s="62"/>
      <c r="G938" s="25"/>
    </row>
    <row r="939" spans="1:7" ht="31.5" customHeight="1">
      <c r="A939" s="419"/>
      <c r="B939" s="420"/>
      <c r="C939" s="419"/>
      <c r="D939" s="420"/>
      <c r="E939" s="420"/>
      <c r="F939" s="62"/>
      <c r="G939" s="25"/>
    </row>
    <row r="940" spans="1:7" ht="31.5" customHeight="1">
      <c r="A940" s="428"/>
      <c r="B940" s="429"/>
      <c r="C940" s="19"/>
      <c r="D940" s="425"/>
      <c r="E940" s="425"/>
      <c r="F940" s="426"/>
      <c r="G940" s="427"/>
    </row>
    <row r="941" spans="1:7" ht="31.5" customHeight="1">
      <c r="A941" s="430"/>
      <c r="B941" s="431"/>
      <c r="C941" s="19"/>
      <c r="D941" s="19"/>
      <c r="E941" s="68"/>
      <c r="F941" s="59"/>
      <c r="G941" s="21"/>
    </row>
    <row r="942" spans="1:7" ht="31.5" customHeight="1">
      <c r="A942" s="430"/>
      <c r="B942" s="431"/>
      <c r="D942" s="19"/>
      <c r="E942" s="68"/>
      <c r="F942" s="60"/>
      <c r="G942" s="21"/>
    </row>
    <row r="943" spans="1:7" ht="31.5" customHeight="1">
      <c r="A943" s="432"/>
      <c r="B943" s="433"/>
      <c r="C943" s="20"/>
      <c r="D943" s="27"/>
      <c r="E943" s="27"/>
      <c r="G943" s="150"/>
    </row>
    <row r="944" spans="1:7" ht="31.5" customHeight="1">
      <c r="A944" s="447"/>
      <c r="B944" s="542"/>
      <c r="C944" s="44"/>
      <c r="D944" s="41"/>
      <c r="E944" s="151"/>
      <c r="F944" s="61"/>
      <c r="G944" s="69"/>
    </row>
    <row r="945" spans="1:7" ht="31.5" customHeight="1">
      <c r="A945" s="447"/>
      <c r="B945" s="542"/>
      <c r="C945" s="152"/>
      <c r="D945" s="42"/>
      <c r="F945" s="57"/>
      <c r="G945" s="70"/>
    </row>
    <row r="946" spans="1:7" ht="31.5" customHeight="1">
      <c r="A946" s="419"/>
      <c r="B946" s="420"/>
      <c r="C946" s="558"/>
      <c r="D946" s="553"/>
      <c r="E946" s="553"/>
      <c r="F946" s="25"/>
      <c r="G946" s="58"/>
    </row>
    <row r="947" spans="1:7" ht="31.5" customHeight="1">
      <c r="A947" s="428"/>
      <c r="B947" s="425"/>
      <c r="C947" s="17"/>
      <c r="D947" s="425"/>
      <c r="E947" s="425"/>
      <c r="F947" s="425"/>
      <c r="G947" s="429"/>
    </row>
    <row r="948" spans="1:7" ht="31.5" customHeight="1">
      <c r="A948" s="430"/>
      <c r="B948" s="559"/>
      <c r="C948" s="18"/>
      <c r="D948" s="559"/>
      <c r="E948" s="559"/>
      <c r="F948" s="559"/>
      <c r="G948" s="431"/>
    </row>
    <row r="949" spans="1:7" ht="31.5" customHeight="1">
      <c r="A949" s="432"/>
      <c r="B949" s="562"/>
      <c r="C949" s="26"/>
      <c r="D949" s="27"/>
      <c r="E949" s="153"/>
      <c r="F949" s="153"/>
      <c r="G949" s="154"/>
    </row>
    <row r="950" spans="1:7" ht="31.5" customHeight="1">
      <c r="A950" s="447"/>
      <c r="B950" s="542"/>
      <c r="C950" s="40"/>
      <c r="D950" s="41"/>
      <c r="E950" s="151"/>
      <c r="F950" s="41"/>
      <c r="G950" s="69"/>
    </row>
    <row r="951" spans="1:7" ht="31.5" customHeight="1">
      <c r="A951" s="447"/>
      <c r="B951" s="542"/>
      <c r="C951" s="43"/>
      <c r="D951" s="42"/>
      <c r="F951" s="41"/>
      <c r="G951" s="70"/>
    </row>
    <row r="952" spans="1:7" ht="31.5" customHeight="1">
      <c r="A952" s="447"/>
      <c r="B952" s="542"/>
      <c r="C952" s="447"/>
      <c r="D952" s="542"/>
      <c r="E952" s="542"/>
      <c r="F952" s="542"/>
      <c r="G952" s="448"/>
    </row>
    <row r="953" spans="1:7" ht="31.5" customHeight="1">
      <c r="A953" s="447"/>
      <c r="B953" s="542"/>
      <c r="C953" s="447"/>
      <c r="D953" s="542"/>
      <c r="E953" s="542"/>
      <c r="F953" s="542"/>
      <c r="G953" s="448"/>
    </row>
    <row r="954" spans="1:7" ht="31.5" customHeight="1">
      <c r="A954" s="447"/>
      <c r="B954" s="542"/>
      <c r="C954" s="445"/>
      <c r="D954" s="557"/>
      <c r="E954" s="557"/>
      <c r="F954" s="557"/>
      <c r="G954" s="446"/>
    </row>
    <row r="955" spans="1:7" ht="31.5" customHeight="1">
      <c r="A955" s="417"/>
      <c r="B955" s="417"/>
      <c r="C955" s="417"/>
      <c r="D955" s="417"/>
      <c r="E955" s="417"/>
      <c r="F955" s="417"/>
      <c r="G955" s="417"/>
    </row>
    <row r="956" spans="1:7" ht="31.5" customHeight="1">
      <c r="A956" s="127"/>
      <c r="B956" s="127"/>
      <c r="C956" s="127"/>
      <c r="D956" s="127"/>
      <c r="E956" s="127"/>
      <c r="F956" s="127"/>
      <c r="G956" s="127"/>
    </row>
    <row r="957" spans="1:7" ht="31.5" customHeight="1">
      <c r="A957" s="428"/>
      <c r="B957" s="425"/>
      <c r="C957" s="419"/>
      <c r="D957" s="420"/>
      <c r="E957" s="420"/>
      <c r="F957" s="62"/>
      <c r="G957" s="25"/>
    </row>
    <row r="958" spans="1:7" ht="31.5" customHeight="1">
      <c r="A958" s="546"/>
      <c r="B958" s="62"/>
      <c r="C958" s="418"/>
      <c r="D958" s="418"/>
      <c r="E958" s="418"/>
      <c r="F958" s="418"/>
      <c r="G958" s="418"/>
    </row>
    <row r="959" spans="1:7" ht="31.5" customHeight="1">
      <c r="A959" s="547"/>
      <c r="B959" s="18"/>
      <c r="C959" s="419"/>
      <c r="D959" s="420"/>
      <c r="E959" s="420"/>
      <c r="F959" s="420"/>
      <c r="G959" s="424"/>
    </row>
    <row r="960" spans="1:7" ht="31.5" customHeight="1">
      <c r="A960" s="548"/>
      <c r="B960" s="62"/>
      <c r="C960" s="550"/>
      <c r="D960" s="551"/>
      <c r="E960" s="551"/>
      <c r="F960" s="62"/>
      <c r="G960" s="25"/>
    </row>
    <row r="961" spans="1:7" ht="31.5" customHeight="1">
      <c r="A961" s="419"/>
      <c r="B961" s="420"/>
      <c r="C961" s="419"/>
      <c r="D961" s="420"/>
      <c r="E961" s="420"/>
      <c r="F961" s="62"/>
      <c r="G961" s="25"/>
    </row>
    <row r="962" spans="1:7" ht="31.5" customHeight="1">
      <c r="A962" s="428"/>
      <c r="B962" s="429"/>
      <c r="C962" s="19"/>
      <c r="D962" s="425"/>
      <c r="E962" s="425"/>
      <c r="F962" s="426"/>
      <c r="G962" s="427"/>
    </row>
    <row r="963" spans="1:7" ht="31.5" customHeight="1">
      <c r="A963" s="430"/>
      <c r="B963" s="431"/>
      <c r="C963" s="19"/>
      <c r="D963" s="19"/>
      <c r="E963" s="68"/>
      <c r="F963" s="59"/>
      <c r="G963" s="21"/>
    </row>
    <row r="964" spans="1:7" ht="31.5" customHeight="1">
      <c r="A964" s="430"/>
      <c r="B964" s="431"/>
      <c r="D964" s="19"/>
      <c r="E964" s="68"/>
      <c r="F964" s="60"/>
      <c r="G964" s="21"/>
    </row>
    <row r="965" spans="1:7" ht="31.5" customHeight="1">
      <c r="A965" s="432"/>
      <c r="B965" s="433"/>
      <c r="C965" s="20"/>
      <c r="D965" s="27"/>
      <c r="E965" s="27"/>
      <c r="G965" s="150"/>
    </row>
    <row r="966" spans="1:7" ht="31.5" customHeight="1">
      <c r="A966" s="447"/>
      <c r="B966" s="542"/>
      <c r="C966" s="44"/>
      <c r="D966" s="41"/>
      <c r="E966" s="151"/>
      <c r="F966" s="61"/>
      <c r="G966" s="69"/>
    </row>
    <row r="967" spans="1:7" ht="31.5" customHeight="1">
      <c r="A967" s="447"/>
      <c r="B967" s="542"/>
      <c r="C967" s="152"/>
      <c r="D967" s="42"/>
      <c r="F967" s="57"/>
      <c r="G967" s="70"/>
    </row>
    <row r="968" spans="1:7" ht="31.5" customHeight="1">
      <c r="A968" s="419"/>
      <c r="B968" s="420"/>
      <c r="C968" s="558"/>
      <c r="D968" s="553"/>
      <c r="E968" s="553"/>
      <c r="F968" s="25"/>
      <c r="G968" s="58"/>
    </row>
    <row r="969" spans="1:7" ht="31.5" customHeight="1">
      <c r="A969" s="428"/>
      <c r="B969" s="425"/>
      <c r="C969" s="17"/>
      <c r="D969" s="425"/>
      <c r="E969" s="425"/>
      <c r="F969" s="425"/>
      <c r="G969" s="429"/>
    </row>
    <row r="970" spans="1:7" ht="31.5" customHeight="1">
      <c r="A970" s="430"/>
      <c r="B970" s="559"/>
      <c r="C970" s="18"/>
      <c r="D970" s="559"/>
      <c r="E970" s="559"/>
      <c r="F970" s="559"/>
      <c r="G970" s="431"/>
    </row>
    <row r="971" spans="1:7" ht="31.5" customHeight="1">
      <c r="A971" s="432"/>
      <c r="B971" s="562"/>
      <c r="C971" s="26"/>
      <c r="D971" s="27"/>
      <c r="E971" s="153"/>
      <c r="F971" s="153"/>
      <c r="G971" s="154"/>
    </row>
    <row r="972" spans="1:7" ht="31.5" customHeight="1">
      <c r="A972" s="447"/>
      <c r="B972" s="542"/>
      <c r="C972" s="40"/>
      <c r="D972" s="41"/>
      <c r="E972" s="151"/>
      <c r="F972" s="41"/>
      <c r="G972" s="69"/>
    </row>
    <row r="973" spans="1:7" ht="31.5" customHeight="1">
      <c r="A973" s="447"/>
      <c r="B973" s="542"/>
      <c r="C973" s="43"/>
      <c r="D973" s="42"/>
      <c r="F973" s="41"/>
      <c r="G973" s="70"/>
    </row>
    <row r="974" spans="1:7" ht="31.5" customHeight="1">
      <c r="A974" s="447"/>
      <c r="B974" s="542"/>
      <c r="C974" s="447"/>
      <c r="D974" s="542"/>
      <c r="E974" s="542"/>
      <c r="F974" s="542"/>
      <c r="G974" s="448"/>
    </row>
    <row r="975" spans="1:7" ht="31.5" customHeight="1">
      <c r="A975" s="447"/>
      <c r="B975" s="542"/>
      <c r="C975" s="447"/>
      <c r="D975" s="542"/>
      <c r="E975" s="542"/>
      <c r="F975" s="542"/>
      <c r="G975" s="448"/>
    </row>
    <row r="976" spans="1:7" ht="31.5" customHeight="1">
      <c r="A976" s="447"/>
      <c r="B976" s="542"/>
      <c r="C976" s="445"/>
      <c r="D976" s="557"/>
      <c r="E976" s="557"/>
      <c r="F976" s="557"/>
      <c r="G976" s="446"/>
    </row>
    <row r="977" spans="1:7" ht="31.5" customHeight="1">
      <c r="A977" s="417"/>
      <c r="B977" s="417"/>
      <c r="C977" s="417"/>
      <c r="D977" s="417"/>
      <c r="E977" s="417"/>
      <c r="F977" s="417"/>
      <c r="G977" s="417"/>
    </row>
    <row r="978" spans="1:7" ht="31.5" customHeight="1">
      <c r="A978" s="127"/>
      <c r="B978" s="127"/>
      <c r="C978" s="127"/>
      <c r="D978" s="127"/>
      <c r="E978" s="127"/>
      <c r="F978" s="127"/>
      <c r="G978" s="127"/>
    </row>
    <row r="979" spans="1:7" ht="31.5" customHeight="1">
      <c r="A979" s="428"/>
      <c r="B979" s="425"/>
      <c r="C979" s="419"/>
      <c r="D979" s="420"/>
      <c r="E979" s="420"/>
      <c r="F979" s="62"/>
      <c r="G979" s="25"/>
    </row>
    <row r="980" spans="1:7" ht="31.5" customHeight="1">
      <c r="A980" s="546"/>
      <c r="B980" s="62"/>
      <c r="C980" s="418"/>
      <c r="D980" s="418"/>
      <c r="E980" s="418"/>
      <c r="F980" s="418"/>
      <c r="G980" s="418"/>
    </row>
    <row r="981" spans="1:7" ht="31.5" customHeight="1">
      <c r="A981" s="547"/>
      <c r="B981" s="18"/>
      <c r="C981" s="419"/>
      <c r="D981" s="420"/>
      <c r="E981" s="420"/>
      <c r="F981" s="420"/>
      <c r="G981" s="424"/>
    </row>
    <row r="982" spans="1:7" ht="31.5" customHeight="1">
      <c r="A982" s="548"/>
      <c r="B982" s="62"/>
      <c r="C982" s="550"/>
      <c r="D982" s="551"/>
      <c r="E982" s="551"/>
      <c r="F982" s="62"/>
      <c r="G982" s="25"/>
    </row>
    <row r="983" spans="1:7" ht="31.5" customHeight="1">
      <c r="A983" s="419"/>
      <c r="B983" s="420"/>
      <c r="C983" s="419"/>
      <c r="D983" s="420"/>
      <c r="E983" s="420"/>
      <c r="F983" s="62"/>
      <c r="G983" s="25"/>
    </row>
    <row r="984" spans="1:7" ht="31.5" customHeight="1">
      <c r="A984" s="428"/>
      <c r="B984" s="429"/>
      <c r="C984" s="19"/>
      <c r="D984" s="425"/>
      <c r="E984" s="425"/>
      <c r="F984" s="426"/>
      <c r="G984" s="427"/>
    </row>
    <row r="985" spans="1:7" ht="31.5" customHeight="1">
      <c r="A985" s="430"/>
      <c r="B985" s="431"/>
      <c r="C985" s="19"/>
      <c r="D985" s="19"/>
      <c r="E985" s="68"/>
      <c r="F985" s="59"/>
      <c r="G985" s="21"/>
    </row>
    <row r="986" spans="1:7" ht="31.5" customHeight="1">
      <c r="A986" s="430"/>
      <c r="B986" s="431"/>
      <c r="D986" s="19"/>
      <c r="E986" s="68"/>
      <c r="F986" s="60"/>
      <c r="G986" s="21"/>
    </row>
    <row r="987" spans="1:7" ht="31.5" customHeight="1">
      <c r="A987" s="432"/>
      <c r="B987" s="433"/>
      <c r="C987" s="20"/>
      <c r="D987" s="27"/>
      <c r="E987" s="27"/>
      <c r="G987" s="150"/>
    </row>
    <row r="988" spans="1:7" ht="31.5" customHeight="1">
      <c r="A988" s="447"/>
      <c r="B988" s="542"/>
      <c r="C988" s="44"/>
      <c r="D988" s="41"/>
      <c r="E988" s="151"/>
      <c r="F988" s="61"/>
      <c r="G988" s="69"/>
    </row>
    <row r="989" spans="1:7" ht="31.5" customHeight="1">
      <c r="A989" s="447"/>
      <c r="B989" s="542"/>
      <c r="C989" s="152"/>
      <c r="D989" s="42"/>
      <c r="F989" s="57"/>
      <c r="G989" s="70"/>
    </row>
    <row r="990" spans="1:7" ht="31.5" customHeight="1">
      <c r="A990" s="419"/>
      <c r="B990" s="420"/>
      <c r="C990" s="558"/>
      <c r="D990" s="553"/>
      <c r="E990" s="553"/>
      <c r="F990" s="25"/>
      <c r="G990" s="58"/>
    </row>
    <row r="991" spans="1:7" ht="31.5" customHeight="1">
      <c r="A991" s="428"/>
      <c r="B991" s="425"/>
      <c r="C991" s="17"/>
      <c r="D991" s="425"/>
      <c r="E991" s="425"/>
      <c r="F991" s="425"/>
      <c r="G991" s="429"/>
    </row>
    <row r="992" spans="1:7" ht="31.5" customHeight="1">
      <c r="A992" s="430"/>
      <c r="B992" s="559"/>
      <c r="C992" s="18"/>
      <c r="D992" s="559"/>
      <c r="E992" s="559"/>
      <c r="F992" s="559"/>
      <c r="G992" s="431"/>
    </row>
    <row r="993" spans="1:7" ht="31.5" customHeight="1">
      <c r="A993" s="432"/>
      <c r="B993" s="562"/>
      <c r="C993" s="26"/>
      <c r="D993" s="27"/>
      <c r="E993" s="153"/>
      <c r="F993" s="153"/>
      <c r="G993" s="154"/>
    </row>
    <row r="994" spans="1:7" ht="31.5" customHeight="1">
      <c r="A994" s="447"/>
      <c r="B994" s="542"/>
      <c r="C994" s="40"/>
      <c r="D994" s="41"/>
      <c r="E994" s="151"/>
      <c r="F994" s="41"/>
      <c r="G994" s="69"/>
    </row>
    <row r="995" spans="1:7" ht="31.5" customHeight="1">
      <c r="A995" s="447"/>
      <c r="B995" s="542"/>
      <c r="C995" s="43"/>
      <c r="D995" s="42"/>
      <c r="F995" s="41"/>
      <c r="G995" s="70"/>
    </row>
    <row r="996" spans="1:7" ht="31.5" customHeight="1">
      <c r="A996" s="447"/>
      <c r="B996" s="542"/>
      <c r="C996" s="447"/>
      <c r="D996" s="542"/>
      <c r="E996" s="542"/>
      <c r="F996" s="542"/>
      <c r="G996" s="448"/>
    </row>
    <row r="997" spans="1:7" ht="31.5" customHeight="1">
      <c r="A997" s="447"/>
      <c r="B997" s="542"/>
      <c r="C997" s="447"/>
      <c r="D997" s="542"/>
      <c r="E997" s="542"/>
      <c r="F997" s="542"/>
      <c r="G997" s="448"/>
    </row>
    <row r="998" spans="1:7" ht="31.5" customHeight="1">
      <c r="A998" s="447"/>
      <c r="B998" s="542"/>
      <c r="C998" s="445"/>
      <c r="D998" s="557"/>
      <c r="E998" s="557"/>
      <c r="F998" s="557"/>
      <c r="G998" s="446"/>
    </row>
    <row r="999" spans="1:7" ht="31.5" customHeight="1">
      <c r="A999" s="417"/>
      <c r="B999" s="417"/>
      <c r="C999" s="417"/>
      <c r="D999" s="417"/>
      <c r="E999" s="417"/>
      <c r="F999" s="417"/>
      <c r="G999" s="417"/>
    </row>
    <row r="1000" spans="1:7" ht="31.5" customHeight="1">
      <c r="A1000" s="127"/>
      <c r="B1000" s="127"/>
      <c r="C1000" s="127"/>
      <c r="D1000" s="127"/>
      <c r="E1000" s="127"/>
      <c r="F1000" s="127"/>
      <c r="G1000" s="127"/>
    </row>
    <row r="1001" spans="1:7" ht="31.5" customHeight="1">
      <c r="A1001" s="428"/>
      <c r="B1001" s="425"/>
      <c r="C1001" s="419"/>
      <c r="D1001" s="420"/>
      <c r="E1001" s="420"/>
      <c r="F1001" s="62"/>
      <c r="G1001" s="25"/>
    </row>
    <row r="1002" spans="1:7" ht="31.5" customHeight="1">
      <c r="A1002" s="546"/>
      <c r="B1002" s="62"/>
      <c r="C1002" s="549"/>
      <c r="D1002" s="418"/>
      <c r="E1002" s="418"/>
      <c r="F1002" s="418"/>
      <c r="G1002" s="418"/>
    </row>
    <row r="1003" spans="1:7" ht="31.5" customHeight="1">
      <c r="A1003" s="547"/>
      <c r="B1003" s="18"/>
      <c r="C1003" s="419"/>
      <c r="D1003" s="420"/>
      <c r="E1003" s="420"/>
      <c r="F1003" s="420"/>
      <c r="G1003" s="424"/>
    </row>
    <row r="1004" spans="1:7" ht="31.5" customHeight="1">
      <c r="A1004" s="548"/>
      <c r="B1004" s="62"/>
      <c r="C1004" s="550"/>
      <c r="D1004" s="551"/>
      <c r="E1004" s="551"/>
      <c r="F1004" s="62"/>
      <c r="G1004" s="25"/>
    </row>
    <row r="1005" spans="1:7" ht="31.5" customHeight="1">
      <c r="A1005" s="419"/>
      <c r="B1005" s="420"/>
      <c r="C1005" s="419"/>
      <c r="D1005" s="420"/>
      <c r="E1005" s="420"/>
      <c r="F1005" s="62"/>
      <c r="G1005" s="25"/>
    </row>
    <row r="1006" spans="1:7" ht="31.5" customHeight="1">
      <c r="A1006" s="428"/>
      <c r="B1006" s="429"/>
      <c r="C1006" s="19"/>
      <c r="D1006" s="425"/>
      <c r="E1006" s="425"/>
      <c r="F1006" s="426"/>
      <c r="G1006" s="427"/>
    </row>
    <row r="1007" spans="1:7" ht="31.5" customHeight="1">
      <c r="A1007" s="430"/>
      <c r="B1007" s="431"/>
      <c r="C1007" s="19"/>
      <c r="D1007" s="19"/>
      <c r="E1007" s="68"/>
      <c r="F1007" s="59"/>
      <c r="G1007" s="21"/>
    </row>
    <row r="1008" spans="1:7" ht="31.5" customHeight="1">
      <c r="A1008" s="430"/>
      <c r="B1008" s="431"/>
      <c r="D1008" s="19"/>
      <c r="E1008" s="68"/>
      <c r="F1008" s="60"/>
      <c r="G1008" s="21"/>
    </row>
    <row r="1009" spans="1:7" ht="31.5" customHeight="1">
      <c r="A1009" s="432"/>
      <c r="B1009" s="433"/>
      <c r="C1009" s="20"/>
      <c r="D1009" s="27"/>
      <c r="E1009" s="27"/>
      <c r="G1009" s="150"/>
    </row>
    <row r="1010" spans="1:7" ht="31.5" customHeight="1">
      <c r="A1010" s="447"/>
      <c r="B1010" s="542"/>
      <c r="C1010" s="44"/>
      <c r="D1010" s="41"/>
      <c r="E1010" s="151"/>
      <c r="F1010" s="61"/>
      <c r="G1010" s="69"/>
    </row>
    <row r="1011" spans="1:7" ht="31.5" customHeight="1">
      <c r="A1011" s="447"/>
      <c r="B1011" s="542"/>
      <c r="C1011" s="152"/>
      <c r="D1011" s="42"/>
      <c r="F1011" s="57"/>
      <c r="G1011" s="70"/>
    </row>
    <row r="1012" spans="1:7" ht="31.5" customHeight="1">
      <c r="A1012" s="419"/>
      <c r="B1012" s="420"/>
      <c r="C1012" s="558"/>
      <c r="D1012" s="553"/>
      <c r="E1012" s="553"/>
      <c r="F1012" s="25"/>
      <c r="G1012" s="58"/>
    </row>
    <row r="1013" spans="1:7" ht="31.5" customHeight="1">
      <c r="A1013" s="428"/>
      <c r="B1013" s="425"/>
      <c r="C1013" s="17"/>
      <c r="D1013" s="425"/>
      <c r="E1013" s="425"/>
      <c r="F1013" s="425"/>
      <c r="G1013" s="429"/>
    </row>
    <row r="1014" spans="1:7" ht="31.5" customHeight="1">
      <c r="A1014" s="430"/>
      <c r="B1014" s="559"/>
      <c r="C1014" s="18"/>
      <c r="D1014" s="559"/>
      <c r="E1014" s="559"/>
      <c r="F1014" s="559"/>
      <c r="G1014" s="431"/>
    </row>
    <row r="1015" spans="1:7" ht="31.5" customHeight="1">
      <c r="A1015" s="432"/>
      <c r="B1015" s="562"/>
      <c r="C1015" s="26"/>
      <c r="D1015" s="27"/>
      <c r="E1015" s="153"/>
      <c r="F1015" s="153"/>
      <c r="G1015" s="154"/>
    </row>
    <row r="1016" spans="1:7" ht="31.5" customHeight="1">
      <c r="A1016" s="447"/>
      <c r="B1016" s="542"/>
      <c r="C1016" s="40"/>
      <c r="D1016" s="41"/>
      <c r="E1016" s="151"/>
      <c r="F1016" s="41"/>
      <c r="G1016" s="69"/>
    </row>
    <row r="1017" spans="1:7" ht="31.5" customHeight="1">
      <c r="A1017" s="447"/>
      <c r="B1017" s="542"/>
      <c r="C1017" s="43"/>
      <c r="D1017" s="42"/>
      <c r="F1017" s="41"/>
      <c r="G1017" s="70"/>
    </row>
    <row r="1018" spans="1:7" ht="31.5" customHeight="1">
      <c r="A1018" s="447"/>
      <c r="B1018" s="542"/>
      <c r="C1018" s="447"/>
      <c r="D1018" s="542"/>
      <c r="E1018" s="542"/>
      <c r="F1018" s="542"/>
      <c r="G1018" s="448"/>
    </row>
    <row r="1019" spans="1:7" ht="31.5" customHeight="1">
      <c r="A1019" s="447"/>
      <c r="B1019" s="542"/>
      <c r="C1019" s="447"/>
      <c r="D1019" s="542"/>
      <c r="E1019" s="542"/>
      <c r="F1019" s="542"/>
      <c r="G1019" s="448"/>
    </row>
    <row r="1020" spans="1:7" ht="31.5" customHeight="1">
      <c r="A1020" s="447"/>
      <c r="B1020" s="542"/>
      <c r="C1020" s="445"/>
      <c r="D1020" s="557"/>
      <c r="E1020" s="557"/>
      <c r="F1020" s="557"/>
      <c r="G1020" s="446"/>
    </row>
    <row r="1021" spans="1:7" ht="31.5" customHeight="1">
      <c r="A1021" s="417"/>
      <c r="B1021" s="417"/>
      <c r="C1021" s="417"/>
      <c r="D1021" s="417"/>
      <c r="E1021" s="417"/>
      <c r="F1021" s="417"/>
      <c r="G1021" s="417"/>
    </row>
    <row r="1022" spans="1:7" ht="31.5" customHeight="1">
      <c r="A1022" s="127"/>
      <c r="B1022" s="127"/>
      <c r="C1022" s="127"/>
      <c r="D1022" s="127"/>
      <c r="E1022" s="127"/>
      <c r="F1022" s="127"/>
      <c r="G1022" s="127"/>
    </row>
    <row r="1023" spans="1:7" ht="31.5" customHeight="1">
      <c r="A1023" s="428"/>
      <c r="B1023" s="425"/>
      <c r="C1023" s="419"/>
      <c r="D1023" s="420"/>
      <c r="E1023" s="420"/>
      <c r="F1023" s="62"/>
      <c r="G1023" s="25"/>
    </row>
    <row r="1024" spans="1:7" ht="31.5" customHeight="1">
      <c r="A1024" s="546"/>
      <c r="B1024" s="62"/>
      <c r="C1024" s="419"/>
      <c r="D1024" s="420"/>
      <c r="E1024" s="420"/>
      <c r="F1024" s="420"/>
      <c r="G1024" s="424"/>
    </row>
    <row r="1025" spans="1:7" ht="31.5" customHeight="1">
      <c r="A1025" s="547"/>
      <c r="B1025" s="18"/>
      <c r="C1025" s="419"/>
      <c r="D1025" s="420"/>
      <c r="E1025" s="420"/>
      <c r="F1025" s="420"/>
      <c r="G1025" s="424"/>
    </row>
    <row r="1026" spans="1:7" ht="31.5" customHeight="1">
      <c r="A1026" s="548"/>
      <c r="B1026" s="62"/>
      <c r="C1026" s="550"/>
      <c r="D1026" s="551"/>
      <c r="E1026" s="551"/>
      <c r="F1026" s="62"/>
      <c r="G1026" s="25"/>
    </row>
    <row r="1027" spans="1:7" ht="31.5" customHeight="1">
      <c r="A1027" s="419"/>
      <c r="B1027" s="420"/>
      <c r="C1027" s="419"/>
      <c r="D1027" s="420"/>
      <c r="E1027" s="420"/>
      <c r="F1027" s="62"/>
      <c r="G1027" s="25"/>
    </row>
    <row r="1028" spans="1:7" ht="31.5" customHeight="1">
      <c r="A1028" s="428"/>
      <c r="B1028" s="429"/>
      <c r="C1028" s="19"/>
      <c r="D1028" s="425"/>
      <c r="E1028" s="425"/>
      <c r="F1028" s="426"/>
      <c r="G1028" s="427"/>
    </row>
    <row r="1029" spans="1:7" ht="31.5" customHeight="1">
      <c r="A1029" s="430"/>
      <c r="B1029" s="431"/>
      <c r="C1029" s="19"/>
      <c r="D1029" s="19"/>
      <c r="E1029" s="68"/>
      <c r="F1029" s="59"/>
      <c r="G1029" s="21"/>
    </row>
    <row r="1030" spans="1:7" ht="31.5" customHeight="1">
      <c r="A1030" s="430"/>
      <c r="B1030" s="431"/>
      <c r="D1030" s="19"/>
      <c r="E1030" s="68"/>
      <c r="F1030" s="60"/>
      <c r="G1030" s="21"/>
    </row>
    <row r="1031" spans="1:7" ht="31.5" customHeight="1">
      <c r="A1031" s="432"/>
      <c r="B1031" s="433"/>
      <c r="C1031" s="20"/>
      <c r="D1031" s="27"/>
      <c r="E1031" s="27"/>
      <c r="G1031" s="150"/>
    </row>
    <row r="1032" spans="1:7" ht="31.5" customHeight="1">
      <c r="A1032" s="447"/>
      <c r="B1032" s="542"/>
      <c r="C1032" s="44"/>
      <c r="D1032" s="41"/>
      <c r="E1032" s="151"/>
      <c r="F1032" s="61"/>
      <c r="G1032" s="69"/>
    </row>
    <row r="1033" spans="1:7" ht="31.5" customHeight="1">
      <c r="A1033" s="447"/>
      <c r="B1033" s="542"/>
      <c r="C1033" s="152"/>
      <c r="D1033" s="42"/>
      <c r="F1033" s="59"/>
      <c r="G1033" s="70"/>
    </row>
    <row r="1034" spans="1:7" ht="31.5" customHeight="1">
      <c r="A1034" s="419"/>
      <c r="B1034" s="420"/>
      <c r="C1034" s="558"/>
      <c r="D1034" s="553"/>
      <c r="E1034" s="553"/>
      <c r="F1034" s="25"/>
      <c r="G1034" s="58"/>
    </row>
    <row r="1035" spans="1:7" ht="31.5" customHeight="1">
      <c r="A1035" s="428"/>
      <c r="B1035" s="425"/>
      <c r="C1035" s="17"/>
      <c r="D1035" s="425"/>
      <c r="E1035" s="425"/>
      <c r="F1035" s="425"/>
      <c r="G1035" s="429"/>
    </row>
    <row r="1036" spans="1:7" ht="31.5" customHeight="1">
      <c r="A1036" s="430"/>
      <c r="B1036" s="559"/>
      <c r="C1036" s="18"/>
      <c r="D1036" s="559"/>
      <c r="E1036" s="559"/>
      <c r="F1036" s="559"/>
      <c r="G1036" s="431"/>
    </row>
    <row r="1037" spans="1:7" ht="31.5" customHeight="1">
      <c r="A1037" s="432"/>
      <c r="B1037" s="562"/>
      <c r="C1037" s="26"/>
      <c r="D1037" s="27"/>
      <c r="E1037" s="153"/>
      <c r="F1037" s="153"/>
      <c r="G1037" s="154"/>
    </row>
    <row r="1038" spans="1:7" ht="31.5" customHeight="1">
      <c r="A1038" s="447"/>
      <c r="B1038" s="542"/>
      <c r="C1038" s="40"/>
      <c r="D1038" s="41"/>
      <c r="E1038" s="151"/>
      <c r="F1038" s="41"/>
      <c r="G1038" s="69"/>
    </row>
    <row r="1039" spans="1:7" ht="31.5" customHeight="1">
      <c r="A1039" s="447"/>
      <c r="B1039" s="542"/>
      <c r="C1039" s="43"/>
      <c r="D1039" s="42"/>
      <c r="F1039" s="41"/>
      <c r="G1039" s="70"/>
    </row>
    <row r="1040" spans="1:7" ht="31.5" customHeight="1">
      <c r="A1040" s="447"/>
      <c r="B1040" s="542"/>
      <c r="C1040" s="447"/>
      <c r="D1040" s="542"/>
      <c r="E1040" s="542"/>
      <c r="F1040" s="542"/>
      <c r="G1040" s="448"/>
    </row>
    <row r="1041" spans="1:7" ht="31.5" customHeight="1">
      <c r="A1041" s="447"/>
      <c r="B1041" s="542"/>
      <c r="C1041" s="447"/>
      <c r="D1041" s="542"/>
      <c r="E1041" s="542"/>
      <c r="F1041" s="542"/>
      <c r="G1041" s="448"/>
    </row>
    <row r="1042" spans="1:7" ht="58.5" customHeight="1">
      <c r="A1042" s="447"/>
      <c r="B1042" s="542"/>
      <c r="C1042" s="445"/>
      <c r="D1042" s="557"/>
      <c r="E1042" s="557"/>
      <c r="F1042" s="557"/>
      <c r="G1042" s="446"/>
    </row>
    <row r="1043" spans="1:7" ht="31.5" customHeight="1">
      <c r="A1043" s="417"/>
      <c r="B1043" s="417"/>
      <c r="C1043" s="417"/>
      <c r="D1043" s="417"/>
      <c r="E1043" s="417"/>
      <c r="F1043" s="417"/>
      <c r="G1043" s="417"/>
    </row>
    <row r="1044" spans="1:7" ht="31.5" customHeight="1">
      <c r="A1044" s="127"/>
      <c r="B1044" s="127"/>
      <c r="C1044" s="127"/>
      <c r="D1044" s="127"/>
      <c r="E1044" s="127"/>
      <c r="F1044" s="127"/>
      <c r="G1044" s="127"/>
    </row>
    <row r="1045" spans="1:7" ht="31.5" customHeight="1">
      <c r="A1045" s="428"/>
      <c r="B1045" s="425"/>
      <c r="C1045" s="419"/>
      <c r="D1045" s="420"/>
      <c r="E1045" s="420"/>
      <c r="F1045" s="62"/>
      <c r="G1045" s="25"/>
    </row>
    <row r="1046" spans="1:7" ht="31.5" customHeight="1">
      <c r="A1046" s="546"/>
      <c r="B1046" s="62"/>
      <c r="C1046" s="549"/>
      <c r="D1046" s="418"/>
      <c r="E1046" s="418"/>
      <c r="F1046" s="418"/>
      <c r="G1046" s="418"/>
    </row>
    <row r="1047" spans="1:7" ht="31.5" customHeight="1">
      <c r="A1047" s="547"/>
      <c r="B1047" s="18"/>
      <c r="C1047" s="419"/>
      <c r="D1047" s="420"/>
      <c r="E1047" s="420"/>
      <c r="F1047" s="420"/>
      <c r="G1047" s="424"/>
    </row>
    <row r="1048" spans="1:7" ht="31.5" customHeight="1">
      <c r="A1048" s="548"/>
      <c r="B1048" s="62"/>
      <c r="C1048" s="550"/>
      <c r="D1048" s="551"/>
      <c r="E1048" s="551"/>
      <c r="F1048" s="62"/>
      <c r="G1048" s="25"/>
    </row>
    <row r="1049" spans="1:7" ht="31.5" customHeight="1">
      <c r="A1049" s="419"/>
      <c r="B1049" s="420"/>
      <c r="C1049" s="419"/>
      <c r="D1049" s="420"/>
      <c r="E1049" s="420"/>
      <c r="F1049" s="62"/>
      <c r="G1049" s="25"/>
    </row>
    <row r="1050" spans="1:7" ht="31.5" customHeight="1">
      <c r="A1050" s="428"/>
      <c r="B1050" s="429"/>
      <c r="C1050" s="19"/>
      <c r="D1050" s="425"/>
      <c r="E1050" s="425"/>
      <c r="F1050" s="426"/>
      <c r="G1050" s="427"/>
    </row>
    <row r="1051" spans="1:7" ht="31.5" customHeight="1">
      <c r="A1051" s="430"/>
      <c r="B1051" s="431"/>
      <c r="C1051" s="19"/>
      <c r="D1051" s="19"/>
      <c r="E1051" s="68"/>
      <c r="F1051" s="59"/>
      <c r="G1051" s="21"/>
    </row>
    <row r="1052" spans="1:7" ht="31.5" customHeight="1">
      <c r="A1052" s="430"/>
      <c r="B1052" s="431"/>
      <c r="D1052" s="19"/>
      <c r="E1052" s="68"/>
      <c r="F1052" s="60"/>
      <c r="G1052" s="21"/>
    </row>
    <row r="1053" spans="1:7" ht="31.5" customHeight="1">
      <c r="A1053" s="432"/>
      <c r="B1053" s="433"/>
      <c r="C1053" s="20"/>
      <c r="D1053" s="27"/>
      <c r="E1053" s="27"/>
      <c r="G1053" s="150"/>
    </row>
    <row r="1054" spans="1:7" ht="31.5" customHeight="1">
      <c r="A1054" s="447"/>
      <c r="B1054" s="542"/>
      <c r="C1054" s="44"/>
      <c r="D1054" s="41"/>
      <c r="E1054" s="151"/>
      <c r="F1054" s="61"/>
      <c r="G1054" s="69"/>
    </row>
    <row r="1055" spans="1:7" ht="31.5" customHeight="1">
      <c r="A1055" s="447"/>
      <c r="B1055" s="542"/>
      <c r="C1055" s="152"/>
      <c r="D1055" s="42"/>
      <c r="F1055" s="57"/>
      <c r="G1055" s="70"/>
    </row>
    <row r="1056" spans="1:7" ht="31.5" customHeight="1">
      <c r="A1056" s="419"/>
      <c r="B1056" s="420"/>
      <c r="C1056" s="558"/>
      <c r="D1056" s="553"/>
      <c r="E1056" s="553"/>
      <c r="F1056" s="25"/>
      <c r="G1056" s="58"/>
    </row>
    <row r="1057" spans="1:7" ht="31.5" customHeight="1">
      <c r="A1057" s="428"/>
      <c r="B1057" s="425"/>
      <c r="C1057" s="17"/>
      <c r="D1057" s="425"/>
      <c r="E1057" s="425"/>
      <c r="F1057" s="425"/>
      <c r="G1057" s="429"/>
    </row>
    <row r="1058" spans="1:7" ht="31.5" customHeight="1">
      <c r="A1058" s="430"/>
      <c r="B1058" s="559"/>
      <c r="C1058" s="18"/>
      <c r="D1058" s="559"/>
      <c r="E1058" s="559"/>
      <c r="F1058" s="559"/>
      <c r="G1058" s="431"/>
    </row>
    <row r="1059" spans="1:7" ht="31.5" customHeight="1">
      <c r="A1059" s="432"/>
      <c r="B1059" s="562"/>
      <c r="C1059" s="26"/>
      <c r="D1059" s="27"/>
      <c r="E1059" s="153"/>
      <c r="F1059" s="153"/>
      <c r="G1059" s="154"/>
    </row>
    <row r="1060" spans="1:7" ht="31.5" customHeight="1">
      <c r="A1060" s="447"/>
      <c r="B1060" s="542"/>
      <c r="C1060" s="40"/>
      <c r="D1060" s="41"/>
      <c r="E1060" s="151"/>
      <c r="F1060" s="41"/>
      <c r="G1060" s="69"/>
    </row>
    <row r="1061" spans="1:7" ht="31.5" customHeight="1">
      <c r="A1061" s="447"/>
      <c r="B1061" s="542"/>
      <c r="C1061" s="43"/>
      <c r="D1061" s="42"/>
      <c r="F1061" s="41"/>
      <c r="G1061" s="70"/>
    </row>
    <row r="1062" spans="1:7" ht="31.5" customHeight="1">
      <c r="A1062" s="447"/>
      <c r="B1062" s="542"/>
      <c r="C1062" s="447"/>
      <c r="D1062" s="542"/>
      <c r="E1062" s="542"/>
      <c r="F1062" s="542"/>
      <c r="G1062" s="448"/>
    </row>
    <row r="1063" spans="1:7" ht="31.5" customHeight="1">
      <c r="A1063" s="447"/>
      <c r="B1063" s="542"/>
      <c r="C1063" s="447"/>
      <c r="D1063" s="542"/>
      <c r="E1063" s="542"/>
      <c r="F1063" s="542"/>
      <c r="G1063" s="448"/>
    </row>
    <row r="1064" spans="1:7" ht="31.5" customHeight="1">
      <c r="A1064" s="447"/>
      <c r="B1064" s="542"/>
      <c r="C1064" s="445"/>
      <c r="D1064" s="557"/>
      <c r="E1064" s="557"/>
      <c r="F1064" s="557"/>
      <c r="G1064" s="446"/>
    </row>
    <row r="1065" spans="1:7" ht="31.5" customHeight="1">
      <c r="A1065" s="417"/>
      <c r="B1065" s="417"/>
      <c r="C1065" s="417"/>
      <c r="D1065" s="417"/>
      <c r="E1065" s="417"/>
      <c r="F1065" s="417"/>
      <c r="G1065" s="417"/>
    </row>
    <row r="1066" spans="1:7" ht="31.5" customHeight="1">
      <c r="A1066" s="127"/>
      <c r="B1066" s="127"/>
      <c r="C1066" s="127"/>
      <c r="D1066" s="127"/>
      <c r="E1066" s="127"/>
      <c r="F1066" s="127"/>
      <c r="G1066" s="127"/>
    </row>
    <row r="1067" spans="1:7" ht="31.5" customHeight="1">
      <c r="A1067" s="428"/>
      <c r="B1067" s="425"/>
      <c r="C1067" s="419"/>
      <c r="D1067" s="420"/>
      <c r="E1067" s="420"/>
      <c r="F1067" s="62"/>
      <c r="G1067" s="25"/>
    </row>
    <row r="1068" spans="1:7" ht="31.5" customHeight="1">
      <c r="A1068" s="546"/>
      <c r="B1068" s="62"/>
      <c r="C1068" s="549"/>
      <c r="D1068" s="418"/>
      <c r="E1068" s="418"/>
      <c r="F1068" s="418"/>
      <c r="G1068" s="418"/>
    </row>
    <row r="1069" spans="1:7" ht="31.5" customHeight="1">
      <c r="A1069" s="547"/>
      <c r="B1069" s="18"/>
      <c r="C1069" s="419"/>
      <c r="D1069" s="420"/>
      <c r="E1069" s="420"/>
      <c r="F1069" s="420"/>
      <c r="G1069" s="424"/>
    </row>
    <row r="1070" spans="1:7" ht="31.5" customHeight="1">
      <c r="A1070" s="548"/>
      <c r="B1070" s="62"/>
      <c r="C1070" s="550"/>
      <c r="D1070" s="551"/>
      <c r="E1070" s="551"/>
      <c r="F1070" s="62"/>
      <c r="G1070" s="25"/>
    </row>
    <row r="1071" spans="1:7" ht="31.5" customHeight="1">
      <c r="A1071" s="419"/>
      <c r="B1071" s="420"/>
      <c r="C1071" s="419"/>
      <c r="D1071" s="420"/>
      <c r="E1071" s="420"/>
      <c r="F1071" s="62"/>
      <c r="G1071" s="25"/>
    </row>
    <row r="1072" spans="1:7" ht="31.5" customHeight="1">
      <c r="A1072" s="428"/>
      <c r="B1072" s="429"/>
      <c r="C1072" s="19"/>
      <c r="D1072" s="425"/>
      <c r="E1072" s="425"/>
      <c r="F1072" s="426"/>
      <c r="G1072" s="427"/>
    </row>
    <row r="1073" spans="1:7" ht="31.5" customHeight="1">
      <c r="A1073" s="430"/>
      <c r="B1073" s="431"/>
      <c r="C1073" s="19"/>
      <c r="D1073" s="19"/>
      <c r="E1073" s="68"/>
      <c r="F1073" s="59"/>
      <c r="G1073" s="21"/>
    </row>
    <row r="1074" spans="1:7" ht="31.5" customHeight="1">
      <c r="A1074" s="430"/>
      <c r="B1074" s="431"/>
      <c r="D1074" s="19"/>
      <c r="E1074" s="68"/>
      <c r="F1074" s="60"/>
      <c r="G1074" s="21"/>
    </row>
    <row r="1075" spans="1:7" ht="31.5" customHeight="1">
      <c r="A1075" s="432"/>
      <c r="B1075" s="433"/>
      <c r="C1075" s="20"/>
      <c r="D1075" s="27"/>
      <c r="E1075" s="27"/>
      <c r="G1075" s="150"/>
    </row>
    <row r="1076" spans="1:7" ht="31.5" customHeight="1">
      <c r="A1076" s="447"/>
      <c r="B1076" s="542"/>
      <c r="C1076" s="44"/>
      <c r="D1076" s="41"/>
      <c r="E1076" s="151"/>
      <c r="F1076" s="61"/>
      <c r="G1076" s="69"/>
    </row>
    <row r="1077" spans="1:7" ht="31.5" customHeight="1">
      <c r="A1077" s="447"/>
      <c r="B1077" s="542"/>
      <c r="C1077" s="152"/>
      <c r="D1077" s="42"/>
      <c r="F1077" s="57"/>
      <c r="G1077" s="70"/>
    </row>
    <row r="1078" spans="1:7" ht="31.5" customHeight="1">
      <c r="A1078" s="419"/>
      <c r="B1078" s="420"/>
      <c r="C1078" s="558"/>
      <c r="D1078" s="553"/>
      <c r="E1078" s="553"/>
      <c r="F1078" s="25"/>
      <c r="G1078" s="58"/>
    </row>
    <row r="1079" spans="1:7" ht="31.5" customHeight="1">
      <c r="A1079" s="428"/>
      <c r="B1079" s="425"/>
      <c r="C1079" s="17"/>
      <c r="D1079" s="425"/>
      <c r="E1079" s="425"/>
      <c r="F1079" s="425"/>
      <c r="G1079" s="429"/>
    </row>
    <row r="1080" spans="1:7" ht="31.5" customHeight="1">
      <c r="A1080" s="430"/>
      <c r="B1080" s="559"/>
      <c r="C1080" s="18"/>
      <c r="D1080" s="559"/>
      <c r="E1080" s="559"/>
      <c r="F1080" s="559"/>
      <c r="G1080" s="431"/>
    </row>
    <row r="1081" spans="1:7" ht="31.5" customHeight="1">
      <c r="A1081" s="432"/>
      <c r="B1081" s="562"/>
      <c r="C1081" s="26"/>
      <c r="D1081" s="27"/>
      <c r="E1081" s="153"/>
      <c r="F1081" s="153"/>
      <c r="G1081" s="154"/>
    </row>
    <row r="1082" spans="1:7" ht="31.5" customHeight="1">
      <c r="A1082" s="447"/>
      <c r="B1082" s="542"/>
      <c r="C1082" s="40"/>
      <c r="D1082" s="41"/>
      <c r="E1082" s="151"/>
      <c r="F1082" s="41"/>
      <c r="G1082" s="69"/>
    </row>
    <row r="1083" spans="1:7" ht="31.5" customHeight="1">
      <c r="A1083" s="447"/>
      <c r="B1083" s="542"/>
      <c r="C1083" s="43"/>
      <c r="D1083" s="42"/>
      <c r="F1083" s="41"/>
      <c r="G1083" s="70"/>
    </row>
    <row r="1084" spans="1:7" ht="31.5" customHeight="1">
      <c r="A1084" s="447"/>
      <c r="B1084" s="542"/>
      <c r="C1084" s="447"/>
      <c r="D1084" s="542"/>
      <c r="E1084" s="542"/>
      <c r="F1084" s="542"/>
      <c r="G1084" s="448"/>
    </row>
    <row r="1085" spans="1:7" ht="31.5" customHeight="1">
      <c r="A1085" s="447"/>
      <c r="B1085" s="542"/>
      <c r="C1085" s="447"/>
      <c r="D1085" s="542"/>
      <c r="E1085" s="542"/>
      <c r="F1085" s="542"/>
      <c r="G1085" s="448"/>
    </row>
    <row r="1086" spans="1:7" ht="31.5" customHeight="1">
      <c r="A1086" s="447"/>
      <c r="B1086" s="542"/>
      <c r="C1086" s="445"/>
      <c r="D1086" s="557"/>
      <c r="E1086" s="557"/>
      <c r="F1086" s="557"/>
      <c r="G1086" s="446"/>
    </row>
    <row r="1087" spans="1:7" ht="31.5" customHeight="1">
      <c r="A1087" s="417"/>
      <c r="B1087" s="417"/>
      <c r="C1087" s="417"/>
      <c r="D1087" s="417"/>
      <c r="E1087" s="417"/>
      <c r="F1087" s="417"/>
      <c r="G1087" s="417"/>
    </row>
    <row r="1088" spans="1:7" ht="31.5" customHeight="1">
      <c r="A1088" s="127"/>
      <c r="B1088" s="127"/>
      <c r="C1088" s="127"/>
      <c r="D1088" s="127"/>
      <c r="E1088" s="127"/>
      <c r="F1088" s="127"/>
      <c r="G1088" s="127"/>
    </row>
    <row r="1089" spans="1:7" ht="31.5" customHeight="1">
      <c r="A1089" s="428"/>
      <c r="B1089" s="425"/>
      <c r="C1089" s="419"/>
      <c r="D1089" s="420"/>
      <c r="E1089" s="420"/>
      <c r="F1089" s="62"/>
      <c r="G1089" s="25"/>
    </row>
    <row r="1090" spans="1:7" ht="31.5" customHeight="1">
      <c r="A1090" s="546"/>
      <c r="B1090" s="62"/>
      <c r="C1090" s="549"/>
      <c r="D1090" s="418"/>
      <c r="E1090" s="418"/>
      <c r="F1090" s="418"/>
      <c r="G1090" s="418"/>
    </row>
    <row r="1091" spans="1:7" ht="31.5" customHeight="1">
      <c r="A1091" s="547"/>
      <c r="B1091" s="18"/>
      <c r="C1091" s="419"/>
      <c r="D1091" s="420"/>
      <c r="E1091" s="420"/>
      <c r="F1091" s="420"/>
      <c r="G1091" s="424"/>
    </row>
    <row r="1092" spans="1:7" ht="31.5" customHeight="1">
      <c r="A1092" s="548"/>
      <c r="B1092" s="62"/>
      <c r="C1092" s="550"/>
      <c r="D1092" s="551"/>
      <c r="E1092" s="551"/>
      <c r="F1092" s="62"/>
      <c r="G1092" s="25"/>
    </row>
    <row r="1093" spans="1:7" ht="31.5" customHeight="1">
      <c r="A1093" s="419"/>
      <c r="B1093" s="420"/>
      <c r="C1093" s="419"/>
      <c r="D1093" s="420"/>
      <c r="E1093" s="420"/>
      <c r="F1093" s="62"/>
      <c r="G1093" s="25"/>
    </row>
    <row r="1094" spans="1:7" ht="31.5" customHeight="1">
      <c r="A1094" s="428"/>
      <c r="B1094" s="429"/>
      <c r="C1094" s="19"/>
      <c r="D1094" s="425"/>
      <c r="E1094" s="425"/>
      <c r="F1094" s="426"/>
      <c r="G1094" s="427"/>
    </row>
    <row r="1095" spans="1:7" ht="31.5" customHeight="1">
      <c r="A1095" s="430"/>
      <c r="B1095" s="431"/>
      <c r="C1095" s="19"/>
      <c r="D1095" s="19"/>
      <c r="E1095" s="68"/>
      <c r="F1095" s="59"/>
      <c r="G1095" s="21"/>
    </row>
    <row r="1096" spans="1:7" ht="31.5" customHeight="1">
      <c r="A1096" s="430"/>
      <c r="B1096" s="431"/>
      <c r="D1096" s="19"/>
      <c r="E1096" s="68"/>
      <c r="F1096" s="60"/>
      <c r="G1096" s="21"/>
    </row>
    <row r="1097" spans="1:7" ht="31.5" customHeight="1">
      <c r="A1097" s="432"/>
      <c r="B1097" s="433"/>
      <c r="D1097" s="19"/>
      <c r="E1097" s="68"/>
      <c r="F1097" s="60"/>
      <c r="G1097" s="21"/>
    </row>
    <row r="1098" spans="1:7" ht="31.5" customHeight="1">
      <c r="A1098" s="447"/>
      <c r="B1098" s="542"/>
      <c r="C1098" s="44"/>
      <c r="D1098" s="41"/>
      <c r="E1098" s="151"/>
      <c r="F1098" s="61"/>
      <c r="G1098" s="69"/>
    </row>
    <row r="1099" spans="1:7" ht="31.5" customHeight="1">
      <c r="A1099" s="447"/>
      <c r="B1099" s="542"/>
      <c r="C1099" s="152"/>
      <c r="D1099" s="42"/>
      <c r="F1099" s="57"/>
      <c r="G1099" s="70"/>
    </row>
    <row r="1100" spans="1:7" ht="31.5" customHeight="1">
      <c r="A1100" s="419"/>
      <c r="B1100" s="420"/>
      <c r="C1100" s="558"/>
      <c r="D1100" s="553"/>
      <c r="E1100" s="553"/>
      <c r="F1100" s="25"/>
      <c r="G1100" s="58"/>
    </row>
    <row r="1101" spans="1:7" ht="31.5" customHeight="1">
      <c r="A1101" s="428"/>
      <c r="B1101" s="425"/>
      <c r="C1101" s="17"/>
      <c r="D1101" s="425"/>
      <c r="E1101" s="425"/>
      <c r="F1101" s="425"/>
      <c r="G1101" s="429"/>
    </row>
    <row r="1102" spans="1:7" ht="31.5" customHeight="1">
      <c r="A1102" s="430"/>
      <c r="B1102" s="559"/>
      <c r="C1102" s="18"/>
      <c r="D1102" s="559"/>
      <c r="E1102" s="559"/>
      <c r="F1102" s="559"/>
      <c r="G1102" s="431"/>
    </row>
    <row r="1103" spans="1:7" ht="31.5" customHeight="1">
      <c r="A1103" s="432"/>
      <c r="B1103" s="562"/>
      <c r="C1103" s="26"/>
      <c r="D1103" s="27"/>
      <c r="E1103" s="153"/>
      <c r="F1103" s="153"/>
      <c r="G1103" s="154"/>
    </row>
    <row r="1104" spans="1:7" ht="31.5" customHeight="1">
      <c r="A1104" s="447"/>
      <c r="B1104" s="542"/>
      <c r="C1104" s="40"/>
      <c r="D1104" s="41"/>
      <c r="E1104" s="151"/>
      <c r="F1104" s="41"/>
      <c r="G1104" s="69"/>
    </row>
    <row r="1105" spans="1:7" ht="31.5" customHeight="1">
      <c r="A1105" s="447"/>
      <c r="B1105" s="542"/>
      <c r="C1105" s="43"/>
      <c r="D1105" s="42"/>
      <c r="F1105" s="41"/>
      <c r="G1105" s="70"/>
    </row>
    <row r="1106" spans="1:7" ht="31.5" customHeight="1">
      <c r="A1106" s="447"/>
      <c r="B1106" s="542"/>
      <c r="C1106" s="447"/>
      <c r="D1106" s="542"/>
      <c r="E1106" s="542"/>
      <c r="F1106" s="542"/>
      <c r="G1106" s="448"/>
    </row>
    <row r="1107" spans="1:7" ht="31.5" customHeight="1">
      <c r="A1107" s="447"/>
      <c r="B1107" s="542"/>
      <c r="C1107" s="447"/>
      <c r="D1107" s="542"/>
      <c r="E1107" s="542"/>
      <c r="F1107" s="542"/>
      <c r="G1107" s="448"/>
    </row>
    <row r="1108" spans="1:7" ht="31.5" customHeight="1">
      <c r="A1108" s="447"/>
      <c r="B1108" s="542"/>
      <c r="C1108" s="445"/>
      <c r="D1108" s="557"/>
      <c r="E1108" s="557"/>
      <c r="F1108" s="557"/>
      <c r="G1108" s="446"/>
    </row>
    <row r="1109" spans="1:7" ht="31.5" customHeight="1">
      <c r="A1109" s="417"/>
      <c r="B1109" s="417"/>
      <c r="C1109" s="417"/>
      <c r="D1109" s="417"/>
      <c r="E1109" s="417"/>
      <c r="F1109" s="417"/>
      <c r="G1109" s="417"/>
    </row>
    <row r="1110" spans="1:7" ht="31.5" customHeight="1">
      <c r="A1110" s="127"/>
      <c r="B1110" s="127"/>
      <c r="C1110" s="127"/>
      <c r="D1110" s="127"/>
      <c r="E1110" s="127"/>
      <c r="F1110" s="127"/>
      <c r="G1110" s="127"/>
    </row>
    <row r="1111" spans="1:7" ht="31.5" customHeight="1">
      <c r="A1111" s="428"/>
      <c r="B1111" s="425"/>
      <c r="C1111" s="419"/>
      <c r="D1111" s="420"/>
      <c r="E1111" s="420"/>
      <c r="F1111" s="62"/>
      <c r="G1111" s="25"/>
    </row>
    <row r="1112" spans="1:7" ht="31.5" customHeight="1">
      <c r="A1112" s="546"/>
      <c r="B1112" s="62"/>
      <c r="C1112" s="549"/>
      <c r="D1112" s="418"/>
      <c r="E1112" s="418"/>
      <c r="F1112" s="418"/>
      <c r="G1112" s="418"/>
    </row>
    <row r="1113" spans="1:7" ht="31.5" customHeight="1">
      <c r="A1113" s="547"/>
      <c r="B1113" s="18"/>
      <c r="C1113" s="419"/>
      <c r="D1113" s="420"/>
      <c r="E1113" s="420"/>
      <c r="F1113" s="420"/>
      <c r="G1113" s="424"/>
    </row>
    <row r="1114" spans="1:7" ht="31.5" customHeight="1">
      <c r="A1114" s="548"/>
      <c r="B1114" s="62"/>
      <c r="C1114" s="550"/>
      <c r="D1114" s="551"/>
      <c r="E1114" s="551"/>
      <c r="F1114" s="62"/>
      <c r="G1114" s="25"/>
    </row>
    <row r="1115" spans="1:7" ht="31.5" customHeight="1">
      <c r="A1115" s="419"/>
      <c r="B1115" s="420"/>
      <c r="C1115" s="419"/>
      <c r="D1115" s="420"/>
      <c r="E1115" s="420"/>
      <c r="F1115" s="62"/>
      <c r="G1115" s="25"/>
    </row>
    <row r="1116" spans="1:7" ht="31.5" customHeight="1">
      <c r="A1116" s="428"/>
      <c r="B1116" s="429"/>
      <c r="C1116" s="19"/>
      <c r="D1116" s="425"/>
      <c r="E1116" s="425"/>
      <c r="F1116" s="426"/>
      <c r="G1116" s="427"/>
    </row>
    <row r="1117" spans="1:7" ht="31.5" customHeight="1">
      <c r="A1117" s="430"/>
      <c r="B1117" s="431"/>
      <c r="C1117" s="19"/>
      <c r="D1117" s="19"/>
      <c r="E1117" s="68"/>
      <c r="F1117" s="59"/>
      <c r="G1117" s="21"/>
    </row>
    <row r="1118" spans="1:7" ht="31.5" customHeight="1">
      <c r="A1118" s="430"/>
      <c r="B1118" s="431"/>
      <c r="D1118" s="19"/>
      <c r="E1118" s="68"/>
      <c r="F1118" s="60"/>
      <c r="G1118" s="21"/>
    </row>
    <row r="1119" spans="1:7" ht="31.5" customHeight="1">
      <c r="A1119" s="432"/>
      <c r="B1119" s="433"/>
      <c r="C1119" s="20"/>
      <c r="D1119" s="27"/>
      <c r="E1119" s="27"/>
      <c r="G1119" s="150"/>
    </row>
    <row r="1120" spans="1:7" ht="31.5" customHeight="1">
      <c r="A1120" s="447"/>
      <c r="B1120" s="542"/>
      <c r="C1120" s="44"/>
      <c r="D1120" s="41"/>
      <c r="E1120" s="151"/>
      <c r="F1120" s="61"/>
      <c r="G1120" s="69"/>
    </row>
    <row r="1121" spans="1:7" ht="31.5" customHeight="1">
      <c r="A1121" s="447"/>
      <c r="B1121" s="542"/>
      <c r="C1121" s="152"/>
      <c r="D1121" s="42"/>
      <c r="F1121" s="57"/>
      <c r="G1121" s="70"/>
    </row>
    <row r="1122" spans="1:7" ht="31.5" customHeight="1">
      <c r="A1122" s="419"/>
      <c r="B1122" s="420"/>
      <c r="C1122" s="558"/>
      <c r="D1122" s="553"/>
      <c r="E1122" s="553"/>
      <c r="F1122" s="25"/>
      <c r="G1122" s="58"/>
    </row>
    <row r="1123" spans="1:7" ht="31.5" customHeight="1">
      <c r="A1123" s="428"/>
      <c r="B1123" s="425"/>
      <c r="C1123" s="17"/>
      <c r="D1123" s="425"/>
      <c r="E1123" s="425"/>
      <c r="F1123" s="425"/>
      <c r="G1123" s="429"/>
    </row>
    <row r="1124" spans="1:7" ht="31.5" customHeight="1">
      <c r="A1124" s="430"/>
      <c r="B1124" s="559"/>
      <c r="C1124" s="18"/>
      <c r="D1124" s="559"/>
      <c r="E1124" s="559"/>
      <c r="F1124" s="559"/>
      <c r="G1124" s="431"/>
    </row>
    <row r="1125" spans="1:7" ht="31.5" customHeight="1">
      <c r="A1125" s="432"/>
      <c r="B1125" s="562"/>
      <c r="C1125" s="26"/>
      <c r="D1125" s="27"/>
      <c r="E1125" s="153"/>
      <c r="F1125" s="153"/>
      <c r="G1125" s="154"/>
    </row>
    <row r="1126" spans="1:7" ht="31.5" customHeight="1">
      <c r="A1126" s="447"/>
      <c r="B1126" s="542"/>
      <c r="C1126" s="40"/>
      <c r="D1126" s="41"/>
      <c r="E1126" s="151"/>
      <c r="F1126" s="41"/>
      <c r="G1126" s="69"/>
    </row>
    <row r="1127" spans="1:7" ht="31.5" customHeight="1">
      <c r="A1127" s="447"/>
      <c r="B1127" s="542"/>
      <c r="C1127" s="43"/>
      <c r="D1127" s="42"/>
      <c r="F1127" s="41"/>
      <c r="G1127" s="70"/>
    </row>
    <row r="1128" spans="1:7" ht="31.5" customHeight="1">
      <c r="A1128" s="447"/>
      <c r="B1128" s="542"/>
      <c r="C1128" s="447"/>
      <c r="D1128" s="542"/>
      <c r="E1128" s="542"/>
      <c r="F1128" s="542"/>
      <c r="G1128" s="448"/>
    </row>
    <row r="1129" spans="1:7" ht="31.5" customHeight="1">
      <c r="A1129" s="447"/>
      <c r="B1129" s="542"/>
      <c r="C1129" s="447"/>
      <c r="D1129" s="542"/>
      <c r="E1129" s="542"/>
      <c r="F1129" s="542"/>
      <c r="G1129" s="448"/>
    </row>
    <row r="1130" spans="1:7" ht="31.5" customHeight="1">
      <c r="A1130" s="447"/>
      <c r="B1130" s="542"/>
      <c r="C1130" s="445"/>
      <c r="D1130" s="557"/>
      <c r="E1130" s="557"/>
      <c r="F1130" s="557"/>
      <c r="G1130" s="446"/>
    </row>
    <row r="1131" spans="1:7" ht="31.5" customHeight="1">
      <c r="A1131" s="417"/>
      <c r="B1131" s="417"/>
      <c r="C1131" s="417"/>
      <c r="D1131" s="417"/>
      <c r="E1131" s="417"/>
      <c r="F1131" s="417"/>
      <c r="G1131" s="417"/>
    </row>
    <row r="1132" spans="1:7" ht="31.5" customHeight="1">
      <c r="A1132" s="127"/>
      <c r="B1132" s="127"/>
      <c r="C1132" s="127"/>
      <c r="D1132" s="127"/>
      <c r="E1132" s="127"/>
      <c r="F1132" s="127"/>
      <c r="G1132" s="127"/>
    </row>
    <row r="1133" spans="1:7" ht="31.5" customHeight="1">
      <c r="A1133" s="428"/>
      <c r="B1133" s="425"/>
      <c r="C1133" s="419"/>
      <c r="D1133" s="420"/>
      <c r="E1133" s="420"/>
      <c r="F1133" s="62"/>
      <c r="G1133" s="25"/>
    </row>
    <row r="1134" spans="1:7" ht="31.5" customHeight="1">
      <c r="A1134" s="546"/>
      <c r="B1134" s="62"/>
      <c r="C1134" s="549"/>
      <c r="D1134" s="418"/>
      <c r="E1134" s="418"/>
      <c r="F1134" s="418"/>
      <c r="G1134" s="418"/>
    </row>
    <row r="1135" spans="1:7" ht="31.5" customHeight="1">
      <c r="A1135" s="547"/>
      <c r="B1135" s="18"/>
      <c r="C1135" s="419"/>
      <c r="D1135" s="420"/>
      <c r="E1135" s="420"/>
      <c r="F1135" s="420"/>
      <c r="G1135" s="424"/>
    </row>
    <row r="1136" spans="1:7" ht="31.5" customHeight="1">
      <c r="A1136" s="548"/>
      <c r="B1136" s="62"/>
      <c r="C1136" s="550"/>
      <c r="D1136" s="551"/>
      <c r="E1136" s="551"/>
      <c r="F1136" s="62"/>
      <c r="G1136" s="25"/>
    </row>
    <row r="1137" spans="1:7" ht="31.5" customHeight="1">
      <c r="A1137" s="419"/>
      <c r="B1137" s="420"/>
      <c r="C1137" s="419"/>
      <c r="D1137" s="420"/>
      <c r="E1137" s="420"/>
      <c r="F1137" s="62"/>
      <c r="G1137" s="25"/>
    </row>
    <row r="1138" spans="1:7" ht="31.5" customHeight="1">
      <c r="A1138" s="428"/>
      <c r="B1138" s="429"/>
      <c r="C1138" s="19"/>
      <c r="D1138" s="425"/>
      <c r="E1138" s="425"/>
      <c r="F1138" s="426"/>
      <c r="G1138" s="427"/>
    </row>
    <row r="1139" spans="1:7" ht="31.5" customHeight="1">
      <c r="A1139" s="430"/>
      <c r="B1139" s="431"/>
      <c r="C1139" s="19"/>
      <c r="D1139" s="19"/>
      <c r="E1139" s="68"/>
      <c r="F1139" s="59"/>
      <c r="G1139" s="21"/>
    </row>
    <row r="1140" spans="1:7" ht="31.5" customHeight="1">
      <c r="A1140" s="430"/>
      <c r="B1140" s="431"/>
      <c r="D1140" s="19"/>
      <c r="E1140" s="68"/>
      <c r="F1140" s="60"/>
      <c r="G1140" s="21"/>
    </row>
    <row r="1141" spans="1:7" ht="31.5" customHeight="1">
      <c r="A1141" s="432"/>
      <c r="B1141" s="433"/>
      <c r="C1141" s="20"/>
      <c r="D1141" s="27"/>
      <c r="E1141" s="27"/>
      <c r="G1141" s="150"/>
    </row>
    <row r="1142" spans="1:7" ht="31.5" customHeight="1">
      <c r="A1142" s="447"/>
      <c r="B1142" s="542"/>
      <c r="C1142" s="44"/>
      <c r="D1142" s="41"/>
      <c r="E1142" s="151"/>
      <c r="F1142" s="61"/>
      <c r="G1142" s="69"/>
    </row>
    <row r="1143" spans="1:7" ht="31.5" customHeight="1">
      <c r="A1143" s="447"/>
      <c r="B1143" s="542"/>
      <c r="C1143" s="152"/>
      <c r="D1143" s="42"/>
      <c r="F1143" s="57"/>
      <c r="G1143" s="70"/>
    </row>
    <row r="1144" spans="1:7" ht="31.5" customHeight="1">
      <c r="A1144" s="419"/>
      <c r="B1144" s="420"/>
      <c r="C1144" s="558"/>
      <c r="D1144" s="553"/>
      <c r="E1144" s="553"/>
      <c r="F1144" s="25"/>
      <c r="G1144" s="58"/>
    </row>
    <row r="1145" spans="1:7" ht="31.5" customHeight="1">
      <c r="A1145" s="428"/>
      <c r="B1145" s="425"/>
      <c r="C1145" s="17"/>
      <c r="D1145" s="425"/>
      <c r="E1145" s="425"/>
      <c r="F1145" s="425"/>
      <c r="G1145" s="429"/>
    </row>
    <row r="1146" spans="1:7" ht="31.5" customHeight="1">
      <c r="A1146" s="430"/>
      <c r="B1146" s="559"/>
      <c r="C1146" s="18"/>
      <c r="D1146" s="559"/>
      <c r="E1146" s="559"/>
      <c r="F1146" s="559"/>
      <c r="G1146" s="431"/>
    </row>
    <row r="1147" spans="1:7" ht="31.5" customHeight="1">
      <c r="A1147" s="432"/>
      <c r="B1147" s="562"/>
      <c r="C1147" s="26"/>
      <c r="D1147" s="27"/>
      <c r="E1147" s="153"/>
      <c r="F1147" s="153"/>
      <c r="G1147" s="154"/>
    </row>
    <row r="1148" spans="1:7" ht="31.5" customHeight="1">
      <c r="A1148" s="447"/>
      <c r="B1148" s="542"/>
      <c r="C1148" s="40"/>
      <c r="D1148" s="41"/>
      <c r="E1148" s="151"/>
      <c r="F1148" s="41"/>
      <c r="G1148" s="69"/>
    </row>
    <row r="1149" spans="1:7" ht="31.5" customHeight="1">
      <c r="A1149" s="447"/>
      <c r="B1149" s="542"/>
      <c r="C1149" s="43"/>
      <c r="D1149" s="42"/>
      <c r="F1149" s="41"/>
      <c r="G1149" s="70"/>
    </row>
    <row r="1150" spans="1:7" ht="31.5" customHeight="1">
      <c r="A1150" s="447"/>
      <c r="B1150" s="542"/>
      <c r="C1150" s="447"/>
      <c r="D1150" s="542"/>
      <c r="E1150" s="542"/>
      <c r="F1150" s="542"/>
      <c r="G1150" s="448"/>
    </row>
    <row r="1151" spans="1:7" ht="31.5" customHeight="1">
      <c r="A1151" s="447"/>
      <c r="B1151" s="542"/>
      <c r="C1151" s="447"/>
      <c r="D1151" s="542"/>
      <c r="E1151" s="542"/>
      <c r="F1151" s="542"/>
      <c r="G1151" s="448"/>
    </row>
    <row r="1152" spans="1:7" ht="31.5" customHeight="1">
      <c r="A1152" s="447"/>
      <c r="B1152" s="542"/>
      <c r="C1152" s="445"/>
      <c r="D1152" s="557"/>
      <c r="E1152" s="557"/>
      <c r="F1152" s="557"/>
      <c r="G1152" s="446"/>
    </row>
    <row r="1153" spans="1:7" ht="31.5" customHeight="1">
      <c r="A1153" s="417"/>
      <c r="B1153" s="417"/>
      <c r="C1153" s="417"/>
      <c r="D1153" s="417"/>
      <c r="E1153" s="417"/>
      <c r="F1153" s="417"/>
      <c r="G1153" s="417"/>
    </row>
    <row r="1154" spans="1:7" ht="31.5" customHeight="1">
      <c r="A1154" s="127"/>
      <c r="B1154" s="127"/>
      <c r="C1154" s="127"/>
      <c r="D1154" s="127"/>
      <c r="E1154" s="127"/>
      <c r="F1154" s="127"/>
      <c r="G1154" s="127"/>
    </row>
    <row r="1155" spans="1:7" ht="31.5" customHeight="1">
      <c r="A1155" s="428"/>
      <c r="B1155" s="425"/>
      <c r="C1155" s="419"/>
      <c r="D1155" s="420"/>
      <c r="E1155" s="420"/>
      <c r="F1155" s="62"/>
      <c r="G1155" s="25"/>
    </row>
    <row r="1156" spans="1:7" ht="31.5" customHeight="1">
      <c r="A1156" s="546"/>
      <c r="B1156" s="62"/>
      <c r="C1156" s="549"/>
      <c r="D1156" s="418"/>
      <c r="E1156" s="418"/>
      <c r="F1156" s="418"/>
      <c r="G1156" s="418"/>
    </row>
    <row r="1157" spans="1:7" ht="31.5" customHeight="1">
      <c r="A1157" s="547"/>
      <c r="B1157" s="18"/>
      <c r="C1157" s="419"/>
      <c r="D1157" s="420"/>
      <c r="E1157" s="420"/>
      <c r="F1157" s="420"/>
      <c r="G1157" s="424"/>
    </row>
    <row r="1158" spans="1:7" ht="31.5" customHeight="1">
      <c r="A1158" s="548"/>
      <c r="B1158" s="62"/>
      <c r="C1158" s="550"/>
      <c r="D1158" s="551"/>
      <c r="E1158" s="551"/>
      <c r="F1158" s="62"/>
      <c r="G1158" s="25"/>
    </row>
    <row r="1159" spans="1:7" ht="31.5" customHeight="1">
      <c r="A1159" s="419"/>
      <c r="B1159" s="420"/>
      <c r="C1159" s="419"/>
      <c r="D1159" s="420"/>
      <c r="E1159" s="420"/>
      <c r="F1159" s="62"/>
      <c r="G1159" s="25"/>
    </row>
    <row r="1160" spans="1:7" ht="31.5" customHeight="1">
      <c r="A1160" s="428"/>
      <c r="B1160" s="429"/>
      <c r="C1160" s="19"/>
      <c r="D1160" s="425"/>
      <c r="E1160" s="425"/>
      <c r="F1160" s="426"/>
      <c r="G1160" s="427"/>
    </row>
    <row r="1161" spans="1:7" ht="31.5" customHeight="1">
      <c r="A1161" s="430"/>
      <c r="B1161" s="431"/>
      <c r="C1161" s="19"/>
      <c r="D1161" s="19"/>
      <c r="E1161" s="68"/>
      <c r="F1161" s="59"/>
      <c r="G1161" s="21"/>
    </row>
    <row r="1162" spans="1:7" ht="31.5" customHeight="1">
      <c r="A1162" s="430"/>
      <c r="B1162" s="431"/>
      <c r="D1162" s="19"/>
      <c r="E1162" s="68"/>
      <c r="F1162" s="60"/>
      <c r="G1162" s="21"/>
    </row>
    <row r="1163" spans="1:7" ht="31.5" customHeight="1">
      <c r="A1163" s="432"/>
      <c r="B1163" s="433"/>
      <c r="C1163" s="20"/>
      <c r="D1163" s="27"/>
      <c r="E1163" s="27"/>
      <c r="G1163" s="150"/>
    </row>
    <row r="1164" spans="1:7" ht="31.5" customHeight="1">
      <c r="A1164" s="447"/>
      <c r="B1164" s="542"/>
      <c r="C1164" s="44"/>
      <c r="D1164" s="41"/>
      <c r="E1164" s="151"/>
      <c r="F1164" s="61"/>
      <c r="G1164" s="69"/>
    </row>
    <row r="1165" spans="1:7" ht="31.5" customHeight="1">
      <c r="A1165" s="447"/>
      <c r="B1165" s="542"/>
      <c r="C1165" s="152"/>
      <c r="D1165" s="42"/>
      <c r="F1165" s="57"/>
      <c r="G1165" s="70"/>
    </row>
    <row r="1166" spans="1:7" ht="31.5" customHeight="1">
      <c r="A1166" s="419"/>
      <c r="B1166" s="420"/>
      <c r="C1166" s="558"/>
      <c r="D1166" s="553"/>
      <c r="E1166" s="553"/>
      <c r="F1166" s="25"/>
      <c r="G1166" s="58"/>
    </row>
    <row r="1167" spans="1:7" ht="31.5" customHeight="1">
      <c r="A1167" s="428"/>
      <c r="B1167" s="425"/>
      <c r="C1167" s="17"/>
      <c r="D1167" s="425"/>
      <c r="E1167" s="425"/>
      <c r="F1167" s="425"/>
      <c r="G1167" s="429"/>
    </row>
    <row r="1168" spans="1:7" ht="31.5" customHeight="1">
      <c r="A1168" s="430"/>
      <c r="B1168" s="559"/>
      <c r="C1168" s="18"/>
      <c r="D1168" s="559"/>
      <c r="E1168" s="559"/>
      <c r="F1168" s="559"/>
      <c r="G1168" s="431"/>
    </row>
    <row r="1169" spans="1:7" ht="31.5" customHeight="1">
      <c r="A1169" s="432"/>
      <c r="B1169" s="562"/>
      <c r="C1169" s="26"/>
      <c r="D1169" s="27"/>
      <c r="E1169" s="153"/>
      <c r="F1169" s="153"/>
      <c r="G1169" s="154"/>
    </row>
    <row r="1170" spans="1:7" ht="31.5" customHeight="1">
      <c r="A1170" s="447"/>
      <c r="B1170" s="542"/>
      <c r="C1170" s="40"/>
      <c r="D1170" s="41"/>
      <c r="E1170" s="151"/>
      <c r="F1170" s="41"/>
      <c r="G1170" s="69"/>
    </row>
    <row r="1171" spans="1:7" ht="31.5" customHeight="1">
      <c r="A1171" s="447"/>
      <c r="B1171" s="542"/>
      <c r="C1171" s="43"/>
      <c r="D1171" s="42"/>
      <c r="F1171" s="41"/>
      <c r="G1171" s="70"/>
    </row>
    <row r="1172" spans="1:7" ht="31.5" customHeight="1">
      <c r="A1172" s="447"/>
      <c r="B1172" s="542"/>
      <c r="C1172" s="447"/>
      <c r="D1172" s="542"/>
      <c r="E1172" s="542"/>
      <c r="F1172" s="542"/>
      <c r="G1172" s="448"/>
    </row>
    <row r="1173" spans="1:7" ht="31.5" customHeight="1">
      <c r="A1173" s="447"/>
      <c r="B1173" s="542"/>
      <c r="C1173" s="447"/>
      <c r="D1173" s="542"/>
      <c r="E1173" s="542"/>
      <c r="F1173" s="542"/>
      <c r="G1173" s="448"/>
    </row>
    <row r="1174" spans="1:7" ht="31.5" customHeight="1">
      <c r="A1174" s="447"/>
      <c r="B1174" s="542"/>
      <c r="C1174" s="445"/>
      <c r="D1174" s="557"/>
      <c r="E1174" s="557"/>
      <c r="F1174" s="557"/>
      <c r="G1174" s="446"/>
    </row>
    <row r="1175" spans="1:7" ht="31.5" customHeight="1">
      <c r="A1175" s="417"/>
      <c r="B1175" s="417"/>
      <c r="C1175" s="417"/>
      <c r="D1175" s="417"/>
      <c r="E1175" s="417"/>
      <c r="F1175" s="417"/>
      <c r="G1175" s="417"/>
    </row>
    <row r="1176" spans="1:7" ht="31.5" customHeight="1">
      <c r="A1176" s="127"/>
      <c r="B1176" s="127"/>
      <c r="C1176" s="127"/>
      <c r="D1176" s="127"/>
      <c r="E1176" s="127"/>
      <c r="F1176" s="127"/>
      <c r="G1176" s="127"/>
    </row>
    <row r="1177" spans="1:7" ht="31.5" customHeight="1">
      <c r="A1177" s="428"/>
      <c r="B1177" s="425"/>
      <c r="C1177" s="419"/>
      <c r="D1177" s="420"/>
      <c r="E1177" s="420"/>
      <c r="F1177" s="62"/>
      <c r="G1177" s="25"/>
    </row>
    <row r="1178" spans="1:7" ht="31.5" customHeight="1">
      <c r="A1178" s="546"/>
      <c r="B1178" s="62"/>
      <c r="C1178" s="549"/>
      <c r="D1178" s="418"/>
      <c r="E1178" s="418"/>
      <c r="F1178" s="418"/>
      <c r="G1178" s="418"/>
    </row>
    <row r="1179" spans="1:7" ht="31.5" customHeight="1">
      <c r="A1179" s="547"/>
      <c r="B1179" s="18"/>
      <c r="C1179" s="419"/>
      <c r="D1179" s="420"/>
      <c r="E1179" s="420"/>
      <c r="F1179" s="420"/>
      <c r="G1179" s="424"/>
    </row>
    <row r="1180" spans="1:7" ht="31.5" customHeight="1">
      <c r="A1180" s="548"/>
      <c r="B1180" s="62"/>
      <c r="C1180" s="550"/>
      <c r="D1180" s="551"/>
      <c r="E1180" s="551"/>
      <c r="F1180" s="62"/>
      <c r="G1180" s="25"/>
    </row>
    <row r="1181" spans="1:7" ht="31.5" customHeight="1">
      <c r="A1181" s="419"/>
      <c r="B1181" s="420"/>
      <c r="C1181" s="419"/>
      <c r="D1181" s="420"/>
      <c r="E1181" s="420"/>
      <c r="F1181" s="62"/>
      <c r="G1181" s="25"/>
    </row>
    <row r="1182" spans="1:7" ht="31.5" customHeight="1">
      <c r="A1182" s="428"/>
      <c r="B1182" s="429"/>
      <c r="C1182" s="19"/>
      <c r="D1182" s="425"/>
      <c r="E1182" s="425"/>
      <c r="F1182" s="426"/>
      <c r="G1182" s="427"/>
    </row>
    <row r="1183" spans="1:7" ht="31.5" customHeight="1">
      <c r="A1183" s="430"/>
      <c r="B1183" s="431"/>
      <c r="C1183" s="19"/>
      <c r="D1183" s="19"/>
      <c r="E1183" s="68"/>
      <c r="F1183" s="59"/>
      <c r="G1183" s="21"/>
    </row>
    <row r="1184" spans="1:7" ht="31.5" customHeight="1">
      <c r="A1184" s="430"/>
      <c r="B1184" s="431"/>
      <c r="D1184" s="19"/>
      <c r="E1184" s="68"/>
      <c r="F1184" s="60"/>
      <c r="G1184" s="21"/>
    </row>
    <row r="1185" spans="1:7" ht="31.5" customHeight="1">
      <c r="A1185" s="432"/>
      <c r="B1185" s="433"/>
      <c r="C1185" s="20"/>
      <c r="D1185" s="27"/>
      <c r="E1185" s="27"/>
      <c r="G1185" s="150"/>
    </row>
    <row r="1186" spans="1:7" ht="31.5" customHeight="1">
      <c r="A1186" s="447"/>
      <c r="B1186" s="542"/>
      <c r="C1186" s="44"/>
      <c r="D1186" s="41"/>
      <c r="E1186" s="151"/>
      <c r="F1186" s="61"/>
      <c r="G1186" s="69"/>
    </row>
    <row r="1187" spans="1:7" ht="31.5" customHeight="1">
      <c r="A1187" s="447"/>
      <c r="B1187" s="542"/>
      <c r="C1187" s="152"/>
      <c r="D1187" s="42"/>
      <c r="F1187" s="57"/>
      <c r="G1187" s="70"/>
    </row>
    <row r="1188" spans="1:7" ht="31.5" customHeight="1">
      <c r="A1188" s="419"/>
      <c r="B1188" s="420"/>
      <c r="C1188" s="558"/>
      <c r="D1188" s="553"/>
      <c r="E1188" s="553"/>
      <c r="F1188" s="25"/>
      <c r="G1188" s="58"/>
    </row>
    <row r="1189" spans="1:7" ht="31.5" customHeight="1">
      <c r="A1189" s="428"/>
      <c r="B1189" s="425"/>
      <c r="C1189" s="17"/>
      <c r="D1189" s="425"/>
      <c r="E1189" s="425"/>
      <c r="F1189" s="425"/>
      <c r="G1189" s="429"/>
    </row>
    <row r="1190" spans="1:7" ht="31.5" customHeight="1">
      <c r="A1190" s="430"/>
      <c r="B1190" s="559"/>
      <c r="C1190" s="18"/>
      <c r="D1190" s="559"/>
      <c r="E1190" s="559"/>
      <c r="F1190" s="559"/>
      <c r="G1190" s="431"/>
    </row>
    <row r="1191" spans="1:7" ht="31.5" customHeight="1">
      <c r="A1191" s="432"/>
      <c r="B1191" s="562"/>
      <c r="C1191" s="26"/>
      <c r="D1191" s="27"/>
      <c r="E1191" s="153"/>
      <c r="F1191" s="153"/>
      <c r="G1191" s="154"/>
    </row>
    <row r="1192" spans="1:7" ht="31.5" customHeight="1">
      <c r="A1192" s="447"/>
      <c r="B1192" s="542"/>
      <c r="C1192" s="40"/>
      <c r="D1192" s="41"/>
      <c r="E1192" s="151"/>
      <c r="F1192" s="41"/>
      <c r="G1192" s="69"/>
    </row>
    <row r="1193" spans="1:7" ht="31.5" customHeight="1">
      <c r="A1193" s="447"/>
      <c r="B1193" s="542"/>
      <c r="C1193" s="43"/>
      <c r="D1193" s="42"/>
      <c r="F1193" s="41"/>
      <c r="G1193" s="70"/>
    </row>
    <row r="1194" spans="1:7" ht="31.5" customHeight="1">
      <c r="A1194" s="447"/>
      <c r="B1194" s="542"/>
      <c r="C1194" s="447"/>
      <c r="D1194" s="542"/>
      <c r="E1194" s="542"/>
      <c r="F1194" s="542"/>
      <c r="G1194" s="448"/>
    </row>
    <row r="1195" spans="1:7" ht="31.5" customHeight="1">
      <c r="A1195" s="447"/>
      <c r="B1195" s="542"/>
      <c r="C1195" s="447"/>
      <c r="D1195" s="542"/>
      <c r="E1195" s="542"/>
      <c r="F1195" s="542"/>
      <c r="G1195" s="448"/>
    </row>
    <row r="1196" spans="1:7" ht="31.5" customHeight="1">
      <c r="A1196" s="447"/>
      <c r="B1196" s="542"/>
      <c r="C1196" s="445"/>
      <c r="D1196" s="557"/>
      <c r="E1196" s="557"/>
      <c r="F1196" s="557"/>
      <c r="G1196" s="446"/>
    </row>
    <row r="1197" spans="1:7" ht="31.5" customHeight="1">
      <c r="A1197" s="417"/>
      <c r="B1197" s="417"/>
      <c r="C1197" s="417"/>
      <c r="D1197" s="417"/>
      <c r="E1197" s="417"/>
      <c r="F1197" s="417"/>
      <c r="G1197" s="417"/>
    </row>
    <row r="1198" spans="1:7" ht="31.5" customHeight="1">
      <c r="A1198" s="127"/>
      <c r="B1198" s="127"/>
      <c r="C1198" s="127"/>
      <c r="D1198" s="127"/>
      <c r="E1198" s="127"/>
      <c r="F1198" s="127"/>
      <c r="G1198" s="127"/>
    </row>
    <row r="1199" spans="1:7" ht="31.5" customHeight="1">
      <c r="A1199" s="428"/>
      <c r="B1199" s="425"/>
      <c r="C1199" s="419"/>
      <c r="D1199" s="420"/>
      <c r="E1199" s="420"/>
      <c r="F1199" s="62"/>
      <c r="G1199" s="25"/>
    </row>
    <row r="1200" spans="1:7" ht="31.5" customHeight="1">
      <c r="A1200" s="546"/>
      <c r="B1200" s="62"/>
      <c r="C1200" s="549"/>
      <c r="D1200" s="418"/>
      <c r="E1200" s="418"/>
      <c r="F1200" s="418"/>
      <c r="G1200" s="418"/>
    </row>
    <row r="1201" spans="1:7" ht="31.5" customHeight="1">
      <c r="A1201" s="547"/>
      <c r="B1201" s="18"/>
      <c r="C1201" s="419"/>
      <c r="D1201" s="420"/>
      <c r="E1201" s="420"/>
      <c r="F1201" s="420"/>
      <c r="G1201" s="424"/>
    </row>
    <row r="1202" spans="1:7" ht="31.5" customHeight="1">
      <c r="A1202" s="548"/>
      <c r="B1202" s="62"/>
      <c r="C1202" s="550"/>
      <c r="D1202" s="551"/>
      <c r="E1202" s="551"/>
      <c r="F1202" s="62"/>
      <c r="G1202" s="25"/>
    </row>
    <row r="1203" spans="1:7" ht="31.5" customHeight="1">
      <c r="A1203" s="419"/>
      <c r="B1203" s="420"/>
      <c r="C1203" s="419"/>
      <c r="D1203" s="420"/>
      <c r="E1203" s="420"/>
      <c r="F1203" s="62"/>
      <c r="G1203" s="25"/>
    </row>
    <row r="1204" spans="1:7" ht="31.5" customHeight="1">
      <c r="A1204" s="428"/>
      <c r="B1204" s="429"/>
      <c r="C1204" s="19"/>
      <c r="D1204" s="425"/>
      <c r="E1204" s="425"/>
      <c r="F1204" s="426"/>
      <c r="G1204" s="427"/>
    </row>
    <row r="1205" spans="1:7" ht="31.5" customHeight="1">
      <c r="A1205" s="430"/>
      <c r="B1205" s="431"/>
      <c r="C1205" s="19"/>
      <c r="D1205" s="19"/>
      <c r="E1205" s="68"/>
      <c r="F1205" s="59"/>
      <c r="G1205" s="21"/>
    </row>
    <row r="1206" spans="1:7" ht="31.5" customHeight="1">
      <c r="A1206" s="430"/>
      <c r="B1206" s="431"/>
      <c r="D1206" s="19"/>
      <c r="E1206" s="68"/>
      <c r="F1206" s="60"/>
      <c r="G1206" s="21"/>
    </row>
    <row r="1207" spans="1:7" ht="31.5" customHeight="1">
      <c r="A1207" s="432"/>
      <c r="B1207" s="433"/>
      <c r="C1207" s="20"/>
      <c r="D1207" s="27"/>
      <c r="E1207" s="27"/>
      <c r="G1207" s="150"/>
    </row>
    <row r="1208" spans="1:7" ht="31.5" customHeight="1">
      <c r="A1208" s="447"/>
      <c r="B1208" s="542"/>
      <c r="C1208" s="44"/>
      <c r="D1208" s="41"/>
      <c r="E1208" s="151"/>
      <c r="F1208" s="61"/>
      <c r="G1208" s="69"/>
    </row>
    <row r="1209" spans="1:7" ht="31.5" customHeight="1">
      <c r="A1209" s="447"/>
      <c r="B1209" s="542"/>
      <c r="C1209" s="152"/>
      <c r="D1209" s="42"/>
      <c r="F1209" s="57"/>
      <c r="G1209" s="70"/>
    </row>
    <row r="1210" spans="1:7" ht="31.5" customHeight="1">
      <c r="A1210" s="419"/>
      <c r="B1210" s="420"/>
      <c r="C1210" s="558"/>
      <c r="D1210" s="553"/>
      <c r="E1210" s="553"/>
      <c r="F1210" s="25"/>
      <c r="G1210" s="58"/>
    </row>
    <row r="1211" spans="1:7" ht="31.5" customHeight="1">
      <c r="A1211" s="428"/>
      <c r="B1211" s="425"/>
      <c r="C1211" s="17"/>
      <c r="D1211" s="425"/>
      <c r="E1211" s="425"/>
      <c r="F1211" s="425"/>
      <c r="G1211" s="429"/>
    </row>
    <row r="1212" spans="1:7" ht="31.5" customHeight="1">
      <c r="A1212" s="430"/>
      <c r="B1212" s="559"/>
      <c r="C1212" s="18"/>
      <c r="D1212" s="559"/>
      <c r="E1212" s="559"/>
      <c r="F1212" s="559"/>
      <c r="G1212" s="431"/>
    </row>
    <row r="1213" spans="1:7" ht="31.5" customHeight="1">
      <c r="A1213" s="432"/>
      <c r="B1213" s="562"/>
      <c r="C1213" s="26"/>
      <c r="D1213" s="27"/>
      <c r="E1213" s="153"/>
      <c r="F1213" s="153"/>
      <c r="G1213" s="154"/>
    </row>
    <row r="1214" spans="1:7" ht="31.5" customHeight="1">
      <c r="A1214" s="447"/>
      <c r="B1214" s="542"/>
      <c r="C1214" s="40"/>
      <c r="D1214" s="41"/>
      <c r="E1214" s="151"/>
      <c r="F1214" s="41"/>
      <c r="G1214" s="69"/>
    </row>
    <row r="1215" spans="1:7" ht="31.5" customHeight="1">
      <c r="A1215" s="447"/>
      <c r="B1215" s="542"/>
      <c r="C1215" s="43"/>
      <c r="D1215" s="42"/>
      <c r="F1215" s="41"/>
      <c r="G1215" s="70"/>
    </row>
    <row r="1216" spans="1:7" ht="31.5" customHeight="1">
      <c r="A1216" s="447"/>
      <c r="B1216" s="542"/>
      <c r="C1216" s="447"/>
      <c r="D1216" s="542"/>
      <c r="E1216" s="542"/>
      <c r="F1216" s="542"/>
      <c r="G1216" s="448"/>
    </row>
    <row r="1217" spans="1:7" ht="31.5" customHeight="1">
      <c r="A1217" s="447"/>
      <c r="B1217" s="542"/>
      <c r="C1217" s="447"/>
      <c r="D1217" s="542"/>
      <c r="E1217" s="542"/>
      <c r="F1217" s="542"/>
      <c r="G1217" s="448"/>
    </row>
    <row r="1218" spans="1:7" ht="31.5" customHeight="1">
      <c r="A1218" s="447"/>
      <c r="B1218" s="542"/>
      <c r="C1218" s="445"/>
      <c r="D1218" s="557"/>
      <c r="E1218" s="557"/>
      <c r="F1218" s="557"/>
      <c r="G1218" s="446"/>
    </row>
    <row r="1219" spans="1:7" ht="31.5" customHeight="1">
      <c r="A1219" s="417"/>
      <c r="B1219" s="417"/>
      <c r="C1219" s="417"/>
      <c r="D1219" s="417"/>
      <c r="E1219" s="417"/>
      <c r="F1219" s="417"/>
      <c r="G1219" s="417"/>
    </row>
    <row r="1220" spans="1:7" ht="31.5" customHeight="1">
      <c r="A1220" s="127"/>
      <c r="B1220" s="127"/>
      <c r="C1220" s="127"/>
      <c r="D1220" s="127"/>
      <c r="E1220" s="127"/>
      <c r="F1220" s="127"/>
      <c r="G1220" s="127"/>
    </row>
    <row r="1221" spans="1:7" ht="31.5" customHeight="1">
      <c r="A1221" s="428"/>
      <c r="B1221" s="425"/>
      <c r="C1221" s="419"/>
      <c r="D1221" s="420"/>
      <c r="E1221" s="420"/>
      <c r="F1221" s="62"/>
      <c r="G1221" s="25"/>
    </row>
    <row r="1222" spans="1:7" ht="31.5" customHeight="1">
      <c r="A1222" s="546"/>
      <c r="B1222" s="62"/>
      <c r="C1222" s="418"/>
      <c r="D1222" s="418"/>
      <c r="E1222" s="418"/>
      <c r="F1222" s="418"/>
      <c r="G1222" s="418"/>
    </row>
    <row r="1223" spans="1:7" ht="31.5" customHeight="1">
      <c r="A1223" s="547"/>
      <c r="B1223" s="18"/>
      <c r="C1223" s="419"/>
      <c r="D1223" s="420"/>
      <c r="E1223" s="420"/>
      <c r="F1223" s="420"/>
      <c r="G1223" s="424"/>
    </row>
    <row r="1224" spans="1:7" ht="31.5" customHeight="1">
      <c r="A1224" s="548"/>
      <c r="B1224" s="62"/>
      <c r="C1224" s="550"/>
      <c r="D1224" s="551"/>
      <c r="E1224" s="551"/>
      <c r="F1224" s="62"/>
      <c r="G1224" s="25"/>
    </row>
    <row r="1225" spans="1:7" ht="31.5" customHeight="1">
      <c r="A1225" s="419"/>
      <c r="B1225" s="420"/>
      <c r="C1225" s="419"/>
      <c r="D1225" s="420"/>
      <c r="E1225" s="420"/>
      <c r="F1225" s="62"/>
      <c r="G1225" s="25"/>
    </row>
    <row r="1226" spans="1:7" ht="31.5" customHeight="1">
      <c r="A1226" s="428"/>
      <c r="B1226" s="429"/>
      <c r="C1226" s="19"/>
      <c r="D1226" s="425"/>
      <c r="E1226" s="425"/>
      <c r="F1226" s="426"/>
      <c r="G1226" s="427"/>
    </row>
    <row r="1227" spans="1:7" ht="31.5" customHeight="1">
      <c r="A1227" s="430"/>
      <c r="B1227" s="431"/>
      <c r="C1227" s="19"/>
      <c r="D1227" s="19"/>
      <c r="E1227" s="68"/>
      <c r="F1227" s="59"/>
      <c r="G1227" s="21"/>
    </row>
    <row r="1228" spans="1:7" ht="31.5" customHeight="1">
      <c r="A1228" s="430"/>
      <c r="B1228" s="431"/>
      <c r="D1228" s="19"/>
      <c r="E1228" s="68"/>
      <c r="F1228" s="60"/>
      <c r="G1228" s="21"/>
    </row>
    <row r="1229" spans="1:7" ht="31.5" customHeight="1">
      <c r="A1229" s="432"/>
      <c r="B1229" s="433"/>
      <c r="C1229" s="20"/>
      <c r="D1229" s="27"/>
      <c r="E1229" s="27"/>
      <c r="G1229" s="150"/>
    </row>
    <row r="1230" spans="1:7" ht="31.5" customHeight="1">
      <c r="A1230" s="447"/>
      <c r="B1230" s="542"/>
      <c r="C1230" s="44"/>
      <c r="D1230" s="41"/>
      <c r="E1230" s="151"/>
      <c r="F1230" s="61"/>
      <c r="G1230" s="69"/>
    </row>
    <row r="1231" spans="1:7" ht="31.5" customHeight="1">
      <c r="A1231" s="447"/>
      <c r="B1231" s="542"/>
      <c r="C1231" s="152"/>
      <c r="D1231" s="42"/>
      <c r="F1231" s="57"/>
      <c r="G1231" s="70"/>
    </row>
    <row r="1232" spans="1:7" ht="31.5" customHeight="1">
      <c r="A1232" s="419"/>
      <c r="B1232" s="420"/>
      <c r="C1232" s="558"/>
      <c r="D1232" s="553"/>
      <c r="E1232" s="553"/>
      <c r="F1232" s="25"/>
      <c r="G1232" s="58"/>
    </row>
    <row r="1233" spans="1:7" ht="31.5" customHeight="1">
      <c r="A1233" s="428"/>
      <c r="B1233" s="425"/>
      <c r="C1233" s="17"/>
      <c r="D1233" s="425"/>
      <c r="E1233" s="425"/>
      <c r="F1233" s="425"/>
      <c r="G1233" s="429"/>
    </row>
    <row r="1234" spans="1:7" ht="31.5" customHeight="1">
      <c r="A1234" s="430"/>
      <c r="B1234" s="559"/>
      <c r="C1234" s="18"/>
      <c r="D1234" s="559"/>
      <c r="E1234" s="559"/>
      <c r="F1234" s="559"/>
      <c r="G1234" s="431"/>
    </row>
    <row r="1235" spans="1:7" ht="31.5" customHeight="1">
      <c r="A1235" s="432"/>
      <c r="B1235" s="562"/>
      <c r="C1235" s="26"/>
      <c r="D1235" s="27"/>
      <c r="E1235" s="153"/>
      <c r="F1235" s="153"/>
      <c r="G1235" s="154"/>
    </row>
    <row r="1236" spans="1:7" ht="31.5" customHeight="1">
      <c r="A1236" s="447"/>
      <c r="B1236" s="542"/>
      <c r="C1236" s="40"/>
      <c r="D1236" s="41"/>
      <c r="E1236" s="151"/>
      <c r="F1236" s="41"/>
      <c r="G1236" s="69"/>
    </row>
    <row r="1237" spans="1:7" ht="31.5" customHeight="1">
      <c r="A1237" s="447"/>
      <c r="B1237" s="542"/>
      <c r="C1237" s="43"/>
      <c r="D1237" s="42"/>
      <c r="F1237" s="41"/>
      <c r="G1237" s="70"/>
    </row>
    <row r="1238" spans="1:7" ht="31.5" customHeight="1">
      <c r="A1238" s="447"/>
      <c r="B1238" s="542"/>
      <c r="C1238" s="447"/>
      <c r="D1238" s="542"/>
      <c r="E1238" s="542"/>
      <c r="F1238" s="542"/>
      <c r="G1238" s="448"/>
    </row>
    <row r="1239" spans="1:7" ht="31.5" customHeight="1">
      <c r="A1239" s="447"/>
      <c r="B1239" s="542"/>
      <c r="C1239" s="447"/>
      <c r="D1239" s="542"/>
      <c r="E1239" s="542"/>
      <c r="F1239" s="542"/>
      <c r="G1239" s="448"/>
    </row>
    <row r="1240" spans="1:7" ht="31.5" customHeight="1">
      <c r="A1240" s="447"/>
      <c r="B1240" s="542"/>
      <c r="C1240" s="445"/>
      <c r="D1240" s="557"/>
      <c r="E1240" s="557"/>
      <c r="F1240" s="557"/>
      <c r="G1240" s="446"/>
    </row>
    <row r="1241" spans="1:7" ht="31.5" customHeight="1">
      <c r="A1241" s="417"/>
      <c r="B1241" s="417"/>
      <c r="C1241" s="417"/>
      <c r="D1241" s="417"/>
      <c r="E1241" s="417"/>
      <c r="F1241" s="417"/>
      <c r="G1241" s="417"/>
    </row>
    <row r="1242" spans="1:7" ht="31.5" customHeight="1">
      <c r="A1242" s="127"/>
      <c r="B1242" s="127"/>
      <c r="C1242" s="127"/>
      <c r="D1242" s="127"/>
      <c r="E1242" s="127"/>
      <c r="F1242" s="127"/>
      <c r="G1242" s="127"/>
    </row>
    <row r="1243" spans="1:7" ht="31.5" customHeight="1">
      <c r="A1243" s="428"/>
      <c r="B1243" s="425"/>
      <c r="C1243" s="419"/>
      <c r="D1243" s="420"/>
      <c r="E1243" s="420"/>
      <c r="F1243" s="62"/>
      <c r="G1243" s="25"/>
    </row>
    <row r="1244" spans="1:7" ht="31.5" customHeight="1">
      <c r="A1244" s="546"/>
      <c r="B1244" s="62"/>
      <c r="C1244" s="549"/>
      <c r="D1244" s="418"/>
      <c r="E1244" s="418"/>
      <c r="F1244" s="418"/>
      <c r="G1244" s="418"/>
    </row>
    <row r="1245" spans="1:7" ht="31.5" customHeight="1">
      <c r="A1245" s="547"/>
      <c r="B1245" s="18"/>
      <c r="C1245" s="419"/>
      <c r="D1245" s="420"/>
      <c r="E1245" s="420"/>
      <c r="F1245" s="420"/>
      <c r="G1245" s="424"/>
    </row>
    <row r="1246" spans="1:7" ht="31.5" customHeight="1">
      <c r="A1246" s="548"/>
      <c r="B1246" s="62"/>
      <c r="C1246" s="550"/>
      <c r="D1246" s="551"/>
      <c r="E1246" s="551"/>
      <c r="F1246" s="62"/>
      <c r="G1246" s="25"/>
    </row>
    <row r="1247" spans="1:7" ht="31.5" customHeight="1">
      <c r="A1247" s="419"/>
      <c r="B1247" s="420"/>
      <c r="C1247" s="419"/>
      <c r="D1247" s="420"/>
      <c r="E1247" s="420"/>
      <c r="F1247" s="62"/>
      <c r="G1247" s="25"/>
    </row>
    <row r="1248" spans="1:7" ht="31.5" customHeight="1">
      <c r="A1248" s="428"/>
      <c r="B1248" s="429"/>
      <c r="C1248" s="19"/>
      <c r="D1248" s="425"/>
      <c r="E1248" s="425"/>
      <c r="F1248" s="426"/>
      <c r="G1248" s="427"/>
    </row>
    <row r="1249" spans="1:7" ht="31.5" customHeight="1">
      <c r="A1249" s="430"/>
      <c r="B1249" s="431"/>
      <c r="C1249" s="19"/>
      <c r="D1249" s="19"/>
      <c r="E1249" s="68"/>
      <c r="F1249" s="59"/>
      <c r="G1249" s="21"/>
    </row>
    <row r="1250" spans="1:7" ht="31.5" customHeight="1">
      <c r="A1250" s="430"/>
      <c r="B1250" s="431"/>
      <c r="D1250" s="19"/>
      <c r="E1250" s="68"/>
      <c r="F1250" s="60"/>
      <c r="G1250" s="21"/>
    </row>
    <row r="1251" spans="1:7" ht="31.5" customHeight="1">
      <c r="A1251" s="432"/>
      <c r="B1251" s="433"/>
      <c r="C1251" s="20"/>
      <c r="D1251" s="27"/>
      <c r="E1251" s="27"/>
      <c r="G1251" s="150"/>
    </row>
    <row r="1252" spans="1:7" ht="31.5" customHeight="1">
      <c r="A1252" s="447"/>
      <c r="B1252" s="542"/>
      <c r="C1252" s="44"/>
      <c r="D1252" s="41"/>
      <c r="E1252" s="151"/>
      <c r="F1252" s="61"/>
      <c r="G1252" s="69"/>
    </row>
    <row r="1253" spans="1:7" ht="31.5" customHeight="1">
      <c r="A1253" s="447"/>
      <c r="B1253" s="542"/>
      <c r="C1253" s="152"/>
      <c r="D1253" s="42"/>
      <c r="F1253" s="57"/>
      <c r="G1253" s="70"/>
    </row>
    <row r="1254" spans="1:7" ht="31.5" customHeight="1">
      <c r="A1254" s="419"/>
      <c r="B1254" s="420"/>
      <c r="C1254" s="558"/>
      <c r="D1254" s="553"/>
      <c r="E1254" s="553"/>
      <c r="F1254" s="25"/>
      <c r="G1254" s="58"/>
    </row>
    <row r="1255" spans="1:7" ht="31.5" customHeight="1">
      <c r="A1255" s="428"/>
      <c r="B1255" s="425"/>
      <c r="C1255" s="17"/>
      <c r="D1255" s="425"/>
      <c r="E1255" s="425"/>
      <c r="F1255" s="425"/>
      <c r="G1255" s="429"/>
    </row>
    <row r="1256" spans="1:7" ht="31.5" customHeight="1">
      <c r="A1256" s="430"/>
      <c r="B1256" s="559"/>
      <c r="C1256" s="18"/>
      <c r="D1256" s="559"/>
      <c r="E1256" s="559"/>
      <c r="F1256" s="559"/>
      <c r="G1256" s="431"/>
    </row>
    <row r="1257" spans="1:7" ht="31.5" customHeight="1">
      <c r="A1257" s="432"/>
      <c r="B1257" s="562"/>
      <c r="C1257" s="26"/>
      <c r="D1257" s="27"/>
      <c r="E1257" s="153"/>
      <c r="F1257" s="153"/>
      <c r="G1257" s="154"/>
    </row>
    <row r="1258" spans="1:7" ht="31.5" customHeight="1">
      <c r="A1258" s="447"/>
      <c r="B1258" s="542"/>
      <c r="C1258" s="40"/>
      <c r="D1258" s="41"/>
      <c r="E1258" s="151"/>
      <c r="F1258" s="41"/>
      <c r="G1258" s="69"/>
    </row>
    <row r="1259" spans="1:7" ht="31.5" customHeight="1">
      <c r="A1259" s="447"/>
      <c r="B1259" s="542"/>
      <c r="C1259" s="43"/>
      <c r="D1259" s="42"/>
      <c r="F1259" s="41"/>
      <c r="G1259" s="70"/>
    </row>
    <row r="1260" spans="1:7" ht="31.5" customHeight="1">
      <c r="A1260" s="447"/>
      <c r="B1260" s="542"/>
      <c r="C1260" s="447"/>
      <c r="D1260" s="542"/>
      <c r="E1260" s="542"/>
      <c r="F1260" s="542"/>
      <c r="G1260" s="448"/>
    </row>
    <row r="1261" spans="1:7" ht="31.5" customHeight="1">
      <c r="A1261" s="447"/>
      <c r="B1261" s="542"/>
      <c r="C1261" s="447"/>
      <c r="D1261" s="542"/>
      <c r="E1261" s="542"/>
      <c r="F1261" s="542"/>
      <c r="G1261" s="448"/>
    </row>
    <row r="1262" spans="1:7" ht="31.5" customHeight="1">
      <c r="A1262" s="447"/>
      <c r="B1262" s="542"/>
      <c r="C1262" s="445"/>
      <c r="D1262" s="557"/>
      <c r="E1262" s="557"/>
      <c r="F1262" s="557"/>
      <c r="G1262" s="446"/>
    </row>
    <row r="1263" spans="1:7" ht="31.5" customHeight="1">
      <c r="A1263" s="417"/>
      <c r="B1263" s="417"/>
      <c r="C1263" s="417"/>
      <c r="D1263" s="417"/>
      <c r="E1263" s="417"/>
      <c r="F1263" s="417"/>
      <c r="G1263" s="417"/>
    </row>
    <row r="1264" spans="1:7" ht="31.5" customHeight="1">
      <c r="A1264" s="127"/>
      <c r="B1264" s="127"/>
      <c r="C1264" s="127"/>
      <c r="D1264" s="127"/>
      <c r="E1264" s="127"/>
      <c r="F1264" s="127"/>
      <c r="G1264" s="127"/>
    </row>
    <row r="1265" spans="1:7" ht="31.5" customHeight="1">
      <c r="A1265" s="428"/>
      <c r="B1265" s="425"/>
      <c r="C1265" s="419"/>
      <c r="D1265" s="420"/>
      <c r="E1265" s="420"/>
      <c r="F1265" s="62"/>
      <c r="G1265" s="25"/>
    </row>
    <row r="1266" spans="1:7" ht="31.5" customHeight="1">
      <c r="A1266" s="546"/>
      <c r="B1266" s="62"/>
      <c r="C1266" s="418"/>
      <c r="D1266" s="418"/>
      <c r="E1266" s="418"/>
      <c r="F1266" s="418"/>
      <c r="G1266" s="418"/>
    </row>
    <row r="1267" spans="1:7" ht="31.5" customHeight="1">
      <c r="A1267" s="547"/>
      <c r="B1267" s="18"/>
      <c r="C1267" s="419"/>
      <c r="D1267" s="420"/>
      <c r="E1267" s="420"/>
      <c r="F1267" s="420"/>
      <c r="G1267" s="424"/>
    </row>
    <row r="1268" spans="1:7" ht="31.5" customHeight="1">
      <c r="A1268" s="548"/>
      <c r="B1268" s="62"/>
      <c r="C1268" s="550"/>
      <c r="D1268" s="551"/>
      <c r="E1268" s="551"/>
      <c r="F1268" s="62"/>
      <c r="G1268" s="25"/>
    </row>
    <row r="1269" spans="1:7" ht="31.5" customHeight="1">
      <c r="A1269" s="419"/>
      <c r="B1269" s="420"/>
      <c r="C1269" s="419"/>
      <c r="D1269" s="420"/>
      <c r="E1269" s="420"/>
      <c r="F1269" s="62"/>
      <c r="G1269" s="25"/>
    </row>
    <row r="1270" spans="1:7" ht="31.5" customHeight="1">
      <c r="A1270" s="428"/>
      <c r="B1270" s="429"/>
      <c r="C1270" s="19"/>
      <c r="D1270" s="425"/>
      <c r="E1270" s="425"/>
      <c r="F1270" s="426"/>
      <c r="G1270" s="427"/>
    </row>
    <row r="1271" spans="1:7" ht="31.5" customHeight="1">
      <c r="A1271" s="430"/>
      <c r="B1271" s="431"/>
      <c r="C1271" s="19"/>
      <c r="D1271" s="19"/>
      <c r="E1271" s="68"/>
      <c r="F1271" s="59"/>
      <c r="G1271" s="21"/>
    </row>
    <row r="1272" spans="1:7" ht="31.5" customHeight="1">
      <c r="A1272" s="430"/>
      <c r="B1272" s="431"/>
      <c r="D1272" s="19"/>
      <c r="E1272" s="68"/>
      <c r="F1272" s="60"/>
      <c r="G1272" s="21"/>
    </row>
    <row r="1273" spans="1:7" ht="31.5" customHeight="1">
      <c r="A1273" s="432"/>
      <c r="B1273" s="433"/>
      <c r="C1273" s="20"/>
      <c r="D1273" s="27"/>
      <c r="E1273" s="27"/>
      <c r="G1273" s="150"/>
    </row>
    <row r="1274" spans="1:7" ht="31.5" customHeight="1">
      <c r="A1274" s="447"/>
      <c r="B1274" s="542"/>
      <c r="C1274" s="44"/>
      <c r="D1274" s="41"/>
      <c r="E1274" s="151"/>
      <c r="F1274" s="61"/>
      <c r="G1274" s="69"/>
    </row>
    <row r="1275" spans="1:7" ht="31.5" customHeight="1">
      <c r="A1275" s="447"/>
      <c r="B1275" s="542"/>
      <c r="C1275" s="152"/>
      <c r="D1275" s="42"/>
      <c r="F1275" s="57"/>
      <c r="G1275" s="70"/>
    </row>
    <row r="1276" spans="1:7" ht="31.5" customHeight="1">
      <c r="A1276" s="419"/>
      <c r="B1276" s="420"/>
      <c r="C1276" s="558"/>
      <c r="D1276" s="553"/>
      <c r="E1276" s="553"/>
      <c r="F1276" s="25"/>
      <c r="G1276" s="58"/>
    </row>
    <row r="1277" spans="1:7" ht="31.5" customHeight="1">
      <c r="A1277" s="428"/>
      <c r="B1277" s="425"/>
      <c r="C1277" s="17"/>
      <c r="D1277" s="425"/>
      <c r="E1277" s="425"/>
      <c r="F1277" s="425"/>
      <c r="G1277" s="429"/>
    </row>
    <row r="1278" spans="1:7" ht="31.5" customHeight="1">
      <c r="A1278" s="430"/>
      <c r="B1278" s="559"/>
      <c r="C1278" s="18"/>
      <c r="D1278" s="559"/>
      <c r="E1278" s="559"/>
      <c r="F1278" s="559"/>
      <c r="G1278" s="431"/>
    </row>
    <row r="1279" spans="1:7" ht="31.5" customHeight="1">
      <c r="A1279" s="432"/>
      <c r="B1279" s="562"/>
      <c r="C1279" s="26"/>
      <c r="D1279" s="27"/>
      <c r="E1279" s="153"/>
      <c r="F1279" s="153"/>
      <c r="G1279" s="154"/>
    </row>
    <row r="1280" spans="1:7" ht="31.5" customHeight="1">
      <c r="A1280" s="447"/>
      <c r="B1280" s="542"/>
      <c r="C1280" s="40"/>
      <c r="D1280" s="41"/>
      <c r="E1280" s="151"/>
      <c r="F1280" s="41"/>
      <c r="G1280" s="69"/>
    </row>
    <row r="1281" spans="1:7" ht="31.5" customHeight="1">
      <c r="A1281" s="447"/>
      <c r="B1281" s="542"/>
      <c r="C1281" s="43"/>
      <c r="D1281" s="42"/>
      <c r="F1281" s="41"/>
      <c r="G1281" s="70"/>
    </row>
    <row r="1282" spans="1:7" ht="31.5" customHeight="1">
      <c r="A1282" s="447"/>
      <c r="B1282" s="542"/>
      <c r="C1282" s="447"/>
      <c r="D1282" s="542"/>
      <c r="E1282" s="542"/>
      <c r="F1282" s="542"/>
      <c r="G1282" s="448"/>
    </row>
    <row r="1283" spans="1:7" ht="31.5" customHeight="1">
      <c r="A1283" s="447"/>
      <c r="B1283" s="542"/>
      <c r="C1283" s="447"/>
      <c r="D1283" s="542"/>
      <c r="E1283" s="542"/>
      <c r="F1283" s="542"/>
      <c r="G1283" s="448"/>
    </row>
    <row r="1284" spans="1:7" ht="31.5" customHeight="1">
      <c r="A1284" s="447"/>
      <c r="B1284" s="542"/>
      <c r="C1284" s="445"/>
      <c r="D1284" s="557"/>
      <c r="E1284" s="557"/>
      <c r="F1284" s="557"/>
      <c r="G1284" s="446"/>
    </row>
    <row r="1285" spans="1:7" ht="31.5" customHeight="1">
      <c r="A1285" s="417"/>
      <c r="B1285" s="417"/>
      <c r="C1285" s="417"/>
      <c r="D1285" s="417"/>
      <c r="E1285" s="417"/>
      <c r="F1285" s="417"/>
      <c r="G1285" s="417"/>
    </row>
    <row r="1286" spans="1:7" ht="31.5" customHeight="1">
      <c r="A1286" s="127"/>
      <c r="B1286" s="127"/>
      <c r="C1286" s="127"/>
      <c r="D1286" s="127"/>
      <c r="E1286" s="127"/>
      <c r="F1286" s="127"/>
      <c r="G1286" s="127"/>
    </row>
    <row r="1287" spans="1:7" ht="31.5" customHeight="1">
      <c r="A1287" s="428"/>
      <c r="B1287" s="425"/>
      <c r="C1287" s="419"/>
      <c r="D1287" s="420"/>
      <c r="E1287" s="420"/>
      <c r="F1287" s="62"/>
      <c r="G1287" s="25"/>
    </row>
    <row r="1288" spans="1:7" ht="31.5" customHeight="1">
      <c r="A1288" s="546"/>
      <c r="B1288" s="62"/>
      <c r="C1288" s="549"/>
      <c r="D1288" s="418"/>
      <c r="E1288" s="418"/>
      <c r="F1288" s="418"/>
      <c r="G1288" s="418"/>
    </row>
    <row r="1289" spans="1:7" ht="31.5" customHeight="1">
      <c r="A1289" s="547"/>
      <c r="B1289" s="18"/>
      <c r="C1289" s="419"/>
      <c r="D1289" s="420"/>
      <c r="E1289" s="420"/>
      <c r="F1289" s="420"/>
      <c r="G1289" s="424"/>
    </row>
    <row r="1290" spans="1:7" ht="31.5" customHeight="1">
      <c r="A1290" s="548"/>
      <c r="B1290" s="62"/>
      <c r="C1290" s="550"/>
      <c r="D1290" s="551"/>
      <c r="E1290" s="551"/>
      <c r="F1290" s="62"/>
      <c r="G1290" s="25"/>
    </row>
    <row r="1291" spans="1:7" ht="31.5" customHeight="1">
      <c r="A1291" s="419"/>
      <c r="B1291" s="420"/>
      <c r="C1291" s="419"/>
      <c r="D1291" s="420"/>
      <c r="E1291" s="420"/>
      <c r="F1291" s="62"/>
      <c r="G1291" s="25"/>
    </row>
    <row r="1292" spans="1:7" ht="31.5" customHeight="1">
      <c r="A1292" s="428"/>
      <c r="B1292" s="429"/>
      <c r="C1292" s="19"/>
      <c r="D1292" s="425"/>
      <c r="E1292" s="425"/>
      <c r="F1292" s="426"/>
      <c r="G1292" s="427"/>
    </row>
    <row r="1293" spans="1:7" ht="31.5" customHeight="1">
      <c r="A1293" s="430"/>
      <c r="B1293" s="431"/>
      <c r="C1293" s="19"/>
      <c r="D1293" s="19"/>
      <c r="E1293" s="68"/>
      <c r="F1293" s="59"/>
      <c r="G1293" s="21"/>
    </row>
    <row r="1294" spans="1:7" ht="31.5" customHeight="1">
      <c r="A1294" s="430"/>
      <c r="B1294" s="431"/>
      <c r="D1294" s="19"/>
      <c r="E1294" s="68"/>
      <c r="F1294" s="60"/>
      <c r="G1294" s="21"/>
    </row>
    <row r="1295" spans="1:7" ht="31.5" customHeight="1">
      <c r="A1295" s="432"/>
      <c r="B1295" s="433"/>
      <c r="C1295" s="20"/>
      <c r="D1295" s="27"/>
      <c r="E1295" s="27"/>
      <c r="G1295" s="150"/>
    </row>
    <row r="1296" spans="1:7" ht="31.5" customHeight="1">
      <c r="A1296" s="447"/>
      <c r="B1296" s="542"/>
      <c r="C1296" s="44"/>
      <c r="D1296" s="41"/>
      <c r="E1296" s="151"/>
      <c r="F1296" s="61"/>
      <c r="G1296" s="69"/>
    </row>
    <row r="1297" spans="1:7" ht="31.5" customHeight="1">
      <c r="A1297" s="447"/>
      <c r="B1297" s="542"/>
      <c r="C1297" s="152"/>
      <c r="D1297" s="42"/>
      <c r="F1297" s="57"/>
      <c r="G1297" s="70"/>
    </row>
    <row r="1298" spans="1:7" ht="31.5" customHeight="1">
      <c r="A1298" s="419"/>
      <c r="B1298" s="420"/>
      <c r="C1298" s="558"/>
      <c r="D1298" s="553"/>
      <c r="E1298" s="553"/>
      <c r="F1298" s="25"/>
      <c r="G1298" s="58"/>
    </row>
    <row r="1299" spans="1:7" ht="31.5" customHeight="1">
      <c r="A1299" s="428"/>
      <c r="B1299" s="429"/>
      <c r="C1299" s="17"/>
      <c r="D1299" s="425"/>
      <c r="E1299" s="425"/>
      <c r="F1299" s="425"/>
      <c r="G1299" s="429"/>
    </row>
    <row r="1300" spans="1:7" ht="31.5" customHeight="1">
      <c r="A1300" s="430"/>
      <c r="B1300" s="431"/>
      <c r="C1300" s="18"/>
      <c r="D1300" s="19"/>
      <c r="E1300" s="19"/>
      <c r="F1300" s="19"/>
      <c r="G1300" s="23"/>
    </row>
    <row r="1301" spans="1:7" ht="31.5" customHeight="1">
      <c r="A1301" s="432"/>
      <c r="B1301" s="433"/>
      <c r="C1301" s="18"/>
      <c r="D1301" s="562"/>
      <c r="E1301" s="562"/>
      <c r="F1301" s="562"/>
      <c r="G1301" s="433"/>
    </row>
    <row r="1302" spans="1:7" ht="31.5" customHeight="1">
      <c r="A1302" s="447"/>
      <c r="B1302" s="542"/>
      <c r="C1302" s="40"/>
      <c r="D1302" s="41"/>
      <c r="E1302" s="151"/>
      <c r="F1302" s="41"/>
      <c r="G1302" s="69"/>
    </row>
    <row r="1303" spans="1:7" ht="31.5" customHeight="1">
      <c r="A1303" s="447"/>
      <c r="B1303" s="542"/>
      <c r="C1303" s="43"/>
      <c r="D1303" s="42"/>
      <c r="F1303" s="41"/>
      <c r="G1303" s="70"/>
    </row>
    <row r="1304" spans="1:7" ht="31.5" customHeight="1">
      <c r="A1304" s="447"/>
      <c r="B1304" s="542"/>
      <c r="C1304" s="447"/>
      <c r="D1304" s="542"/>
      <c r="E1304" s="542"/>
      <c r="F1304" s="542"/>
      <c r="G1304" s="448"/>
    </row>
    <row r="1305" spans="1:7" ht="31.5" customHeight="1">
      <c r="A1305" s="447"/>
      <c r="B1305" s="542"/>
      <c r="C1305" s="447"/>
      <c r="D1305" s="542"/>
      <c r="E1305" s="542"/>
      <c r="F1305" s="542"/>
      <c r="G1305" s="448"/>
    </row>
    <row r="1306" spans="1:7" ht="31.5" customHeight="1">
      <c r="A1306" s="447"/>
      <c r="B1306" s="542"/>
      <c r="C1306" s="445"/>
      <c r="D1306" s="557"/>
      <c r="E1306" s="557"/>
      <c r="F1306" s="557"/>
      <c r="G1306" s="446"/>
    </row>
    <row r="1307" spans="1:7" ht="31.5" customHeight="1">
      <c r="A1307" s="417"/>
      <c r="B1307" s="417"/>
      <c r="C1307" s="417"/>
      <c r="D1307" s="417"/>
      <c r="E1307" s="417"/>
      <c r="F1307" s="417"/>
      <c r="G1307" s="417"/>
    </row>
    <row r="1308" spans="1:7" ht="31.5" customHeight="1">
      <c r="A1308" s="127"/>
      <c r="B1308" s="127"/>
      <c r="C1308" s="127"/>
      <c r="D1308" s="127"/>
      <c r="E1308" s="127"/>
      <c r="F1308" s="127"/>
      <c r="G1308" s="127"/>
    </row>
    <row r="1309" spans="1:7" ht="31.5" customHeight="1">
      <c r="A1309" s="428"/>
      <c r="B1309" s="425"/>
      <c r="C1309" s="419"/>
      <c r="D1309" s="420"/>
      <c r="E1309" s="420"/>
      <c r="F1309" s="62"/>
      <c r="G1309" s="25"/>
    </row>
    <row r="1310" spans="1:7" ht="31.5" customHeight="1">
      <c r="A1310" s="546"/>
      <c r="B1310" s="62"/>
      <c r="C1310" s="549"/>
      <c r="D1310" s="418"/>
      <c r="E1310" s="418"/>
      <c r="F1310" s="418"/>
      <c r="G1310" s="418"/>
    </row>
    <row r="1311" spans="1:7" ht="31.5" customHeight="1">
      <c r="A1311" s="547"/>
      <c r="B1311" s="18"/>
      <c r="C1311" s="419"/>
      <c r="D1311" s="420"/>
      <c r="E1311" s="420"/>
      <c r="F1311" s="420"/>
      <c r="G1311" s="424"/>
    </row>
    <row r="1312" spans="1:7" ht="31.5" customHeight="1">
      <c r="A1312" s="548"/>
      <c r="B1312" s="62"/>
      <c r="C1312" s="550"/>
      <c r="D1312" s="551"/>
      <c r="E1312" s="551"/>
      <c r="F1312" s="62"/>
      <c r="G1312" s="25"/>
    </row>
    <row r="1313" spans="1:7" ht="31.5" customHeight="1">
      <c r="A1313" s="419"/>
      <c r="B1313" s="420"/>
      <c r="C1313" s="419"/>
      <c r="D1313" s="420"/>
      <c r="E1313" s="420"/>
      <c r="F1313" s="62"/>
      <c r="G1313" s="25"/>
    </row>
    <row r="1314" spans="1:7" ht="31.5" customHeight="1">
      <c r="A1314" s="428"/>
      <c r="B1314" s="429"/>
      <c r="C1314" s="19"/>
      <c r="D1314" s="425"/>
      <c r="E1314" s="425"/>
      <c r="F1314" s="426"/>
      <c r="G1314" s="427"/>
    </row>
    <row r="1315" spans="1:7" ht="31.5" customHeight="1">
      <c r="A1315" s="430"/>
      <c r="B1315" s="431"/>
      <c r="C1315" s="19"/>
      <c r="D1315" s="19"/>
      <c r="E1315" s="68"/>
      <c r="F1315" s="59"/>
      <c r="G1315" s="21"/>
    </row>
    <row r="1316" spans="1:7" ht="31.5" customHeight="1">
      <c r="A1316" s="430"/>
      <c r="B1316" s="431"/>
      <c r="D1316" s="19"/>
      <c r="E1316" s="68"/>
      <c r="F1316" s="60"/>
      <c r="G1316" s="21"/>
    </row>
    <row r="1317" spans="1:7" ht="31.5" customHeight="1">
      <c r="A1317" s="432"/>
      <c r="B1317" s="433"/>
      <c r="C1317" s="20"/>
      <c r="D1317" s="27"/>
      <c r="E1317" s="27"/>
      <c r="G1317" s="150"/>
    </row>
    <row r="1318" spans="1:7" ht="31.5" customHeight="1">
      <c r="A1318" s="447"/>
      <c r="B1318" s="542"/>
      <c r="C1318" s="44"/>
      <c r="D1318" s="41"/>
      <c r="E1318" s="151"/>
      <c r="F1318" s="61"/>
      <c r="G1318" s="69"/>
    </row>
    <row r="1319" spans="1:7" ht="31.5" customHeight="1">
      <c r="A1319" s="447"/>
      <c r="B1319" s="542"/>
      <c r="C1319" s="152"/>
      <c r="D1319" s="42"/>
      <c r="F1319" s="57"/>
      <c r="G1319" s="70"/>
    </row>
    <row r="1320" spans="1:7" ht="31.5" customHeight="1">
      <c r="A1320" s="419"/>
      <c r="B1320" s="420"/>
      <c r="C1320" s="558"/>
      <c r="D1320" s="553"/>
      <c r="E1320" s="553"/>
      <c r="F1320" s="25"/>
      <c r="G1320" s="58"/>
    </row>
    <row r="1321" spans="1:7" ht="31.5" customHeight="1">
      <c r="A1321" s="428"/>
      <c r="B1321" s="425"/>
      <c r="C1321" s="17"/>
      <c r="D1321" s="425"/>
      <c r="E1321" s="425"/>
      <c r="F1321" s="425"/>
      <c r="G1321" s="429"/>
    </row>
    <row r="1322" spans="1:7" ht="31.5" customHeight="1">
      <c r="A1322" s="430"/>
      <c r="B1322" s="559"/>
      <c r="C1322" s="18"/>
      <c r="D1322" s="559"/>
      <c r="E1322" s="559"/>
      <c r="F1322" s="559"/>
      <c r="G1322" s="431"/>
    </row>
    <row r="1323" spans="1:7" ht="31.5" customHeight="1">
      <c r="A1323" s="432"/>
      <c r="B1323" s="562"/>
      <c r="C1323" s="26"/>
      <c r="D1323" s="27"/>
      <c r="E1323" s="153"/>
      <c r="F1323" s="153"/>
      <c r="G1323" s="154"/>
    </row>
    <row r="1324" spans="1:7" ht="31.5" customHeight="1">
      <c r="A1324" s="447"/>
      <c r="B1324" s="542"/>
      <c r="C1324" s="40"/>
      <c r="D1324" s="41"/>
      <c r="E1324" s="151"/>
      <c r="F1324" s="41"/>
      <c r="G1324" s="69"/>
    </row>
    <row r="1325" spans="1:7" ht="31.5" customHeight="1">
      <c r="A1325" s="447"/>
      <c r="B1325" s="542"/>
      <c r="C1325" s="43"/>
      <c r="D1325" s="42"/>
      <c r="F1325" s="41"/>
      <c r="G1325" s="70"/>
    </row>
    <row r="1326" spans="1:7" ht="31.5" customHeight="1">
      <c r="A1326" s="447"/>
      <c r="B1326" s="542"/>
      <c r="C1326" s="447"/>
      <c r="D1326" s="542"/>
      <c r="E1326" s="542"/>
      <c r="F1326" s="542"/>
      <c r="G1326" s="448"/>
    </row>
    <row r="1327" spans="1:7" ht="31.5" customHeight="1">
      <c r="A1327" s="447"/>
      <c r="B1327" s="542"/>
      <c r="C1327" s="447"/>
      <c r="D1327" s="542"/>
      <c r="E1327" s="542"/>
      <c r="F1327" s="542"/>
      <c r="G1327" s="448"/>
    </row>
    <row r="1328" spans="1:7" ht="31.5" customHeight="1">
      <c r="A1328" s="447"/>
      <c r="B1328" s="542"/>
      <c r="C1328" s="445"/>
      <c r="D1328" s="557"/>
      <c r="E1328" s="557"/>
      <c r="F1328" s="557"/>
      <c r="G1328" s="446"/>
    </row>
    <row r="1329" spans="1:7" ht="31.5" customHeight="1">
      <c r="A1329" s="417"/>
      <c r="B1329" s="417"/>
      <c r="C1329" s="417"/>
      <c r="D1329" s="417"/>
      <c r="E1329" s="417"/>
      <c r="F1329" s="417"/>
      <c r="G1329" s="417"/>
    </row>
    <row r="1330" spans="1:7" ht="31.5" customHeight="1">
      <c r="A1330" s="127"/>
      <c r="B1330" s="127"/>
      <c r="C1330" s="127"/>
      <c r="D1330" s="127"/>
      <c r="E1330" s="127"/>
      <c r="F1330" s="127"/>
      <c r="G1330" s="127"/>
    </row>
    <row r="1331" spans="1:7" ht="31.5" customHeight="1">
      <c r="A1331" s="428"/>
      <c r="B1331" s="425"/>
      <c r="C1331" s="419"/>
      <c r="D1331" s="420"/>
      <c r="E1331" s="420"/>
      <c r="F1331" s="62"/>
      <c r="G1331" s="25"/>
    </row>
    <row r="1332" spans="1:7" ht="31.5" customHeight="1">
      <c r="A1332" s="546"/>
      <c r="B1332" s="62"/>
      <c r="C1332" s="418"/>
      <c r="D1332" s="418"/>
      <c r="E1332" s="418"/>
      <c r="F1332" s="418"/>
      <c r="G1332" s="418"/>
    </row>
    <row r="1333" spans="1:7" ht="31.5" customHeight="1">
      <c r="A1333" s="547"/>
      <c r="B1333" s="18"/>
      <c r="C1333" s="419"/>
      <c r="D1333" s="420"/>
      <c r="E1333" s="420"/>
      <c r="F1333" s="420"/>
      <c r="G1333" s="424"/>
    </row>
    <row r="1334" spans="1:7" ht="31.5" customHeight="1">
      <c r="A1334" s="548"/>
      <c r="B1334" s="62"/>
      <c r="C1334" s="550"/>
      <c r="D1334" s="551"/>
      <c r="E1334" s="551"/>
      <c r="F1334" s="62"/>
      <c r="G1334" s="25"/>
    </row>
    <row r="1335" spans="1:7" ht="31.5" customHeight="1">
      <c r="A1335" s="419"/>
      <c r="B1335" s="420"/>
      <c r="C1335" s="419"/>
      <c r="D1335" s="420"/>
      <c r="E1335" s="420"/>
      <c r="F1335" s="62"/>
      <c r="G1335" s="25"/>
    </row>
    <row r="1336" spans="1:7" ht="31.5" customHeight="1">
      <c r="A1336" s="428"/>
      <c r="B1336" s="429"/>
      <c r="C1336" s="19"/>
      <c r="D1336" s="425"/>
      <c r="E1336" s="425"/>
      <c r="F1336" s="426"/>
      <c r="G1336" s="427"/>
    </row>
    <row r="1337" spans="1:7" ht="31.5" customHeight="1">
      <c r="A1337" s="430"/>
      <c r="B1337" s="431"/>
      <c r="C1337" s="19"/>
      <c r="D1337" s="19"/>
      <c r="E1337" s="68"/>
      <c r="F1337" s="59"/>
      <c r="G1337" s="21"/>
    </row>
    <row r="1338" spans="1:7" ht="31.5" customHeight="1">
      <c r="A1338" s="430"/>
      <c r="B1338" s="431"/>
      <c r="D1338" s="19"/>
      <c r="E1338" s="68"/>
      <c r="F1338" s="60"/>
      <c r="G1338" s="21"/>
    </row>
    <row r="1339" spans="1:7" ht="31.5" customHeight="1">
      <c r="A1339" s="432"/>
      <c r="B1339" s="433"/>
      <c r="C1339" s="20"/>
      <c r="D1339" s="27"/>
      <c r="E1339" s="27"/>
      <c r="G1339" s="150"/>
    </row>
    <row r="1340" spans="1:7" ht="31.5" customHeight="1">
      <c r="A1340" s="447"/>
      <c r="B1340" s="542"/>
      <c r="C1340" s="44"/>
      <c r="D1340" s="41"/>
      <c r="E1340" s="151"/>
      <c r="F1340" s="61"/>
      <c r="G1340" s="69"/>
    </row>
    <row r="1341" spans="1:7" ht="31.5" customHeight="1">
      <c r="A1341" s="447"/>
      <c r="B1341" s="542"/>
      <c r="C1341" s="152"/>
      <c r="D1341" s="42"/>
      <c r="F1341" s="57"/>
      <c r="G1341" s="70"/>
    </row>
    <row r="1342" spans="1:7" ht="31.5" customHeight="1">
      <c r="A1342" s="419"/>
      <c r="B1342" s="420"/>
      <c r="C1342" s="558"/>
      <c r="D1342" s="553"/>
      <c r="E1342" s="553"/>
      <c r="F1342" s="25"/>
      <c r="G1342" s="58"/>
    </row>
    <row r="1343" spans="1:7" ht="31.5" customHeight="1">
      <c r="A1343" s="428"/>
      <c r="B1343" s="425"/>
      <c r="C1343" s="17"/>
      <c r="D1343" s="425"/>
      <c r="E1343" s="425"/>
      <c r="F1343" s="425"/>
      <c r="G1343" s="429"/>
    </row>
    <row r="1344" spans="1:7" ht="31.5" customHeight="1">
      <c r="A1344" s="430"/>
      <c r="B1344" s="559"/>
      <c r="C1344" s="18"/>
      <c r="D1344" s="559"/>
      <c r="E1344" s="559"/>
      <c r="F1344" s="559"/>
      <c r="G1344" s="431"/>
    </row>
    <row r="1345" spans="1:7" ht="31.5" customHeight="1">
      <c r="A1345" s="432"/>
      <c r="B1345" s="562"/>
      <c r="C1345" s="26"/>
      <c r="D1345" s="27"/>
      <c r="E1345" s="153"/>
      <c r="F1345" s="153"/>
      <c r="G1345" s="154"/>
    </row>
    <row r="1346" spans="1:7" ht="31.5" customHeight="1">
      <c r="A1346" s="447"/>
      <c r="B1346" s="542"/>
      <c r="C1346" s="40"/>
      <c r="D1346" s="41"/>
      <c r="E1346" s="151"/>
      <c r="F1346" s="41"/>
      <c r="G1346" s="69"/>
    </row>
    <row r="1347" spans="1:7" ht="31.5" customHeight="1">
      <c r="A1347" s="447"/>
      <c r="B1347" s="542"/>
      <c r="C1347" s="43"/>
      <c r="D1347" s="42"/>
      <c r="F1347" s="41"/>
      <c r="G1347" s="70"/>
    </row>
    <row r="1348" spans="1:7" ht="31.5" customHeight="1">
      <c r="A1348" s="447"/>
      <c r="B1348" s="542"/>
      <c r="C1348" s="447"/>
      <c r="D1348" s="542"/>
      <c r="E1348" s="542"/>
      <c r="F1348" s="542"/>
      <c r="G1348" s="448"/>
    </row>
    <row r="1349" spans="1:7" ht="31.5" customHeight="1">
      <c r="A1349" s="447"/>
      <c r="B1349" s="542"/>
      <c r="C1349" s="447"/>
      <c r="D1349" s="542"/>
      <c r="E1349" s="542"/>
      <c r="F1349" s="542"/>
      <c r="G1349" s="448"/>
    </row>
    <row r="1350" spans="1:7" ht="31.5" customHeight="1">
      <c r="A1350" s="447"/>
      <c r="B1350" s="542"/>
      <c r="C1350" s="445"/>
      <c r="D1350" s="557"/>
      <c r="E1350" s="557"/>
      <c r="F1350" s="557"/>
      <c r="G1350" s="446"/>
    </row>
    <row r="1351" spans="1:7" ht="31.5" customHeight="1">
      <c r="A1351" s="417"/>
      <c r="B1351" s="417"/>
      <c r="C1351" s="417"/>
      <c r="D1351" s="417"/>
      <c r="E1351" s="417"/>
      <c r="F1351" s="417"/>
      <c r="G1351" s="417"/>
    </row>
    <row r="1352" spans="1:7" ht="31.5" customHeight="1">
      <c r="A1352" s="127"/>
      <c r="B1352" s="127"/>
      <c r="C1352" s="127"/>
      <c r="D1352" s="127"/>
      <c r="E1352" s="127"/>
      <c r="F1352" s="127"/>
      <c r="G1352" s="127"/>
    </row>
    <row r="1353" spans="1:7" ht="31.5" customHeight="1">
      <c r="A1353" s="428"/>
      <c r="B1353" s="425"/>
      <c r="C1353" s="419"/>
      <c r="D1353" s="420"/>
      <c r="E1353" s="420"/>
      <c r="F1353" s="62"/>
      <c r="G1353" s="25"/>
    </row>
    <row r="1354" spans="1:7" ht="31.5" customHeight="1">
      <c r="A1354" s="546"/>
      <c r="B1354" s="62"/>
      <c r="C1354" s="549"/>
      <c r="D1354" s="418"/>
      <c r="E1354" s="418"/>
      <c r="F1354" s="418"/>
      <c r="G1354" s="418"/>
    </row>
    <row r="1355" spans="1:7" ht="31.5" customHeight="1">
      <c r="A1355" s="547"/>
      <c r="B1355" s="18"/>
      <c r="C1355" s="419"/>
      <c r="D1355" s="420"/>
      <c r="E1355" s="420"/>
      <c r="F1355" s="420"/>
      <c r="G1355" s="424"/>
    </row>
    <row r="1356" spans="1:7" ht="31.5" customHeight="1">
      <c r="A1356" s="548"/>
      <c r="B1356" s="62"/>
      <c r="C1356" s="550"/>
      <c r="D1356" s="551"/>
      <c r="E1356" s="551"/>
      <c r="F1356" s="62"/>
      <c r="G1356" s="25"/>
    </row>
    <row r="1357" spans="1:7" ht="31.5" customHeight="1">
      <c r="A1357" s="419"/>
      <c r="B1357" s="420"/>
      <c r="C1357" s="419"/>
      <c r="D1357" s="420"/>
      <c r="E1357" s="420"/>
      <c r="F1357" s="62"/>
      <c r="G1357" s="25"/>
    </row>
    <row r="1358" spans="1:7" ht="31.5" customHeight="1">
      <c r="A1358" s="428"/>
      <c r="B1358" s="429"/>
      <c r="C1358" s="19"/>
      <c r="D1358" s="425"/>
      <c r="E1358" s="425"/>
      <c r="F1358" s="426"/>
      <c r="G1358" s="427"/>
    </row>
    <row r="1359" spans="1:7" ht="31.5" customHeight="1">
      <c r="A1359" s="430"/>
      <c r="B1359" s="431"/>
      <c r="C1359" s="19"/>
      <c r="D1359" s="19"/>
      <c r="E1359" s="68"/>
      <c r="F1359" s="59"/>
      <c r="G1359" s="21"/>
    </row>
    <row r="1360" spans="1:7" ht="31.5" customHeight="1">
      <c r="A1360" s="430"/>
      <c r="B1360" s="431"/>
      <c r="D1360" s="19"/>
      <c r="E1360" s="68"/>
      <c r="F1360" s="60"/>
      <c r="G1360" s="21"/>
    </row>
    <row r="1361" spans="1:7" ht="31.5" customHeight="1">
      <c r="A1361" s="432"/>
      <c r="B1361" s="433"/>
      <c r="C1361" s="20"/>
      <c r="D1361" s="27"/>
      <c r="E1361" s="27"/>
      <c r="G1361" s="150"/>
    </row>
    <row r="1362" spans="1:7" ht="31.5" customHeight="1">
      <c r="A1362" s="447"/>
      <c r="B1362" s="542"/>
      <c r="C1362" s="44"/>
      <c r="D1362" s="41"/>
      <c r="E1362" s="151"/>
      <c r="F1362" s="61"/>
      <c r="G1362" s="69"/>
    </row>
    <row r="1363" spans="1:7" ht="31.5" customHeight="1">
      <c r="A1363" s="447"/>
      <c r="B1363" s="542"/>
      <c r="C1363" s="152"/>
      <c r="D1363" s="42"/>
      <c r="F1363" s="57"/>
      <c r="G1363" s="70"/>
    </row>
    <row r="1364" spans="1:7" ht="31.5" customHeight="1">
      <c r="A1364" s="419"/>
      <c r="B1364" s="420"/>
      <c r="C1364" s="558"/>
      <c r="D1364" s="553"/>
      <c r="E1364" s="553"/>
      <c r="F1364" s="25"/>
      <c r="G1364" s="58"/>
    </row>
    <row r="1365" spans="1:7" ht="31.5" customHeight="1">
      <c r="A1365" s="428"/>
      <c r="B1365" s="425"/>
      <c r="C1365" s="17"/>
      <c r="D1365" s="425"/>
      <c r="E1365" s="425"/>
      <c r="F1365" s="425"/>
      <c r="G1365" s="429"/>
    </row>
    <row r="1366" spans="1:7" ht="31.5" customHeight="1">
      <c r="A1366" s="430"/>
      <c r="B1366" s="559"/>
      <c r="C1366" s="18"/>
      <c r="D1366" s="559"/>
      <c r="E1366" s="559"/>
      <c r="F1366" s="559"/>
      <c r="G1366" s="431"/>
    </row>
    <row r="1367" spans="1:7" ht="31.5" customHeight="1">
      <c r="A1367" s="432"/>
      <c r="B1367" s="562"/>
      <c r="C1367" s="26"/>
      <c r="D1367" s="27"/>
      <c r="E1367" s="153"/>
      <c r="F1367" s="153"/>
      <c r="G1367" s="154"/>
    </row>
    <row r="1368" spans="1:7" ht="31.5" customHeight="1">
      <c r="A1368" s="447"/>
      <c r="B1368" s="542"/>
      <c r="C1368" s="40"/>
      <c r="D1368" s="41"/>
      <c r="E1368" s="151"/>
      <c r="F1368" s="41"/>
      <c r="G1368" s="69"/>
    </row>
    <row r="1369" spans="1:7" ht="31.5" customHeight="1">
      <c r="A1369" s="447"/>
      <c r="B1369" s="542"/>
      <c r="C1369" s="43"/>
      <c r="D1369" s="42"/>
      <c r="F1369" s="41"/>
      <c r="G1369" s="70"/>
    </row>
    <row r="1370" spans="1:7" ht="31.5" customHeight="1">
      <c r="A1370" s="447"/>
      <c r="B1370" s="542"/>
      <c r="C1370" s="447"/>
      <c r="D1370" s="542"/>
      <c r="E1370" s="542"/>
      <c r="F1370" s="542"/>
      <c r="G1370" s="448"/>
    </row>
    <row r="1371" spans="1:7" ht="31.5" customHeight="1">
      <c r="A1371" s="447"/>
      <c r="B1371" s="542"/>
      <c r="C1371" s="447"/>
      <c r="D1371" s="542"/>
      <c r="E1371" s="542"/>
      <c r="F1371" s="542"/>
      <c r="G1371" s="448"/>
    </row>
    <row r="1372" spans="1:7" ht="31.5" customHeight="1">
      <c r="A1372" s="447"/>
      <c r="B1372" s="542"/>
      <c r="C1372" s="445"/>
      <c r="D1372" s="557"/>
      <c r="E1372" s="557"/>
      <c r="F1372" s="557"/>
      <c r="G1372" s="446"/>
    </row>
    <row r="1373" spans="1:7" ht="31.5" customHeight="1">
      <c r="A1373" s="417"/>
      <c r="B1373" s="417"/>
      <c r="C1373" s="417"/>
      <c r="D1373" s="417"/>
      <c r="E1373" s="417"/>
      <c r="F1373" s="417"/>
      <c r="G1373" s="417"/>
    </row>
    <row r="1374" spans="1:7" ht="31.5" customHeight="1">
      <c r="A1374" s="127"/>
      <c r="B1374" s="127"/>
      <c r="C1374" s="127"/>
      <c r="D1374" s="127"/>
      <c r="E1374" s="127"/>
      <c r="F1374" s="127"/>
      <c r="G1374" s="127"/>
    </row>
    <row r="1375" spans="1:7" ht="31.5" customHeight="1">
      <c r="A1375" s="428"/>
      <c r="B1375" s="425"/>
      <c r="C1375" s="419"/>
      <c r="D1375" s="420"/>
      <c r="E1375" s="420"/>
      <c r="F1375" s="62"/>
      <c r="G1375" s="25"/>
    </row>
    <row r="1376" spans="1:7" ht="31.5" customHeight="1">
      <c r="A1376" s="546"/>
      <c r="B1376" s="62"/>
      <c r="C1376" s="549"/>
      <c r="D1376" s="418"/>
      <c r="E1376" s="418"/>
      <c r="F1376" s="418"/>
      <c r="G1376" s="418"/>
    </row>
    <row r="1377" spans="1:7" ht="31.5" customHeight="1">
      <c r="A1377" s="547"/>
      <c r="B1377" s="18"/>
      <c r="C1377" s="419"/>
      <c r="D1377" s="420"/>
      <c r="E1377" s="420"/>
      <c r="F1377" s="420"/>
      <c r="G1377" s="424"/>
    </row>
    <row r="1378" spans="1:7" ht="31.5" customHeight="1">
      <c r="A1378" s="548"/>
      <c r="B1378" s="62"/>
      <c r="C1378" s="550"/>
      <c r="D1378" s="551"/>
      <c r="E1378" s="551"/>
      <c r="F1378" s="62"/>
      <c r="G1378" s="25"/>
    </row>
    <row r="1379" spans="1:7" ht="31.5" customHeight="1">
      <c r="A1379" s="419"/>
      <c r="B1379" s="420"/>
      <c r="C1379" s="419"/>
      <c r="D1379" s="420"/>
      <c r="E1379" s="420"/>
      <c r="F1379" s="62"/>
      <c r="G1379" s="25"/>
    </row>
    <row r="1380" spans="1:7" ht="31.5" customHeight="1">
      <c r="A1380" s="428"/>
      <c r="B1380" s="429"/>
      <c r="C1380" s="19"/>
      <c r="D1380" s="425"/>
      <c r="E1380" s="425"/>
      <c r="F1380" s="426"/>
      <c r="G1380" s="427"/>
    </row>
    <row r="1381" spans="1:7" ht="31.5" customHeight="1">
      <c r="A1381" s="430"/>
      <c r="B1381" s="431"/>
      <c r="C1381" s="19"/>
      <c r="D1381" s="19"/>
      <c r="E1381" s="68"/>
      <c r="F1381" s="59"/>
      <c r="G1381" s="21"/>
    </row>
    <row r="1382" spans="1:7" ht="31.5" customHeight="1">
      <c r="A1382" s="430"/>
      <c r="B1382" s="431"/>
      <c r="C1382" s="19"/>
      <c r="D1382" s="19"/>
      <c r="E1382" s="68"/>
      <c r="F1382" s="60"/>
      <c r="G1382" s="21"/>
    </row>
    <row r="1383" spans="1:7" ht="31.5" customHeight="1">
      <c r="A1383" s="430"/>
      <c r="B1383" s="431"/>
      <c r="G1383" s="310"/>
    </row>
    <row r="1384" spans="1:7" ht="31.5" customHeight="1">
      <c r="A1384" s="447"/>
      <c r="B1384" s="542"/>
      <c r="C1384" s="44"/>
      <c r="D1384" s="41"/>
      <c r="E1384" s="151"/>
      <c r="F1384" s="61"/>
      <c r="G1384" s="69"/>
    </row>
    <row r="1385" spans="1:7" ht="31.5" customHeight="1">
      <c r="A1385" s="447"/>
      <c r="B1385" s="542"/>
      <c r="C1385" s="152"/>
      <c r="D1385" s="42"/>
      <c r="F1385" s="57"/>
      <c r="G1385" s="70"/>
    </row>
    <row r="1386" spans="1:7" ht="31.5" customHeight="1">
      <c r="A1386" s="419"/>
      <c r="B1386" s="420"/>
      <c r="C1386" s="558"/>
      <c r="D1386" s="553"/>
      <c r="E1386" s="553"/>
      <c r="F1386" s="25"/>
      <c r="G1386" s="58"/>
    </row>
    <row r="1387" spans="1:7" ht="31.5" customHeight="1">
      <c r="A1387" s="428"/>
      <c r="B1387" s="425"/>
      <c r="C1387" s="17"/>
      <c r="D1387" s="425"/>
      <c r="E1387" s="425"/>
      <c r="F1387" s="425"/>
      <c r="G1387" s="429"/>
    </row>
    <row r="1388" spans="1:7" ht="31.5" customHeight="1">
      <c r="A1388" s="430"/>
      <c r="B1388" s="559"/>
      <c r="C1388" s="18"/>
      <c r="D1388" s="559"/>
      <c r="E1388" s="559"/>
      <c r="F1388" s="559"/>
      <c r="G1388" s="431"/>
    </row>
    <row r="1389" spans="1:7" ht="31.5" customHeight="1">
      <c r="A1389" s="432"/>
      <c r="B1389" s="562"/>
      <c r="C1389" s="26"/>
      <c r="D1389" s="27"/>
      <c r="E1389" s="153"/>
      <c r="F1389" s="153"/>
      <c r="G1389" s="154"/>
    </row>
    <row r="1390" spans="1:7" ht="31.5" customHeight="1">
      <c r="A1390" s="447"/>
      <c r="B1390" s="542"/>
      <c r="C1390" s="40"/>
      <c r="D1390" s="41"/>
      <c r="E1390" s="151"/>
      <c r="F1390" s="41"/>
      <c r="G1390" s="69"/>
    </row>
    <row r="1391" spans="1:7" ht="31.5" customHeight="1">
      <c r="A1391" s="447"/>
      <c r="B1391" s="542"/>
      <c r="C1391" s="43"/>
      <c r="D1391" s="42"/>
      <c r="F1391" s="41"/>
      <c r="G1391" s="70"/>
    </row>
    <row r="1392" spans="1:7" ht="31.5" customHeight="1">
      <c r="A1392" s="447"/>
      <c r="B1392" s="542"/>
      <c r="C1392" s="447"/>
      <c r="D1392" s="542"/>
      <c r="E1392" s="542"/>
      <c r="F1392" s="542"/>
      <c r="G1392" s="448"/>
    </row>
    <row r="1393" spans="1:7" ht="31.5" customHeight="1">
      <c r="A1393" s="447"/>
      <c r="B1393" s="542"/>
      <c r="C1393" s="447"/>
      <c r="D1393" s="542"/>
      <c r="E1393" s="542"/>
      <c r="F1393" s="542"/>
      <c r="G1393" s="448"/>
    </row>
    <row r="1394" spans="1:7" ht="31.5" customHeight="1">
      <c r="A1394" s="447"/>
      <c r="B1394" s="542"/>
      <c r="C1394" s="445"/>
      <c r="D1394" s="557"/>
      <c r="E1394" s="557"/>
      <c r="F1394" s="557"/>
      <c r="G1394" s="446"/>
    </row>
    <row r="1395" spans="1:7" ht="31.5" customHeight="1">
      <c r="A1395" s="417"/>
      <c r="B1395" s="417"/>
      <c r="C1395" s="417"/>
      <c r="D1395" s="417"/>
      <c r="E1395" s="417"/>
      <c r="F1395" s="417"/>
      <c r="G1395" s="417"/>
    </row>
    <row r="1396" spans="1:7" ht="31.5" customHeight="1">
      <c r="A1396" s="127"/>
      <c r="B1396" s="127"/>
      <c r="C1396" s="127"/>
      <c r="D1396" s="127"/>
      <c r="E1396" s="127"/>
      <c r="F1396" s="127"/>
      <c r="G1396" s="127"/>
    </row>
    <row r="1397" spans="1:7" ht="31.5" customHeight="1">
      <c r="A1397" s="428"/>
      <c r="B1397" s="425"/>
      <c r="C1397" s="419"/>
      <c r="D1397" s="420"/>
      <c r="E1397" s="420"/>
      <c r="F1397" s="62"/>
      <c r="G1397" s="25"/>
    </row>
    <row r="1398" spans="1:7" ht="31.5" customHeight="1">
      <c r="A1398" s="546"/>
      <c r="B1398" s="62"/>
      <c r="C1398" s="549"/>
      <c r="D1398" s="418"/>
      <c r="E1398" s="418"/>
      <c r="F1398" s="418"/>
      <c r="G1398" s="418"/>
    </row>
    <row r="1399" spans="1:7" ht="31.5" customHeight="1">
      <c r="A1399" s="547"/>
      <c r="B1399" s="18"/>
      <c r="C1399" s="419"/>
      <c r="D1399" s="420"/>
      <c r="E1399" s="420"/>
      <c r="F1399" s="420"/>
      <c r="G1399" s="424"/>
    </row>
    <row r="1400" spans="1:7" ht="31.5" customHeight="1">
      <c r="A1400" s="548"/>
      <c r="B1400" s="62"/>
      <c r="C1400" s="550"/>
      <c r="D1400" s="551"/>
      <c r="E1400" s="551"/>
      <c r="F1400" s="62"/>
      <c r="G1400" s="25"/>
    </row>
    <row r="1401" spans="1:7" ht="31.5" customHeight="1">
      <c r="A1401" s="419"/>
      <c r="B1401" s="420"/>
      <c r="C1401" s="419"/>
      <c r="D1401" s="420"/>
      <c r="E1401" s="420"/>
      <c r="F1401" s="62"/>
      <c r="G1401" s="25"/>
    </row>
    <row r="1402" spans="1:7" ht="31.5" customHeight="1">
      <c r="A1402" s="428"/>
      <c r="B1402" s="429"/>
      <c r="C1402" s="19"/>
      <c r="D1402" s="425"/>
      <c r="E1402" s="425"/>
      <c r="F1402" s="426"/>
      <c r="G1402" s="427"/>
    </row>
    <row r="1403" spans="1:7" ht="31.5" customHeight="1">
      <c r="A1403" s="430"/>
      <c r="B1403" s="431"/>
      <c r="C1403" s="19"/>
      <c r="D1403" s="19"/>
      <c r="E1403" s="68"/>
      <c r="F1403" s="59"/>
      <c r="G1403" s="21"/>
    </row>
    <row r="1404" spans="1:7" ht="31.5" customHeight="1">
      <c r="A1404" s="430"/>
      <c r="B1404" s="431"/>
      <c r="D1404" s="19"/>
      <c r="E1404" s="68"/>
      <c r="F1404" s="60"/>
      <c r="G1404" s="21"/>
    </row>
    <row r="1405" spans="1:7" ht="31.5" customHeight="1">
      <c r="A1405" s="432"/>
      <c r="B1405" s="433"/>
      <c r="C1405" s="20"/>
      <c r="D1405" s="27"/>
      <c r="E1405" s="27"/>
      <c r="G1405" s="150"/>
    </row>
    <row r="1406" spans="1:7" ht="31.5" customHeight="1">
      <c r="A1406" s="447"/>
      <c r="B1406" s="542"/>
      <c r="C1406" s="44"/>
      <c r="D1406" s="41"/>
      <c r="E1406" s="151"/>
      <c r="F1406" s="61"/>
      <c r="G1406" s="69"/>
    </row>
    <row r="1407" spans="1:7" ht="31.5" customHeight="1">
      <c r="A1407" s="447"/>
      <c r="B1407" s="542"/>
      <c r="C1407" s="152"/>
      <c r="D1407" s="42"/>
      <c r="F1407" s="57"/>
      <c r="G1407" s="70"/>
    </row>
    <row r="1408" spans="1:7" ht="31.5" customHeight="1">
      <c r="A1408" s="419"/>
      <c r="B1408" s="420"/>
      <c r="C1408" s="558"/>
      <c r="D1408" s="553"/>
      <c r="E1408" s="553"/>
      <c r="F1408" s="25"/>
      <c r="G1408" s="58"/>
    </row>
    <row r="1409" spans="1:7" ht="31.5" customHeight="1">
      <c r="A1409" s="428"/>
      <c r="B1409" s="429"/>
      <c r="C1409" s="277"/>
      <c r="D1409" s="425"/>
      <c r="E1409" s="425"/>
      <c r="F1409" s="425"/>
      <c r="G1409" s="429"/>
    </row>
    <row r="1410" spans="1:7" ht="31.5" customHeight="1">
      <c r="A1410" s="430"/>
      <c r="B1410" s="431"/>
      <c r="C1410" s="19"/>
      <c r="D1410" s="19"/>
      <c r="E1410" s="19"/>
      <c r="F1410" s="19"/>
      <c r="G1410" s="23"/>
    </row>
    <row r="1411" spans="1:7" ht="31.5" customHeight="1">
      <c r="A1411" s="432"/>
      <c r="B1411" s="433"/>
      <c r="D1411" s="559"/>
      <c r="E1411" s="559"/>
      <c r="F1411" s="559"/>
      <c r="G1411" s="431"/>
    </row>
    <row r="1412" spans="1:7" ht="31.5" customHeight="1">
      <c r="A1412" s="447"/>
      <c r="B1412" s="542"/>
      <c r="C1412" s="40"/>
      <c r="D1412" s="41"/>
      <c r="E1412" s="151"/>
      <c r="F1412" s="41"/>
      <c r="G1412" s="69"/>
    </row>
    <row r="1413" spans="1:7" ht="31.5" customHeight="1">
      <c r="A1413" s="447"/>
      <c r="B1413" s="542"/>
      <c r="C1413" s="43"/>
      <c r="D1413" s="42"/>
      <c r="F1413" s="41"/>
      <c r="G1413" s="70"/>
    </row>
    <row r="1414" spans="1:7" ht="31.5" customHeight="1">
      <c r="A1414" s="447"/>
      <c r="B1414" s="542"/>
      <c r="C1414" s="447"/>
      <c r="D1414" s="542"/>
      <c r="E1414" s="542"/>
      <c r="F1414" s="542"/>
      <c r="G1414" s="448"/>
    </row>
    <row r="1415" spans="1:7" ht="31.5" customHeight="1">
      <c r="A1415" s="447"/>
      <c r="B1415" s="542"/>
      <c r="C1415" s="447"/>
      <c r="D1415" s="542"/>
      <c r="E1415" s="542"/>
      <c r="F1415" s="542"/>
      <c r="G1415" s="448"/>
    </row>
    <row r="1416" spans="1:7" ht="31.5" customHeight="1">
      <c r="A1416" s="447"/>
      <c r="B1416" s="542"/>
      <c r="C1416" s="445"/>
      <c r="D1416" s="557"/>
      <c r="E1416" s="557"/>
      <c r="F1416" s="557"/>
      <c r="G1416" s="446"/>
    </row>
    <row r="1417" spans="1:7" ht="31.5" customHeight="1">
      <c r="A1417" s="417"/>
      <c r="B1417" s="417"/>
      <c r="C1417" s="417"/>
      <c r="D1417" s="417"/>
      <c r="E1417" s="417"/>
      <c r="F1417" s="417"/>
      <c r="G1417" s="417"/>
    </row>
    <row r="1418" spans="1:7" ht="31.5" customHeight="1">
      <c r="A1418" s="127"/>
      <c r="B1418" s="127"/>
      <c r="C1418" s="127"/>
      <c r="D1418" s="127"/>
      <c r="E1418" s="127"/>
      <c r="F1418" s="127"/>
      <c r="G1418" s="127"/>
    </row>
    <row r="1419" spans="1:7" ht="31.5" customHeight="1">
      <c r="A1419" s="428"/>
      <c r="B1419" s="425"/>
      <c r="C1419" s="419"/>
      <c r="D1419" s="420"/>
      <c r="E1419" s="420"/>
      <c r="F1419" s="62"/>
      <c r="G1419" s="25"/>
    </row>
    <row r="1420" spans="1:7" ht="31.5" customHeight="1">
      <c r="A1420" s="546"/>
      <c r="B1420" s="62"/>
      <c r="C1420" s="549"/>
      <c r="D1420" s="418"/>
      <c r="E1420" s="418"/>
      <c r="F1420" s="418"/>
      <c r="G1420" s="418"/>
    </row>
    <row r="1421" spans="1:7" ht="31.5" customHeight="1">
      <c r="A1421" s="547"/>
      <c r="B1421" s="18"/>
      <c r="C1421" s="419"/>
      <c r="D1421" s="420"/>
      <c r="E1421" s="420"/>
      <c r="F1421" s="420"/>
      <c r="G1421" s="424"/>
    </row>
    <row r="1422" spans="1:7" ht="31.5" customHeight="1">
      <c r="A1422" s="548"/>
      <c r="B1422" s="62"/>
      <c r="C1422" s="550"/>
      <c r="D1422" s="551"/>
      <c r="E1422" s="551"/>
      <c r="F1422" s="62"/>
      <c r="G1422" s="25"/>
    </row>
    <row r="1423" spans="1:7" ht="31.5" customHeight="1">
      <c r="A1423" s="419"/>
      <c r="B1423" s="420"/>
      <c r="C1423" s="419"/>
      <c r="D1423" s="420"/>
      <c r="E1423" s="420"/>
      <c r="F1423" s="62"/>
      <c r="G1423" s="25"/>
    </row>
    <row r="1424" spans="1:7" ht="31.5" customHeight="1">
      <c r="A1424" s="428"/>
      <c r="B1424" s="429"/>
      <c r="C1424" s="19"/>
      <c r="D1424" s="425"/>
      <c r="E1424" s="425"/>
      <c r="F1424" s="426"/>
      <c r="G1424" s="427"/>
    </row>
    <row r="1425" spans="1:7" ht="31.5" customHeight="1">
      <c r="A1425" s="430"/>
      <c r="B1425" s="431"/>
      <c r="C1425" s="19"/>
      <c r="D1425" s="19"/>
      <c r="E1425" s="68"/>
      <c r="F1425" s="59"/>
      <c r="G1425" s="21"/>
    </row>
    <row r="1426" spans="1:7" ht="31.5" customHeight="1">
      <c r="A1426" s="430"/>
      <c r="B1426" s="431"/>
      <c r="D1426" s="19"/>
      <c r="E1426" s="68"/>
      <c r="F1426" s="60"/>
      <c r="G1426" s="21"/>
    </row>
    <row r="1427" spans="1:7" ht="31.5" customHeight="1">
      <c r="A1427" s="432"/>
      <c r="B1427" s="433"/>
      <c r="C1427" s="20"/>
      <c r="D1427" s="27"/>
      <c r="E1427" s="27"/>
      <c r="G1427" s="150"/>
    </row>
    <row r="1428" spans="1:7" ht="31.5" customHeight="1">
      <c r="A1428" s="447"/>
      <c r="B1428" s="542"/>
      <c r="C1428" s="44"/>
      <c r="D1428" s="41"/>
      <c r="E1428" s="151"/>
      <c r="F1428" s="61"/>
      <c r="G1428" s="69"/>
    </row>
    <row r="1429" spans="1:7" ht="31.5" customHeight="1">
      <c r="A1429" s="447"/>
      <c r="B1429" s="542"/>
      <c r="C1429" s="152"/>
      <c r="D1429" s="42"/>
      <c r="F1429" s="57"/>
      <c r="G1429" s="70"/>
    </row>
    <row r="1430" spans="1:7" ht="31.5" customHeight="1">
      <c r="A1430" s="419"/>
      <c r="B1430" s="420"/>
      <c r="C1430" s="558"/>
      <c r="D1430" s="553"/>
      <c r="E1430" s="553"/>
      <c r="F1430" s="25"/>
      <c r="G1430" s="58"/>
    </row>
    <row r="1431" spans="1:7" ht="31.5" customHeight="1">
      <c r="A1431" s="428"/>
      <c r="B1431" s="425"/>
      <c r="C1431" s="17"/>
      <c r="D1431" s="425"/>
      <c r="E1431" s="425"/>
      <c r="F1431" s="425"/>
      <c r="G1431" s="429"/>
    </row>
    <row r="1432" spans="1:7" ht="31.5" customHeight="1">
      <c r="A1432" s="430"/>
      <c r="B1432" s="559"/>
      <c r="C1432" s="18"/>
      <c r="D1432" s="559"/>
      <c r="E1432" s="559"/>
      <c r="F1432" s="559"/>
      <c r="G1432" s="431"/>
    </row>
    <row r="1433" spans="1:7" ht="31.5" customHeight="1">
      <c r="A1433" s="432"/>
      <c r="B1433" s="562"/>
      <c r="C1433" s="26"/>
      <c r="D1433" s="27"/>
      <c r="E1433" s="153"/>
      <c r="F1433" s="153"/>
      <c r="G1433" s="154"/>
    </row>
    <row r="1434" spans="1:7" ht="31.5" customHeight="1">
      <c r="A1434" s="447"/>
      <c r="B1434" s="542"/>
      <c r="C1434" s="40"/>
      <c r="D1434" s="41"/>
      <c r="E1434" s="151"/>
      <c r="F1434" s="41"/>
      <c r="G1434" s="69"/>
    </row>
    <row r="1435" spans="1:7" ht="31.5" customHeight="1">
      <c r="A1435" s="447"/>
      <c r="B1435" s="542"/>
      <c r="C1435" s="43"/>
      <c r="D1435" s="42"/>
      <c r="F1435" s="41"/>
      <c r="G1435" s="70"/>
    </row>
    <row r="1436" spans="1:7" ht="31.5" customHeight="1">
      <c r="A1436" s="447"/>
      <c r="B1436" s="542"/>
      <c r="C1436" s="447"/>
      <c r="D1436" s="542"/>
      <c r="E1436" s="542"/>
      <c r="F1436" s="542"/>
      <c r="G1436" s="448"/>
    </row>
    <row r="1437" spans="1:7" ht="31.5" customHeight="1">
      <c r="A1437" s="447"/>
      <c r="B1437" s="542"/>
      <c r="C1437" s="447"/>
      <c r="D1437" s="542"/>
      <c r="E1437" s="542"/>
      <c r="F1437" s="542"/>
      <c r="G1437" s="448"/>
    </row>
    <row r="1438" spans="1:7" ht="31.5" customHeight="1">
      <c r="A1438" s="447"/>
      <c r="B1438" s="542"/>
      <c r="C1438" s="445"/>
      <c r="D1438" s="557"/>
      <c r="E1438" s="557"/>
      <c r="F1438" s="557"/>
      <c r="G1438" s="446"/>
    </row>
    <row r="1439" spans="1:7" ht="31.5" customHeight="1">
      <c r="A1439" s="417"/>
      <c r="B1439" s="417"/>
      <c r="C1439" s="417"/>
      <c r="D1439" s="417"/>
      <c r="E1439" s="417"/>
      <c r="F1439" s="417"/>
      <c r="G1439" s="417"/>
    </row>
    <row r="1440" spans="1:7" ht="31.5" customHeight="1">
      <c r="A1440" s="127"/>
      <c r="B1440" s="127"/>
      <c r="C1440" s="127"/>
      <c r="D1440" s="127"/>
      <c r="E1440" s="127"/>
      <c r="F1440" s="127"/>
      <c r="G1440" s="127"/>
    </row>
    <row r="1441" spans="1:7" ht="31.5" customHeight="1">
      <c r="A1441" s="428"/>
      <c r="B1441" s="425"/>
      <c r="C1441" s="419"/>
      <c r="D1441" s="420"/>
      <c r="E1441" s="420"/>
      <c r="F1441" s="62"/>
      <c r="G1441" s="25"/>
    </row>
    <row r="1442" spans="1:7" ht="31.5" customHeight="1">
      <c r="A1442" s="546"/>
      <c r="B1442" s="62"/>
      <c r="C1442" s="418"/>
      <c r="D1442" s="418"/>
      <c r="E1442" s="418"/>
      <c r="F1442" s="418"/>
      <c r="G1442" s="418"/>
    </row>
    <row r="1443" spans="1:7" ht="31.5" customHeight="1">
      <c r="A1443" s="547"/>
      <c r="B1443" s="18"/>
      <c r="C1443" s="419"/>
      <c r="D1443" s="420"/>
      <c r="E1443" s="420"/>
      <c r="F1443" s="420"/>
      <c r="G1443" s="424"/>
    </row>
    <row r="1444" spans="1:7" ht="31.5" customHeight="1">
      <c r="A1444" s="548"/>
      <c r="B1444" s="62"/>
      <c r="C1444" s="550"/>
      <c r="D1444" s="551"/>
      <c r="E1444" s="551"/>
      <c r="F1444" s="62"/>
      <c r="G1444" s="25"/>
    </row>
    <row r="1445" spans="1:7" ht="31.5" customHeight="1">
      <c r="A1445" s="419"/>
      <c r="B1445" s="420"/>
      <c r="C1445" s="419"/>
      <c r="D1445" s="420"/>
      <c r="E1445" s="420"/>
      <c r="F1445" s="62"/>
      <c r="G1445" s="25"/>
    </row>
    <row r="1446" spans="1:7" ht="31.5" customHeight="1">
      <c r="A1446" s="428"/>
      <c r="B1446" s="429"/>
      <c r="C1446" s="19"/>
      <c r="D1446" s="425"/>
      <c r="E1446" s="425"/>
      <c r="F1446" s="426"/>
      <c r="G1446" s="427"/>
    </row>
    <row r="1447" spans="1:7" ht="31.5" customHeight="1">
      <c r="A1447" s="430"/>
      <c r="B1447" s="431"/>
      <c r="C1447" s="19"/>
      <c r="D1447" s="19"/>
      <c r="E1447" s="68"/>
      <c r="F1447" s="59"/>
      <c r="G1447" s="21"/>
    </row>
    <row r="1448" spans="1:7" ht="31.5" customHeight="1">
      <c r="A1448" s="430"/>
      <c r="B1448" s="431"/>
      <c r="D1448" s="19"/>
      <c r="E1448" s="68"/>
      <c r="F1448" s="60"/>
      <c r="G1448" s="21"/>
    </row>
    <row r="1449" spans="1:7" ht="31.5" customHeight="1">
      <c r="A1449" s="432"/>
      <c r="B1449" s="433"/>
      <c r="C1449" s="20"/>
      <c r="D1449" s="27"/>
      <c r="E1449" s="27"/>
      <c r="G1449" s="150"/>
    </row>
    <row r="1450" spans="1:7" ht="31.5" customHeight="1">
      <c r="A1450" s="447"/>
      <c r="B1450" s="542"/>
      <c r="C1450" s="44"/>
      <c r="D1450" s="41"/>
      <c r="E1450" s="151"/>
      <c r="F1450" s="61"/>
      <c r="G1450" s="69"/>
    </row>
    <row r="1451" spans="1:7" ht="31.5" customHeight="1">
      <c r="A1451" s="447"/>
      <c r="B1451" s="542"/>
      <c r="C1451" s="152"/>
      <c r="D1451" s="42"/>
      <c r="F1451" s="57"/>
      <c r="G1451" s="70"/>
    </row>
    <row r="1452" spans="1:7" ht="31.5" customHeight="1">
      <c r="A1452" s="419"/>
      <c r="B1452" s="420"/>
      <c r="C1452" s="558"/>
      <c r="D1452" s="553"/>
      <c r="E1452" s="553"/>
      <c r="F1452" s="25"/>
      <c r="G1452" s="58"/>
    </row>
    <row r="1453" spans="1:7" ht="31.5" customHeight="1">
      <c r="A1453" s="428"/>
      <c r="B1453" s="425"/>
      <c r="C1453" s="17"/>
      <c r="D1453" s="425"/>
      <c r="E1453" s="425"/>
      <c r="F1453" s="425"/>
      <c r="G1453" s="429"/>
    </row>
    <row r="1454" spans="1:7" ht="31.5" customHeight="1">
      <c r="A1454" s="430"/>
      <c r="B1454" s="559"/>
      <c r="C1454" s="18"/>
      <c r="D1454" s="559"/>
      <c r="E1454" s="559"/>
      <c r="F1454" s="559"/>
      <c r="G1454" s="431"/>
    </row>
    <row r="1455" spans="1:7" ht="31.5" customHeight="1">
      <c r="A1455" s="432"/>
      <c r="B1455" s="562"/>
      <c r="C1455" s="26"/>
      <c r="D1455" s="27"/>
      <c r="E1455" s="153"/>
      <c r="F1455" s="153"/>
      <c r="G1455" s="154"/>
    </row>
    <row r="1456" spans="1:7" ht="31.5" customHeight="1">
      <c r="A1456" s="447"/>
      <c r="B1456" s="542"/>
      <c r="C1456" s="40"/>
      <c r="D1456" s="41"/>
      <c r="E1456" s="151"/>
      <c r="F1456" s="41"/>
      <c r="G1456" s="69"/>
    </row>
    <row r="1457" spans="1:7" ht="31.5" customHeight="1">
      <c r="A1457" s="447"/>
      <c r="B1457" s="542"/>
      <c r="C1457" s="43"/>
      <c r="D1457" s="42"/>
      <c r="F1457" s="41"/>
      <c r="G1457" s="70"/>
    </row>
    <row r="1458" spans="1:7" ht="31.5" customHeight="1">
      <c r="A1458" s="447"/>
      <c r="B1458" s="542"/>
      <c r="C1458" s="447"/>
      <c r="D1458" s="542"/>
      <c r="E1458" s="542"/>
      <c r="F1458" s="542"/>
      <c r="G1458" s="448"/>
    </row>
    <row r="1459" spans="1:7" ht="31.5" customHeight="1">
      <c r="A1459" s="447"/>
      <c r="B1459" s="542"/>
      <c r="C1459" s="447"/>
      <c r="D1459" s="542"/>
      <c r="E1459" s="542"/>
      <c r="F1459" s="542"/>
      <c r="G1459" s="448"/>
    </row>
    <row r="1460" spans="1:7" ht="31.5" customHeight="1">
      <c r="A1460" s="447"/>
      <c r="B1460" s="542"/>
      <c r="C1460" s="445"/>
      <c r="D1460" s="557"/>
      <c r="E1460" s="557"/>
      <c r="F1460" s="557"/>
      <c r="G1460" s="446"/>
    </row>
    <row r="1461" spans="1:7" ht="31.5" customHeight="1">
      <c r="A1461" s="417"/>
      <c r="B1461" s="417"/>
      <c r="C1461" s="417"/>
      <c r="D1461" s="417"/>
      <c r="E1461" s="417"/>
      <c r="F1461" s="417"/>
      <c r="G1461" s="417"/>
    </row>
    <row r="1462" spans="1:7" ht="31.5" customHeight="1">
      <c r="A1462" s="127"/>
      <c r="B1462" s="127"/>
      <c r="C1462" s="127"/>
      <c r="D1462" s="127"/>
      <c r="E1462" s="127"/>
      <c r="F1462" s="127"/>
      <c r="G1462" s="127"/>
    </row>
    <row r="1463" spans="1:7" ht="31.5" customHeight="1">
      <c r="A1463" s="428"/>
      <c r="B1463" s="425"/>
      <c r="C1463" s="419"/>
      <c r="D1463" s="420"/>
      <c r="E1463" s="420"/>
      <c r="F1463" s="62"/>
      <c r="G1463" s="25"/>
    </row>
    <row r="1464" spans="1:7" ht="31.5" customHeight="1">
      <c r="A1464" s="546"/>
      <c r="B1464" s="62"/>
      <c r="C1464" s="549"/>
      <c r="D1464" s="418"/>
      <c r="E1464" s="418"/>
      <c r="F1464" s="418"/>
      <c r="G1464" s="418"/>
    </row>
    <row r="1465" spans="1:7" ht="31.5" customHeight="1">
      <c r="A1465" s="547"/>
      <c r="B1465" s="18"/>
      <c r="C1465" s="419"/>
      <c r="D1465" s="420"/>
      <c r="E1465" s="420"/>
      <c r="F1465" s="420"/>
      <c r="G1465" s="424"/>
    </row>
    <row r="1466" spans="1:7" ht="31.5" customHeight="1">
      <c r="A1466" s="548"/>
      <c r="B1466" s="62"/>
      <c r="C1466" s="550"/>
      <c r="D1466" s="551"/>
      <c r="E1466" s="551"/>
      <c r="F1466" s="62"/>
      <c r="G1466" s="25"/>
    </row>
    <row r="1467" spans="1:7" ht="31.5" customHeight="1">
      <c r="A1467" s="419"/>
      <c r="B1467" s="420"/>
      <c r="C1467" s="419"/>
      <c r="D1467" s="420"/>
      <c r="E1467" s="420"/>
      <c r="F1467" s="62"/>
      <c r="G1467" s="25"/>
    </row>
    <row r="1468" spans="1:7" ht="31.5" customHeight="1">
      <c r="A1468" s="428"/>
      <c r="B1468" s="429"/>
      <c r="C1468" s="19"/>
      <c r="D1468" s="425"/>
      <c r="E1468" s="425"/>
      <c r="F1468" s="426"/>
      <c r="G1468" s="427"/>
    </row>
    <row r="1469" spans="1:7" ht="31.5" customHeight="1">
      <c r="A1469" s="430"/>
      <c r="B1469" s="431"/>
      <c r="C1469" s="19"/>
      <c r="D1469" s="19"/>
      <c r="E1469" s="68"/>
      <c r="F1469" s="59"/>
      <c r="G1469" s="21"/>
    </row>
    <row r="1470" spans="1:7" ht="31.5" customHeight="1">
      <c r="A1470" s="430"/>
      <c r="B1470" s="431"/>
      <c r="D1470" s="19"/>
      <c r="E1470" s="68"/>
      <c r="F1470" s="60"/>
      <c r="G1470" s="21"/>
    </row>
    <row r="1471" spans="1:7" ht="31.5" customHeight="1">
      <c r="A1471" s="432"/>
      <c r="B1471" s="433"/>
      <c r="C1471" s="20"/>
      <c r="D1471" s="27"/>
      <c r="E1471" s="27"/>
      <c r="G1471" s="150"/>
    </row>
    <row r="1472" spans="1:7" ht="31.5" customHeight="1">
      <c r="A1472" s="447"/>
      <c r="B1472" s="542"/>
      <c r="C1472" s="44"/>
      <c r="D1472" s="41"/>
      <c r="E1472" s="151"/>
      <c r="F1472" s="61"/>
      <c r="G1472" s="69"/>
    </row>
    <row r="1473" spans="1:7" ht="31.5" customHeight="1">
      <c r="A1473" s="447"/>
      <c r="B1473" s="542"/>
      <c r="C1473" s="152"/>
      <c r="D1473" s="42"/>
      <c r="F1473" s="57"/>
      <c r="G1473" s="70"/>
    </row>
    <row r="1474" spans="1:7" ht="31.5" customHeight="1">
      <c r="A1474" s="419"/>
      <c r="B1474" s="420"/>
      <c r="C1474" s="558"/>
      <c r="D1474" s="553"/>
      <c r="E1474" s="553"/>
      <c r="F1474" s="25"/>
      <c r="G1474" s="58"/>
    </row>
    <row r="1475" spans="1:7" ht="31.5" customHeight="1">
      <c r="A1475" s="428"/>
      <c r="B1475" s="425"/>
      <c r="C1475" s="17"/>
      <c r="D1475" s="425"/>
      <c r="E1475" s="425"/>
      <c r="F1475" s="425"/>
      <c r="G1475" s="429"/>
    </row>
    <row r="1476" spans="1:7" ht="31.5" customHeight="1">
      <c r="A1476" s="430"/>
      <c r="B1476" s="559"/>
      <c r="C1476" s="18"/>
      <c r="D1476" s="559"/>
      <c r="E1476" s="559"/>
      <c r="F1476" s="559"/>
      <c r="G1476" s="431"/>
    </row>
    <row r="1477" spans="1:7" ht="31.5" customHeight="1">
      <c r="A1477" s="432"/>
      <c r="B1477" s="562"/>
      <c r="C1477" s="26"/>
      <c r="D1477" s="27"/>
      <c r="E1477" s="153"/>
      <c r="F1477" s="153"/>
      <c r="G1477" s="154"/>
    </row>
    <row r="1478" spans="1:7" ht="31.5" customHeight="1">
      <c r="A1478" s="447"/>
      <c r="B1478" s="542"/>
      <c r="C1478" s="40"/>
      <c r="D1478" s="41"/>
      <c r="E1478" s="151"/>
      <c r="F1478" s="41"/>
      <c r="G1478" s="69"/>
    </row>
    <row r="1479" spans="1:7" ht="31.5" customHeight="1">
      <c r="A1479" s="447"/>
      <c r="B1479" s="542"/>
      <c r="C1479" s="43"/>
      <c r="D1479" s="42"/>
      <c r="F1479" s="41"/>
      <c r="G1479" s="70"/>
    </row>
    <row r="1480" spans="1:7" ht="31.5" customHeight="1">
      <c r="A1480" s="447"/>
      <c r="B1480" s="542"/>
      <c r="C1480" s="447"/>
      <c r="D1480" s="542"/>
      <c r="E1480" s="542"/>
      <c r="F1480" s="542"/>
      <c r="G1480" s="448"/>
    </row>
    <row r="1481" spans="1:7" ht="31.5" customHeight="1">
      <c r="A1481" s="447"/>
      <c r="B1481" s="542"/>
      <c r="C1481" s="447"/>
      <c r="D1481" s="542"/>
      <c r="E1481" s="542"/>
      <c r="F1481" s="542"/>
      <c r="G1481" s="448"/>
    </row>
    <row r="1482" spans="1:7" ht="31.5" customHeight="1">
      <c r="A1482" s="447"/>
      <c r="B1482" s="542"/>
      <c r="C1482" s="445"/>
      <c r="D1482" s="557"/>
      <c r="E1482" s="557"/>
      <c r="F1482" s="557"/>
      <c r="G1482" s="446"/>
    </row>
    <row r="1483" spans="1:7" ht="31.5" customHeight="1">
      <c r="A1483" s="417"/>
      <c r="B1483" s="417"/>
      <c r="C1483" s="417"/>
      <c r="D1483" s="417"/>
      <c r="E1483" s="417"/>
      <c r="F1483" s="417"/>
      <c r="G1483" s="417"/>
    </row>
    <row r="1484" spans="1:7" ht="31.5" customHeight="1">
      <c r="A1484" s="127"/>
      <c r="B1484" s="127"/>
      <c r="C1484" s="127"/>
      <c r="D1484" s="127"/>
      <c r="E1484" s="127"/>
      <c r="F1484" s="127"/>
      <c r="G1484" s="127"/>
    </row>
    <row r="1485" spans="1:7" ht="31.5" customHeight="1">
      <c r="A1485" s="428"/>
      <c r="B1485" s="425"/>
      <c r="C1485" s="419"/>
      <c r="D1485" s="420"/>
      <c r="E1485" s="420"/>
      <c r="F1485" s="62"/>
      <c r="G1485" s="25"/>
    </row>
    <row r="1486" spans="1:7" ht="31.5" customHeight="1">
      <c r="A1486" s="546"/>
      <c r="B1486" s="62"/>
      <c r="C1486" s="418"/>
      <c r="D1486" s="418"/>
      <c r="E1486" s="418"/>
      <c r="F1486" s="418"/>
      <c r="G1486" s="418"/>
    </row>
    <row r="1487" spans="1:7" ht="31.5" customHeight="1">
      <c r="A1487" s="547"/>
      <c r="B1487" s="18"/>
      <c r="C1487" s="419"/>
      <c r="D1487" s="420"/>
      <c r="E1487" s="420"/>
      <c r="F1487" s="420"/>
      <c r="G1487" s="424"/>
    </row>
    <row r="1488" spans="1:7" ht="31.5" customHeight="1">
      <c r="A1488" s="548"/>
      <c r="B1488" s="62"/>
      <c r="C1488" s="550"/>
      <c r="D1488" s="551"/>
      <c r="E1488" s="551"/>
      <c r="F1488" s="62"/>
      <c r="G1488" s="25"/>
    </row>
    <row r="1489" spans="1:7" ht="31.5" customHeight="1">
      <c r="A1489" s="419"/>
      <c r="B1489" s="420"/>
      <c r="C1489" s="419"/>
      <c r="D1489" s="420"/>
      <c r="E1489" s="420"/>
      <c r="F1489" s="62"/>
      <c r="G1489" s="25"/>
    </row>
    <row r="1490" spans="1:7" ht="31.5" customHeight="1">
      <c r="A1490" s="428"/>
      <c r="B1490" s="429"/>
      <c r="C1490" s="19"/>
      <c r="D1490" s="425"/>
      <c r="E1490" s="425"/>
      <c r="F1490" s="426"/>
      <c r="G1490" s="427"/>
    </row>
    <row r="1491" spans="1:7" ht="31.5" customHeight="1">
      <c r="A1491" s="430"/>
      <c r="B1491" s="431"/>
      <c r="C1491" s="19"/>
      <c r="D1491" s="19"/>
      <c r="E1491" s="68"/>
      <c r="F1491" s="59"/>
      <c r="G1491" s="21"/>
    </row>
    <row r="1492" spans="1:7" ht="31.5" customHeight="1">
      <c r="A1492" s="430"/>
      <c r="B1492" s="431"/>
      <c r="D1492" s="19"/>
      <c r="E1492" s="68"/>
      <c r="F1492" s="60"/>
      <c r="G1492" s="21"/>
    </row>
    <row r="1493" spans="1:7" ht="31.5" customHeight="1">
      <c r="A1493" s="432"/>
      <c r="B1493" s="433"/>
      <c r="C1493" s="20"/>
      <c r="D1493" s="27"/>
      <c r="E1493" s="27"/>
      <c r="G1493" s="150"/>
    </row>
    <row r="1494" spans="1:7" ht="31.5" customHeight="1">
      <c r="A1494" s="447"/>
      <c r="B1494" s="542"/>
      <c r="C1494" s="44"/>
      <c r="D1494" s="41"/>
      <c r="E1494" s="151"/>
      <c r="F1494" s="61"/>
      <c r="G1494" s="69"/>
    </row>
    <row r="1495" spans="1:7" ht="31.5" customHeight="1">
      <c r="A1495" s="447"/>
      <c r="B1495" s="542"/>
      <c r="C1495" s="152"/>
      <c r="D1495" s="42"/>
      <c r="F1495" s="57"/>
      <c r="G1495" s="70"/>
    </row>
    <row r="1496" spans="1:7" ht="31.5" customHeight="1">
      <c r="A1496" s="419"/>
      <c r="B1496" s="420"/>
      <c r="C1496" s="558"/>
      <c r="D1496" s="553"/>
      <c r="E1496" s="553"/>
      <c r="F1496" s="25"/>
      <c r="G1496" s="58"/>
    </row>
    <row r="1497" spans="1:7" ht="31.5" customHeight="1">
      <c r="A1497" s="428"/>
      <c r="B1497" s="425"/>
      <c r="C1497" s="17"/>
      <c r="D1497" s="425"/>
      <c r="E1497" s="425"/>
      <c r="F1497" s="425"/>
      <c r="G1497" s="429"/>
    </row>
    <row r="1498" spans="1:7" ht="31.5" customHeight="1">
      <c r="A1498" s="430"/>
      <c r="B1498" s="559"/>
      <c r="C1498" s="18"/>
      <c r="D1498" s="559"/>
      <c r="E1498" s="559"/>
      <c r="F1498" s="559"/>
      <c r="G1498" s="431"/>
    </row>
    <row r="1499" spans="1:7" ht="31.5" customHeight="1">
      <c r="A1499" s="432"/>
      <c r="B1499" s="562"/>
      <c r="C1499" s="26"/>
      <c r="D1499" s="27"/>
      <c r="E1499" s="153"/>
      <c r="F1499" s="153"/>
      <c r="G1499" s="154"/>
    </row>
    <row r="1500" spans="1:7" ht="31.5" customHeight="1">
      <c r="A1500" s="447"/>
      <c r="B1500" s="542"/>
      <c r="C1500" s="40"/>
      <c r="D1500" s="41"/>
      <c r="E1500" s="151"/>
      <c r="F1500" s="41"/>
      <c r="G1500" s="69"/>
    </row>
    <row r="1501" spans="1:7" ht="31.5" customHeight="1">
      <c r="A1501" s="447"/>
      <c r="B1501" s="542"/>
      <c r="C1501" s="43"/>
      <c r="D1501" s="42"/>
      <c r="F1501" s="41"/>
      <c r="G1501" s="70"/>
    </row>
    <row r="1502" spans="1:7" ht="31.5" customHeight="1">
      <c r="A1502" s="447"/>
      <c r="B1502" s="542"/>
      <c r="C1502" s="447"/>
      <c r="D1502" s="542"/>
      <c r="E1502" s="542"/>
      <c r="F1502" s="542"/>
      <c r="G1502" s="448"/>
    </row>
    <row r="1503" spans="1:7" ht="31.5" customHeight="1">
      <c r="A1503" s="447"/>
      <c r="B1503" s="542"/>
      <c r="C1503" s="447"/>
      <c r="D1503" s="542"/>
      <c r="E1503" s="542"/>
      <c r="F1503" s="542"/>
      <c r="G1503" s="448"/>
    </row>
    <row r="1504" spans="1:7" ht="31.5" customHeight="1">
      <c r="A1504" s="447"/>
      <c r="B1504" s="542"/>
      <c r="C1504" s="445"/>
      <c r="D1504" s="557"/>
      <c r="E1504" s="557"/>
      <c r="F1504" s="557"/>
      <c r="G1504" s="446"/>
    </row>
    <row r="1505" spans="1:7" ht="31.5" customHeight="1">
      <c r="A1505" s="417"/>
      <c r="B1505" s="417"/>
      <c r="C1505" s="417"/>
      <c r="D1505" s="417"/>
      <c r="E1505" s="417"/>
      <c r="F1505" s="417"/>
      <c r="G1505" s="417"/>
    </row>
    <row r="1506" spans="1:7" ht="31.5" customHeight="1">
      <c r="A1506" s="127"/>
      <c r="B1506" s="127"/>
      <c r="C1506" s="127"/>
      <c r="D1506" s="127"/>
      <c r="E1506" s="127"/>
      <c r="F1506" s="127"/>
      <c r="G1506" s="127"/>
    </row>
    <row r="1507" spans="1:7" ht="31.5" customHeight="1">
      <c r="A1507" s="428"/>
      <c r="B1507" s="425"/>
      <c r="C1507" s="419"/>
      <c r="D1507" s="420"/>
      <c r="E1507" s="420"/>
      <c r="F1507" s="62"/>
      <c r="G1507" s="25"/>
    </row>
    <row r="1508" spans="1:7" ht="31.5" customHeight="1">
      <c r="A1508" s="546"/>
      <c r="B1508" s="62"/>
      <c r="C1508" s="418"/>
      <c r="D1508" s="418"/>
      <c r="E1508" s="418"/>
      <c r="F1508" s="418"/>
      <c r="G1508" s="418"/>
    </row>
    <row r="1509" spans="1:7" ht="31.5" customHeight="1">
      <c r="A1509" s="547"/>
      <c r="B1509" s="18"/>
      <c r="C1509" s="419"/>
      <c r="D1509" s="420"/>
      <c r="E1509" s="420"/>
      <c r="F1509" s="420"/>
      <c r="G1509" s="424"/>
    </row>
    <row r="1510" spans="1:7" ht="31.5" customHeight="1">
      <c r="A1510" s="548"/>
      <c r="B1510" s="62"/>
      <c r="C1510" s="550"/>
      <c r="D1510" s="551"/>
      <c r="E1510" s="551"/>
      <c r="F1510" s="62"/>
      <c r="G1510" s="25"/>
    </row>
    <row r="1511" spans="1:7" ht="31.5" customHeight="1">
      <c r="A1511" s="419"/>
      <c r="B1511" s="420"/>
      <c r="C1511" s="419"/>
      <c r="D1511" s="420"/>
      <c r="E1511" s="420"/>
      <c r="F1511" s="62"/>
      <c r="G1511" s="25"/>
    </row>
    <row r="1512" spans="1:7" ht="31.5" customHeight="1">
      <c r="A1512" s="428"/>
      <c r="B1512" s="429"/>
      <c r="C1512" s="19"/>
      <c r="D1512" s="425"/>
      <c r="E1512" s="425"/>
      <c r="F1512" s="426"/>
      <c r="G1512" s="427"/>
    </row>
    <row r="1513" spans="1:7" ht="31.5" customHeight="1">
      <c r="A1513" s="430"/>
      <c r="B1513" s="431"/>
      <c r="C1513" s="19"/>
      <c r="D1513" s="19"/>
      <c r="E1513" s="68"/>
      <c r="F1513" s="59"/>
      <c r="G1513" s="21"/>
    </row>
    <row r="1514" spans="1:7" ht="31.5" customHeight="1">
      <c r="A1514" s="430"/>
      <c r="B1514" s="431"/>
      <c r="D1514" s="19"/>
      <c r="E1514" s="68"/>
      <c r="F1514" s="60"/>
      <c r="G1514" s="21"/>
    </row>
    <row r="1515" spans="1:7" ht="31.5" customHeight="1">
      <c r="A1515" s="432"/>
      <c r="B1515" s="433"/>
      <c r="C1515" s="20"/>
      <c r="D1515" s="27"/>
      <c r="E1515" s="27"/>
      <c r="G1515" s="150"/>
    </row>
    <row r="1516" spans="1:7" ht="31.5" customHeight="1">
      <c r="A1516" s="447"/>
      <c r="B1516" s="542"/>
      <c r="C1516" s="44"/>
      <c r="D1516" s="41"/>
      <c r="E1516" s="151"/>
      <c r="F1516" s="61"/>
      <c r="G1516" s="69"/>
    </row>
    <row r="1517" spans="1:7" ht="31.5" customHeight="1">
      <c r="A1517" s="447"/>
      <c r="B1517" s="542"/>
      <c r="C1517" s="152"/>
      <c r="D1517" s="42"/>
      <c r="F1517" s="57"/>
      <c r="G1517" s="70"/>
    </row>
    <row r="1518" spans="1:7" ht="31.5" customHeight="1">
      <c r="A1518" s="419"/>
      <c r="B1518" s="420"/>
      <c r="C1518" s="558"/>
      <c r="D1518" s="553"/>
      <c r="E1518" s="553"/>
      <c r="F1518" s="25"/>
      <c r="G1518" s="58"/>
    </row>
    <row r="1519" spans="1:7" ht="31.5" customHeight="1">
      <c r="A1519" s="428"/>
      <c r="B1519" s="425"/>
      <c r="C1519" s="17"/>
      <c r="D1519" s="425"/>
      <c r="E1519" s="425"/>
      <c r="F1519" s="425"/>
      <c r="G1519" s="429"/>
    </row>
    <row r="1520" spans="1:7" ht="31.5" customHeight="1">
      <c r="A1520" s="430"/>
      <c r="B1520" s="559"/>
      <c r="C1520" s="18"/>
      <c r="D1520" s="559"/>
      <c r="E1520" s="559"/>
      <c r="F1520" s="559"/>
      <c r="G1520" s="431"/>
    </row>
    <row r="1521" spans="1:7" ht="31.5" customHeight="1">
      <c r="A1521" s="432"/>
      <c r="B1521" s="562"/>
      <c r="C1521" s="26"/>
      <c r="D1521" s="27"/>
      <c r="E1521" s="153"/>
      <c r="F1521" s="153"/>
      <c r="G1521" s="154"/>
    </row>
    <row r="1522" spans="1:7" ht="31.5" customHeight="1">
      <c r="A1522" s="447"/>
      <c r="B1522" s="542"/>
      <c r="C1522" s="40"/>
      <c r="D1522" s="41"/>
      <c r="E1522" s="151"/>
      <c r="F1522" s="41"/>
      <c r="G1522" s="69"/>
    </row>
    <row r="1523" spans="1:7" ht="31.5" customHeight="1">
      <c r="A1523" s="447"/>
      <c r="B1523" s="542"/>
      <c r="C1523" s="43"/>
      <c r="D1523" s="42"/>
      <c r="F1523" s="41"/>
      <c r="G1523" s="70"/>
    </row>
    <row r="1524" spans="1:7" ht="31.5" customHeight="1">
      <c r="A1524" s="447"/>
      <c r="B1524" s="542"/>
      <c r="C1524" s="447"/>
      <c r="D1524" s="542"/>
      <c r="E1524" s="542"/>
      <c r="F1524" s="542"/>
      <c r="G1524" s="448"/>
    </row>
    <row r="1525" spans="1:7" ht="31.5" customHeight="1">
      <c r="A1525" s="447"/>
      <c r="B1525" s="542"/>
      <c r="C1525" s="447"/>
      <c r="D1525" s="542"/>
      <c r="E1525" s="542"/>
      <c r="F1525" s="542"/>
      <c r="G1525" s="448"/>
    </row>
    <row r="1526" spans="1:7" ht="31.5" customHeight="1">
      <c r="A1526" s="447"/>
      <c r="B1526" s="542"/>
      <c r="C1526" s="445"/>
      <c r="D1526" s="557"/>
      <c r="E1526" s="557"/>
      <c r="F1526" s="557"/>
      <c r="G1526" s="446"/>
    </row>
    <row r="1527" spans="1:7" ht="31.5" customHeight="1">
      <c r="A1527" s="417"/>
      <c r="B1527" s="417"/>
      <c r="C1527" s="417"/>
      <c r="D1527" s="417"/>
      <c r="E1527" s="417"/>
      <c r="F1527" s="417"/>
      <c r="G1527" s="417"/>
    </row>
    <row r="1528" spans="1:7" ht="31.5" customHeight="1">
      <c r="A1528" s="127"/>
      <c r="B1528" s="127"/>
      <c r="C1528" s="127"/>
      <c r="D1528" s="127"/>
      <c r="E1528" s="127"/>
      <c r="F1528" s="127"/>
      <c r="G1528" s="127"/>
    </row>
    <row r="1529" spans="1:7" ht="31.5" customHeight="1">
      <c r="A1529" s="428"/>
      <c r="B1529" s="425"/>
      <c r="C1529" s="419"/>
      <c r="D1529" s="420"/>
      <c r="E1529" s="420"/>
      <c r="F1529" s="62"/>
      <c r="G1529" s="25"/>
    </row>
    <row r="1530" spans="1:7" ht="31.5" customHeight="1">
      <c r="A1530" s="546"/>
      <c r="B1530" s="62"/>
      <c r="C1530" s="418"/>
      <c r="D1530" s="418"/>
      <c r="E1530" s="418"/>
      <c r="F1530" s="418"/>
      <c r="G1530" s="418"/>
    </row>
    <row r="1531" spans="1:7" ht="31.5" customHeight="1">
      <c r="A1531" s="547"/>
      <c r="B1531" s="18"/>
      <c r="C1531" s="419"/>
      <c r="D1531" s="420"/>
      <c r="E1531" s="420"/>
      <c r="F1531" s="420"/>
      <c r="G1531" s="424"/>
    </row>
    <row r="1532" spans="1:7" ht="31.5" customHeight="1">
      <c r="A1532" s="548"/>
      <c r="B1532" s="62"/>
      <c r="C1532" s="550"/>
      <c r="D1532" s="551"/>
      <c r="E1532" s="551"/>
      <c r="F1532" s="62"/>
      <c r="G1532" s="25"/>
    </row>
    <row r="1533" spans="1:7" ht="31.5" customHeight="1">
      <c r="A1533" s="419"/>
      <c r="B1533" s="420"/>
      <c r="C1533" s="419"/>
      <c r="D1533" s="420"/>
      <c r="E1533" s="420"/>
      <c r="F1533" s="62"/>
      <c r="G1533" s="25"/>
    </row>
    <row r="1534" spans="1:7" ht="31.5" customHeight="1">
      <c r="A1534" s="428"/>
      <c r="B1534" s="429"/>
      <c r="C1534" s="19"/>
      <c r="D1534" s="425"/>
      <c r="E1534" s="425"/>
      <c r="F1534" s="426"/>
      <c r="G1534" s="427"/>
    </row>
    <row r="1535" spans="1:7" ht="31.5" customHeight="1">
      <c r="A1535" s="430"/>
      <c r="B1535" s="431"/>
      <c r="C1535" s="19"/>
      <c r="D1535" s="19"/>
      <c r="E1535" s="68"/>
      <c r="F1535" s="59"/>
      <c r="G1535" s="21"/>
    </row>
    <row r="1536" spans="1:7" ht="31.5" customHeight="1">
      <c r="A1536" s="430"/>
      <c r="B1536" s="431"/>
      <c r="D1536" s="19"/>
      <c r="E1536" s="68"/>
      <c r="F1536" s="60"/>
      <c r="G1536" s="21"/>
    </row>
    <row r="1537" spans="1:7" ht="31.5" customHeight="1">
      <c r="A1537" s="432"/>
      <c r="B1537" s="433"/>
      <c r="C1537" s="20"/>
      <c r="D1537" s="27"/>
      <c r="E1537" s="27"/>
      <c r="G1537" s="150"/>
    </row>
    <row r="1538" spans="1:7" ht="31.5" customHeight="1">
      <c r="A1538" s="447"/>
      <c r="B1538" s="542"/>
      <c r="C1538" s="44"/>
      <c r="D1538" s="41"/>
      <c r="E1538" s="151"/>
      <c r="F1538" s="61"/>
      <c r="G1538" s="69"/>
    </row>
    <row r="1539" spans="1:7" ht="31.5" customHeight="1">
      <c r="A1539" s="447"/>
      <c r="B1539" s="542"/>
      <c r="C1539" s="152"/>
      <c r="D1539" s="42"/>
      <c r="F1539" s="57"/>
      <c r="G1539" s="70"/>
    </row>
    <row r="1540" spans="1:7" ht="31.5" customHeight="1">
      <c r="A1540" s="419"/>
      <c r="B1540" s="420"/>
      <c r="C1540" s="558"/>
      <c r="D1540" s="553"/>
      <c r="E1540" s="553"/>
      <c r="F1540" s="25"/>
      <c r="G1540" s="58"/>
    </row>
    <row r="1541" spans="1:7" ht="31.5" customHeight="1">
      <c r="A1541" s="428"/>
      <c r="B1541" s="425"/>
      <c r="C1541" s="17"/>
      <c r="D1541" s="425"/>
      <c r="E1541" s="425"/>
      <c r="F1541" s="425"/>
      <c r="G1541" s="429"/>
    </row>
    <row r="1542" spans="1:7" ht="31.5" customHeight="1">
      <c r="A1542" s="430"/>
      <c r="B1542" s="559"/>
      <c r="C1542" s="18"/>
      <c r="D1542" s="559"/>
      <c r="E1542" s="559"/>
      <c r="F1542" s="559"/>
      <c r="G1542" s="431"/>
    </row>
    <row r="1543" spans="1:7" ht="31.5" customHeight="1">
      <c r="A1543" s="432"/>
      <c r="B1543" s="562"/>
      <c r="C1543" s="26"/>
      <c r="D1543" s="27"/>
      <c r="E1543" s="153"/>
      <c r="F1543" s="153"/>
      <c r="G1543" s="154"/>
    </row>
    <row r="1544" spans="1:7" ht="31.5" customHeight="1">
      <c r="A1544" s="447"/>
      <c r="B1544" s="542"/>
      <c r="C1544" s="40"/>
      <c r="D1544" s="41"/>
      <c r="E1544" s="151"/>
      <c r="F1544" s="41"/>
      <c r="G1544" s="69"/>
    </row>
    <row r="1545" spans="1:7" ht="31.5" customHeight="1">
      <c r="A1545" s="447"/>
      <c r="B1545" s="542"/>
      <c r="C1545" s="43"/>
      <c r="D1545" s="42"/>
      <c r="F1545" s="41"/>
      <c r="G1545" s="70"/>
    </row>
    <row r="1546" spans="1:7" ht="31.5" customHeight="1">
      <c r="A1546" s="447"/>
      <c r="B1546" s="542"/>
      <c r="C1546" s="447"/>
      <c r="D1546" s="542"/>
      <c r="E1546" s="542"/>
      <c r="F1546" s="542"/>
      <c r="G1546" s="448"/>
    </row>
    <row r="1547" spans="1:7" ht="31.5" customHeight="1">
      <c r="A1547" s="447"/>
      <c r="B1547" s="542"/>
      <c r="C1547" s="447"/>
      <c r="D1547" s="542"/>
      <c r="E1547" s="542"/>
      <c r="F1547" s="542"/>
      <c r="G1547" s="448"/>
    </row>
    <row r="1548" spans="1:7" ht="31.5" customHeight="1">
      <c r="A1548" s="447"/>
      <c r="B1548" s="542"/>
      <c r="C1548" s="445"/>
      <c r="D1548" s="557"/>
      <c r="E1548" s="557"/>
      <c r="F1548" s="557"/>
      <c r="G1548" s="446"/>
    </row>
    <row r="1549" spans="1:7" ht="31.5" customHeight="1">
      <c r="A1549" s="417"/>
      <c r="B1549" s="417"/>
      <c r="C1549" s="417"/>
      <c r="D1549" s="417"/>
      <c r="E1549" s="417"/>
      <c r="F1549" s="417"/>
      <c r="G1549" s="417"/>
    </row>
    <row r="1550" spans="1:7" ht="31.5" customHeight="1">
      <c r="A1550" s="127"/>
      <c r="B1550" s="127"/>
      <c r="C1550" s="127"/>
      <c r="D1550" s="127"/>
      <c r="E1550" s="127"/>
      <c r="F1550" s="127"/>
      <c r="G1550" s="127"/>
    </row>
    <row r="1551" spans="1:7" ht="31.5" customHeight="1">
      <c r="A1551" s="428"/>
      <c r="B1551" s="425"/>
      <c r="C1551" s="419"/>
      <c r="D1551" s="420"/>
      <c r="E1551" s="420"/>
      <c r="F1551" s="62"/>
      <c r="G1551" s="25"/>
    </row>
    <row r="1552" spans="1:7" ht="31.5" customHeight="1">
      <c r="A1552" s="546"/>
      <c r="B1552" s="62"/>
      <c r="C1552" s="549"/>
      <c r="D1552" s="418"/>
      <c r="E1552" s="418"/>
      <c r="F1552" s="418"/>
      <c r="G1552" s="418"/>
    </row>
    <row r="1553" spans="1:7" ht="31.5" customHeight="1">
      <c r="A1553" s="547"/>
      <c r="B1553" s="18"/>
      <c r="C1553" s="419"/>
      <c r="D1553" s="420"/>
      <c r="E1553" s="420"/>
      <c r="F1553" s="420"/>
      <c r="G1553" s="424"/>
    </row>
    <row r="1554" spans="1:7" ht="31.5" customHeight="1">
      <c r="A1554" s="548"/>
      <c r="B1554" s="62"/>
      <c r="C1554" s="550"/>
      <c r="D1554" s="551"/>
      <c r="E1554" s="551"/>
      <c r="F1554" s="62"/>
      <c r="G1554" s="25"/>
    </row>
    <row r="1555" spans="1:7" ht="31.5" customHeight="1">
      <c r="A1555" s="419"/>
      <c r="B1555" s="420"/>
      <c r="C1555" s="419"/>
      <c r="D1555" s="420"/>
      <c r="E1555" s="420"/>
      <c r="F1555" s="62"/>
      <c r="G1555" s="25"/>
    </row>
    <row r="1556" spans="1:7" ht="31.5" customHeight="1">
      <c r="A1556" s="428"/>
      <c r="B1556" s="429"/>
      <c r="C1556" s="19"/>
      <c r="D1556" s="425"/>
      <c r="E1556" s="425"/>
      <c r="F1556" s="426"/>
      <c r="G1556" s="427"/>
    </row>
    <row r="1557" spans="1:7" ht="31.5" customHeight="1">
      <c r="A1557" s="430"/>
      <c r="B1557" s="431"/>
      <c r="C1557" s="19"/>
      <c r="D1557" s="19"/>
      <c r="E1557" s="68"/>
      <c r="F1557" s="59"/>
      <c r="G1557" s="21"/>
    </row>
    <row r="1558" spans="1:7" ht="31.5" customHeight="1">
      <c r="A1558" s="430"/>
      <c r="B1558" s="431"/>
      <c r="D1558" s="19"/>
      <c r="E1558" s="68"/>
      <c r="F1558" s="60"/>
      <c r="G1558" s="21"/>
    </row>
    <row r="1559" spans="1:7" ht="31.5" customHeight="1">
      <c r="A1559" s="432"/>
      <c r="B1559" s="433"/>
      <c r="C1559" s="20"/>
      <c r="D1559" s="27"/>
      <c r="E1559" s="27"/>
      <c r="G1559" s="150"/>
    </row>
    <row r="1560" spans="1:7" ht="31.5" customHeight="1">
      <c r="A1560" s="447"/>
      <c r="B1560" s="542"/>
      <c r="C1560" s="44"/>
      <c r="D1560" s="41"/>
      <c r="E1560" s="151"/>
      <c r="F1560" s="61"/>
      <c r="G1560" s="69"/>
    </row>
    <row r="1561" spans="1:7" ht="31.5" customHeight="1">
      <c r="A1561" s="447"/>
      <c r="B1561" s="542"/>
      <c r="C1561" s="152"/>
      <c r="D1561" s="42"/>
      <c r="F1561" s="57"/>
      <c r="G1561" s="70"/>
    </row>
    <row r="1562" spans="1:7" ht="31.5" customHeight="1">
      <c r="A1562" s="419"/>
      <c r="B1562" s="420"/>
      <c r="C1562" s="552"/>
      <c r="D1562" s="553"/>
      <c r="E1562" s="553"/>
      <c r="F1562" s="25"/>
      <c r="G1562" s="58"/>
    </row>
    <row r="1563" spans="1:7" ht="31.5" customHeight="1">
      <c r="A1563" s="428"/>
      <c r="B1563" s="429"/>
      <c r="C1563" s="19"/>
      <c r="D1563" s="425"/>
      <c r="E1563" s="425"/>
      <c r="F1563" s="426"/>
      <c r="G1563" s="427"/>
    </row>
    <row r="1564" spans="1:7" ht="31.5" customHeight="1">
      <c r="A1564" s="430"/>
      <c r="B1564" s="431"/>
      <c r="C1564" s="19"/>
      <c r="D1564" s="19"/>
      <c r="E1564" s="68"/>
      <c r="F1564" s="59"/>
      <c r="G1564" s="21"/>
    </row>
    <row r="1565" spans="1:7" ht="31.5" customHeight="1">
      <c r="A1565" s="432"/>
      <c r="B1565" s="433"/>
      <c r="D1565" s="19"/>
      <c r="E1565" s="68"/>
      <c r="F1565" s="60"/>
      <c r="G1565" s="21"/>
    </row>
    <row r="1566" spans="1:7" ht="31.5" customHeight="1">
      <c r="A1566" s="447"/>
      <c r="B1566" s="542"/>
      <c r="C1566" s="40"/>
      <c r="D1566" s="41"/>
      <c r="E1566" s="151"/>
      <c r="F1566" s="41"/>
      <c r="G1566" s="69"/>
    </row>
    <row r="1567" spans="1:7" ht="31.5" customHeight="1">
      <c r="A1567" s="447"/>
      <c r="B1567" s="542"/>
      <c r="C1567" s="44"/>
      <c r="D1567" s="41"/>
      <c r="E1567" s="151"/>
      <c r="F1567" s="229"/>
      <c r="G1567" s="69"/>
    </row>
    <row r="1568" spans="1:7" ht="31.5" customHeight="1">
      <c r="A1568" s="447"/>
      <c r="B1568" s="542"/>
      <c r="C1568" s="447"/>
      <c r="D1568" s="542"/>
      <c r="E1568" s="542"/>
      <c r="F1568" s="542"/>
      <c r="G1568" s="448"/>
    </row>
    <row r="1569" spans="1:7" ht="31.5" customHeight="1">
      <c r="A1569" s="447"/>
      <c r="B1569" s="542"/>
      <c r="C1569" s="447"/>
      <c r="D1569" s="542"/>
      <c r="E1569" s="542"/>
      <c r="F1569" s="542"/>
      <c r="G1569" s="448"/>
    </row>
    <row r="1570" spans="1:7" ht="31.5" customHeight="1">
      <c r="A1570" s="447"/>
      <c r="B1570" s="542"/>
      <c r="C1570" s="445"/>
      <c r="D1570" s="557"/>
      <c r="E1570" s="557"/>
      <c r="F1570" s="557"/>
      <c r="G1570" s="446"/>
    </row>
    <row r="1571" spans="1:7" ht="31.5" customHeight="1">
      <c r="A1571" s="417"/>
      <c r="B1571" s="417"/>
      <c r="C1571" s="417"/>
      <c r="D1571" s="417"/>
      <c r="E1571" s="417"/>
      <c r="F1571" s="417"/>
      <c r="G1571" s="417"/>
    </row>
    <row r="1572" spans="1:7" ht="31.5" customHeight="1">
      <c r="A1572" s="127"/>
      <c r="B1572" s="127"/>
      <c r="C1572" s="127"/>
      <c r="D1572" s="127"/>
      <c r="E1572" s="127"/>
      <c r="F1572" s="127"/>
      <c r="G1572" s="127"/>
    </row>
    <row r="1573" spans="1:7" ht="31.5" customHeight="1">
      <c r="A1573" s="428"/>
      <c r="B1573" s="425"/>
      <c r="C1573" s="419"/>
      <c r="D1573" s="420"/>
      <c r="E1573" s="420"/>
      <c r="F1573" s="62"/>
      <c r="G1573" s="25"/>
    </row>
    <row r="1574" spans="1:7" ht="31.5" customHeight="1">
      <c r="A1574" s="546"/>
      <c r="B1574" s="62"/>
      <c r="C1574" s="549"/>
      <c r="D1574" s="418"/>
      <c r="E1574" s="418"/>
      <c r="F1574" s="418"/>
      <c r="G1574" s="418"/>
    </row>
    <row r="1575" spans="1:7" ht="31.5" customHeight="1">
      <c r="A1575" s="547"/>
      <c r="B1575" s="18"/>
      <c r="C1575" s="419"/>
      <c r="D1575" s="420"/>
      <c r="E1575" s="420"/>
      <c r="F1575" s="420"/>
      <c r="G1575" s="424"/>
    </row>
    <row r="1576" spans="1:7" ht="31.5" customHeight="1">
      <c r="A1576" s="548"/>
      <c r="B1576" s="62"/>
      <c r="C1576" s="550"/>
      <c r="D1576" s="551"/>
      <c r="E1576" s="551"/>
      <c r="F1576" s="62"/>
      <c r="G1576" s="25"/>
    </row>
    <row r="1577" spans="1:7" ht="31.5" customHeight="1">
      <c r="A1577" s="419"/>
      <c r="B1577" s="420"/>
      <c r="C1577" s="419"/>
      <c r="D1577" s="420"/>
      <c r="E1577" s="420"/>
      <c r="F1577" s="62"/>
      <c r="G1577" s="25"/>
    </row>
    <row r="1578" spans="1:7" ht="31.5" customHeight="1">
      <c r="A1578" s="428"/>
      <c r="B1578" s="429"/>
      <c r="C1578" s="19"/>
      <c r="D1578" s="425"/>
      <c r="E1578" s="425"/>
      <c r="F1578" s="426"/>
      <c r="G1578" s="427"/>
    </row>
    <row r="1579" spans="1:7" ht="31.5" customHeight="1">
      <c r="A1579" s="430"/>
      <c r="B1579" s="431"/>
      <c r="C1579" s="19"/>
      <c r="D1579" s="19"/>
      <c r="E1579" s="68"/>
      <c r="F1579" s="59"/>
      <c r="G1579" s="21"/>
    </row>
    <row r="1580" spans="1:7" ht="31.5" customHeight="1">
      <c r="A1580" s="430"/>
      <c r="B1580" s="431"/>
      <c r="D1580" s="19"/>
      <c r="E1580" s="68"/>
      <c r="F1580" s="60"/>
      <c r="G1580" s="21"/>
    </row>
    <row r="1581" spans="1:7" ht="31.5" customHeight="1">
      <c r="A1581" s="432"/>
      <c r="B1581" s="433"/>
      <c r="C1581" s="20"/>
      <c r="D1581" s="27"/>
      <c r="E1581" s="27"/>
      <c r="G1581" s="150"/>
    </row>
    <row r="1582" spans="1:7" ht="31.5" customHeight="1">
      <c r="A1582" s="447"/>
      <c r="B1582" s="542"/>
      <c r="C1582" s="44"/>
      <c r="D1582" s="41"/>
      <c r="E1582" s="151"/>
      <c r="F1582" s="61"/>
      <c r="G1582" s="69"/>
    </row>
    <row r="1583" spans="1:7" ht="31.5" customHeight="1">
      <c r="A1583" s="447"/>
      <c r="B1583" s="542"/>
      <c r="C1583" s="152"/>
      <c r="D1583" s="42"/>
      <c r="F1583" s="57"/>
      <c r="G1583" s="70"/>
    </row>
    <row r="1584" spans="1:7" ht="31.5" customHeight="1">
      <c r="A1584" s="419"/>
      <c r="B1584" s="420"/>
      <c r="C1584" s="558"/>
      <c r="D1584" s="553"/>
      <c r="E1584" s="553"/>
      <c r="F1584" s="25"/>
      <c r="G1584" s="58"/>
    </row>
    <row r="1585" spans="1:7" ht="31.5" customHeight="1">
      <c r="A1585" s="428"/>
      <c r="B1585" s="425"/>
      <c r="C1585" s="17"/>
      <c r="D1585" s="425"/>
      <c r="E1585" s="425"/>
      <c r="F1585" s="425"/>
      <c r="G1585" s="429"/>
    </row>
    <row r="1586" spans="1:7" ht="31.5" customHeight="1">
      <c r="A1586" s="430"/>
      <c r="B1586" s="559"/>
      <c r="C1586" s="18"/>
      <c r="D1586" s="559"/>
      <c r="E1586" s="559"/>
      <c r="F1586" s="559"/>
      <c r="G1586" s="431"/>
    </row>
    <row r="1587" spans="1:7" ht="31.5" customHeight="1">
      <c r="A1587" s="432"/>
      <c r="B1587" s="562"/>
      <c r="C1587" s="26"/>
      <c r="D1587" s="27"/>
      <c r="E1587" s="153"/>
      <c r="F1587" s="153"/>
      <c r="G1587" s="154"/>
    </row>
    <row r="1588" spans="1:7" ht="31.5" customHeight="1">
      <c r="A1588" s="447"/>
      <c r="B1588" s="542"/>
      <c r="C1588" s="40"/>
      <c r="D1588" s="41"/>
      <c r="E1588" s="151"/>
      <c r="F1588" s="41"/>
      <c r="G1588" s="69"/>
    </row>
    <row r="1589" spans="1:7" ht="31.5" customHeight="1">
      <c r="A1589" s="447"/>
      <c r="B1589" s="542"/>
      <c r="C1589" s="43"/>
      <c r="D1589" s="42"/>
      <c r="F1589" s="41"/>
      <c r="G1589" s="70"/>
    </row>
    <row r="1590" spans="1:7" ht="31.5" customHeight="1">
      <c r="A1590" s="447"/>
      <c r="B1590" s="542"/>
      <c r="C1590" s="447"/>
      <c r="D1590" s="542"/>
      <c r="E1590" s="542"/>
      <c r="F1590" s="542"/>
      <c r="G1590" s="448"/>
    </row>
    <row r="1591" spans="1:7" ht="31.5" customHeight="1">
      <c r="A1591" s="447"/>
      <c r="B1591" s="542"/>
      <c r="C1591" s="447"/>
      <c r="D1591" s="542"/>
      <c r="E1591" s="542"/>
      <c r="F1591" s="542"/>
      <c r="G1591" s="448"/>
    </row>
    <row r="1592" spans="1:7" ht="31.5" customHeight="1">
      <c r="A1592" s="447"/>
      <c r="B1592" s="542"/>
      <c r="C1592" s="445"/>
      <c r="D1592" s="557"/>
      <c r="E1592" s="557"/>
      <c r="F1592" s="557"/>
      <c r="G1592" s="446"/>
    </row>
    <row r="1593" spans="1:7" ht="31.5" customHeight="1">
      <c r="A1593" s="417"/>
      <c r="B1593" s="417"/>
      <c r="C1593" s="417"/>
      <c r="D1593" s="417"/>
      <c r="E1593" s="417"/>
      <c r="F1593" s="417"/>
      <c r="G1593" s="417"/>
    </row>
    <row r="1594" spans="1:7" ht="31.5" customHeight="1">
      <c r="A1594" s="127"/>
      <c r="B1594" s="127"/>
      <c r="C1594" s="127"/>
      <c r="D1594" s="127"/>
      <c r="E1594" s="127"/>
      <c r="F1594" s="127"/>
      <c r="G1594" s="127"/>
    </row>
    <row r="1595" spans="1:7" ht="31.5" customHeight="1">
      <c r="A1595" s="428"/>
      <c r="B1595" s="425"/>
      <c r="C1595" s="419"/>
      <c r="D1595" s="420"/>
      <c r="E1595" s="420"/>
      <c r="F1595" s="62"/>
      <c r="G1595" s="25"/>
    </row>
    <row r="1596" spans="1:7" ht="31.5" customHeight="1">
      <c r="A1596" s="546"/>
      <c r="B1596" s="62"/>
      <c r="C1596" s="549"/>
      <c r="D1596" s="418"/>
      <c r="E1596" s="418"/>
      <c r="F1596" s="418"/>
      <c r="G1596" s="418"/>
    </row>
    <row r="1597" spans="1:7" ht="31.5" customHeight="1">
      <c r="A1597" s="547"/>
      <c r="B1597" s="18"/>
      <c r="C1597" s="419"/>
      <c r="D1597" s="420"/>
      <c r="E1597" s="420"/>
      <c r="F1597" s="420"/>
      <c r="G1597" s="424"/>
    </row>
    <row r="1598" spans="1:7" ht="31.5" customHeight="1">
      <c r="A1598" s="548"/>
      <c r="B1598" s="62"/>
      <c r="C1598" s="550"/>
      <c r="D1598" s="551"/>
      <c r="E1598" s="551"/>
      <c r="F1598" s="62"/>
      <c r="G1598" s="25"/>
    </row>
    <row r="1599" spans="1:7" ht="31.5" customHeight="1">
      <c r="A1599" s="419"/>
      <c r="B1599" s="420"/>
      <c r="C1599" s="419"/>
      <c r="D1599" s="420"/>
      <c r="E1599" s="420"/>
      <c r="F1599" s="62"/>
      <c r="G1599" s="25"/>
    </row>
    <row r="1600" spans="1:7" ht="31.5" customHeight="1">
      <c r="A1600" s="428"/>
      <c r="B1600" s="429"/>
      <c r="C1600" s="19"/>
      <c r="D1600" s="425"/>
      <c r="E1600" s="425"/>
      <c r="F1600" s="426"/>
      <c r="G1600" s="427"/>
    </row>
    <row r="1601" spans="1:7" ht="31.5" customHeight="1">
      <c r="A1601" s="430"/>
      <c r="B1601" s="431"/>
      <c r="C1601" s="19"/>
      <c r="D1601" s="19"/>
      <c r="E1601" s="68"/>
      <c r="F1601" s="59"/>
      <c r="G1601" s="21"/>
    </row>
    <row r="1602" spans="1:7" ht="31.5" customHeight="1">
      <c r="A1602" s="430"/>
      <c r="B1602" s="431"/>
      <c r="D1602" s="19"/>
      <c r="E1602" s="68"/>
      <c r="F1602" s="60"/>
      <c r="G1602" s="21"/>
    </row>
    <row r="1603" spans="1:7" ht="31.5" customHeight="1">
      <c r="A1603" s="432"/>
      <c r="B1603" s="433"/>
      <c r="D1603" s="19"/>
      <c r="E1603" s="68"/>
      <c r="F1603" s="60"/>
      <c r="G1603" s="21"/>
    </row>
    <row r="1604" spans="1:7" ht="31.5" customHeight="1">
      <c r="A1604" s="447"/>
      <c r="B1604" s="542"/>
      <c r="C1604" s="44"/>
      <c r="D1604" s="41"/>
      <c r="E1604" s="151"/>
      <c r="F1604" s="61"/>
      <c r="G1604" s="69"/>
    </row>
    <row r="1605" spans="1:7" ht="31.5" customHeight="1">
      <c r="A1605" s="447"/>
      <c r="B1605" s="542"/>
      <c r="C1605" s="152"/>
      <c r="D1605" s="42"/>
      <c r="F1605" s="57"/>
      <c r="G1605" s="70"/>
    </row>
    <row r="1606" spans="1:7" ht="31.5" customHeight="1">
      <c r="A1606" s="419"/>
      <c r="B1606" s="420"/>
      <c r="C1606" s="558"/>
      <c r="D1606" s="553"/>
      <c r="E1606" s="553"/>
      <c r="F1606" s="25"/>
      <c r="G1606" s="58"/>
    </row>
    <row r="1607" spans="1:7" ht="31.5" customHeight="1">
      <c r="A1607" s="428"/>
      <c r="B1607" s="425"/>
      <c r="C1607" s="17"/>
      <c r="D1607" s="425"/>
      <c r="E1607" s="425"/>
      <c r="F1607" s="425"/>
      <c r="G1607" s="429"/>
    </row>
    <row r="1608" spans="1:7" ht="31.5" customHeight="1">
      <c r="A1608" s="430"/>
      <c r="B1608" s="559"/>
      <c r="C1608" s="18"/>
      <c r="D1608" s="559"/>
      <c r="E1608" s="559"/>
      <c r="F1608" s="559"/>
      <c r="G1608" s="431"/>
    </row>
    <row r="1609" spans="1:7" ht="31.5" customHeight="1">
      <c r="A1609" s="432"/>
      <c r="B1609" s="562"/>
      <c r="C1609" s="26"/>
      <c r="D1609" s="27"/>
      <c r="E1609" s="153"/>
      <c r="F1609" s="153"/>
      <c r="G1609" s="154"/>
    </row>
    <row r="1610" spans="1:7" ht="31.5" customHeight="1">
      <c r="A1610" s="447"/>
      <c r="B1610" s="542"/>
      <c r="C1610" s="40"/>
      <c r="D1610" s="41"/>
      <c r="E1610" s="151"/>
      <c r="F1610" s="41"/>
      <c r="G1610" s="69"/>
    </row>
    <row r="1611" spans="1:7" ht="31.5" customHeight="1">
      <c r="A1611" s="447"/>
      <c r="B1611" s="542"/>
      <c r="C1611" s="43"/>
      <c r="D1611" s="42"/>
      <c r="F1611" s="41"/>
      <c r="G1611" s="70"/>
    </row>
    <row r="1612" spans="1:7" ht="31.5" customHeight="1">
      <c r="A1612" s="447"/>
      <c r="B1612" s="542"/>
      <c r="C1612" s="447"/>
      <c r="D1612" s="542"/>
      <c r="E1612" s="542"/>
      <c r="F1612" s="542"/>
      <c r="G1612" s="448"/>
    </row>
    <row r="1613" spans="1:7" ht="31.5" customHeight="1">
      <c r="A1613" s="447"/>
      <c r="B1613" s="542"/>
      <c r="C1613" s="447"/>
      <c r="D1613" s="542"/>
      <c r="E1613" s="542"/>
      <c r="F1613" s="542"/>
      <c r="G1613" s="448"/>
    </row>
    <row r="1614" spans="1:7" ht="31.5" customHeight="1">
      <c r="A1614" s="447"/>
      <c r="B1614" s="542"/>
      <c r="C1614" s="445"/>
      <c r="D1614" s="557"/>
      <c r="E1614" s="557"/>
      <c r="F1614" s="557"/>
      <c r="G1614" s="446"/>
    </row>
    <row r="1615" spans="1:7" ht="31.5" customHeight="1">
      <c r="A1615" s="417"/>
      <c r="B1615" s="417"/>
      <c r="C1615" s="417"/>
      <c r="D1615" s="417"/>
      <c r="E1615" s="417"/>
      <c r="F1615" s="417"/>
      <c r="G1615" s="417"/>
    </row>
    <row r="1616" spans="1:7" ht="31.5" customHeight="1">
      <c r="A1616" s="127"/>
      <c r="B1616" s="127"/>
      <c r="C1616" s="127"/>
      <c r="D1616" s="127"/>
      <c r="E1616" s="127"/>
      <c r="F1616" s="127"/>
      <c r="G1616" s="127"/>
    </row>
    <row r="1617" spans="1:7" ht="31.5" customHeight="1">
      <c r="A1617" s="428"/>
      <c r="B1617" s="425"/>
      <c r="C1617" s="419"/>
      <c r="D1617" s="420"/>
      <c r="E1617" s="420"/>
      <c r="F1617" s="62"/>
      <c r="G1617" s="25"/>
    </row>
    <row r="1618" spans="1:7" ht="31.5" customHeight="1">
      <c r="A1618" s="546"/>
      <c r="B1618" s="62"/>
      <c r="C1618" s="549"/>
      <c r="D1618" s="418"/>
      <c r="E1618" s="418"/>
      <c r="F1618" s="418"/>
      <c r="G1618" s="418"/>
    </row>
    <row r="1619" spans="1:7" ht="31.5" customHeight="1">
      <c r="A1619" s="547"/>
      <c r="B1619" s="18"/>
      <c r="C1619" s="419"/>
      <c r="D1619" s="420"/>
      <c r="E1619" s="420"/>
      <c r="F1619" s="420"/>
      <c r="G1619" s="424"/>
    </row>
    <row r="1620" spans="1:7" ht="31.5" customHeight="1">
      <c r="A1620" s="548"/>
      <c r="B1620" s="62"/>
      <c r="C1620" s="550"/>
      <c r="D1620" s="551"/>
      <c r="E1620" s="551"/>
      <c r="F1620" s="62"/>
      <c r="G1620" s="25"/>
    </row>
    <row r="1621" spans="1:7" ht="31.5" customHeight="1">
      <c r="A1621" s="419"/>
      <c r="B1621" s="420"/>
      <c r="C1621" s="419"/>
      <c r="D1621" s="420"/>
      <c r="E1621" s="420"/>
      <c r="F1621" s="62"/>
      <c r="G1621" s="25"/>
    </row>
    <row r="1622" spans="1:7" ht="31.5" customHeight="1">
      <c r="A1622" s="428"/>
      <c r="B1622" s="429"/>
      <c r="C1622" s="19"/>
      <c r="D1622" s="425"/>
      <c r="E1622" s="425"/>
      <c r="F1622" s="426"/>
      <c r="G1622" s="427"/>
    </row>
    <row r="1623" spans="1:7" ht="31.5" customHeight="1">
      <c r="A1623" s="430"/>
      <c r="B1623" s="431"/>
      <c r="C1623" s="19"/>
      <c r="D1623" s="19"/>
      <c r="E1623" s="68"/>
      <c r="F1623" s="59"/>
      <c r="G1623" s="21"/>
    </row>
    <row r="1624" spans="1:7" ht="31.5" customHeight="1">
      <c r="A1624" s="430"/>
      <c r="B1624" s="431"/>
      <c r="D1624" s="19"/>
      <c r="E1624" s="68"/>
      <c r="F1624" s="60"/>
      <c r="G1624" s="21"/>
    </row>
    <row r="1625" spans="1:7" ht="31.5" customHeight="1">
      <c r="A1625" s="432"/>
      <c r="B1625" s="433"/>
      <c r="C1625" s="20"/>
      <c r="D1625" s="27"/>
      <c r="E1625" s="27"/>
      <c r="G1625" s="150"/>
    </row>
    <row r="1626" spans="1:7" ht="31.5" customHeight="1">
      <c r="A1626" s="447"/>
      <c r="B1626" s="542"/>
      <c r="C1626" s="44"/>
      <c r="D1626" s="41"/>
      <c r="E1626" s="151"/>
      <c r="F1626" s="61"/>
      <c r="G1626" s="69"/>
    </row>
    <row r="1627" spans="1:7" ht="31.5" customHeight="1">
      <c r="A1627" s="447"/>
      <c r="B1627" s="542"/>
      <c r="C1627" s="152"/>
      <c r="D1627" s="42"/>
      <c r="F1627" s="57"/>
      <c r="G1627" s="70"/>
    </row>
    <row r="1628" spans="1:7" ht="31.5" customHeight="1">
      <c r="A1628" s="419"/>
      <c r="B1628" s="420"/>
      <c r="C1628" s="558"/>
      <c r="D1628" s="553"/>
      <c r="E1628" s="553"/>
      <c r="F1628" s="25"/>
      <c r="G1628" s="58"/>
    </row>
    <row r="1629" spans="1:7" ht="31.5" customHeight="1">
      <c r="A1629" s="428"/>
      <c r="B1629" s="425"/>
      <c r="C1629" s="17"/>
      <c r="D1629" s="425"/>
      <c r="E1629" s="425"/>
      <c r="F1629" s="425"/>
      <c r="G1629" s="429"/>
    </row>
    <row r="1630" spans="1:7" ht="31.5" customHeight="1">
      <c r="A1630" s="430"/>
      <c r="B1630" s="559"/>
      <c r="C1630" s="18"/>
      <c r="D1630" s="559"/>
      <c r="E1630" s="559"/>
      <c r="F1630" s="559"/>
      <c r="G1630" s="431"/>
    </row>
    <row r="1631" spans="1:7" ht="31.5" customHeight="1">
      <c r="A1631" s="432"/>
      <c r="B1631" s="562"/>
      <c r="C1631" s="26"/>
      <c r="D1631" s="27"/>
      <c r="E1631" s="153"/>
      <c r="F1631" s="153"/>
      <c r="G1631" s="154"/>
    </row>
    <row r="1632" spans="1:7" ht="31.5" customHeight="1">
      <c r="A1632" s="447"/>
      <c r="B1632" s="542"/>
      <c r="C1632" s="40"/>
      <c r="D1632" s="41"/>
      <c r="E1632" s="151"/>
      <c r="F1632" s="41"/>
      <c r="G1632" s="69"/>
    </row>
    <row r="1633" spans="1:7" ht="31.5" customHeight="1">
      <c r="A1633" s="447"/>
      <c r="B1633" s="542"/>
      <c r="C1633" s="43"/>
      <c r="D1633" s="42"/>
      <c r="F1633" s="41"/>
      <c r="G1633" s="70"/>
    </row>
    <row r="1634" spans="1:7" ht="31.5" customHeight="1">
      <c r="A1634" s="447"/>
      <c r="B1634" s="542"/>
      <c r="C1634" s="447"/>
      <c r="D1634" s="542"/>
      <c r="E1634" s="542"/>
      <c r="F1634" s="542"/>
      <c r="G1634" s="448"/>
    </row>
    <row r="1635" spans="1:7" ht="31.5" customHeight="1">
      <c r="A1635" s="447"/>
      <c r="B1635" s="542"/>
      <c r="C1635" s="447"/>
      <c r="D1635" s="542"/>
      <c r="E1635" s="542"/>
      <c r="F1635" s="542"/>
      <c r="G1635" s="448"/>
    </row>
    <row r="1636" spans="1:7" ht="31.5" customHeight="1">
      <c r="A1636" s="447"/>
      <c r="B1636" s="542"/>
      <c r="C1636" s="445"/>
      <c r="D1636" s="557"/>
      <c r="E1636" s="557"/>
      <c r="F1636" s="557"/>
      <c r="G1636" s="446"/>
    </row>
    <row r="1637" spans="1:7" ht="31.5" customHeight="1">
      <c r="A1637" s="417"/>
      <c r="B1637" s="417"/>
      <c r="C1637" s="417"/>
      <c r="D1637" s="417"/>
      <c r="E1637" s="417"/>
      <c r="F1637" s="417"/>
      <c r="G1637" s="417"/>
    </row>
    <row r="1638" spans="1:7" ht="31.5" customHeight="1">
      <c r="A1638" s="127"/>
      <c r="B1638" s="127"/>
      <c r="C1638" s="127"/>
      <c r="D1638" s="127"/>
      <c r="E1638" s="127"/>
      <c r="F1638" s="127"/>
      <c r="G1638" s="127"/>
    </row>
    <row r="1639" spans="1:7" ht="31.5" customHeight="1">
      <c r="A1639" s="428"/>
      <c r="B1639" s="425"/>
      <c r="C1639" s="419"/>
      <c r="D1639" s="420"/>
      <c r="E1639" s="420"/>
      <c r="F1639" s="62"/>
      <c r="G1639" s="25"/>
    </row>
    <row r="1640" spans="1:7" ht="31.5" customHeight="1">
      <c r="A1640" s="546"/>
      <c r="B1640" s="62"/>
      <c r="C1640" s="549"/>
      <c r="D1640" s="418"/>
      <c r="E1640" s="418"/>
      <c r="F1640" s="418"/>
      <c r="G1640" s="418"/>
    </row>
    <row r="1641" spans="1:7" ht="31.5" customHeight="1">
      <c r="A1641" s="547"/>
      <c r="B1641" s="18"/>
      <c r="C1641" s="419"/>
      <c r="D1641" s="420"/>
      <c r="E1641" s="420"/>
      <c r="F1641" s="420"/>
      <c r="G1641" s="424"/>
    </row>
    <row r="1642" spans="1:7" ht="31.5" customHeight="1">
      <c r="A1642" s="548"/>
      <c r="B1642" s="62"/>
      <c r="C1642" s="550"/>
      <c r="D1642" s="551"/>
      <c r="E1642" s="551"/>
      <c r="F1642" s="62"/>
      <c r="G1642" s="25"/>
    </row>
    <row r="1643" spans="1:7" ht="31.5" customHeight="1">
      <c r="A1643" s="419"/>
      <c r="B1643" s="420"/>
      <c r="C1643" s="419"/>
      <c r="D1643" s="420"/>
      <c r="E1643" s="420"/>
      <c r="F1643" s="62"/>
      <c r="G1643" s="25"/>
    </row>
    <row r="1644" spans="1:7" ht="31.5" customHeight="1">
      <c r="A1644" s="428"/>
      <c r="B1644" s="429"/>
      <c r="C1644" s="19"/>
      <c r="D1644" s="425"/>
      <c r="E1644" s="425"/>
      <c r="F1644" s="426"/>
      <c r="G1644" s="427"/>
    </row>
    <row r="1645" spans="1:7" ht="31.5" customHeight="1">
      <c r="A1645" s="430"/>
      <c r="B1645" s="431"/>
      <c r="C1645" s="19"/>
      <c r="D1645" s="19"/>
      <c r="E1645" s="68"/>
      <c r="F1645" s="59"/>
      <c r="G1645" s="21"/>
    </row>
    <row r="1646" spans="1:7" ht="31.5" customHeight="1">
      <c r="A1646" s="430"/>
      <c r="B1646" s="431"/>
      <c r="D1646" s="19"/>
      <c r="E1646" s="68"/>
      <c r="F1646" s="60"/>
      <c r="G1646" s="21"/>
    </row>
    <row r="1647" spans="1:7" ht="31.5" customHeight="1">
      <c r="A1647" s="432"/>
      <c r="B1647" s="433"/>
      <c r="C1647" s="20"/>
      <c r="D1647" s="27"/>
      <c r="E1647" s="27"/>
      <c r="G1647" s="150"/>
    </row>
    <row r="1648" spans="1:7" ht="31.5" customHeight="1">
      <c r="A1648" s="447"/>
      <c r="B1648" s="542"/>
      <c r="C1648" s="44"/>
      <c r="D1648" s="41"/>
      <c r="E1648" s="151"/>
      <c r="F1648" s="61"/>
      <c r="G1648" s="69"/>
    </row>
    <row r="1649" spans="1:7" ht="31.5" customHeight="1">
      <c r="A1649" s="447"/>
      <c r="B1649" s="542"/>
      <c r="C1649" s="152"/>
      <c r="D1649" s="42"/>
      <c r="F1649" s="57"/>
      <c r="G1649" s="70"/>
    </row>
    <row r="1650" spans="1:7" ht="31.5" customHeight="1">
      <c r="A1650" s="419"/>
      <c r="B1650" s="420"/>
      <c r="C1650" s="558"/>
      <c r="D1650" s="553"/>
      <c r="E1650" s="553"/>
      <c r="F1650" s="25"/>
      <c r="G1650" s="58"/>
    </row>
    <row r="1651" spans="1:7" ht="31.5" customHeight="1">
      <c r="A1651" s="428"/>
      <c r="B1651" s="425"/>
      <c r="C1651" s="17"/>
      <c r="D1651" s="425"/>
      <c r="E1651" s="425"/>
      <c r="F1651" s="425"/>
      <c r="G1651" s="429"/>
    </row>
    <row r="1652" spans="1:7" ht="31.5" customHeight="1">
      <c r="A1652" s="430"/>
      <c r="B1652" s="559"/>
      <c r="C1652" s="18"/>
      <c r="D1652" s="559"/>
      <c r="E1652" s="559"/>
      <c r="F1652" s="559"/>
      <c r="G1652" s="431"/>
    </row>
    <row r="1653" spans="1:7" ht="31.5" customHeight="1">
      <c r="A1653" s="432"/>
      <c r="B1653" s="562"/>
      <c r="C1653" s="26"/>
      <c r="D1653" s="27"/>
      <c r="E1653" s="153"/>
      <c r="F1653" s="153"/>
      <c r="G1653" s="154"/>
    </row>
    <row r="1654" spans="1:7" ht="31.5" customHeight="1">
      <c r="A1654" s="447"/>
      <c r="B1654" s="542"/>
      <c r="C1654" s="40"/>
      <c r="D1654" s="41"/>
      <c r="E1654" s="151"/>
      <c r="F1654" s="41"/>
      <c r="G1654" s="69"/>
    </row>
    <row r="1655" spans="1:7" ht="31.5" customHeight="1">
      <c r="A1655" s="447"/>
      <c r="B1655" s="542"/>
      <c r="C1655" s="43"/>
      <c r="D1655" s="42"/>
      <c r="F1655" s="41"/>
      <c r="G1655" s="70"/>
    </row>
    <row r="1656" spans="1:7" ht="31.5" customHeight="1">
      <c r="A1656" s="447"/>
      <c r="B1656" s="542"/>
      <c r="C1656" s="447"/>
      <c r="D1656" s="542"/>
      <c r="E1656" s="542"/>
      <c r="F1656" s="542"/>
      <c r="G1656" s="448"/>
    </row>
    <row r="1657" spans="1:7" ht="31.5" customHeight="1">
      <c r="A1657" s="447"/>
      <c r="B1657" s="542"/>
      <c r="C1657" s="447"/>
      <c r="D1657" s="542"/>
      <c r="E1657" s="542"/>
      <c r="F1657" s="542"/>
      <c r="G1657" s="448"/>
    </row>
    <row r="1658" spans="1:7" ht="31.5" customHeight="1">
      <c r="A1658" s="447"/>
      <c r="B1658" s="542"/>
      <c r="C1658" s="445"/>
      <c r="D1658" s="557"/>
      <c r="E1658" s="557"/>
      <c r="F1658" s="557"/>
      <c r="G1658" s="446"/>
    </row>
    <row r="1659" spans="1:7" ht="31.5" customHeight="1">
      <c r="A1659" s="417"/>
      <c r="B1659" s="417"/>
      <c r="C1659" s="417"/>
      <c r="D1659" s="417"/>
      <c r="E1659" s="417"/>
      <c r="F1659" s="417"/>
      <c r="G1659" s="417"/>
    </row>
    <row r="1660" spans="1:7" ht="31.5" customHeight="1">
      <c r="A1660" s="127"/>
      <c r="B1660" s="127"/>
      <c r="C1660" s="127"/>
      <c r="D1660" s="127"/>
      <c r="E1660" s="127"/>
      <c r="F1660" s="127"/>
      <c r="G1660" s="127"/>
    </row>
    <row r="1661" spans="1:7" ht="31.5" customHeight="1">
      <c r="A1661" s="428"/>
      <c r="B1661" s="425"/>
      <c r="C1661" s="419"/>
      <c r="D1661" s="420"/>
      <c r="E1661" s="420"/>
      <c r="F1661" s="62"/>
      <c r="G1661" s="25"/>
    </row>
    <row r="1662" spans="1:7" ht="31.5" customHeight="1">
      <c r="A1662" s="546"/>
      <c r="B1662" s="62"/>
      <c r="C1662" s="549"/>
      <c r="D1662" s="418"/>
      <c r="E1662" s="418"/>
      <c r="F1662" s="418"/>
      <c r="G1662" s="418"/>
    </row>
    <row r="1663" spans="1:7" ht="31.5" customHeight="1">
      <c r="A1663" s="547"/>
      <c r="B1663" s="18"/>
      <c r="C1663" s="419"/>
      <c r="D1663" s="420"/>
      <c r="E1663" s="420"/>
      <c r="F1663" s="420"/>
      <c r="G1663" s="424"/>
    </row>
    <row r="1664" spans="1:7" ht="31.5" customHeight="1">
      <c r="A1664" s="548"/>
      <c r="B1664" s="62"/>
      <c r="C1664" s="550"/>
      <c r="D1664" s="551"/>
      <c r="E1664" s="551"/>
      <c r="F1664" s="62"/>
      <c r="G1664" s="25"/>
    </row>
    <row r="1665" spans="1:7" ht="31.5" customHeight="1">
      <c r="A1665" s="419"/>
      <c r="B1665" s="420"/>
      <c r="C1665" s="419"/>
      <c r="D1665" s="420"/>
      <c r="E1665" s="420"/>
      <c r="F1665" s="62"/>
      <c r="G1665" s="25"/>
    </row>
    <row r="1666" spans="1:7" ht="31.5" customHeight="1">
      <c r="A1666" s="428"/>
      <c r="B1666" s="429"/>
      <c r="C1666" s="19"/>
      <c r="D1666" s="425"/>
      <c r="E1666" s="425"/>
      <c r="F1666" s="426"/>
      <c r="G1666" s="427"/>
    </row>
    <row r="1667" spans="1:7" ht="31.5" customHeight="1">
      <c r="A1667" s="430"/>
      <c r="B1667" s="431"/>
      <c r="C1667" s="19"/>
      <c r="D1667" s="19"/>
      <c r="E1667" s="68"/>
      <c r="F1667" s="59"/>
      <c r="G1667" s="21"/>
    </row>
    <row r="1668" spans="1:7" ht="31.5" customHeight="1">
      <c r="A1668" s="430"/>
      <c r="B1668" s="431"/>
      <c r="D1668" s="19"/>
      <c r="E1668" s="68"/>
      <c r="F1668" s="60"/>
      <c r="G1668" s="21"/>
    </row>
    <row r="1669" spans="1:7" ht="31.5" customHeight="1">
      <c r="A1669" s="432"/>
      <c r="B1669" s="433"/>
      <c r="C1669" s="20"/>
      <c r="D1669" s="27"/>
      <c r="E1669" s="27"/>
      <c r="G1669" s="150"/>
    </row>
    <row r="1670" spans="1:7" ht="31.5" customHeight="1">
      <c r="A1670" s="447"/>
      <c r="B1670" s="542"/>
      <c r="C1670" s="44"/>
      <c r="D1670" s="41"/>
      <c r="E1670" s="151"/>
      <c r="F1670" s="61"/>
      <c r="G1670" s="69"/>
    </row>
    <row r="1671" spans="1:7" ht="31.5" customHeight="1">
      <c r="A1671" s="447"/>
      <c r="B1671" s="542"/>
      <c r="C1671" s="152"/>
      <c r="D1671" s="42"/>
      <c r="F1671" s="57"/>
      <c r="G1671" s="70"/>
    </row>
    <row r="1672" spans="1:7" ht="31.5" customHeight="1">
      <c r="A1672" s="419"/>
      <c r="B1672" s="420"/>
      <c r="C1672" s="558"/>
      <c r="D1672" s="553"/>
      <c r="E1672" s="553"/>
      <c r="F1672" s="25"/>
      <c r="G1672" s="58"/>
    </row>
    <row r="1673" spans="1:7" ht="31.5" customHeight="1">
      <c r="A1673" s="428"/>
      <c r="B1673" s="425"/>
      <c r="C1673" s="17"/>
      <c r="D1673" s="425"/>
      <c r="E1673" s="425"/>
      <c r="F1673" s="425"/>
      <c r="G1673" s="429"/>
    </row>
    <row r="1674" spans="1:7" ht="31.5" customHeight="1">
      <c r="A1674" s="430"/>
      <c r="B1674" s="559"/>
      <c r="C1674" s="18"/>
      <c r="D1674" s="559"/>
      <c r="E1674" s="559"/>
      <c r="F1674" s="559"/>
      <c r="G1674" s="431"/>
    </row>
    <row r="1675" spans="1:7" ht="31.5" customHeight="1">
      <c r="A1675" s="432"/>
      <c r="B1675" s="562"/>
      <c r="C1675" s="26"/>
      <c r="D1675" s="27"/>
      <c r="E1675" s="153"/>
      <c r="F1675" s="153"/>
      <c r="G1675" s="154"/>
    </row>
    <row r="1676" spans="1:7" ht="31.5" customHeight="1">
      <c r="A1676" s="447"/>
      <c r="B1676" s="542"/>
      <c r="C1676" s="40"/>
      <c r="D1676" s="41"/>
      <c r="E1676" s="151"/>
      <c r="F1676" s="41"/>
      <c r="G1676" s="69"/>
    </row>
    <row r="1677" spans="1:7" ht="31.5" customHeight="1">
      <c r="A1677" s="447"/>
      <c r="B1677" s="542"/>
      <c r="C1677" s="43"/>
      <c r="D1677" s="42"/>
      <c r="F1677" s="41"/>
      <c r="G1677" s="70"/>
    </row>
    <row r="1678" spans="1:7" ht="31.5" customHeight="1">
      <c r="A1678" s="447"/>
      <c r="B1678" s="542"/>
      <c r="C1678" s="447"/>
      <c r="D1678" s="542"/>
      <c r="E1678" s="542"/>
      <c r="F1678" s="542"/>
      <c r="G1678" s="448"/>
    </row>
    <row r="1679" spans="1:7" ht="31.5" customHeight="1">
      <c r="A1679" s="447"/>
      <c r="B1679" s="542"/>
      <c r="C1679" s="447"/>
      <c r="D1679" s="542"/>
      <c r="E1679" s="542"/>
      <c r="F1679" s="542"/>
      <c r="G1679" s="448"/>
    </row>
    <row r="1680" spans="1:7" ht="31.5" customHeight="1">
      <c r="A1680" s="447"/>
      <c r="B1680" s="542"/>
      <c r="C1680" s="445"/>
      <c r="D1680" s="557"/>
      <c r="E1680" s="557"/>
      <c r="F1680" s="557"/>
      <c r="G1680" s="446"/>
    </row>
    <row r="1681" spans="1:7" ht="31.5" customHeight="1">
      <c r="A1681" s="417"/>
      <c r="B1681" s="417"/>
      <c r="C1681" s="417"/>
      <c r="D1681" s="417"/>
      <c r="E1681" s="417"/>
      <c r="F1681" s="417"/>
      <c r="G1681" s="417"/>
    </row>
    <row r="1682" spans="1:7" ht="31.5" customHeight="1">
      <c r="A1682" s="127"/>
      <c r="B1682" s="127"/>
      <c r="C1682" s="127"/>
      <c r="D1682" s="127"/>
      <c r="E1682" s="127"/>
      <c r="F1682" s="127"/>
      <c r="G1682" s="127"/>
    </row>
    <row r="1683" spans="1:7" ht="31.5" customHeight="1">
      <c r="A1683" s="428"/>
      <c r="B1683" s="425"/>
      <c r="C1683" s="419"/>
      <c r="D1683" s="420"/>
      <c r="E1683" s="420"/>
      <c r="F1683" s="62"/>
      <c r="G1683" s="25"/>
    </row>
    <row r="1684" spans="1:7" ht="31.5" customHeight="1">
      <c r="A1684" s="546"/>
      <c r="B1684" s="62"/>
      <c r="C1684" s="549"/>
      <c r="D1684" s="418"/>
      <c r="E1684" s="418"/>
      <c r="F1684" s="418"/>
      <c r="G1684" s="418"/>
    </row>
    <row r="1685" spans="1:7" ht="31.5" customHeight="1">
      <c r="A1685" s="547"/>
      <c r="B1685" s="18"/>
      <c r="C1685" s="419"/>
      <c r="D1685" s="420"/>
      <c r="E1685" s="420"/>
      <c r="F1685" s="420"/>
      <c r="G1685" s="424"/>
    </row>
    <row r="1686" spans="1:7" ht="31.5" customHeight="1">
      <c r="A1686" s="548"/>
      <c r="B1686" s="62"/>
      <c r="C1686" s="550"/>
      <c r="D1686" s="551"/>
      <c r="E1686" s="551"/>
      <c r="F1686" s="62"/>
      <c r="G1686" s="25"/>
    </row>
    <row r="1687" spans="1:7" ht="31.5" customHeight="1">
      <c r="A1687" s="419"/>
      <c r="B1687" s="420"/>
      <c r="C1687" s="419"/>
      <c r="D1687" s="420"/>
      <c r="E1687" s="420"/>
      <c r="F1687" s="62"/>
      <c r="G1687" s="25"/>
    </row>
    <row r="1688" spans="1:7" ht="31.5" customHeight="1">
      <c r="A1688" s="428"/>
      <c r="B1688" s="429"/>
      <c r="C1688" s="19"/>
      <c r="D1688" s="425"/>
      <c r="E1688" s="425"/>
      <c r="F1688" s="426"/>
      <c r="G1688" s="427"/>
    </row>
    <row r="1689" spans="1:7" ht="31.5" customHeight="1">
      <c r="A1689" s="430"/>
      <c r="B1689" s="431"/>
      <c r="C1689" s="19"/>
      <c r="D1689" s="19"/>
      <c r="E1689" s="68"/>
      <c r="F1689" s="59"/>
      <c r="G1689" s="21"/>
    </row>
    <row r="1690" spans="1:7" ht="31.5" customHeight="1">
      <c r="A1690" s="430"/>
      <c r="B1690" s="431"/>
      <c r="D1690" s="19"/>
      <c r="E1690" s="68"/>
      <c r="F1690" s="60"/>
      <c r="G1690" s="21"/>
    </row>
    <row r="1691" spans="1:7" ht="31.5" customHeight="1">
      <c r="A1691" s="432"/>
      <c r="B1691" s="433"/>
      <c r="C1691" s="20"/>
      <c r="D1691" s="27"/>
      <c r="E1691" s="27"/>
      <c r="G1691" s="150"/>
    </row>
    <row r="1692" spans="1:7" ht="31.5" customHeight="1">
      <c r="A1692" s="447"/>
      <c r="B1692" s="542"/>
      <c r="C1692" s="44"/>
      <c r="D1692" s="41"/>
      <c r="E1692" s="151"/>
      <c r="F1692" s="61"/>
      <c r="G1692" s="69"/>
    </row>
    <row r="1693" spans="1:7" ht="31.5" customHeight="1">
      <c r="A1693" s="447"/>
      <c r="B1693" s="542"/>
      <c r="C1693" s="152"/>
      <c r="D1693" s="42"/>
      <c r="F1693" s="57"/>
      <c r="G1693" s="70"/>
    </row>
    <row r="1694" spans="1:7" ht="31.5" customHeight="1">
      <c r="A1694" s="419"/>
      <c r="B1694" s="420"/>
      <c r="C1694" s="558"/>
      <c r="D1694" s="553"/>
      <c r="E1694" s="553"/>
      <c r="F1694" s="25"/>
      <c r="G1694" s="58"/>
    </row>
    <row r="1695" spans="1:7" ht="31.5" customHeight="1">
      <c r="A1695" s="428"/>
      <c r="B1695" s="425"/>
      <c r="C1695" s="17"/>
      <c r="D1695" s="425"/>
      <c r="E1695" s="425"/>
      <c r="F1695" s="425"/>
      <c r="G1695" s="429"/>
    </row>
    <row r="1696" spans="1:7" ht="31.5" customHeight="1">
      <c r="A1696" s="430"/>
      <c r="B1696" s="559"/>
      <c r="C1696" s="18"/>
      <c r="D1696" s="559"/>
      <c r="E1696" s="559"/>
      <c r="F1696" s="559"/>
      <c r="G1696" s="431"/>
    </row>
    <row r="1697" spans="1:7" ht="31.5" customHeight="1">
      <c r="A1697" s="432"/>
      <c r="B1697" s="562"/>
      <c r="C1697" s="26"/>
      <c r="D1697" s="27"/>
      <c r="E1697" s="153"/>
      <c r="F1697" s="153"/>
      <c r="G1697" s="154"/>
    </row>
    <row r="1698" spans="1:7" ht="31.5" customHeight="1">
      <c r="A1698" s="447"/>
      <c r="B1698" s="542"/>
      <c r="C1698" s="40"/>
      <c r="D1698" s="41"/>
      <c r="E1698" s="151"/>
      <c r="F1698" s="41"/>
      <c r="G1698" s="69"/>
    </row>
    <row r="1699" spans="1:7" ht="31.5" customHeight="1">
      <c r="A1699" s="447"/>
      <c r="B1699" s="542"/>
      <c r="C1699" s="43"/>
      <c r="D1699" s="42"/>
      <c r="F1699" s="41"/>
      <c r="G1699" s="70"/>
    </row>
    <row r="1700" spans="1:7" ht="31.5" customHeight="1">
      <c r="A1700" s="447"/>
      <c r="B1700" s="542"/>
      <c r="C1700" s="447"/>
      <c r="D1700" s="542"/>
      <c r="E1700" s="542"/>
      <c r="F1700" s="542"/>
      <c r="G1700" s="448"/>
    </row>
    <row r="1701" spans="1:7" ht="31.5" customHeight="1">
      <c r="A1701" s="447"/>
      <c r="B1701" s="542"/>
      <c r="C1701" s="447"/>
      <c r="D1701" s="542"/>
      <c r="E1701" s="542"/>
      <c r="F1701" s="542"/>
      <c r="G1701" s="448"/>
    </row>
    <row r="1702" spans="1:7" ht="31.5" customHeight="1">
      <c r="A1702" s="447"/>
      <c r="B1702" s="542"/>
      <c r="C1702" s="445"/>
      <c r="D1702" s="557"/>
      <c r="E1702" s="557"/>
      <c r="F1702" s="557"/>
      <c r="G1702" s="446"/>
    </row>
    <row r="1703" spans="1:7" ht="31.5" customHeight="1">
      <c r="A1703" s="417"/>
      <c r="B1703" s="417"/>
      <c r="C1703" s="417"/>
      <c r="D1703" s="417"/>
      <c r="E1703" s="417"/>
      <c r="F1703" s="417"/>
      <c r="G1703" s="417"/>
    </row>
    <row r="1704" spans="1:7" ht="31.5" customHeight="1">
      <c r="A1704" s="127"/>
      <c r="B1704" s="127"/>
      <c r="C1704" s="127"/>
      <c r="D1704" s="127"/>
      <c r="E1704" s="127"/>
      <c r="F1704" s="127"/>
      <c r="G1704" s="127"/>
    </row>
    <row r="1705" spans="1:7" ht="31.5" customHeight="1">
      <c r="A1705" s="428"/>
      <c r="B1705" s="425"/>
      <c r="C1705" s="419"/>
      <c r="D1705" s="420"/>
      <c r="E1705" s="420"/>
      <c r="F1705" s="62"/>
      <c r="G1705" s="25"/>
    </row>
    <row r="1706" spans="1:7" ht="31.5" customHeight="1">
      <c r="A1706" s="546"/>
      <c r="B1706" s="62"/>
      <c r="C1706" s="549"/>
      <c r="D1706" s="418"/>
      <c r="E1706" s="418"/>
      <c r="F1706" s="418"/>
      <c r="G1706" s="418"/>
    </row>
    <row r="1707" spans="1:7" ht="31.5" customHeight="1">
      <c r="A1707" s="547"/>
      <c r="B1707" s="18"/>
      <c r="C1707" s="419"/>
      <c r="D1707" s="420"/>
      <c r="E1707" s="420"/>
      <c r="F1707" s="420"/>
      <c r="G1707" s="424"/>
    </row>
    <row r="1708" spans="1:7" ht="31.5" customHeight="1">
      <c r="A1708" s="548"/>
      <c r="B1708" s="62"/>
      <c r="C1708" s="550"/>
      <c r="D1708" s="551"/>
      <c r="E1708" s="551"/>
      <c r="F1708" s="62"/>
      <c r="G1708" s="25"/>
    </row>
    <row r="1709" spans="1:7" ht="31.5" customHeight="1">
      <c r="A1709" s="419"/>
      <c r="B1709" s="420"/>
      <c r="C1709" s="419"/>
      <c r="D1709" s="420"/>
      <c r="E1709" s="420"/>
      <c r="F1709" s="62"/>
      <c r="G1709" s="25"/>
    </row>
    <row r="1710" spans="1:7" ht="31.5" customHeight="1">
      <c r="A1710" s="428"/>
      <c r="B1710" s="429"/>
      <c r="C1710" s="19"/>
      <c r="D1710" s="425"/>
      <c r="E1710" s="425"/>
      <c r="F1710" s="426"/>
      <c r="G1710" s="427"/>
    </row>
    <row r="1711" spans="1:7" ht="31.5" customHeight="1">
      <c r="A1711" s="430"/>
      <c r="B1711" s="431"/>
      <c r="C1711" s="19"/>
      <c r="D1711" s="19"/>
      <c r="E1711" s="68"/>
      <c r="F1711" s="59"/>
      <c r="G1711" s="21"/>
    </row>
    <row r="1712" spans="1:7" ht="31.5" customHeight="1">
      <c r="A1712" s="430"/>
      <c r="B1712" s="431"/>
      <c r="D1712" s="19"/>
      <c r="E1712" s="68"/>
      <c r="F1712" s="60"/>
      <c r="G1712" s="21"/>
    </row>
    <row r="1713" spans="1:7" ht="31.5" customHeight="1">
      <c r="A1713" s="432"/>
      <c r="B1713" s="433"/>
      <c r="C1713" s="20"/>
      <c r="D1713" s="27"/>
      <c r="E1713" s="27"/>
      <c r="G1713" s="150"/>
    </row>
    <row r="1714" spans="1:7" ht="31.5" customHeight="1">
      <c r="A1714" s="447"/>
      <c r="B1714" s="542"/>
      <c r="C1714" s="44"/>
      <c r="D1714" s="41"/>
      <c r="E1714" s="151"/>
      <c r="F1714" s="61"/>
      <c r="G1714" s="69"/>
    </row>
    <row r="1715" spans="1:7" ht="31.5" customHeight="1">
      <c r="A1715" s="447"/>
      <c r="B1715" s="542"/>
      <c r="C1715" s="152"/>
      <c r="D1715" s="42"/>
      <c r="F1715" s="57"/>
      <c r="G1715" s="70"/>
    </row>
    <row r="1716" spans="1:7" ht="31.5" customHeight="1">
      <c r="A1716" s="419"/>
      <c r="B1716" s="420"/>
      <c r="C1716" s="558"/>
      <c r="D1716" s="553"/>
      <c r="E1716" s="553"/>
      <c r="F1716" s="25"/>
      <c r="G1716" s="58"/>
    </row>
    <row r="1717" spans="1:7" ht="31.5" customHeight="1">
      <c r="A1717" s="428"/>
      <c r="B1717" s="425"/>
      <c r="C1717" s="17"/>
      <c r="D1717" s="425"/>
      <c r="E1717" s="425"/>
      <c r="F1717" s="425"/>
      <c r="G1717" s="429"/>
    </row>
    <row r="1718" spans="1:7" ht="31.5" customHeight="1">
      <c r="A1718" s="430"/>
      <c r="B1718" s="559"/>
      <c r="C1718" s="18"/>
      <c r="D1718" s="559"/>
      <c r="E1718" s="559"/>
      <c r="F1718" s="559"/>
      <c r="G1718" s="431"/>
    </row>
    <row r="1719" spans="1:7" ht="31.5" customHeight="1">
      <c r="A1719" s="432"/>
      <c r="B1719" s="562"/>
      <c r="C1719" s="26"/>
      <c r="D1719" s="27"/>
      <c r="E1719" s="153"/>
      <c r="F1719" s="153"/>
      <c r="G1719" s="154"/>
    </row>
    <row r="1720" spans="1:7" ht="31.5" customHeight="1">
      <c r="A1720" s="447"/>
      <c r="B1720" s="542"/>
      <c r="C1720" s="40"/>
      <c r="D1720" s="41"/>
      <c r="E1720" s="151"/>
      <c r="F1720" s="41"/>
      <c r="G1720" s="69"/>
    </row>
    <row r="1721" spans="1:7" ht="31.5" customHeight="1">
      <c r="A1721" s="447"/>
      <c r="B1721" s="542"/>
      <c r="C1721" s="43"/>
      <c r="D1721" s="42"/>
      <c r="F1721" s="41"/>
      <c r="G1721" s="70"/>
    </row>
    <row r="1722" spans="1:7" ht="31.5" customHeight="1">
      <c r="A1722" s="447"/>
      <c r="B1722" s="542"/>
      <c r="C1722" s="447"/>
      <c r="D1722" s="542"/>
      <c r="E1722" s="542"/>
      <c r="F1722" s="542"/>
      <c r="G1722" s="448"/>
    </row>
    <row r="1723" spans="1:7" ht="31.5" customHeight="1">
      <c r="A1723" s="447"/>
      <c r="B1723" s="542"/>
      <c r="C1723" s="447"/>
      <c r="D1723" s="542"/>
      <c r="E1723" s="542"/>
      <c r="F1723" s="542"/>
      <c r="G1723" s="448"/>
    </row>
    <row r="1724" spans="1:7" ht="31.5" customHeight="1">
      <c r="A1724" s="447"/>
      <c r="B1724" s="542"/>
      <c r="C1724" s="445"/>
      <c r="D1724" s="557"/>
      <c r="E1724" s="557"/>
      <c r="F1724" s="557"/>
      <c r="G1724" s="446"/>
    </row>
    <row r="1725" spans="1:7" ht="31.5" customHeight="1">
      <c r="A1725" s="417"/>
      <c r="B1725" s="417"/>
      <c r="C1725" s="417"/>
      <c r="D1725" s="417"/>
      <c r="E1725" s="417"/>
      <c r="F1725" s="417"/>
      <c r="G1725" s="417"/>
    </row>
    <row r="1726" spans="1:7" ht="31.5" customHeight="1">
      <c r="A1726" s="127"/>
      <c r="B1726" s="127"/>
      <c r="C1726" s="127"/>
      <c r="D1726" s="127"/>
      <c r="E1726" s="127"/>
      <c r="F1726" s="127"/>
      <c r="G1726" s="127"/>
    </row>
    <row r="1727" spans="1:7" ht="31.5" customHeight="1">
      <c r="A1727" s="428"/>
      <c r="B1727" s="425"/>
      <c r="C1727" s="419"/>
      <c r="D1727" s="420"/>
      <c r="E1727" s="420"/>
      <c r="F1727" s="62"/>
      <c r="G1727" s="25"/>
    </row>
    <row r="1728" spans="1:7" ht="31.5" customHeight="1">
      <c r="A1728" s="546"/>
      <c r="B1728" s="62"/>
      <c r="C1728" s="549"/>
      <c r="D1728" s="418"/>
      <c r="E1728" s="418"/>
      <c r="F1728" s="418"/>
      <c r="G1728" s="418"/>
    </row>
    <row r="1729" spans="1:7" ht="31.5" customHeight="1">
      <c r="A1729" s="547"/>
      <c r="B1729" s="18"/>
      <c r="C1729" s="419"/>
      <c r="D1729" s="420"/>
      <c r="E1729" s="420"/>
      <c r="F1729" s="420"/>
      <c r="G1729" s="424"/>
    </row>
    <row r="1730" spans="1:7" ht="31.5" customHeight="1">
      <c r="A1730" s="548"/>
      <c r="B1730" s="62"/>
      <c r="C1730" s="550"/>
      <c r="D1730" s="551"/>
      <c r="E1730" s="551"/>
      <c r="F1730" s="62"/>
      <c r="G1730" s="25"/>
    </row>
    <row r="1731" spans="1:7" ht="31.5" customHeight="1">
      <c r="A1731" s="419"/>
      <c r="B1731" s="420"/>
      <c r="C1731" s="419"/>
      <c r="D1731" s="420"/>
      <c r="E1731" s="420"/>
      <c r="F1731" s="62"/>
      <c r="G1731" s="25"/>
    </row>
    <row r="1732" spans="1:7" ht="31.5" customHeight="1">
      <c r="A1732" s="428"/>
      <c r="B1732" s="429"/>
      <c r="C1732" s="19"/>
      <c r="D1732" s="425"/>
      <c r="E1732" s="425"/>
      <c r="F1732" s="426"/>
      <c r="G1732" s="427"/>
    </row>
    <row r="1733" spans="1:7" ht="31.5" customHeight="1">
      <c r="A1733" s="430"/>
      <c r="B1733" s="431"/>
      <c r="C1733" s="19"/>
      <c r="D1733" s="19"/>
      <c r="E1733" s="68"/>
      <c r="F1733" s="59"/>
      <c r="G1733" s="21"/>
    </row>
    <row r="1734" spans="1:7" ht="31.5" customHeight="1">
      <c r="A1734" s="430"/>
      <c r="B1734" s="431"/>
      <c r="D1734" s="19"/>
      <c r="E1734" s="68"/>
      <c r="F1734" s="60"/>
      <c r="G1734" s="21"/>
    </row>
    <row r="1735" spans="1:7" ht="31.5" customHeight="1">
      <c r="A1735" s="432"/>
      <c r="B1735" s="433"/>
      <c r="C1735" s="20"/>
      <c r="D1735" s="27"/>
      <c r="E1735" s="27"/>
      <c r="G1735" s="150"/>
    </row>
    <row r="1736" spans="1:7" ht="31.5" customHeight="1">
      <c r="A1736" s="447"/>
      <c r="B1736" s="542"/>
      <c r="C1736" s="44"/>
      <c r="D1736" s="41"/>
      <c r="E1736" s="151"/>
      <c r="F1736" s="61"/>
      <c r="G1736" s="69"/>
    </row>
    <row r="1737" spans="1:7" ht="31.5" customHeight="1">
      <c r="A1737" s="447"/>
      <c r="B1737" s="542"/>
      <c r="C1737" s="152"/>
      <c r="D1737" s="42"/>
      <c r="F1737" s="57"/>
      <c r="G1737" s="70"/>
    </row>
    <row r="1738" spans="1:7" ht="31.5" customHeight="1">
      <c r="A1738" s="419"/>
      <c r="B1738" s="420"/>
      <c r="C1738" s="558"/>
      <c r="D1738" s="553"/>
      <c r="E1738" s="553"/>
      <c r="F1738" s="25"/>
      <c r="G1738" s="58"/>
    </row>
    <row r="1739" spans="1:7" ht="31.5" customHeight="1">
      <c r="A1739" s="428"/>
      <c r="B1739" s="425"/>
      <c r="C1739" s="17"/>
      <c r="D1739" s="425"/>
      <c r="E1739" s="425"/>
      <c r="F1739" s="425"/>
      <c r="G1739" s="429"/>
    </row>
    <row r="1740" spans="1:7" ht="31.5" customHeight="1">
      <c r="A1740" s="430"/>
      <c r="B1740" s="559"/>
      <c r="C1740" s="18"/>
      <c r="D1740" s="559"/>
      <c r="E1740" s="559"/>
      <c r="F1740" s="559"/>
      <c r="G1740" s="431"/>
    </row>
    <row r="1741" spans="1:7" ht="31.5" customHeight="1">
      <c r="A1741" s="432"/>
      <c r="B1741" s="562"/>
      <c r="C1741" s="26"/>
      <c r="D1741" s="27"/>
      <c r="E1741" s="153"/>
      <c r="F1741" s="153"/>
      <c r="G1741" s="154"/>
    </row>
    <row r="1742" spans="1:7" ht="31.5" customHeight="1">
      <c r="A1742" s="447"/>
      <c r="B1742" s="542"/>
      <c r="C1742" s="40"/>
      <c r="D1742" s="41"/>
      <c r="E1742" s="151"/>
      <c r="F1742" s="41"/>
      <c r="G1742" s="69"/>
    </row>
    <row r="1743" spans="1:7" ht="31.5" customHeight="1">
      <c r="A1743" s="447"/>
      <c r="B1743" s="542"/>
      <c r="C1743" s="43"/>
      <c r="D1743" s="42"/>
      <c r="F1743" s="41"/>
      <c r="G1743" s="70"/>
    </row>
    <row r="1744" spans="1:7" ht="31.5" customHeight="1">
      <c r="A1744" s="447"/>
      <c r="B1744" s="542"/>
      <c r="C1744" s="447"/>
      <c r="D1744" s="542"/>
      <c r="E1744" s="542"/>
      <c r="F1744" s="542"/>
      <c r="G1744" s="448"/>
    </row>
    <row r="1745" spans="1:7" ht="31.5" customHeight="1">
      <c r="A1745" s="447"/>
      <c r="B1745" s="542"/>
      <c r="C1745" s="447"/>
      <c r="D1745" s="542"/>
      <c r="E1745" s="542"/>
      <c r="F1745" s="542"/>
      <c r="G1745" s="448"/>
    </row>
    <row r="1746" spans="1:7" ht="31.5" customHeight="1">
      <c r="A1746" s="447"/>
      <c r="B1746" s="542"/>
      <c r="C1746" s="445"/>
      <c r="D1746" s="557"/>
      <c r="E1746" s="557"/>
      <c r="F1746" s="557"/>
      <c r="G1746" s="446"/>
    </row>
    <row r="1747" spans="1:7" ht="31.5" customHeight="1">
      <c r="A1747" s="417"/>
      <c r="B1747" s="417"/>
      <c r="C1747" s="417"/>
      <c r="D1747" s="417"/>
      <c r="E1747" s="417"/>
      <c r="F1747" s="417"/>
      <c r="G1747" s="417"/>
    </row>
    <row r="1748" spans="1:7" ht="31.5" customHeight="1">
      <c r="A1748" s="127"/>
      <c r="B1748" s="127"/>
      <c r="C1748" s="127"/>
      <c r="D1748" s="127"/>
      <c r="E1748" s="127"/>
      <c r="F1748" s="127"/>
      <c r="G1748" s="127"/>
    </row>
    <row r="1749" spans="1:7" ht="31.5" customHeight="1">
      <c r="A1749" s="428"/>
      <c r="B1749" s="425"/>
      <c r="C1749" s="419"/>
      <c r="D1749" s="420"/>
      <c r="E1749" s="420"/>
      <c r="F1749" s="62"/>
      <c r="G1749" s="25"/>
    </row>
    <row r="1750" spans="1:7" ht="31.5" customHeight="1">
      <c r="A1750" s="546"/>
      <c r="B1750" s="62"/>
      <c r="C1750" s="418"/>
      <c r="D1750" s="418"/>
      <c r="E1750" s="418"/>
      <c r="F1750" s="418"/>
      <c r="G1750" s="418"/>
    </row>
    <row r="1751" spans="1:7" ht="31.5" customHeight="1">
      <c r="A1751" s="547"/>
      <c r="B1751" s="18"/>
      <c r="C1751" s="419"/>
      <c r="D1751" s="420"/>
      <c r="E1751" s="420"/>
      <c r="F1751" s="420"/>
      <c r="G1751" s="424"/>
    </row>
    <row r="1752" spans="1:7" ht="31.5" customHeight="1">
      <c r="A1752" s="548"/>
      <c r="B1752" s="62"/>
      <c r="C1752" s="550"/>
      <c r="D1752" s="551"/>
      <c r="E1752" s="551"/>
      <c r="F1752" s="62"/>
      <c r="G1752" s="25"/>
    </row>
    <row r="1753" spans="1:7" ht="31.5" customHeight="1">
      <c r="A1753" s="419"/>
      <c r="B1753" s="420"/>
      <c r="C1753" s="419"/>
      <c r="D1753" s="420"/>
      <c r="E1753" s="420"/>
      <c r="F1753" s="62"/>
      <c r="G1753" s="25"/>
    </row>
    <row r="1754" spans="1:7" ht="31.5" customHeight="1">
      <c r="A1754" s="428"/>
      <c r="B1754" s="429"/>
      <c r="C1754" s="19"/>
      <c r="D1754" s="425"/>
      <c r="E1754" s="425"/>
      <c r="F1754" s="426"/>
      <c r="G1754" s="427"/>
    </row>
    <row r="1755" spans="1:7" ht="31.5" customHeight="1">
      <c r="A1755" s="430"/>
      <c r="B1755" s="431"/>
      <c r="C1755" s="19"/>
      <c r="D1755" s="19"/>
      <c r="E1755" s="68"/>
      <c r="F1755" s="59"/>
      <c r="G1755" s="21"/>
    </row>
    <row r="1756" spans="1:7" ht="31.5" customHeight="1">
      <c r="A1756" s="430"/>
      <c r="B1756" s="431"/>
      <c r="D1756" s="19"/>
      <c r="E1756" s="68"/>
      <c r="F1756" s="60"/>
      <c r="G1756" s="21"/>
    </row>
    <row r="1757" spans="1:7" ht="31.5" customHeight="1">
      <c r="A1757" s="432"/>
      <c r="B1757" s="433"/>
      <c r="C1757" s="20"/>
      <c r="D1757" s="27"/>
      <c r="E1757" s="27"/>
      <c r="G1757" s="150"/>
    </row>
    <row r="1758" spans="1:7" ht="31.5" customHeight="1">
      <c r="A1758" s="447"/>
      <c r="B1758" s="542"/>
      <c r="C1758" s="44"/>
      <c r="D1758" s="41"/>
      <c r="E1758" s="151"/>
      <c r="F1758" s="61"/>
      <c r="G1758" s="69"/>
    </row>
    <row r="1759" spans="1:7" ht="31.5" customHeight="1">
      <c r="A1759" s="447"/>
      <c r="B1759" s="542"/>
      <c r="C1759" s="152"/>
      <c r="D1759" s="42"/>
      <c r="F1759" s="57"/>
      <c r="G1759" s="70"/>
    </row>
    <row r="1760" spans="1:7" ht="31.5" customHeight="1">
      <c r="A1760" s="419"/>
      <c r="B1760" s="420"/>
      <c r="C1760" s="558"/>
      <c r="D1760" s="553"/>
      <c r="E1760" s="553"/>
      <c r="F1760" s="25"/>
      <c r="G1760" s="58"/>
    </row>
    <row r="1761" spans="1:7" ht="31.5" customHeight="1">
      <c r="A1761" s="428"/>
      <c r="B1761" s="425"/>
      <c r="C1761" s="17"/>
      <c r="D1761" s="425"/>
      <c r="E1761" s="425"/>
      <c r="F1761" s="425"/>
      <c r="G1761" s="429"/>
    </row>
    <row r="1762" spans="1:7" ht="31.5" customHeight="1">
      <c r="A1762" s="430"/>
      <c r="B1762" s="559"/>
      <c r="C1762" s="18"/>
      <c r="D1762" s="559"/>
      <c r="E1762" s="559"/>
      <c r="F1762" s="559"/>
      <c r="G1762" s="431"/>
    </row>
    <row r="1763" spans="1:7" ht="31.5" customHeight="1">
      <c r="A1763" s="432"/>
      <c r="B1763" s="562"/>
      <c r="C1763" s="26"/>
      <c r="D1763" s="27"/>
      <c r="E1763" s="153"/>
      <c r="F1763" s="153"/>
      <c r="G1763" s="154"/>
    </row>
    <row r="1764" spans="1:7" ht="31.5" customHeight="1">
      <c r="A1764" s="447"/>
      <c r="B1764" s="542"/>
      <c r="C1764" s="40"/>
      <c r="D1764" s="41"/>
      <c r="E1764" s="151"/>
      <c r="F1764" s="41"/>
      <c r="G1764" s="69"/>
    </row>
    <row r="1765" spans="1:7" ht="31.5" customHeight="1">
      <c r="A1765" s="447"/>
      <c r="B1765" s="542"/>
      <c r="C1765" s="43"/>
      <c r="D1765" s="42"/>
      <c r="F1765" s="41"/>
      <c r="G1765" s="70"/>
    </row>
    <row r="1766" spans="1:7" ht="31.5" customHeight="1">
      <c r="A1766" s="447"/>
      <c r="B1766" s="542"/>
      <c r="C1766" s="447"/>
      <c r="D1766" s="542"/>
      <c r="E1766" s="542"/>
      <c r="F1766" s="542"/>
      <c r="G1766" s="448"/>
    </row>
    <row r="1767" spans="1:7" ht="31.5" customHeight="1">
      <c r="A1767" s="447"/>
      <c r="B1767" s="542"/>
      <c r="C1767" s="447"/>
      <c r="D1767" s="542"/>
      <c r="E1767" s="542"/>
      <c r="F1767" s="542"/>
      <c r="G1767" s="448"/>
    </row>
    <row r="1768" spans="1:7" ht="31.5" customHeight="1">
      <c r="A1768" s="447"/>
      <c r="B1768" s="542"/>
      <c r="C1768" s="445"/>
      <c r="D1768" s="557"/>
      <c r="E1768" s="557"/>
      <c r="F1768" s="557"/>
      <c r="G1768" s="446"/>
    </row>
    <row r="1769" spans="1:7" ht="31.5" customHeight="1">
      <c r="A1769" s="417"/>
      <c r="B1769" s="417"/>
      <c r="C1769" s="417"/>
      <c r="D1769" s="417"/>
      <c r="E1769" s="417"/>
      <c r="F1769" s="417"/>
      <c r="G1769" s="417"/>
    </row>
    <row r="1770" spans="1:7" ht="31.5" customHeight="1">
      <c r="A1770" s="127"/>
      <c r="B1770" s="127"/>
      <c r="C1770" s="127"/>
      <c r="D1770" s="127"/>
      <c r="E1770" s="127"/>
      <c r="F1770" s="127"/>
      <c r="G1770" s="127"/>
    </row>
    <row r="1771" spans="1:7" ht="31.5" customHeight="1">
      <c r="A1771" s="428"/>
      <c r="B1771" s="425"/>
      <c r="C1771" s="419"/>
      <c r="D1771" s="420"/>
      <c r="E1771" s="420"/>
      <c r="F1771" s="62"/>
      <c r="G1771" s="25"/>
    </row>
    <row r="1772" spans="1:7" ht="31.5" customHeight="1">
      <c r="A1772" s="546"/>
      <c r="B1772" s="62"/>
      <c r="C1772" s="418"/>
      <c r="D1772" s="418"/>
      <c r="E1772" s="418"/>
      <c r="F1772" s="418"/>
      <c r="G1772" s="418"/>
    </row>
    <row r="1773" spans="1:7" ht="31.5" customHeight="1">
      <c r="A1773" s="547"/>
      <c r="B1773" s="18"/>
      <c r="C1773" s="419"/>
      <c r="D1773" s="420"/>
      <c r="E1773" s="420"/>
      <c r="F1773" s="420"/>
      <c r="G1773" s="424"/>
    </row>
    <row r="1774" spans="1:7" ht="31.5" customHeight="1">
      <c r="A1774" s="548"/>
      <c r="B1774" s="62"/>
      <c r="C1774" s="550"/>
      <c r="D1774" s="551"/>
      <c r="E1774" s="551"/>
      <c r="F1774" s="62"/>
      <c r="G1774" s="25"/>
    </row>
    <row r="1775" spans="1:7" ht="31.5" customHeight="1">
      <c r="A1775" s="419"/>
      <c r="B1775" s="420"/>
      <c r="C1775" s="419"/>
      <c r="D1775" s="420"/>
      <c r="E1775" s="420"/>
      <c r="F1775" s="62"/>
      <c r="G1775" s="25"/>
    </row>
    <row r="1776" spans="1:7" ht="31.5" customHeight="1">
      <c r="A1776" s="428"/>
      <c r="B1776" s="429"/>
      <c r="C1776" s="19"/>
      <c r="D1776" s="425"/>
      <c r="E1776" s="425"/>
      <c r="F1776" s="426"/>
      <c r="G1776" s="427"/>
    </row>
    <row r="1777" spans="1:7" ht="31.5" customHeight="1">
      <c r="A1777" s="430"/>
      <c r="B1777" s="431"/>
      <c r="C1777" s="19"/>
      <c r="D1777" s="19"/>
      <c r="E1777" s="68"/>
      <c r="F1777" s="59"/>
      <c r="G1777" s="21"/>
    </row>
    <row r="1778" spans="1:7" ht="31.5" customHeight="1">
      <c r="A1778" s="430"/>
      <c r="B1778" s="431"/>
      <c r="D1778" s="19"/>
      <c r="E1778" s="68"/>
      <c r="F1778" s="60"/>
      <c r="G1778" s="21"/>
    </row>
    <row r="1779" spans="1:7" ht="31.5" customHeight="1">
      <c r="A1779" s="432"/>
      <c r="B1779" s="433"/>
      <c r="C1779" s="20"/>
      <c r="D1779" s="27"/>
      <c r="E1779" s="27"/>
      <c r="G1779" s="150"/>
    </row>
    <row r="1780" spans="1:7" ht="31.5" customHeight="1">
      <c r="A1780" s="447"/>
      <c r="B1780" s="542"/>
      <c r="C1780" s="44"/>
      <c r="D1780" s="41"/>
      <c r="E1780" s="151"/>
      <c r="F1780" s="61"/>
      <c r="G1780" s="69"/>
    </row>
    <row r="1781" spans="1:7" ht="31.5" customHeight="1">
      <c r="A1781" s="447"/>
      <c r="B1781" s="542"/>
      <c r="C1781" s="152"/>
      <c r="D1781" s="42"/>
      <c r="F1781" s="57"/>
      <c r="G1781" s="70"/>
    </row>
    <row r="1782" spans="1:7" ht="31.5" customHeight="1">
      <c r="A1782" s="419"/>
      <c r="B1782" s="420"/>
      <c r="C1782" s="558"/>
      <c r="D1782" s="553"/>
      <c r="E1782" s="553"/>
      <c r="F1782" s="25"/>
      <c r="G1782" s="58"/>
    </row>
    <row r="1783" spans="1:7" ht="31.5" customHeight="1">
      <c r="A1783" s="428"/>
      <c r="B1783" s="425"/>
      <c r="C1783" s="17"/>
      <c r="D1783" s="425"/>
      <c r="E1783" s="425"/>
      <c r="F1783" s="425"/>
      <c r="G1783" s="429"/>
    </row>
    <row r="1784" spans="1:7" ht="31.5" customHeight="1">
      <c r="A1784" s="430"/>
      <c r="B1784" s="559"/>
      <c r="C1784" s="18"/>
      <c r="D1784" s="559"/>
      <c r="E1784" s="559"/>
      <c r="F1784" s="559"/>
      <c r="G1784" s="431"/>
    </row>
    <row r="1785" spans="1:7" ht="31.5" customHeight="1">
      <c r="A1785" s="432"/>
      <c r="B1785" s="562"/>
      <c r="C1785" s="26"/>
      <c r="D1785" s="27"/>
      <c r="E1785" s="153"/>
      <c r="F1785" s="153"/>
      <c r="G1785" s="154"/>
    </row>
    <row r="1786" spans="1:7" ht="31.5" customHeight="1">
      <c r="A1786" s="447"/>
      <c r="B1786" s="542"/>
      <c r="C1786" s="40"/>
      <c r="D1786" s="41"/>
      <c r="E1786" s="151"/>
      <c r="F1786" s="41"/>
      <c r="G1786" s="69"/>
    </row>
    <row r="1787" spans="1:7" ht="31.5" customHeight="1">
      <c r="A1787" s="447"/>
      <c r="B1787" s="542"/>
      <c r="C1787" s="43"/>
      <c r="D1787" s="42"/>
      <c r="F1787" s="41"/>
      <c r="G1787" s="70"/>
    </row>
    <row r="1788" spans="1:7" ht="31.5" customHeight="1">
      <c r="A1788" s="447"/>
      <c r="B1788" s="542"/>
      <c r="C1788" s="447"/>
      <c r="D1788" s="542"/>
      <c r="E1788" s="542"/>
      <c r="F1788" s="542"/>
      <c r="G1788" s="448"/>
    </row>
    <row r="1789" spans="1:7" ht="31.5" customHeight="1">
      <c r="A1789" s="447"/>
      <c r="B1789" s="542"/>
      <c r="C1789" s="447"/>
      <c r="D1789" s="542"/>
      <c r="E1789" s="542"/>
      <c r="F1789" s="542"/>
      <c r="G1789" s="448"/>
    </row>
    <row r="1790" spans="1:7" ht="31.5" customHeight="1">
      <c r="A1790" s="447"/>
      <c r="B1790" s="542"/>
      <c r="C1790" s="445"/>
      <c r="D1790" s="557"/>
      <c r="E1790" s="557"/>
      <c r="F1790" s="557"/>
      <c r="G1790" s="446"/>
    </row>
    <row r="1791" spans="1:7" ht="31.5" customHeight="1">
      <c r="A1791" s="417"/>
      <c r="B1791" s="417"/>
      <c r="C1791" s="417"/>
      <c r="D1791" s="417"/>
      <c r="E1791" s="417"/>
      <c r="F1791" s="417"/>
      <c r="G1791" s="417"/>
    </row>
    <row r="1792" spans="1:7" ht="31.5" customHeight="1">
      <c r="A1792" s="127"/>
      <c r="B1792" s="127"/>
      <c r="C1792" s="127"/>
      <c r="D1792" s="127"/>
      <c r="E1792" s="127"/>
      <c r="F1792" s="127"/>
      <c r="G1792" s="127"/>
    </row>
    <row r="1793" spans="1:7" ht="31.5" customHeight="1">
      <c r="A1793" s="428"/>
      <c r="B1793" s="425"/>
      <c r="C1793" s="419"/>
      <c r="D1793" s="420"/>
      <c r="E1793" s="420"/>
      <c r="F1793" s="62"/>
      <c r="G1793" s="25"/>
    </row>
    <row r="1794" spans="1:7" ht="31.5" customHeight="1">
      <c r="A1794" s="546"/>
      <c r="B1794" s="62"/>
      <c r="C1794" s="549"/>
      <c r="D1794" s="418"/>
      <c r="E1794" s="418"/>
      <c r="F1794" s="418"/>
      <c r="G1794" s="418"/>
    </row>
    <row r="1795" spans="1:7" ht="31.5" customHeight="1">
      <c r="A1795" s="547"/>
      <c r="B1795" s="18"/>
      <c r="C1795" s="419"/>
      <c r="D1795" s="420"/>
      <c r="E1795" s="420"/>
      <c r="F1795" s="420"/>
      <c r="G1795" s="424"/>
    </row>
    <row r="1796" spans="1:7" ht="31.5" customHeight="1">
      <c r="A1796" s="548"/>
      <c r="B1796" s="62"/>
      <c r="C1796" s="550"/>
      <c r="D1796" s="551"/>
      <c r="E1796" s="551"/>
      <c r="F1796" s="62"/>
      <c r="G1796" s="25"/>
    </row>
    <row r="1797" spans="1:7" ht="31.5" customHeight="1">
      <c r="A1797" s="419"/>
      <c r="B1797" s="420"/>
      <c r="C1797" s="419"/>
      <c r="D1797" s="420"/>
      <c r="E1797" s="420"/>
      <c r="F1797" s="62"/>
      <c r="G1797" s="25"/>
    </row>
    <row r="1798" spans="1:7" ht="31.5" customHeight="1">
      <c r="A1798" s="428"/>
      <c r="B1798" s="429"/>
      <c r="C1798" s="19"/>
      <c r="D1798" s="425"/>
      <c r="E1798" s="425"/>
      <c r="F1798" s="426"/>
      <c r="G1798" s="427"/>
    </row>
    <row r="1799" spans="1:7" ht="31.5" customHeight="1">
      <c r="A1799" s="430"/>
      <c r="B1799" s="431"/>
      <c r="C1799" s="19"/>
      <c r="D1799" s="19"/>
      <c r="E1799" s="68"/>
      <c r="F1799" s="59"/>
      <c r="G1799" s="21"/>
    </row>
    <row r="1800" spans="1:7" ht="31.5" customHeight="1">
      <c r="A1800" s="430"/>
      <c r="B1800" s="431"/>
      <c r="D1800" s="19"/>
      <c r="E1800" s="68"/>
      <c r="F1800" s="60"/>
      <c r="G1800" s="21"/>
    </row>
    <row r="1801" spans="1:7" ht="31.5" customHeight="1">
      <c r="A1801" s="432"/>
      <c r="B1801" s="433"/>
      <c r="C1801" s="20"/>
      <c r="D1801" s="27"/>
      <c r="E1801" s="27"/>
      <c r="G1801" s="150"/>
    </row>
    <row r="1802" spans="1:7" ht="31.5" customHeight="1">
      <c r="A1802" s="447"/>
      <c r="B1802" s="542"/>
      <c r="C1802" s="44"/>
      <c r="D1802" s="41"/>
      <c r="E1802" s="151"/>
      <c r="F1802" s="61"/>
      <c r="G1802" s="69"/>
    </row>
    <row r="1803" spans="1:7" ht="31.5" customHeight="1">
      <c r="A1803" s="447"/>
      <c r="B1803" s="542"/>
      <c r="C1803" s="152"/>
      <c r="D1803" s="42"/>
      <c r="F1803" s="57"/>
      <c r="G1803" s="70"/>
    </row>
    <row r="1804" spans="1:7" ht="31.5" customHeight="1">
      <c r="A1804" s="419"/>
      <c r="B1804" s="420"/>
      <c r="C1804" s="558"/>
      <c r="D1804" s="553"/>
      <c r="E1804" s="553"/>
      <c r="F1804" s="25"/>
      <c r="G1804" s="58"/>
    </row>
    <row r="1805" spans="1:7" ht="31.5" customHeight="1">
      <c r="A1805" s="428"/>
      <c r="B1805" s="429"/>
      <c r="C1805" s="17"/>
      <c r="D1805" s="425"/>
      <c r="E1805" s="425"/>
      <c r="F1805" s="425"/>
      <c r="G1805" s="429"/>
    </row>
    <row r="1806" spans="1:7" ht="31.5" customHeight="1">
      <c r="A1806" s="430"/>
      <c r="B1806" s="431"/>
      <c r="C1806" s="18"/>
      <c r="D1806" s="19"/>
      <c r="E1806" s="19"/>
      <c r="F1806" s="19"/>
      <c r="G1806" s="23"/>
    </row>
    <row r="1807" spans="1:7" ht="31.5" customHeight="1">
      <c r="A1807" s="432"/>
      <c r="B1807" s="433"/>
      <c r="C1807" s="18"/>
      <c r="D1807" s="562"/>
      <c r="E1807" s="562"/>
      <c r="F1807" s="562"/>
      <c r="G1807" s="433"/>
    </row>
    <row r="1808" spans="1:7" ht="31.5" customHeight="1">
      <c r="A1808" s="447"/>
      <c r="B1808" s="542"/>
      <c r="C1808" s="40"/>
      <c r="D1808" s="41"/>
      <c r="E1808" s="151"/>
      <c r="F1808" s="41"/>
      <c r="G1808" s="69"/>
    </row>
    <row r="1809" spans="1:7" ht="31.5" customHeight="1">
      <c r="A1809" s="447"/>
      <c r="B1809" s="542"/>
      <c r="C1809" s="43"/>
      <c r="D1809" s="42"/>
      <c r="F1809" s="41"/>
      <c r="G1809" s="70"/>
    </row>
    <row r="1810" spans="1:7" ht="31.5" customHeight="1">
      <c r="A1810" s="447"/>
      <c r="B1810" s="542"/>
      <c r="C1810" s="447"/>
      <c r="D1810" s="542"/>
      <c r="E1810" s="542"/>
      <c r="F1810" s="542"/>
      <c r="G1810" s="448"/>
    </row>
    <row r="1811" spans="1:7" ht="31.5" customHeight="1">
      <c r="A1811" s="447"/>
      <c r="B1811" s="542"/>
      <c r="C1811" s="447"/>
      <c r="D1811" s="542"/>
      <c r="E1811" s="542"/>
      <c r="F1811" s="542"/>
      <c r="G1811" s="448"/>
    </row>
    <row r="1812" spans="1:7" ht="31.5" customHeight="1">
      <c r="A1812" s="447"/>
      <c r="B1812" s="542"/>
      <c r="C1812" s="445"/>
      <c r="D1812" s="557"/>
      <c r="E1812" s="557"/>
      <c r="F1812" s="557"/>
      <c r="G1812" s="446"/>
    </row>
    <row r="1813" spans="1:7" ht="31.5" customHeight="1">
      <c r="A1813" s="417"/>
      <c r="B1813" s="417"/>
      <c r="C1813" s="417"/>
      <c r="D1813" s="417"/>
      <c r="E1813" s="417"/>
      <c r="F1813" s="417"/>
      <c r="G1813" s="417"/>
    </row>
    <row r="1814" spans="1:7" ht="31.5" customHeight="1">
      <c r="A1814" s="127"/>
      <c r="B1814" s="127"/>
      <c r="C1814" s="127"/>
      <c r="D1814" s="127"/>
      <c r="E1814" s="127"/>
      <c r="F1814" s="127"/>
      <c r="G1814" s="127"/>
    </row>
    <row r="1815" spans="1:7" ht="31.5" customHeight="1">
      <c r="A1815" s="428"/>
      <c r="B1815" s="425"/>
      <c r="C1815" s="419"/>
      <c r="D1815" s="420"/>
      <c r="E1815" s="420"/>
      <c r="F1815" s="62"/>
      <c r="G1815" s="25"/>
    </row>
    <row r="1816" spans="1:7" ht="31.5" customHeight="1">
      <c r="A1816" s="546"/>
      <c r="B1816" s="62"/>
      <c r="C1816" s="549"/>
      <c r="D1816" s="418"/>
      <c r="E1816" s="418"/>
      <c r="F1816" s="418"/>
      <c r="G1816" s="418"/>
    </row>
    <row r="1817" spans="1:7" ht="31.5" customHeight="1">
      <c r="A1817" s="547"/>
      <c r="B1817" s="18"/>
      <c r="C1817" s="419"/>
      <c r="D1817" s="420"/>
      <c r="E1817" s="420"/>
      <c r="F1817" s="420"/>
      <c r="G1817" s="424"/>
    </row>
    <row r="1818" spans="1:7" ht="31.5" customHeight="1">
      <c r="A1818" s="548"/>
      <c r="B1818" s="62"/>
      <c r="C1818" s="550"/>
      <c r="D1818" s="551"/>
      <c r="E1818" s="551"/>
      <c r="F1818" s="62"/>
      <c r="G1818" s="25"/>
    </row>
    <row r="1819" spans="1:7" ht="31.5" customHeight="1">
      <c r="A1819" s="419"/>
      <c r="B1819" s="420"/>
      <c r="C1819" s="419"/>
      <c r="D1819" s="420"/>
      <c r="E1819" s="420"/>
      <c r="F1819" s="62"/>
      <c r="G1819" s="25"/>
    </row>
    <row r="1820" spans="1:7" ht="31.5" customHeight="1">
      <c r="A1820" s="428"/>
      <c r="B1820" s="429"/>
      <c r="C1820" s="19"/>
      <c r="D1820" s="425"/>
      <c r="E1820" s="425"/>
      <c r="F1820" s="426"/>
      <c r="G1820" s="427"/>
    </row>
    <row r="1821" spans="1:7" ht="31.5" customHeight="1">
      <c r="A1821" s="430"/>
      <c r="B1821" s="431"/>
      <c r="C1821" s="19"/>
      <c r="D1821" s="19"/>
      <c r="E1821" s="68"/>
      <c r="F1821" s="59"/>
      <c r="G1821" s="21"/>
    </row>
    <row r="1822" spans="1:7" ht="31.5" customHeight="1">
      <c r="A1822" s="430"/>
      <c r="B1822" s="431"/>
      <c r="D1822" s="19"/>
      <c r="E1822" s="68"/>
      <c r="F1822" s="60"/>
      <c r="G1822" s="21"/>
    </row>
    <row r="1823" spans="1:7" ht="31.5" customHeight="1">
      <c r="A1823" s="432"/>
      <c r="B1823" s="433"/>
      <c r="C1823" s="20"/>
      <c r="D1823" s="27"/>
      <c r="E1823" s="27"/>
      <c r="G1823" s="150"/>
    </row>
    <row r="1824" spans="1:7" ht="31.5" customHeight="1">
      <c r="A1824" s="447"/>
      <c r="B1824" s="542"/>
      <c r="C1824" s="44"/>
      <c r="D1824" s="41"/>
      <c r="E1824" s="151"/>
      <c r="F1824" s="61"/>
      <c r="G1824" s="69"/>
    </row>
    <row r="1825" spans="1:7" ht="31.5" customHeight="1">
      <c r="A1825" s="447"/>
      <c r="B1825" s="542"/>
      <c r="C1825" s="152"/>
      <c r="D1825" s="42"/>
      <c r="F1825" s="57"/>
      <c r="G1825" s="70"/>
    </row>
    <row r="1826" spans="1:7" ht="31.5" customHeight="1">
      <c r="A1826" s="419"/>
      <c r="B1826" s="420"/>
      <c r="C1826" s="558"/>
      <c r="D1826" s="553"/>
      <c r="E1826" s="553"/>
      <c r="F1826" s="25"/>
      <c r="G1826" s="58"/>
    </row>
    <row r="1827" spans="1:7" ht="31.5" customHeight="1">
      <c r="A1827" s="428"/>
      <c r="B1827" s="425"/>
      <c r="C1827" s="17"/>
      <c r="D1827" s="425"/>
      <c r="E1827" s="425"/>
      <c r="F1827" s="425"/>
      <c r="G1827" s="429"/>
    </row>
    <row r="1828" spans="1:7" ht="31.5" customHeight="1">
      <c r="A1828" s="430"/>
      <c r="B1828" s="559"/>
      <c r="C1828" s="18"/>
      <c r="D1828" s="559"/>
      <c r="E1828" s="559"/>
      <c r="F1828" s="559"/>
      <c r="G1828" s="431"/>
    </row>
    <row r="1829" spans="1:7" ht="31.5" customHeight="1">
      <c r="A1829" s="432"/>
      <c r="B1829" s="562"/>
      <c r="C1829" s="26"/>
      <c r="D1829" s="27"/>
      <c r="E1829" s="153"/>
      <c r="F1829" s="153"/>
      <c r="G1829" s="154"/>
    </row>
    <row r="1830" spans="1:7" ht="31.5" customHeight="1">
      <c r="A1830" s="447"/>
      <c r="B1830" s="542"/>
      <c r="C1830" s="40"/>
      <c r="D1830" s="41"/>
      <c r="E1830" s="151"/>
      <c r="F1830" s="41"/>
      <c r="G1830" s="69"/>
    </row>
    <row r="1831" spans="1:7" ht="31.5" customHeight="1">
      <c r="A1831" s="447"/>
      <c r="B1831" s="542"/>
      <c r="C1831" s="43"/>
      <c r="D1831" s="42"/>
      <c r="F1831" s="41"/>
      <c r="G1831" s="70"/>
    </row>
    <row r="1832" spans="1:7" ht="31.5" customHeight="1">
      <c r="A1832" s="447"/>
      <c r="B1832" s="542"/>
      <c r="C1832" s="447"/>
      <c r="D1832" s="542"/>
      <c r="E1832" s="542"/>
      <c r="F1832" s="542"/>
      <c r="G1832" s="448"/>
    </row>
    <row r="1833" spans="1:7" ht="31.5" customHeight="1">
      <c r="A1833" s="447"/>
      <c r="B1833" s="542"/>
      <c r="C1833" s="447"/>
      <c r="D1833" s="542"/>
      <c r="E1833" s="542"/>
      <c r="F1833" s="542"/>
      <c r="G1833" s="448"/>
    </row>
    <row r="1834" spans="1:7" ht="31.5" customHeight="1">
      <c r="A1834" s="447"/>
      <c r="B1834" s="542"/>
      <c r="C1834" s="445"/>
      <c r="D1834" s="557"/>
      <c r="E1834" s="557"/>
      <c r="F1834" s="557"/>
      <c r="G1834" s="446"/>
    </row>
    <row r="1835" spans="1:7" ht="31.5" customHeight="1">
      <c r="A1835" s="417"/>
      <c r="B1835" s="417"/>
      <c r="C1835" s="417"/>
      <c r="D1835" s="417"/>
      <c r="E1835" s="417"/>
      <c r="F1835" s="417"/>
      <c r="G1835" s="417"/>
    </row>
    <row r="1836" spans="1:7" ht="31.5" customHeight="1">
      <c r="A1836" s="127"/>
      <c r="B1836" s="127"/>
      <c r="C1836" s="127"/>
      <c r="D1836" s="127"/>
      <c r="E1836" s="127"/>
      <c r="F1836" s="127"/>
      <c r="G1836" s="127"/>
    </row>
    <row r="1837" spans="1:7" ht="31.5" customHeight="1">
      <c r="A1837" s="428"/>
      <c r="B1837" s="425"/>
      <c r="C1837" s="419"/>
      <c r="D1837" s="420"/>
      <c r="E1837" s="420"/>
      <c r="F1837" s="62"/>
      <c r="G1837" s="25"/>
    </row>
    <row r="1838" spans="1:7" ht="31.5" customHeight="1">
      <c r="A1838" s="546"/>
      <c r="B1838" s="62"/>
      <c r="C1838" s="549"/>
      <c r="D1838" s="418"/>
      <c r="E1838" s="418"/>
      <c r="F1838" s="418"/>
      <c r="G1838" s="418"/>
    </row>
    <row r="1839" spans="1:7" ht="31.5" customHeight="1">
      <c r="A1839" s="547"/>
      <c r="B1839" s="18"/>
      <c r="C1839" s="419"/>
      <c r="D1839" s="420"/>
      <c r="E1839" s="420"/>
      <c r="F1839" s="420"/>
      <c r="G1839" s="424"/>
    </row>
    <row r="1840" spans="1:7" ht="31.5" customHeight="1">
      <c r="A1840" s="548"/>
      <c r="B1840" s="62"/>
      <c r="C1840" s="550"/>
      <c r="D1840" s="551"/>
      <c r="E1840" s="551"/>
      <c r="F1840" s="62"/>
      <c r="G1840" s="25"/>
    </row>
    <row r="1841" spans="1:7" ht="31.5" customHeight="1">
      <c r="A1841" s="419"/>
      <c r="B1841" s="420"/>
      <c r="C1841" s="419"/>
      <c r="D1841" s="420"/>
      <c r="E1841" s="420"/>
      <c r="F1841" s="62"/>
      <c r="G1841" s="25"/>
    </row>
    <row r="1842" spans="1:7" ht="31.5" customHeight="1">
      <c r="A1842" s="428"/>
      <c r="B1842" s="429"/>
      <c r="C1842" s="19"/>
      <c r="D1842" s="425"/>
      <c r="E1842" s="425"/>
      <c r="F1842" s="426"/>
      <c r="G1842" s="427"/>
    </row>
    <row r="1843" spans="1:7" ht="31.5" customHeight="1">
      <c r="A1843" s="430"/>
      <c r="B1843" s="431"/>
      <c r="C1843" s="19"/>
      <c r="D1843" s="19"/>
      <c r="E1843" s="68"/>
      <c r="F1843" s="59"/>
      <c r="G1843" s="21"/>
    </row>
    <row r="1844" spans="1:7" ht="31.5" customHeight="1">
      <c r="A1844" s="430"/>
      <c r="B1844" s="431"/>
      <c r="D1844" s="19"/>
      <c r="E1844" s="68"/>
      <c r="F1844" s="60"/>
      <c r="G1844" s="21"/>
    </row>
    <row r="1845" spans="1:7" ht="31.5" customHeight="1">
      <c r="A1845" s="432"/>
      <c r="B1845" s="433"/>
      <c r="C1845" s="20"/>
      <c r="D1845" s="27"/>
      <c r="E1845" s="27"/>
      <c r="G1845" s="150"/>
    </row>
    <row r="1846" spans="1:7" ht="31.5" customHeight="1">
      <c r="A1846" s="447"/>
      <c r="B1846" s="542"/>
      <c r="C1846" s="44"/>
      <c r="D1846" s="41"/>
      <c r="E1846" s="151"/>
      <c r="F1846" s="61"/>
      <c r="G1846" s="69"/>
    </row>
    <row r="1847" spans="1:7" ht="31.5" customHeight="1">
      <c r="A1847" s="447"/>
      <c r="B1847" s="542"/>
      <c r="C1847" s="152"/>
      <c r="D1847" s="42"/>
      <c r="F1847" s="57"/>
      <c r="G1847" s="70"/>
    </row>
    <row r="1848" spans="1:7" ht="31.5" customHeight="1">
      <c r="A1848" s="419"/>
      <c r="B1848" s="420"/>
      <c r="C1848" s="558"/>
      <c r="D1848" s="553"/>
      <c r="E1848" s="553"/>
      <c r="F1848" s="25"/>
      <c r="G1848" s="58"/>
    </row>
    <row r="1849" spans="1:7" ht="31.5" customHeight="1">
      <c r="A1849" s="428"/>
      <c r="B1849" s="425"/>
      <c r="C1849" s="17"/>
      <c r="D1849" s="425"/>
      <c r="E1849" s="425"/>
      <c r="F1849" s="425"/>
      <c r="G1849" s="429"/>
    </row>
    <row r="1850" spans="1:7" ht="31.5" customHeight="1">
      <c r="A1850" s="430"/>
      <c r="B1850" s="559"/>
      <c r="C1850" s="18"/>
      <c r="D1850" s="559"/>
      <c r="E1850" s="559"/>
      <c r="F1850" s="559"/>
      <c r="G1850" s="431"/>
    </row>
    <row r="1851" spans="1:7" ht="31.5" customHeight="1">
      <c r="A1851" s="432"/>
      <c r="B1851" s="562"/>
      <c r="C1851" s="26"/>
      <c r="D1851" s="27"/>
      <c r="E1851" s="153"/>
      <c r="F1851" s="153"/>
      <c r="G1851" s="154"/>
    </row>
    <row r="1852" spans="1:7" ht="31.5" customHeight="1">
      <c r="A1852" s="447"/>
      <c r="B1852" s="542"/>
      <c r="C1852" s="40"/>
      <c r="D1852" s="41"/>
      <c r="E1852" s="151"/>
      <c r="F1852" s="41"/>
      <c r="G1852" s="69"/>
    </row>
    <row r="1853" spans="1:7" ht="31.5" customHeight="1">
      <c r="A1853" s="447"/>
      <c r="B1853" s="542"/>
      <c r="C1853" s="43"/>
      <c r="D1853" s="42"/>
      <c r="F1853" s="41"/>
      <c r="G1853" s="70"/>
    </row>
    <row r="1854" spans="1:7" ht="31.5" customHeight="1">
      <c r="A1854" s="447"/>
      <c r="B1854" s="542"/>
      <c r="C1854" s="447"/>
      <c r="D1854" s="542"/>
      <c r="E1854" s="542"/>
      <c r="F1854" s="542"/>
      <c r="G1854" s="448"/>
    </row>
    <row r="1855" spans="1:7" ht="31.5" customHeight="1">
      <c r="A1855" s="447"/>
      <c r="B1855" s="542"/>
      <c r="C1855" s="447"/>
      <c r="D1855" s="542"/>
      <c r="E1855" s="542"/>
      <c r="F1855" s="542"/>
      <c r="G1855" s="448"/>
    </row>
    <row r="1856" spans="1:7" ht="31.5" customHeight="1">
      <c r="A1856" s="447"/>
      <c r="B1856" s="542"/>
      <c r="C1856" s="445"/>
      <c r="D1856" s="557"/>
      <c r="E1856" s="557"/>
      <c r="F1856" s="557"/>
      <c r="G1856" s="446"/>
    </row>
    <row r="1857" spans="1:7" ht="31.5" customHeight="1">
      <c r="A1857" s="417"/>
      <c r="B1857" s="417"/>
      <c r="C1857" s="417"/>
      <c r="D1857" s="417"/>
      <c r="E1857" s="417"/>
      <c r="F1857" s="417"/>
      <c r="G1857" s="417"/>
    </row>
    <row r="1858" spans="1:7" ht="31.5" customHeight="1">
      <c r="A1858" s="127"/>
      <c r="B1858" s="127"/>
      <c r="C1858" s="127"/>
      <c r="D1858" s="127"/>
      <c r="E1858" s="127"/>
      <c r="F1858" s="127"/>
      <c r="G1858" s="127"/>
    </row>
    <row r="1859" spans="1:7" ht="31.5" customHeight="1">
      <c r="A1859" s="428"/>
      <c r="B1859" s="425"/>
      <c r="C1859" s="419"/>
      <c r="D1859" s="420"/>
      <c r="E1859" s="420"/>
      <c r="F1859" s="62"/>
      <c r="G1859" s="25"/>
    </row>
    <row r="1860" spans="1:7" ht="31.5" customHeight="1">
      <c r="A1860" s="546"/>
      <c r="B1860" s="62"/>
      <c r="C1860" s="549"/>
      <c r="D1860" s="418"/>
      <c r="E1860" s="418"/>
      <c r="F1860" s="418"/>
      <c r="G1860" s="418"/>
    </row>
    <row r="1861" spans="1:7" ht="31.5" customHeight="1">
      <c r="A1861" s="547"/>
      <c r="B1861" s="18"/>
      <c r="C1861" s="419"/>
      <c r="D1861" s="420"/>
      <c r="E1861" s="420"/>
      <c r="F1861" s="420"/>
      <c r="G1861" s="424"/>
    </row>
    <row r="1862" spans="1:7" ht="31.5" customHeight="1">
      <c r="A1862" s="548"/>
      <c r="B1862" s="62"/>
      <c r="C1862" s="550"/>
      <c r="D1862" s="551"/>
      <c r="E1862" s="551"/>
      <c r="F1862" s="62"/>
      <c r="G1862" s="25"/>
    </row>
    <row r="1863" spans="1:7" ht="31.5" customHeight="1">
      <c r="A1863" s="419"/>
      <c r="B1863" s="420"/>
      <c r="C1863" s="419"/>
      <c r="D1863" s="420"/>
      <c r="E1863" s="420"/>
      <c r="F1863" s="62"/>
      <c r="G1863" s="25"/>
    </row>
    <row r="1864" spans="1:7" ht="31.5" customHeight="1">
      <c r="A1864" s="428"/>
      <c r="B1864" s="429"/>
      <c r="C1864" s="19"/>
      <c r="D1864" s="425"/>
      <c r="E1864" s="425"/>
      <c r="F1864" s="426"/>
      <c r="G1864" s="427"/>
    </row>
    <row r="1865" spans="1:7" ht="31.5" customHeight="1">
      <c r="A1865" s="430"/>
      <c r="B1865" s="431"/>
      <c r="C1865" s="19"/>
      <c r="D1865" s="19"/>
      <c r="E1865" s="68"/>
      <c r="F1865" s="59"/>
      <c r="G1865" s="21"/>
    </row>
    <row r="1866" spans="1:7" ht="31.5" customHeight="1">
      <c r="A1866" s="430"/>
      <c r="B1866" s="431"/>
      <c r="D1866" s="19"/>
      <c r="E1866" s="68"/>
      <c r="F1866" s="60"/>
      <c r="G1866" s="21"/>
    </row>
    <row r="1867" spans="1:7" ht="31.5" customHeight="1">
      <c r="A1867" s="432"/>
      <c r="B1867" s="433"/>
      <c r="C1867" s="20"/>
      <c r="D1867" s="27"/>
      <c r="E1867" s="27"/>
      <c r="G1867" s="150"/>
    </row>
    <row r="1868" spans="1:7" ht="31.5" customHeight="1">
      <c r="A1868" s="447"/>
      <c r="B1868" s="542"/>
      <c r="C1868" s="44"/>
      <c r="D1868" s="41"/>
      <c r="E1868" s="151"/>
      <c r="F1868" s="61"/>
      <c r="G1868" s="69"/>
    </row>
    <row r="1869" spans="1:7" ht="31.5" customHeight="1">
      <c r="A1869" s="447"/>
      <c r="B1869" s="542"/>
      <c r="C1869" s="152"/>
      <c r="D1869" s="42"/>
      <c r="F1869" s="57"/>
      <c r="G1869" s="70"/>
    </row>
    <row r="1870" spans="1:7" ht="31.5" customHeight="1">
      <c r="A1870" s="419"/>
      <c r="B1870" s="420"/>
      <c r="C1870" s="558"/>
      <c r="D1870" s="553"/>
      <c r="E1870" s="553"/>
      <c r="F1870" s="25"/>
      <c r="G1870" s="58"/>
    </row>
    <row r="1871" spans="1:7" ht="31.5" customHeight="1">
      <c r="A1871" s="428"/>
      <c r="B1871" s="425"/>
      <c r="C1871" s="17"/>
      <c r="D1871" s="425"/>
      <c r="E1871" s="425"/>
      <c r="F1871" s="425"/>
      <c r="G1871" s="429"/>
    </row>
    <row r="1872" spans="1:7" ht="31.5" customHeight="1">
      <c r="A1872" s="430"/>
      <c r="B1872" s="559"/>
      <c r="C1872" s="18"/>
      <c r="D1872" s="559"/>
      <c r="E1872" s="559"/>
      <c r="F1872" s="559"/>
      <c r="G1872" s="431"/>
    </row>
    <row r="1873" spans="1:7" ht="31.5" customHeight="1">
      <c r="A1873" s="432"/>
      <c r="B1873" s="562"/>
      <c r="C1873" s="26"/>
      <c r="D1873" s="27"/>
      <c r="E1873" s="153"/>
      <c r="F1873" s="153"/>
      <c r="G1873" s="154"/>
    </row>
    <row r="1874" spans="1:7" ht="31.5" customHeight="1">
      <c r="A1874" s="447"/>
      <c r="B1874" s="542"/>
      <c r="C1874" s="40"/>
      <c r="D1874" s="41"/>
      <c r="E1874" s="151"/>
      <c r="F1874" s="41"/>
      <c r="G1874" s="69"/>
    </row>
    <row r="1875" spans="1:7" ht="31.5" customHeight="1">
      <c r="A1875" s="447"/>
      <c r="B1875" s="542"/>
      <c r="C1875" s="43"/>
      <c r="D1875" s="42"/>
      <c r="F1875" s="41"/>
      <c r="G1875" s="70"/>
    </row>
    <row r="1876" spans="1:7" ht="31.5" customHeight="1">
      <c r="A1876" s="447"/>
      <c r="B1876" s="542"/>
      <c r="C1876" s="447"/>
      <c r="D1876" s="542"/>
      <c r="E1876" s="542"/>
      <c r="F1876" s="542"/>
      <c r="G1876" s="448"/>
    </row>
    <row r="1877" spans="1:7" ht="31.5" customHeight="1">
      <c r="A1877" s="447"/>
      <c r="B1877" s="542"/>
      <c r="C1877" s="447"/>
      <c r="D1877" s="542"/>
      <c r="E1877" s="542"/>
      <c r="F1877" s="542"/>
      <c r="G1877" s="448"/>
    </row>
    <row r="1878" spans="1:7" ht="31.5" customHeight="1">
      <c r="A1878" s="447"/>
      <c r="B1878" s="542"/>
      <c r="C1878" s="445"/>
      <c r="D1878" s="557"/>
      <c r="E1878" s="557"/>
      <c r="F1878" s="557"/>
      <c r="G1878" s="446"/>
    </row>
    <row r="1879" spans="1:7" ht="31.5" customHeight="1">
      <c r="A1879" s="417"/>
      <c r="B1879" s="417"/>
      <c r="C1879" s="417"/>
      <c r="D1879" s="417"/>
      <c r="E1879" s="417"/>
      <c r="F1879" s="417"/>
      <c r="G1879" s="417"/>
    </row>
    <row r="1880" spans="1:7" ht="31.5" customHeight="1">
      <c r="A1880" s="127"/>
      <c r="B1880" s="127"/>
      <c r="C1880" s="127"/>
      <c r="D1880" s="127"/>
      <c r="E1880" s="127"/>
      <c r="F1880" s="127"/>
      <c r="G1880" s="127"/>
    </row>
    <row r="1881" spans="1:7" ht="31.5" customHeight="1">
      <c r="A1881" s="428"/>
      <c r="B1881" s="425"/>
      <c r="C1881" s="419"/>
      <c r="D1881" s="420"/>
      <c r="E1881" s="420"/>
      <c r="F1881" s="62"/>
      <c r="G1881" s="25"/>
    </row>
    <row r="1882" spans="1:7" ht="31.5" customHeight="1">
      <c r="A1882" s="546"/>
      <c r="B1882" s="62"/>
      <c r="C1882" s="549"/>
      <c r="D1882" s="418"/>
      <c r="E1882" s="418"/>
      <c r="F1882" s="418"/>
      <c r="G1882" s="418"/>
    </row>
    <row r="1883" spans="1:7" ht="31.5" customHeight="1">
      <c r="A1883" s="547"/>
      <c r="B1883" s="18"/>
      <c r="C1883" s="419"/>
      <c r="D1883" s="420"/>
      <c r="E1883" s="420"/>
      <c r="F1883" s="420"/>
      <c r="G1883" s="424"/>
    </row>
    <row r="1884" spans="1:7" ht="31.5" customHeight="1">
      <c r="A1884" s="548"/>
      <c r="B1884" s="62"/>
      <c r="C1884" s="550"/>
      <c r="D1884" s="551"/>
      <c r="E1884" s="551"/>
      <c r="F1884" s="62"/>
      <c r="G1884" s="25"/>
    </row>
    <row r="1885" spans="1:7" ht="31.5" customHeight="1">
      <c r="A1885" s="419"/>
      <c r="B1885" s="420"/>
      <c r="C1885" s="419"/>
      <c r="D1885" s="420"/>
      <c r="E1885" s="420"/>
      <c r="F1885" s="62"/>
      <c r="G1885" s="25"/>
    </row>
    <row r="1886" spans="1:7" ht="31.5" customHeight="1">
      <c r="A1886" s="428"/>
      <c r="B1886" s="429"/>
      <c r="C1886" s="19"/>
      <c r="D1886" s="425"/>
      <c r="E1886" s="425"/>
      <c r="F1886" s="426"/>
      <c r="G1886" s="427"/>
    </row>
    <row r="1887" spans="1:7" ht="31.5" customHeight="1">
      <c r="A1887" s="430"/>
      <c r="B1887" s="431"/>
      <c r="C1887" s="19"/>
      <c r="D1887" s="19"/>
      <c r="E1887" s="68"/>
      <c r="F1887" s="59"/>
      <c r="G1887" s="21"/>
    </row>
    <row r="1888" spans="1:7" ht="31.5" customHeight="1">
      <c r="A1888" s="430"/>
      <c r="B1888" s="431"/>
      <c r="C1888" s="19"/>
      <c r="D1888" s="19"/>
      <c r="E1888" s="68"/>
      <c r="F1888" s="60"/>
      <c r="G1888" s="21"/>
    </row>
    <row r="1889" spans="1:7" ht="31.5" customHeight="1">
      <c r="A1889" s="430"/>
      <c r="B1889" s="431"/>
      <c r="G1889" s="310"/>
    </row>
    <row r="1890" spans="1:7" ht="31.5" customHeight="1">
      <c r="A1890" s="447"/>
      <c r="B1890" s="542"/>
      <c r="C1890" s="44"/>
      <c r="D1890" s="41"/>
      <c r="E1890" s="151"/>
      <c r="F1890" s="61"/>
      <c r="G1890" s="69"/>
    </row>
    <row r="1891" spans="1:7" ht="31.5" customHeight="1">
      <c r="A1891" s="447"/>
      <c r="B1891" s="542"/>
      <c r="C1891" s="152"/>
      <c r="D1891" s="42"/>
      <c r="F1891" s="57"/>
      <c r="G1891" s="70"/>
    </row>
    <row r="1892" spans="1:7" ht="31.5" customHeight="1">
      <c r="A1892" s="419"/>
      <c r="B1892" s="420"/>
      <c r="C1892" s="558"/>
      <c r="D1892" s="553"/>
      <c r="E1892" s="553"/>
      <c r="F1892" s="25"/>
      <c r="G1892" s="58"/>
    </row>
    <row r="1893" spans="1:7" ht="31.5" customHeight="1">
      <c r="A1893" s="428"/>
      <c r="B1893" s="425"/>
      <c r="C1893" s="17"/>
      <c r="D1893" s="425"/>
      <c r="E1893" s="425"/>
      <c r="F1893" s="425"/>
      <c r="G1893" s="429"/>
    </row>
    <row r="1894" spans="1:7" ht="31.5" customHeight="1">
      <c r="A1894" s="430"/>
      <c r="B1894" s="559"/>
      <c r="C1894" s="18"/>
      <c r="D1894" s="559"/>
      <c r="E1894" s="559"/>
      <c r="F1894" s="559"/>
      <c r="G1894" s="431"/>
    </row>
    <row r="1895" spans="1:7" ht="31.5" customHeight="1">
      <c r="A1895" s="432"/>
      <c r="B1895" s="562"/>
      <c r="C1895" s="26"/>
      <c r="D1895" s="27"/>
      <c r="E1895" s="153"/>
      <c r="F1895" s="153"/>
      <c r="G1895" s="154"/>
    </row>
    <row r="1896" spans="1:7" ht="31.5" customHeight="1">
      <c r="A1896" s="447"/>
      <c r="B1896" s="542"/>
      <c r="C1896" s="40"/>
      <c r="D1896" s="41"/>
      <c r="E1896" s="151"/>
      <c r="F1896" s="41"/>
      <c r="G1896" s="69"/>
    </row>
    <row r="1897" spans="1:7" ht="31.5" customHeight="1">
      <c r="A1897" s="447"/>
      <c r="B1897" s="542"/>
      <c r="C1897" s="43"/>
      <c r="D1897" s="42"/>
      <c r="F1897" s="41"/>
      <c r="G1897" s="70"/>
    </row>
    <row r="1898" spans="1:7" ht="31.5" customHeight="1">
      <c r="A1898" s="447"/>
      <c r="B1898" s="542"/>
      <c r="C1898" s="447"/>
      <c r="D1898" s="542"/>
      <c r="E1898" s="542"/>
      <c r="F1898" s="542"/>
      <c r="G1898" s="448"/>
    </row>
    <row r="1899" spans="1:7" ht="31.5" customHeight="1">
      <c r="A1899" s="447"/>
      <c r="B1899" s="542"/>
      <c r="C1899" s="447"/>
      <c r="D1899" s="542"/>
      <c r="E1899" s="542"/>
      <c r="F1899" s="542"/>
      <c r="G1899" s="448"/>
    </row>
    <row r="1900" spans="1:7" ht="31.5" customHeight="1">
      <c r="A1900" s="447"/>
      <c r="B1900" s="542"/>
      <c r="C1900" s="445"/>
      <c r="D1900" s="557"/>
      <c r="E1900" s="557"/>
      <c r="F1900" s="557"/>
      <c r="G1900" s="446"/>
    </row>
    <row r="1901" spans="1:7" ht="31.5" customHeight="1">
      <c r="A1901" s="417"/>
      <c r="B1901" s="417"/>
      <c r="C1901" s="417"/>
      <c r="D1901" s="417"/>
      <c r="E1901" s="417"/>
      <c r="F1901" s="417"/>
      <c r="G1901" s="417"/>
    </row>
    <row r="1902" spans="1:7" ht="31.5" customHeight="1">
      <c r="A1902" s="127"/>
      <c r="B1902" s="127"/>
      <c r="C1902" s="127"/>
      <c r="D1902" s="127"/>
      <c r="E1902" s="127"/>
      <c r="F1902" s="127"/>
      <c r="G1902" s="127"/>
    </row>
    <row r="1903" spans="1:7" ht="31.5" customHeight="1">
      <c r="A1903" s="428"/>
      <c r="B1903" s="425"/>
      <c r="C1903" s="419"/>
      <c r="D1903" s="420"/>
      <c r="E1903" s="420"/>
      <c r="F1903" s="62"/>
      <c r="G1903" s="25"/>
    </row>
    <row r="1904" spans="1:7" ht="31.5" customHeight="1">
      <c r="A1904" s="546"/>
      <c r="B1904" s="62"/>
      <c r="C1904" s="549"/>
      <c r="D1904" s="418"/>
      <c r="E1904" s="418"/>
      <c r="F1904" s="418"/>
      <c r="G1904" s="418"/>
    </row>
    <row r="1905" spans="1:7" ht="31.5" customHeight="1">
      <c r="A1905" s="547"/>
      <c r="B1905" s="18"/>
      <c r="C1905" s="419"/>
      <c r="D1905" s="420"/>
      <c r="E1905" s="420"/>
      <c r="F1905" s="420"/>
      <c r="G1905" s="424"/>
    </row>
    <row r="1906" spans="1:7" ht="31.5" customHeight="1">
      <c r="A1906" s="548"/>
      <c r="B1906" s="62"/>
      <c r="C1906" s="550"/>
      <c r="D1906" s="551"/>
      <c r="E1906" s="551"/>
      <c r="F1906" s="62"/>
      <c r="G1906" s="25"/>
    </row>
    <row r="1907" spans="1:7" ht="31.5" customHeight="1">
      <c r="A1907" s="419"/>
      <c r="B1907" s="420"/>
      <c r="C1907" s="419"/>
      <c r="D1907" s="420"/>
      <c r="E1907" s="420"/>
      <c r="F1907" s="62"/>
      <c r="G1907" s="25"/>
    </row>
    <row r="1908" spans="1:7" ht="31.5" customHeight="1">
      <c r="A1908" s="428"/>
      <c r="B1908" s="429"/>
      <c r="C1908" s="19"/>
      <c r="D1908" s="425"/>
      <c r="E1908" s="425"/>
      <c r="F1908" s="426"/>
      <c r="G1908" s="427"/>
    </row>
    <row r="1909" spans="1:7" ht="31.5" customHeight="1">
      <c r="A1909" s="430"/>
      <c r="B1909" s="431"/>
      <c r="C1909" s="19"/>
      <c r="D1909" s="19"/>
      <c r="E1909" s="68"/>
      <c r="F1909" s="59"/>
      <c r="G1909" s="21"/>
    </row>
    <row r="1910" spans="1:7" ht="31.5" customHeight="1">
      <c r="A1910" s="430"/>
      <c r="B1910" s="431"/>
      <c r="D1910" s="19"/>
      <c r="E1910" s="68"/>
      <c r="F1910" s="60"/>
      <c r="G1910" s="21"/>
    </row>
    <row r="1911" spans="1:7" ht="31.5" customHeight="1">
      <c r="A1911" s="432"/>
      <c r="B1911" s="433"/>
      <c r="C1911" s="20"/>
      <c r="D1911" s="27"/>
      <c r="E1911" s="27"/>
      <c r="G1911" s="150"/>
    </row>
    <row r="1912" spans="1:7" ht="31.5" customHeight="1">
      <c r="A1912" s="447"/>
      <c r="B1912" s="542"/>
      <c r="C1912" s="44"/>
      <c r="D1912" s="41"/>
      <c r="E1912" s="151"/>
      <c r="F1912" s="61"/>
      <c r="G1912" s="69"/>
    </row>
    <row r="1913" spans="1:7" ht="31.5" customHeight="1">
      <c r="A1913" s="447"/>
      <c r="B1913" s="542"/>
      <c r="C1913" s="152"/>
      <c r="D1913" s="42"/>
      <c r="F1913" s="57"/>
      <c r="G1913" s="70"/>
    </row>
    <row r="1914" spans="1:7" ht="31.5" customHeight="1">
      <c r="A1914" s="419"/>
      <c r="B1914" s="420"/>
      <c r="C1914" s="558"/>
      <c r="D1914" s="553"/>
      <c r="E1914" s="553"/>
      <c r="F1914" s="25"/>
      <c r="G1914" s="58"/>
    </row>
    <row r="1915" spans="1:7" ht="31.5" customHeight="1">
      <c r="A1915" s="428"/>
      <c r="B1915" s="429"/>
      <c r="C1915" s="277"/>
      <c r="D1915" s="425"/>
      <c r="E1915" s="425"/>
      <c r="F1915" s="425"/>
      <c r="G1915" s="429"/>
    </row>
    <row r="1916" spans="1:7" ht="31.5" customHeight="1">
      <c r="A1916" s="430"/>
      <c r="B1916" s="431"/>
      <c r="C1916" s="19"/>
      <c r="D1916" s="19"/>
      <c r="E1916" s="19"/>
      <c r="F1916" s="19"/>
      <c r="G1916" s="23"/>
    </row>
    <row r="1917" spans="1:7" ht="31.5" customHeight="1">
      <c r="A1917" s="432"/>
      <c r="B1917" s="433"/>
      <c r="D1917" s="559"/>
      <c r="E1917" s="559"/>
      <c r="F1917" s="559"/>
      <c r="G1917" s="431"/>
    </row>
    <row r="1918" spans="1:7" ht="31.5" customHeight="1">
      <c r="A1918" s="447"/>
      <c r="B1918" s="542"/>
      <c r="C1918" s="40"/>
      <c r="D1918" s="41"/>
      <c r="E1918" s="151"/>
      <c r="F1918" s="41"/>
      <c r="G1918" s="69"/>
    </row>
    <row r="1919" spans="1:7" ht="31.5" customHeight="1">
      <c r="A1919" s="447"/>
      <c r="B1919" s="542"/>
      <c r="C1919" s="43"/>
      <c r="D1919" s="42"/>
      <c r="F1919" s="41"/>
      <c r="G1919" s="70"/>
    </row>
    <row r="1920" spans="1:7" ht="31.5" customHeight="1">
      <c r="A1920" s="447"/>
      <c r="B1920" s="542"/>
      <c r="C1920" s="447"/>
      <c r="D1920" s="542"/>
      <c r="E1920" s="542"/>
      <c r="F1920" s="542"/>
      <c r="G1920" s="448"/>
    </row>
    <row r="1921" spans="1:7" ht="31.5" customHeight="1">
      <c r="A1921" s="447"/>
      <c r="B1921" s="542"/>
      <c r="C1921" s="447"/>
      <c r="D1921" s="542"/>
      <c r="E1921" s="542"/>
      <c r="F1921" s="542"/>
      <c r="G1921" s="448"/>
    </row>
    <row r="1922" spans="1:7" ht="31.5" customHeight="1">
      <c r="A1922" s="447"/>
      <c r="B1922" s="542"/>
      <c r="C1922" s="445"/>
      <c r="D1922" s="557"/>
      <c r="E1922" s="557"/>
      <c r="F1922" s="557"/>
      <c r="G1922" s="446"/>
    </row>
    <row r="1923" spans="1:7" ht="31.5" customHeight="1">
      <c r="A1923" s="417"/>
      <c r="B1923" s="417"/>
      <c r="C1923" s="417"/>
      <c r="D1923" s="417"/>
      <c r="E1923" s="417"/>
      <c r="F1923" s="417"/>
      <c r="G1923" s="417"/>
    </row>
    <row r="1924" spans="1:7" ht="31.5" customHeight="1">
      <c r="A1924" s="127"/>
      <c r="B1924" s="127"/>
      <c r="C1924" s="127"/>
      <c r="D1924" s="127"/>
      <c r="E1924" s="127"/>
      <c r="F1924" s="127"/>
      <c r="G1924" s="127"/>
    </row>
    <row r="1925" spans="1:7" ht="31.5" customHeight="1">
      <c r="A1925" s="428"/>
      <c r="B1925" s="425"/>
      <c r="C1925" s="419"/>
      <c r="D1925" s="420"/>
      <c r="E1925" s="420"/>
      <c r="F1925" s="62"/>
      <c r="G1925" s="25"/>
    </row>
    <row r="1926" spans="1:7" ht="31.5" customHeight="1">
      <c r="A1926" s="546"/>
      <c r="B1926" s="62"/>
      <c r="C1926" s="549"/>
      <c r="D1926" s="418"/>
      <c r="E1926" s="418"/>
      <c r="F1926" s="418"/>
      <c r="G1926" s="418"/>
    </row>
    <row r="1927" spans="1:7" ht="31.5" customHeight="1">
      <c r="A1927" s="547"/>
      <c r="B1927" s="18"/>
      <c r="C1927" s="419"/>
      <c r="D1927" s="420"/>
      <c r="E1927" s="420"/>
      <c r="F1927" s="420"/>
      <c r="G1927" s="424"/>
    </row>
    <row r="1928" spans="1:7" ht="31.5" customHeight="1">
      <c r="A1928" s="548"/>
      <c r="B1928" s="62"/>
      <c r="C1928" s="550"/>
      <c r="D1928" s="551"/>
      <c r="E1928" s="551"/>
      <c r="F1928" s="62"/>
      <c r="G1928" s="25"/>
    </row>
    <row r="1929" spans="1:7" ht="31.5" customHeight="1">
      <c r="A1929" s="419"/>
      <c r="B1929" s="420"/>
      <c r="C1929" s="419"/>
      <c r="D1929" s="420"/>
      <c r="E1929" s="420"/>
      <c r="F1929" s="62"/>
      <c r="G1929" s="25"/>
    </row>
    <row r="1930" spans="1:7" ht="31.5" customHeight="1">
      <c r="A1930" s="428"/>
      <c r="B1930" s="429"/>
      <c r="C1930" s="19"/>
      <c r="D1930" s="425"/>
      <c r="E1930" s="425"/>
      <c r="F1930" s="426"/>
      <c r="G1930" s="427"/>
    </row>
    <row r="1931" spans="1:7" ht="31.5" customHeight="1">
      <c r="A1931" s="430"/>
      <c r="B1931" s="431"/>
      <c r="C1931" s="19"/>
      <c r="D1931" s="19"/>
      <c r="E1931" s="68"/>
      <c r="F1931" s="59"/>
      <c r="G1931" s="21"/>
    </row>
    <row r="1932" spans="1:7" ht="31.5" customHeight="1">
      <c r="A1932" s="430"/>
      <c r="B1932" s="431"/>
      <c r="D1932" s="19"/>
      <c r="E1932" s="68"/>
      <c r="F1932" s="60"/>
      <c r="G1932" s="21"/>
    </row>
    <row r="1933" spans="1:7" ht="31.5" customHeight="1">
      <c r="A1933" s="432"/>
      <c r="B1933" s="433"/>
      <c r="C1933" s="20"/>
      <c r="D1933" s="27"/>
      <c r="E1933" s="27"/>
      <c r="G1933" s="150"/>
    </row>
    <row r="1934" spans="1:7" ht="31.5" customHeight="1">
      <c r="A1934" s="447"/>
      <c r="B1934" s="542"/>
      <c r="C1934" s="44"/>
      <c r="D1934" s="41"/>
      <c r="E1934" s="151"/>
      <c r="F1934" s="61"/>
      <c r="G1934" s="69"/>
    </row>
    <row r="1935" spans="1:7" ht="31.5" customHeight="1">
      <c r="A1935" s="447"/>
      <c r="B1935" s="542"/>
      <c r="C1935" s="152"/>
      <c r="D1935" s="42"/>
      <c r="F1935" s="57"/>
      <c r="G1935" s="70"/>
    </row>
    <row r="1936" spans="1:7" ht="31.5" customHeight="1">
      <c r="A1936" s="419"/>
      <c r="B1936" s="420"/>
      <c r="C1936" s="558"/>
      <c r="D1936" s="553"/>
      <c r="E1936" s="553"/>
      <c r="F1936" s="25"/>
      <c r="G1936" s="58"/>
    </row>
    <row r="1937" spans="1:7" ht="31.5" customHeight="1">
      <c r="A1937" s="428"/>
      <c r="B1937" s="425"/>
      <c r="C1937" s="17"/>
      <c r="D1937" s="425"/>
      <c r="E1937" s="425"/>
      <c r="F1937" s="425"/>
      <c r="G1937" s="429"/>
    </row>
    <row r="1938" spans="1:7" ht="31.5" customHeight="1">
      <c r="A1938" s="430"/>
      <c r="B1938" s="559"/>
      <c r="C1938" s="18"/>
      <c r="D1938" s="559"/>
      <c r="E1938" s="559"/>
      <c r="F1938" s="559"/>
      <c r="G1938" s="431"/>
    </row>
    <row r="1939" spans="1:7" ht="31.5" customHeight="1">
      <c r="A1939" s="432"/>
      <c r="B1939" s="562"/>
      <c r="C1939" s="26"/>
      <c r="D1939" s="27"/>
      <c r="E1939" s="153"/>
      <c r="F1939" s="153"/>
      <c r="G1939" s="154"/>
    </row>
    <row r="1940" spans="1:7" ht="31.5" customHeight="1">
      <c r="A1940" s="447"/>
      <c r="B1940" s="542"/>
      <c r="C1940" s="40"/>
      <c r="D1940" s="41"/>
      <c r="E1940" s="151"/>
      <c r="F1940" s="41"/>
      <c r="G1940" s="69"/>
    </row>
    <row r="1941" spans="1:7" ht="31.5" customHeight="1">
      <c r="A1941" s="447"/>
      <c r="B1941" s="542"/>
      <c r="C1941" s="43"/>
      <c r="D1941" s="42"/>
      <c r="F1941" s="41"/>
      <c r="G1941" s="70"/>
    </row>
    <row r="1942" spans="1:7" ht="31.5" customHeight="1">
      <c r="A1942" s="447"/>
      <c r="B1942" s="542"/>
      <c r="C1942" s="447"/>
      <c r="D1942" s="542"/>
      <c r="E1942" s="542"/>
      <c r="F1942" s="542"/>
      <c r="G1942" s="448"/>
    </row>
    <row r="1943" spans="1:7" ht="31.5" customHeight="1">
      <c r="A1943" s="447"/>
      <c r="B1943" s="542"/>
      <c r="C1943" s="447"/>
      <c r="D1943" s="542"/>
      <c r="E1943" s="542"/>
      <c r="F1943" s="542"/>
      <c r="G1943" s="448"/>
    </row>
    <row r="1944" spans="1:7" ht="31.5" customHeight="1">
      <c r="A1944" s="447"/>
      <c r="B1944" s="542"/>
      <c r="C1944" s="445"/>
      <c r="D1944" s="557"/>
      <c r="E1944" s="557"/>
      <c r="F1944" s="557"/>
      <c r="G1944" s="446"/>
    </row>
    <row r="1945" spans="1:7" ht="31.5" customHeight="1">
      <c r="A1945" s="417"/>
      <c r="B1945" s="417"/>
      <c r="C1945" s="417"/>
      <c r="D1945" s="417"/>
      <c r="E1945" s="417"/>
      <c r="F1945" s="417"/>
      <c r="G1945" s="417"/>
    </row>
    <row r="1946" spans="1:7" ht="31.5" customHeight="1">
      <c r="A1946" s="127"/>
      <c r="B1946" s="127"/>
      <c r="C1946" s="127"/>
      <c r="D1946" s="127"/>
      <c r="E1946" s="127"/>
      <c r="F1946" s="127"/>
      <c r="G1946" s="127"/>
    </row>
    <row r="1947" spans="1:7" ht="31.5" customHeight="1">
      <c r="A1947" s="428"/>
      <c r="B1947" s="425"/>
      <c r="C1947" s="419"/>
      <c r="D1947" s="420"/>
      <c r="E1947" s="420"/>
      <c r="F1947" s="62"/>
      <c r="G1947" s="25"/>
    </row>
    <row r="1948" spans="1:7" ht="31.5" customHeight="1">
      <c r="A1948" s="546"/>
      <c r="B1948" s="62"/>
      <c r="C1948" s="549"/>
      <c r="D1948" s="418"/>
      <c r="E1948" s="418"/>
      <c r="F1948" s="418"/>
      <c r="G1948" s="418"/>
    </row>
    <row r="1949" spans="1:7" ht="31.5" customHeight="1">
      <c r="A1949" s="547"/>
      <c r="B1949" s="18"/>
      <c r="C1949" s="419"/>
      <c r="D1949" s="420"/>
      <c r="E1949" s="420"/>
      <c r="F1949" s="420"/>
      <c r="G1949" s="424"/>
    </row>
    <row r="1950" spans="1:7" ht="31.5" customHeight="1">
      <c r="A1950" s="548"/>
      <c r="B1950" s="62"/>
      <c r="C1950" s="550"/>
      <c r="D1950" s="551"/>
      <c r="E1950" s="551"/>
      <c r="F1950" s="62"/>
      <c r="G1950" s="25"/>
    </row>
    <row r="1951" spans="1:7" ht="31.5" customHeight="1">
      <c r="A1951" s="419"/>
      <c r="B1951" s="420"/>
      <c r="C1951" s="419"/>
      <c r="D1951" s="420"/>
      <c r="E1951" s="420"/>
      <c r="F1951" s="62"/>
      <c r="G1951" s="25"/>
    </row>
    <row r="1952" spans="1:7" ht="31.5" customHeight="1">
      <c r="A1952" s="428"/>
      <c r="B1952" s="429"/>
      <c r="C1952" s="19"/>
      <c r="D1952" s="425"/>
      <c r="E1952" s="425"/>
      <c r="F1952" s="426"/>
      <c r="G1952" s="427"/>
    </row>
    <row r="1953" spans="1:7" ht="31.5" customHeight="1">
      <c r="A1953" s="430"/>
      <c r="B1953" s="431"/>
      <c r="C1953" s="19"/>
      <c r="D1953" s="19"/>
      <c r="E1953" s="68"/>
      <c r="F1953" s="59"/>
      <c r="G1953" s="21"/>
    </row>
    <row r="1954" spans="1:7" ht="31.5" customHeight="1">
      <c r="A1954" s="430"/>
      <c r="B1954" s="431"/>
      <c r="D1954" s="19"/>
      <c r="E1954" s="68"/>
      <c r="F1954" s="60"/>
      <c r="G1954" s="21"/>
    </row>
    <row r="1955" spans="1:7" ht="31.5" customHeight="1">
      <c r="A1955" s="432"/>
      <c r="B1955" s="433"/>
      <c r="C1955" s="20"/>
      <c r="D1955" s="27"/>
      <c r="E1955" s="27"/>
      <c r="G1955" s="150"/>
    </row>
    <row r="1956" spans="1:7" ht="31.5" customHeight="1">
      <c r="A1956" s="447"/>
      <c r="B1956" s="542"/>
      <c r="C1956" s="44"/>
      <c r="D1956" s="41"/>
      <c r="E1956" s="151"/>
      <c r="F1956" s="61"/>
      <c r="G1956" s="69"/>
    </row>
    <row r="1957" spans="1:7" ht="31.5" customHeight="1">
      <c r="A1957" s="447"/>
      <c r="B1957" s="542"/>
      <c r="C1957" s="152"/>
      <c r="D1957" s="42"/>
      <c r="F1957" s="57"/>
      <c r="G1957" s="70"/>
    </row>
    <row r="1958" spans="1:7" ht="31.5" customHeight="1">
      <c r="A1958" s="419"/>
      <c r="B1958" s="420"/>
      <c r="C1958" s="558"/>
      <c r="D1958" s="553"/>
      <c r="E1958" s="553"/>
      <c r="F1958" s="25"/>
      <c r="G1958" s="58"/>
    </row>
    <row r="1959" spans="1:7" ht="31.5" customHeight="1">
      <c r="A1959" s="428"/>
      <c r="B1959" s="425"/>
      <c r="C1959" s="17"/>
      <c r="D1959" s="425"/>
      <c r="E1959" s="425"/>
      <c r="F1959" s="425"/>
      <c r="G1959" s="429"/>
    </row>
    <row r="1960" spans="1:7" ht="31.5" customHeight="1">
      <c r="A1960" s="430"/>
      <c r="B1960" s="559"/>
      <c r="C1960" s="18"/>
      <c r="D1960" s="559"/>
      <c r="E1960" s="559"/>
      <c r="F1960" s="559"/>
      <c r="G1960" s="431"/>
    </row>
    <row r="1961" spans="1:7" ht="31.5" customHeight="1">
      <c r="A1961" s="432"/>
      <c r="B1961" s="562"/>
      <c r="C1961" s="26"/>
      <c r="D1961" s="27"/>
      <c r="E1961" s="153"/>
      <c r="F1961" s="153"/>
      <c r="G1961" s="154"/>
    </row>
    <row r="1962" spans="1:7" ht="31.5" customHeight="1">
      <c r="A1962" s="447"/>
      <c r="B1962" s="542"/>
      <c r="C1962" s="40"/>
      <c r="D1962" s="41"/>
      <c r="E1962" s="151"/>
      <c r="F1962" s="41"/>
      <c r="G1962" s="69"/>
    </row>
    <row r="1963" spans="1:7" ht="31.5" customHeight="1">
      <c r="A1963" s="447"/>
      <c r="B1963" s="542"/>
      <c r="C1963" s="43"/>
      <c r="D1963" s="42"/>
      <c r="F1963" s="41"/>
      <c r="G1963" s="70"/>
    </row>
    <row r="1964" spans="1:7" ht="31.5" customHeight="1">
      <c r="A1964" s="447"/>
      <c r="B1964" s="542"/>
      <c r="C1964" s="447"/>
      <c r="D1964" s="542"/>
      <c r="E1964" s="542"/>
      <c r="F1964" s="542"/>
      <c r="G1964" s="448"/>
    </row>
    <row r="1965" spans="1:7" ht="31.5" customHeight="1">
      <c r="A1965" s="447"/>
      <c r="B1965" s="542"/>
      <c r="C1965" s="447"/>
      <c r="D1965" s="542"/>
      <c r="E1965" s="542"/>
      <c r="F1965" s="542"/>
      <c r="G1965" s="448"/>
    </row>
    <row r="1966" spans="1:7" ht="31.5" customHeight="1">
      <c r="A1966" s="447"/>
      <c r="B1966" s="542"/>
      <c r="C1966" s="445"/>
      <c r="D1966" s="557"/>
      <c r="E1966" s="557"/>
      <c r="F1966" s="557"/>
      <c r="G1966" s="446"/>
    </row>
    <row r="1967" spans="1:7" ht="31.5" customHeight="1">
      <c r="A1967" s="417"/>
      <c r="B1967" s="417"/>
      <c r="C1967" s="417"/>
      <c r="D1967" s="417"/>
      <c r="E1967" s="417"/>
      <c r="F1967" s="417"/>
      <c r="G1967" s="417"/>
    </row>
    <row r="1968" spans="1:7" ht="31.5" customHeight="1">
      <c r="A1968" s="127"/>
      <c r="B1968" s="127"/>
      <c r="C1968" s="127"/>
      <c r="D1968" s="127"/>
      <c r="E1968" s="127"/>
      <c r="F1968" s="127"/>
      <c r="G1968" s="127"/>
    </row>
    <row r="1969" spans="1:7" ht="31.5" customHeight="1">
      <c r="A1969" s="428"/>
      <c r="B1969" s="425"/>
      <c r="C1969" s="419"/>
      <c r="D1969" s="420"/>
      <c r="E1969" s="420"/>
      <c r="F1969" s="62"/>
      <c r="G1969" s="25"/>
    </row>
    <row r="1970" spans="1:7" ht="31.5" customHeight="1">
      <c r="A1970" s="546"/>
      <c r="B1970" s="62"/>
      <c r="C1970" s="549"/>
      <c r="D1970" s="418"/>
      <c r="E1970" s="418"/>
      <c r="F1970" s="418"/>
      <c r="G1970" s="418"/>
    </row>
    <row r="1971" spans="1:7" ht="31.5" customHeight="1">
      <c r="A1971" s="547"/>
      <c r="B1971" s="18"/>
      <c r="C1971" s="419"/>
      <c r="D1971" s="420"/>
      <c r="E1971" s="420"/>
      <c r="F1971" s="420"/>
      <c r="G1971" s="424"/>
    </row>
    <row r="1972" spans="1:7" ht="31.5" customHeight="1">
      <c r="A1972" s="548"/>
      <c r="B1972" s="62"/>
      <c r="C1972" s="550"/>
      <c r="D1972" s="551"/>
      <c r="E1972" s="551"/>
      <c r="F1972" s="62"/>
      <c r="G1972" s="25"/>
    </row>
    <row r="1973" spans="1:7" ht="31.5" customHeight="1">
      <c r="A1973" s="419"/>
      <c r="B1973" s="420"/>
      <c r="C1973" s="419"/>
      <c r="D1973" s="420"/>
      <c r="E1973" s="420"/>
      <c r="F1973" s="62"/>
      <c r="G1973" s="25"/>
    </row>
    <row r="1974" spans="1:7" ht="31.5" customHeight="1">
      <c r="A1974" s="428"/>
      <c r="B1974" s="429"/>
      <c r="C1974" s="19"/>
      <c r="D1974" s="425"/>
      <c r="E1974" s="425"/>
      <c r="F1974" s="426"/>
      <c r="G1974" s="427"/>
    </row>
    <row r="1975" spans="1:7" ht="31.5" customHeight="1">
      <c r="A1975" s="430"/>
      <c r="B1975" s="431"/>
      <c r="C1975" s="19"/>
      <c r="D1975" s="19"/>
      <c r="E1975" s="68"/>
      <c r="F1975" s="59"/>
      <c r="G1975" s="21"/>
    </row>
    <row r="1976" spans="1:7" ht="31.5" customHeight="1">
      <c r="A1976" s="430"/>
      <c r="B1976" s="431"/>
      <c r="D1976" s="19"/>
      <c r="E1976" s="68"/>
      <c r="F1976" s="60"/>
      <c r="G1976" s="21"/>
    </row>
    <row r="1977" spans="1:7" ht="31.5" customHeight="1">
      <c r="A1977" s="432"/>
      <c r="B1977" s="433"/>
      <c r="C1977" s="20"/>
      <c r="D1977" s="27"/>
      <c r="E1977" s="27"/>
      <c r="G1977" s="150"/>
    </row>
    <row r="1978" spans="1:7" ht="31.5" customHeight="1">
      <c r="A1978" s="447"/>
      <c r="B1978" s="542"/>
      <c r="C1978" s="44"/>
      <c r="D1978" s="41"/>
      <c r="E1978" s="151"/>
      <c r="F1978" s="61"/>
      <c r="G1978" s="69"/>
    </row>
    <row r="1979" spans="1:7" ht="31.5" customHeight="1">
      <c r="A1979" s="447"/>
      <c r="B1979" s="542"/>
      <c r="C1979" s="152"/>
      <c r="D1979" s="42"/>
      <c r="F1979" s="57"/>
      <c r="G1979" s="70"/>
    </row>
    <row r="1980" spans="1:7" ht="31.5" customHeight="1">
      <c r="A1980" s="419"/>
      <c r="B1980" s="420"/>
      <c r="C1980" s="558"/>
      <c r="D1980" s="553"/>
      <c r="E1980" s="553"/>
      <c r="F1980" s="25"/>
      <c r="G1980" s="58"/>
    </row>
    <row r="1981" spans="1:7" ht="31.5" customHeight="1">
      <c r="A1981" s="428"/>
      <c r="B1981" s="425"/>
      <c r="C1981" s="17"/>
      <c r="D1981" s="425"/>
      <c r="E1981" s="425"/>
      <c r="F1981" s="425"/>
      <c r="G1981" s="429"/>
    </row>
    <row r="1982" spans="1:7" ht="31.5" customHeight="1">
      <c r="A1982" s="430"/>
      <c r="B1982" s="559"/>
      <c r="C1982" s="18"/>
      <c r="D1982" s="559"/>
      <c r="E1982" s="559"/>
      <c r="F1982" s="559"/>
      <c r="G1982" s="431"/>
    </row>
    <row r="1983" spans="1:7" ht="31.5" customHeight="1">
      <c r="A1983" s="432"/>
      <c r="B1983" s="562"/>
      <c r="C1983" s="26"/>
      <c r="D1983" s="27"/>
      <c r="E1983" s="153"/>
      <c r="F1983" s="153"/>
      <c r="G1983" s="154"/>
    </row>
    <row r="1984" spans="1:7" ht="31.5" customHeight="1">
      <c r="A1984" s="447"/>
      <c r="B1984" s="542"/>
      <c r="C1984" s="40"/>
      <c r="D1984" s="41"/>
      <c r="E1984" s="151"/>
      <c r="F1984" s="41"/>
      <c r="G1984" s="69"/>
    </row>
    <row r="1985" spans="1:7" ht="31.5" customHeight="1">
      <c r="A1985" s="447"/>
      <c r="B1985" s="542"/>
      <c r="C1985" s="43"/>
      <c r="D1985" s="42"/>
      <c r="F1985" s="301"/>
      <c r="G1985" s="70"/>
    </row>
    <row r="1986" spans="1:7" ht="31.5" customHeight="1">
      <c r="A1986" s="447"/>
      <c r="B1986" s="542"/>
      <c r="C1986" s="447"/>
      <c r="D1986" s="542"/>
      <c r="E1986" s="542"/>
      <c r="F1986" s="542"/>
      <c r="G1986" s="448"/>
    </row>
    <row r="1987" spans="1:7" ht="31.5" customHeight="1">
      <c r="A1987" s="447"/>
      <c r="B1987" s="542"/>
      <c r="C1987" s="447"/>
      <c r="D1987" s="542"/>
      <c r="E1987" s="542"/>
      <c r="F1987" s="542"/>
      <c r="G1987" s="448"/>
    </row>
    <row r="1988" spans="1:7" ht="31.5" customHeight="1">
      <c r="A1988" s="447"/>
      <c r="B1988" s="542"/>
      <c r="C1988" s="445"/>
      <c r="D1988" s="557"/>
      <c r="E1988" s="557"/>
      <c r="F1988" s="557"/>
      <c r="G1988" s="446"/>
    </row>
    <row r="1989" spans="1:7" ht="31.5" customHeight="1">
      <c r="A1989" s="417"/>
      <c r="B1989" s="417"/>
      <c r="C1989" s="417"/>
      <c r="D1989" s="417"/>
      <c r="E1989" s="417"/>
      <c r="F1989" s="417"/>
      <c r="G1989" s="417"/>
    </row>
    <row r="1990" spans="1:7" ht="31.5" customHeight="1">
      <c r="A1990" s="127"/>
      <c r="B1990" s="127"/>
      <c r="C1990" s="127"/>
      <c r="D1990" s="127"/>
      <c r="E1990" s="127"/>
      <c r="F1990" s="127"/>
      <c r="G1990" s="127"/>
    </row>
    <row r="1991" spans="1:7" ht="31.5" customHeight="1">
      <c r="A1991" s="428"/>
      <c r="B1991" s="425"/>
      <c r="C1991" s="419"/>
      <c r="D1991" s="420"/>
      <c r="E1991" s="420"/>
      <c r="F1991" s="62"/>
      <c r="G1991" s="25"/>
    </row>
    <row r="1992" spans="1:7" ht="31.5" customHeight="1">
      <c r="A1992" s="546"/>
      <c r="B1992" s="62"/>
      <c r="C1992" s="549"/>
      <c r="D1992" s="418"/>
      <c r="E1992" s="418"/>
      <c r="F1992" s="418"/>
      <c r="G1992" s="418"/>
    </row>
    <row r="1993" spans="1:7" ht="31.5" customHeight="1">
      <c r="A1993" s="547"/>
      <c r="B1993" s="18"/>
      <c r="C1993" s="419"/>
      <c r="D1993" s="420"/>
      <c r="E1993" s="420"/>
      <c r="F1993" s="420"/>
      <c r="G1993" s="424"/>
    </row>
    <row r="1994" spans="1:7" ht="31.5" customHeight="1">
      <c r="A1994" s="548"/>
      <c r="B1994" s="62"/>
      <c r="C1994" s="550"/>
      <c r="D1994" s="551"/>
      <c r="E1994" s="551"/>
      <c r="F1994" s="62"/>
      <c r="G1994" s="25"/>
    </row>
    <row r="1995" spans="1:7" ht="31.5" customHeight="1">
      <c r="A1995" s="419"/>
      <c r="B1995" s="420"/>
      <c r="C1995" s="419"/>
      <c r="D1995" s="420"/>
      <c r="E1995" s="420"/>
      <c r="F1995" s="62"/>
      <c r="G1995" s="25"/>
    </row>
    <row r="1996" spans="1:7" ht="31.5" customHeight="1">
      <c r="A1996" s="428"/>
      <c r="B1996" s="429"/>
      <c r="C1996" s="19"/>
      <c r="D1996" s="425"/>
      <c r="E1996" s="425"/>
      <c r="F1996" s="426"/>
      <c r="G1996" s="427"/>
    </row>
    <row r="1997" spans="1:7" ht="31.5" customHeight="1">
      <c r="A1997" s="430"/>
      <c r="B1997" s="431"/>
      <c r="C1997" s="19"/>
      <c r="D1997" s="19"/>
      <c r="E1997" s="68"/>
      <c r="F1997" s="59"/>
      <c r="G1997" s="21"/>
    </row>
    <row r="1998" spans="1:7" ht="31.5" customHeight="1">
      <c r="A1998" s="430"/>
      <c r="B1998" s="431"/>
      <c r="D1998" s="19"/>
      <c r="E1998" s="68"/>
      <c r="F1998" s="60"/>
      <c r="G1998" s="21"/>
    </row>
    <row r="1999" spans="1:7" ht="31.5" customHeight="1">
      <c r="A1999" s="432"/>
      <c r="B1999" s="433"/>
      <c r="C1999" s="20"/>
      <c r="D1999" s="27"/>
      <c r="E1999" s="27"/>
      <c r="G1999" s="150"/>
    </row>
    <row r="2000" spans="1:7" ht="31.5" customHeight="1">
      <c r="A2000" s="447"/>
      <c r="B2000" s="542"/>
      <c r="C2000" s="44"/>
      <c r="D2000" s="41"/>
      <c r="E2000" s="151"/>
      <c r="F2000" s="61"/>
      <c r="G2000" s="69"/>
    </row>
    <row r="2001" spans="1:7" ht="31.5" customHeight="1">
      <c r="A2001" s="447"/>
      <c r="B2001" s="542"/>
      <c r="C2001" s="152"/>
      <c r="D2001" s="42"/>
      <c r="F2001" s="57"/>
      <c r="G2001" s="70"/>
    </row>
    <row r="2002" spans="1:7" ht="31.5" customHeight="1">
      <c r="A2002" s="419"/>
      <c r="B2002" s="420"/>
      <c r="C2002" s="558"/>
      <c r="D2002" s="553"/>
      <c r="E2002" s="553"/>
      <c r="F2002" s="25"/>
      <c r="G2002" s="58"/>
    </row>
    <row r="2003" spans="1:7" ht="31.5" customHeight="1">
      <c r="A2003" s="428"/>
      <c r="B2003" s="425"/>
      <c r="C2003" s="17"/>
      <c r="D2003" s="425"/>
      <c r="E2003" s="425"/>
      <c r="F2003" s="425"/>
      <c r="G2003" s="429"/>
    </row>
    <row r="2004" spans="1:7" ht="31.5" customHeight="1">
      <c r="A2004" s="430"/>
      <c r="B2004" s="559"/>
      <c r="C2004" s="18"/>
      <c r="D2004" s="559"/>
      <c r="E2004" s="559"/>
      <c r="F2004" s="559"/>
      <c r="G2004" s="431"/>
    </row>
    <row r="2005" spans="1:7" ht="31.5" customHeight="1">
      <c r="A2005" s="432"/>
      <c r="B2005" s="562"/>
      <c r="C2005" s="26"/>
      <c r="D2005" s="27"/>
      <c r="E2005" s="153"/>
      <c r="F2005" s="153"/>
      <c r="G2005" s="154"/>
    </row>
    <row r="2006" spans="1:7" ht="31.5" customHeight="1">
      <c r="A2006" s="447"/>
      <c r="B2006" s="542"/>
      <c r="C2006" s="40"/>
      <c r="D2006" s="41"/>
      <c r="E2006" s="151"/>
      <c r="F2006" s="41"/>
      <c r="G2006" s="69"/>
    </row>
    <row r="2007" spans="1:7" ht="31.5" customHeight="1">
      <c r="A2007" s="447"/>
      <c r="B2007" s="542"/>
      <c r="C2007" s="43"/>
      <c r="D2007" s="42"/>
      <c r="F2007" s="41"/>
      <c r="G2007" s="70"/>
    </row>
    <row r="2008" spans="1:7" ht="31.5" customHeight="1">
      <c r="A2008" s="447"/>
      <c r="B2008" s="542"/>
      <c r="C2008" s="447"/>
      <c r="D2008" s="542"/>
      <c r="E2008" s="542"/>
      <c r="F2008" s="542"/>
      <c r="G2008" s="448"/>
    </row>
    <row r="2009" spans="1:7" ht="31.5" customHeight="1">
      <c r="A2009" s="447"/>
      <c r="B2009" s="542"/>
      <c r="C2009" s="447"/>
      <c r="D2009" s="542"/>
      <c r="E2009" s="542"/>
      <c r="F2009" s="542"/>
      <c r="G2009" s="448"/>
    </row>
    <row r="2010" spans="1:7" ht="31.5" customHeight="1">
      <c r="A2010" s="447"/>
      <c r="B2010" s="542"/>
      <c r="C2010" s="445"/>
      <c r="D2010" s="557"/>
      <c r="E2010" s="557"/>
      <c r="F2010" s="557"/>
      <c r="G2010" s="446"/>
    </row>
    <row r="2011" spans="1:7" ht="31.5" customHeight="1">
      <c r="A2011" s="417"/>
      <c r="B2011" s="417"/>
      <c r="C2011" s="417"/>
      <c r="D2011" s="417"/>
      <c r="E2011" s="417"/>
      <c r="F2011" s="417"/>
      <c r="G2011" s="417"/>
    </row>
    <row r="2012" spans="1:7" ht="31.5" customHeight="1">
      <c r="A2012" s="127"/>
      <c r="B2012" s="127"/>
      <c r="C2012" s="127"/>
      <c r="D2012" s="127"/>
      <c r="E2012" s="127"/>
      <c r="F2012" s="127"/>
      <c r="G2012" s="127"/>
    </row>
    <row r="2013" spans="1:7" ht="31.5" customHeight="1">
      <c r="A2013" s="428"/>
      <c r="B2013" s="425"/>
      <c r="C2013" s="419"/>
      <c r="D2013" s="420"/>
      <c r="E2013" s="420"/>
      <c r="F2013" s="62"/>
      <c r="G2013" s="25"/>
    </row>
    <row r="2014" spans="1:7" ht="31.5" customHeight="1">
      <c r="A2014" s="546"/>
      <c r="B2014" s="62"/>
      <c r="C2014" s="549"/>
      <c r="D2014" s="418"/>
      <c r="E2014" s="418"/>
      <c r="F2014" s="418"/>
      <c r="G2014" s="418"/>
    </row>
    <row r="2015" spans="1:7" ht="31.5" customHeight="1">
      <c r="A2015" s="547"/>
      <c r="B2015" s="18"/>
      <c r="C2015" s="419"/>
      <c r="D2015" s="420"/>
      <c r="E2015" s="420"/>
      <c r="F2015" s="420"/>
      <c r="G2015" s="424"/>
    </row>
    <row r="2016" spans="1:7" ht="31.5" customHeight="1">
      <c r="A2016" s="548"/>
      <c r="B2016" s="62"/>
      <c r="C2016" s="550"/>
      <c r="D2016" s="551"/>
      <c r="E2016" s="551"/>
      <c r="F2016" s="62"/>
      <c r="G2016" s="25"/>
    </row>
    <row r="2017" spans="1:7" ht="31.5" customHeight="1">
      <c r="A2017" s="419"/>
      <c r="B2017" s="420"/>
      <c r="C2017" s="419"/>
      <c r="D2017" s="420"/>
      <c r="E2017" s="420"/>
      <c r="F2017" s="62"/>
      <c r="G2017" s="25"/>
    </row>
    <row r="2018" spans="1:7" ht="31.5" customHeight="1">
      <c r="A2018" s="428"/>
      <c r="B2018" s="429"/>
      <c r="C2018" s="19"/>
      <c r="D2018" s="425"/>
      <c r="E2018" s="425"/>
      <c r="F2018" s="426"/>
      <c r="G2018" s="427"/>
    </row>
    <row r="2019" spans="1:7" ht="31.5" customHeight="1">
      <c r="A2019" s="430"/>
      <c r="B2019" s="431"/>
      <c r="C2019" s="19"/>
      <c r="D2019" s="19"/>
      <c r="E2019" s="68"/>
      <c r="F2019" s="59"/>
      <c r="G2019" s="21"/>
    </row>
    <row r="2020" spans="1:7" ht="31.5" customHeight="1">
      <c r="A2020" s="430"/>
      <c r="B2020" s="431"/>
      <c r="D2020" s="19"/>
      <c r="E2020" s="68"/>
      <c r="F2020" s="60"/>
      <c r="G2020" s="21"/>
    </row>
    <row r="2021" spans="1:7" ht="31.5" customHeight="1">
      <c r="A2021" s="432"/>
      <c r="B2021" s="433"/>
      <c r="C2021" s="20"/>
      <c r="D2021" s="27"/>
      <c r="E2021" s="27"/>
      <c r="G2021" s="150"/>
    </row>
    <row r="2022" spans="1:7" ht="31.5" customHeight="1">
      <c r="A2022" s="447"/>
      <c r="B2022" s="542"/>
      <c r="C2022" s="44"/>
      <c r="D2022" s="41"/>
      <c r="E2022" s="151"/>
      <c r="F2022" s="61"/>
      <c r="G2022" s="69"/>
    </row>
    <row r="2023" spans="1:7" ht="31.5" customHeight="1">
      <c r="A2023" s="447"/>
      <c r="B2023" s="542"/>
      <c r="C2023" s="152"/>
      <c r="D2023" s="42"/>
      <c r="F2023" s="57"/>
      <c r="G2023" s="70"/>
    </row>
    <row r="2024" spans="1:7" ht="31.5" customHeight="1">
      <c r="A2024" s="419"/>
      <c r="B2024" s="420"/>
      <c r="C2024" s="558"/>
      <c r="D2024" s="553"/>
      <c r="E2024" s="553"/>
      <c r="F2024" s="25"/>
      <c r="G2024" s="58"/>
    </row>
    <row r="2025" spans="1:7" ht="31.5" customHeight="1">
      <c r="A2025" s="428"/>
      <c r="B2025" s="425"/>
      <c r="C2025" s="17"/>
      <c r="D2025" s="425"/>
      <c r="E2025" s="425"/>
      <c r="F2025" s="425"/>
      <c r="G2025" s="429"/>
    </row>
    <row r="2026" spans="1:7" ht="31.5" customHeight="1">
      <c r="A2026" s="430"/>
      <c r="B2026" s="559"/>
      <c r="C2026" s="18"/>
      <c r="D2026" s="559"/>
      <c r="E2026" s="559"/>
      <c r="F2026" s="559"/>
      <c r="G2026" s="431"/>
    </row>
    <row r="2027" spans="1:7" ht="31.5" customHeight="1">
      <c r="A2027" s="432"/>
      <c r="B2027" s="562"/>
      <c r="C2027" s="26"/>
      <c r="D2027" s="27"/>
      <c r="E2027" s="153"/>
      <c r="F2027" s="153"/>
      <c r="G2027" s="154"/>
    </row>
    <row r="2028" spans="1:7" ht="31.5" customHeight="1">
      <c r="A2028" s="447"/>
      <c r="B2028" s="542"/>
      <c r="C2028" s="40"/>
      <c r="D2028" s="41"/>
      <c r="E2028" s="151"/>
      <c r="F2028" s="41"/>
      <c r="G2028" s="69"/>
    </row>
    <row r="2029" spans="1:7" ht="31.5" customHeight="1">
      <c r="A2029" s="447"/>
      <c r="B2029" s="542"/>
      <c r="C2029" s="43"/>
      <c r="D2029" s="42"/>
      <c r="F2029" s="41"/>
      <c r="G2029" s="70"/>
    </row>
    <row r="2030" spans="1:7" ht="31.5" customHeight="1">
      <c r="A2030" s="447"/>
      <c r="B2030" s="542"/>
      <c r="C2030" s="447"/>
      <c r="D2030" s="542"/>
      <c r="E2030" s="542"/>
      <c r="F2030" s="542"/>
      <c r="G2030" s="448"/>
    </row>
    <row r="2031" spans="1:7" ht="31.5" customHeight="1">
      <c r="A2031" s="447"/>
      <c r="B2031" s="542"/>
      <c r="C2031" s="447"/>
      <c r="D2031" s="542"/>
      <c r="E2031" s="542"/>
      <c r="F2031" s="542"/>
      <c r="G2031" s="448"/>
    </row>
    <row r="2032" spans="1:7" ht="31.5" customHeight="1">
      <c r="A2032" s="447"/>
      <c r="B2032" s="542"/>
      <c r="C2032" s="445"/>
      <c r="D2032" s="557"/>
      <c r="E2032" s="557"/>
      <c r="F2032" s="557"/>
      <c r="G2032" s="446"/>
    </row>
    <row r="2033" spans="1:7" ht="31.5" customHeight="1">
      <c r="A2033" s="417"/>
      <c r="B2033" s="417"/>
      <c r="C2033" s="417"/>
      <c r="D2033" s="417"/>
      <c r="E2033" s="417"/>
      <c r="F2033" s="417"/>
      <c r="G2033" s="417"/>
    </row>
    <row r="2034" spans="1:7" ht="31.5" customHeight="1">
      <c r="A2034" s="127"/>
      <c r="B2034" s="127"/>
      <c r="C2034" s="127"/>
      <c r="D2034" s="127"/>
      <c r="E2034" s="127"/>
      <c r="F2034" s="127"/>
      <c r="G2034" s="127"/>
    </row>
    <row r="2035" spans="1:7" ht="31.5" customHeight="1">
      <c r="A2035" s="428"/>
      <c r="B2035" s="425"/>
      <c r="C2035" s="419"/>
      <c r="D2035" s="420"/>
      <c r="E2035" s="420"/>
      <c r="F2035" s="62"/>
      <c r="G2035" s="25"/>
    </row>
    <row r="2036" spans="1:7" ht="31.5" customHeight="1">
      <c r="A2036" s="546"/>
      <c r="B2036" s="62"/>
      <c r="C2036" s="418"/>
      <c r="D2036" s="418"/>
      <c r="E2036" s="418"/>
      <c r="F2036" s="418"/>
      <c r="G2036" s="418"/>
    </row>
    <row r="2037" spans="1:7" ht="31.5" customHeight="1">
      <c r="A2037" s="547"/>
      <c r="B2037" s="18"/>
      <c r="C2037" s="419"/>
      <c r="D2037" s="420"/>
      <c r="E2037" s="420"/>
      <c r="F2037" s="420"/>
      <c r="G2037" s="424"/>
    </row>
    <row r="2038" spans="1:7" ht="31.5" customHeight="1">
      <c r="A2038" s="548"/>
      <c r="B2038" s="62"/>
      <c r="C2038" s="550"/>
      <c r="D2038" s="551"/>
      <c r="E2038" s="551"/>
      <c r="F2038" s="62"/>
      <c r="G2038" s="25"/>
    </row>
    <row r="2039" spans="1:7" ht="31.5" customHeight="1">
      <c r="A2039" s="419"/>
      <c r="B2039" s="420"/>
      <c r="C2039" s="419"/>
      <c r="D2039" s="420"/>
      <c r="E2039" s="420"/>
      <c r="F2039" s="62"/>
      <c r="G2039" s="25"/>
    </row>
    <row r="2040" spans="1:7" ht="31.5" customHeight="1">
      <c r="A2040" s="428"/>
      <c r="B2040" s="429"/>
      <c r="C2040" s="19"/>
      <c r="D2040" s="425"/>
      <c r="E2040" s="425"/>
      <c r="F2040" s="426"/>
      <c r="G2040" s="427"/>
    </row>
    <row r="2041" spans="1:7" ht="31.5" customHeight="1">
      <c r="A2041" s="430"/>
      <c r="B2041" s="431"/>
      <c r="C2041" s="19"/>
      <c r="D2041" s="19"/>
      <c r="E2041" s="68"/>
      <c r="F2041" s="59"/>
      <c r="G2041" s="21"/>
    </row>
    <row r="2042" spans="1:7" ht="31.5" customHeight="1">
      <c r="A2042" s="430"/>
      <c r="B2042" s="431"/>
      <c r="D2042" s="19"/>
      <c r="E2042" s="68"/>
      <c r="F2042" s="60"/>
      <c r="G2042" s="21"/>
    </row>
    <row r="2043" spans="1:7" ht="31.5" customHeight="1">
      <c r="A2043" s="432"/>
      <c r="B2043" s="433"/>
      <c r="C2043" s="20"/>
      <c r="D2043" s="27"/>
      <c r="E2043" s="27"/>
      <c r="G2043" s="150"/>
    </row>
    <row r="2044" spans="1:7" ht="31.5" customHeight="1">
      <c r="A2044" s="447"/>
      <c r="B2044" s="542"/>
      <c r="C2044" s="44"/>
      <c r="D2044" s="41"/>
      <c r="E2044" s="151"/>
      <c r="F2044" s="61"/>
      <c r="G2044" s="69"/>
    </row>
    <row r="2045" spans="1:7" ht="31.5" customHeight="1">
      <c r="A2045" s="447"/>
      <c r="B2045" s="542"/>
      <c r="C2045" s="152"/>
      <c r="D2045" s="42"/>
      <c r="F2045" s="57"/>
      <c r="G2045" s="70"/>
    </row>
    <row r="2046" spans="1:7" ht="31.5" customHeight="1">
      <c r="A2046" s="419"/>
      <c r="B2046" s="420"/>
      <c r="C2046" s="558"/>
      <c r="D2046" s="553"/>
      <c r="E2046" s="553"/>
      <c r="F2046" s="25"/>
      <c r="G2046" s="58"/>
    </row>
    <row r="2047" spans="1:7" ht="31.5" customHeight="1">
      <c r="A2047" s="428"/>
      <c r="B2047" s="425"/>
      <c r="C2047" s="17"/>
      <c r="D2047" s="425"/>
      <c r="E2047" s="425"/>
      <c r="F2047" s="425"/>
      <c r="G2047" s="429"/>
    </row>
    <row r="2048" spans="1:7" ht="31.5" customHeight="1">
      <c r="A2048" s="430"/>
      <c r="B2048" s="559"/>
      <c r="C2048" s="18"/>
      <c r="D2048" s="559"/>
      <c r="E2048" s="559"/>
      <c r="F2048" s="559"/>
      <c r="G2048" s="431"/>
    </row>
    <row r="2049" spans="1:7" ht="31.5" customHeight="1">
      <c r="A2049" s="432"/>
      <c r="B2049" s="562"/>
      <c r="C2049" s="26"/>
      <c r="D2049" s="27"/>
      <c r="E2049" s="153"/>
      <c r="F2049" s="153"/>
      <c r="G2049" s="154"/>
    </row>
    <row r="2050" spans="1:7" ht="31.5" customHeight="1">
      <c r="A2050" s="447"/>
      <c r="B2050" s="542"/>
      <c r="C2050" s="40"/>
      <c r="D2050" s="41"/>
      <c r="E2050" s="151"/>
      <c r="F2050" s="41"/>
      <c r="G2050" s="69"/>
    </row>
    <row r="2051" spans="1:7" ht="31.5" customHeight="1">
      <c r="A2051" s="447"/>
      <c r="B2051" s="542"/>
      <c r="C2051" s="43"/>
      <c r="D2051" s="42"/>
      <c r="F2051" s="41"/>
      <c r="G2051" s="70"/>
    </row>
    <row r="2052" spans="1:7" ht="31.5" customHeight="1">
      <c r="A2052" s="447"/>
      <c r="B2052" s="542"/>
      <c r="C2052" s="447"/>
      <c r="D2052" s="542"/>
      <c r="E2052" s="542"/>
      <c r="F2052" s="542"/>
      <c r="G2052" s="448"/>
    </row>
    <row r="2053" spans="1:7" ht="31.5" customHeight="1">
      <c r="A2053" s="447"/>
      <c r="B2053" s="542"/>
      <c r="C2053" s="447"/>
      <c r="D2053" s="542"/>
      <c r="E2053" s="542"/>
      <c r="F2053" s="542"/>
      <c r="G2053" s="448"/>
    </row>
    <row r="2054" spans="1:7" ht="31.5" customHeight="1">
      <c r="A2054" s="447"/>
      <c r="B2054" s="542"/>
      <c r="C2054" s="445"/>
      <c r="D2054" s="557"/>
      <c r="E2054" s="557"/>
      <c r="F2054" s="557"/>
      <c r="G2054" s="446"/>
    </row>
    <row r="2055" spans="1:7" ht="31.5" customHeight="1">
      <c r="A2055" s="417"/>
      <c r="B2055" s="417"/>
      <c r="C2055" s="417"/>
      <c r="D2055" s="417"/>
      <c r="E2055" s="417"/>
      <c r="F2055" s="417"/>
      <c r="G2055" s="417"/>
    </row>
    <row r="2056" spans="1:7" ht="31.5" customHeight="1">
      <c r="A2056" s="127"/>
      <c r="B2056" s="127"/>
      <c r="C2056" s="127"/>
      <c r="D2056" s="127"/>
      <c r="E2056" s="127"/>
      <c r="F2056" s="127"/>
      <c r="G2056" s="127"/>
    </row>
    <row r="2057" spans="1:7" ht="31.5" customHeight="1">
      <c r="A2057" s="428"/>
      <c r="B2057" s="425"/>
      <c r="C2057" s="419"/>
      <c r="D2057" s="420"/>
      <c r="E2057" s="420"/>
      <c r="F2057" s="62"/>
      <c r="G2057" s="25"/>
    </row>
    <row r="2058" spans="1:7" ht="31.5" customHeight="1">
      <c r="A2058" s="546"/>
      <c r="B2058" s="62"/>
      <c r="C2058" s="549"/>
      <c r="D2058" s="418"/>
      <c r="E2058" s="418"/>
      <c r="F2058" s="418"/>
      <c r="G2058" s="418"/>
    </row>
    <row r="2059" spans="1:7" ht="31.5" customHeight="1">
      <c r="A2059" s="547"/>
      <c r="B2059" s="18"/>
      <c r="C2059" s="419"/>
      <c r="D2059" s="420"/>
      <c r="E2059" s="420"/>
      <c r="F2059" s="420"/>
      <c r="G2059" s="424"/>
    </row>
    <row r="2060" spans="1:7" ht="31.5" customHeight="1">
      <c r="A2060" s="548"/>
      <c r="B2060" s="62"/>
      <c r="C2060" s="550"/>
      <c r="D2060" s="551"/>
      <c r="E2060" s="551"/>
      <c r="F2060" s="62"/>
      <c r="G2060" s="25"/>
    </row>
    <row r="2061" spans="1:7" ht="31.5" customHeight="1">
      <c r="A2061" s="419"/>
      <c r="B2061" s="420"/>
      <c r="C2061" s="419"/>
      <c r="D2061" s="420"/>
      <c r="E2061" s="420"/>
      <c r="F2061" s="62"/>
      <c r="G2061" s="25"/>
    </row>
    <row r="2062" spans="1:7" ht="31.5" customHeight="1">
      <c r="A2062" s="428"/>
      <c r="B2062" s="429"/>
      <c r="C2062" s="18"/>
      <c r="D2062" s="425"/>
      <c r="E2062" s="425"/>
      <c r="F2062" s="426"/>
      <c r="G2062" s="427"/>
    </row>
    <row r="2063" spans="1:7" ht="31.5" customHeight="1">
      <c r="A2063" s="430"/>
      <c r="B2063" s="431"/>
      <c r="C2063" s="18"/>
      <c r="D2063" s="19"/>
      <c r="E2063" s="68"/>
      <c r="F2063" s="59"/>
      <c r="G2063" s="21"/>
    </row>
    <row r="2064" spans="1:7" ht="31.5" customHeight="1">
      <c r="A2064" s="430"/>
      <c r="B2064" s="431"/>
      <c r="C2064" s="18"/>
      <c r="D2064" s="19"/>
      <c r="E2064" s="68"/>
      <c r="F2064" s="60"/>
      <c r="G2064" s="21"/>
    </row>
    <row r="2065" spans="1:7" ht="31.5" customHeight="1">
      <c r="A2065" s="430"/>
      <c r="B2065" s="431"/>
      <c r="C2065" s="152"/>
      <c r="G2065" s="150"/>
    </row>
    <row r="2066" spans="1:7" ht="31.5" customHeight="1">
      <c r="A2066" s="447"/>
      <c r="B2066" s="542"/>
      <c r="C2066" s="44"/>
      <c r="D2066" s="41"/>
      <c r="E2066" s="151"/>
      <c r="F2066" s="61"/>
      <c r="G2066" s="69"/>
    </row>
    <row r="2067" spans="1:7" ht="31.5" customHeight="1">
      <c r="A2067" s="447"/>
      <c r="B2067" s="542"/>
      <c r="C2067" s="152"/>
      <c r="D2067" s="42"/>
      <c r="F2067" s="57"/>
      <c r="G2067" s="70"/>
    </row>
    <row r="2068" spans="1:7" ht="31.5" customHeight="1">
      <c r="A2068" s="419"/>
      <c r="B2068" s="420"/>
      <c r="C2068" s="558"/>
      <c r="D2068" s="553"/>
      <c r="E2068" s="553"/>
      <c r="F2068" s="25"/>
      <c r="G2068" s="58"/>
    </row>
    <row r="2069" spans="1:7" ht="31.5" customHeight="1">
      <c r="A2069" s="428"/>
      <c r="B2069" s="425"/>
      <c r="C2069" s="17"/>
      <c r="D2069" s="425"/>
      <c r="E2069" s="425"/>
      <c r="F2069" s="425"/>
      <c r="G2069" s="429"/>
    </row>
    <row r="2070" spans="1:7" ht="31.5" customHeight="1">
      <c r="A2070" s="430"/>
      <c r="B2070" s="559"/>
      <c r="C2070" s="18"/>
      <c r="D2070" s="559"/>
      <c r="E2070" s="559"/>
      <c r="F2070" s="559"/>
      <c r="G2070" s="431"/>
    </row>
    <row r="2071" spans="1:7" ht="31.5" customHeight="1">
      <c r="A2071" s="432"/>
      <c r="B2071" s="562"/>
      <c r="C2071" s="26"/>
      <c r="D2071" s="27"/>
      <c r="E2071" s="153"/>
      <c r="F2071" s="153"/>
      <c r="G2071" s="154"/>
    </row>
    <row r="2072" spans="1:7" ht="31.5" customHeight="1">
      <c r="A2072" s="447"/>
      <c r="B2072" s="542"/>
      <c r="C2072" s="40"/>
      <c r="D2072" s="41"/>
      <c r="E2072" s="151"/>
      <c r="F2072" s="41"/>
      <c r="G2072" s="69"/>
    </row>
    <row r="2073" spans="1:7" ht="31.5" customHeight="1">
      <c r="A2073" s="447"/>
      <c r="B2073" s="542"/>
      <c r="C2073" s="43"/>
      <c r="D2073" s="42"/>
      <c r="F2073" s="41"/>
      <c r="G2073" s="70"/>
    </row>
    <row r="2074" spans="1:7" ht="31.5" customHeight="1">
      <c r="A2074" s="447"/>
      <c r="B2074" s="542"/>
      <c r="C2074" s="447"/>
      <c r="D2074" s="542"/>
      <c r="E2074" s="542"/>
      <c r="F2074" s="542"/>
      <c r="G2074" s="448"/>
    </row>
    <row r="2075" spans="1:7" ht="31.5" customHeight="1">
      <c r="A2075" s="447"/>
      <c r="B2075" s="542"/>
      <c r="C2075" s="447"/>
      <c r="D2075" s="542"/>
      <c r="E2075" s="542"/>
      <c r="F2075" s="542"/>
      <c r="G2075" s="448"/>
    </row>
    <row r="2076" spans="1:7" ht="31.5" customHeight="1">
      <c r="A2076" s="447"/>
      <c r="B2076" s="542"/>
      <c r="C2076" s="445"/>
      <c r="D2076" s="557"/>
      <c r="E2076" s="557"/>
      <c r="F2076" s="557"/>
      <c r="G2076" s="446"/>
    </row>
    <row r="2077" spans="1:7" ht="31.5" customHeight="1">
      <c r="A2077" s="417"/>
      <c r="B2077" s="417"/>
      <c r="C2077" s="417"/>
      <c r="D2077" s="417"/>
      <c r="E2077" s="417"/>
      <c r="F2077" s="417"/>
      <c r="G2077" s="417"/>
    </row>
    <row r="2078" spans="1:7" ht="31.5" customHeight="1">
      <c r="A2078" s="127"/>
      <c r="B2078" s="127"/>
      <c r="C2078" s="127"/>
      <c r="D2078" s="127"/>
      <c r="E2078" s="127"/>
      <c r="F2078" s="127"/>
      <c r="G2078" s="127"/>
    </row>
    <row r="2079" spans="1:7" ht="31.5" customHeight="1">
      <c r="A2079" s="428"/>
      <c r="B2079" s="425"/>
      <c r="C2079" s="419"/>
      <c r="D2079" s="420"/>
      <c r="E2079" s="420"/>
      <c r="F2079" s="62"/>
      <c r="G2079" s="25"/>
    </row>
    <row r="2080" spans="1:7" ht="31.5" customHeight="1">
      <c r="A2080" s="546"/>
      <c r="B2080" s="62"/>
      <c r="C2080" s="549"/>
      <c r="D2080" s="418"/>
      <c r="E2080" s="418"/>
      <c r="F2080" s="418"/>
      <c r="G2080" s="418"/>
    </row>
    <row r="2081" spans="1:7" ht="31.5" customHeight="1">
      <c r="A2081" s="547"/>
      <c r="B2081" s="18"/>
      <c r="C2081" s="419"/>
      <c r="D2081" s="420"/>
      <c r="E2081" s="420"/>
      <c r="F2081" s="420"/>
      <c r="G2081" s="424"/>
    </row>
    <row r="2082" spans="1:7" ht="31.5" customHeight="1">
      <c r="A2082" s="548"/>
      <c r="B2082" s="62"/>
      <c r="C2082" s="550"/>
      <c r="D2082" s="551"/>
      <c r="E2082" s="551"/>
      <c r="F2082" s="62"/>
      <c r="G2082" s="25"/>
    </row>
    <row r="2083" spans="1:7" ht="31.5" customHeight="1">
      <c r="A2083" s="419"/>
      <c r="B2083" s="420"/>
      <c r="C2083" s="419"/>
      <c r="D2083" s="420"/>
      <c r="E2083" s="420"/>
      <c r="F2083" s="62"/>
      <c r="G2083" s="25"/>
    </row>
    <row r="2084" spans="1:7" ht="31.5" customHeight="1">
      <c r="A2084" s="428"/>
      <c r="B2084" s="429"/>
      <c r="C2084" s="19"/>
      <c r="D2084" s="425"/>
      <c r="E2084" s="425"/>
      <c r="F2084" s="426"/>
      <c r="G2084" s="427"/>
    </row>
    <row r="2085" spans="1:7" ht="31.5" customHeight="1">
      <c r="A2085" s="430"/>
      <c r="B2085" s="431"/>
      <c r="C2085" s="19"/>
      <c r="D2085" s="19"/>
      <c r="E2085" s="68"/>
      <c r="F2085" s="59"/>
      <c r="G2085" s="21"/>
    </row>
    <row r="2086" spans="1:7" ht="31.5" customHeight="1">
      <c r="A2086" s="430"/>
      <c r="B2086" s="431"/>
      <c r="D2086" s="19"/>
      <c r="E2086" s="68"/>
      <c r="F2086" s="60"/>
      <c r="G2086" s="21"/>
    </row>
    <row r="2087" spans="1:7" ht="31.5" customHeight="1">
      <c r="A2087" s="432"/>
      <c r="B2087" s="433"/>
      <c r="C2087" s="20"/>
      <c r="D2087" s="27"/>
      <c r="E2087" s="27"/>
      <c r="G2087" s="150"/>
    </row>
    <row r="2088" spans="1:7" ht="31.5" customHeight="1">
      <c r="A2088" s="447"/>
      <c r="B2088" s="542"/>
      <c r="C2088" s="44"/>
      <c r="D2088" s="41"/>
      <c r="E2088" s="151"/>
      <c r="F2088" s="61"/>
      <c r="G2088" s="69"/>
    </row>
    <row r="2089" spans="1:7" ht="31.5" customHeight="1">
      <c r="A2089" s="447"/>
      <c r="B2089" s="542"/>
      <c r="C2089" s="152"/>
      <c r="D2089" s="42"/>
      <c r="F2089" s="57"/>
      <c r="G2089" s="70"/>
    </row>
    <row r="2090" spans="1:7" ht="31.5" customHeight="1">
      <c r="A2090" s="419"/>
      <c r="B2090" s="420"/>
      <c r="C2090" s="558"/>
      <c r="D2090" s="553"/>
      <c r="E2090" s="553"/>
      <c r="F2090" s="25"/>
      <c r="G2090" s="58"/>
    </row>
    <row r="2091" spans="1:7" ht="31.5" customHeight="1">
      <c r="A2091" s="428"/>
      <c r="B2091" s="429"/>
      <c r="C2091" s="277"/>
      <c r="D2091" s="425"/>
      <c r="E2091" s="425"/>
      <c r="F2091" s="425"/>
      <c r="G2091" s="429"/>
    </row>
    <row r="2092" spans="1:7" ht="31.5" customHeight="1">
      <c r="A2092" s="430"/>
      <c r="B2092" s="431"/>
      <c r="C2092" s="19"/>
      <c r="D2092" s="19"/>
      <c r="E2092" s="19"/>
      <c r="F2092" s="19"/>
      <c r="G2092" s="23"/>
    </row>
    <row r="2093" spans="1:7" ht="31.5" customHeight="1">
      <c r="A2093" s="432"/>
      <c r="B2093" s="433"/>
      <c r="D2093" s="559"/>
      <c r="E2093" s="559"/>
      <c r="F2093" s="559"/>
      <c r="G2093" s="431"/>
    </row>
    <row r="2094" spans="1:7" ht="31.5" customHeight="1">
      <c r="A2094" s="447"/>
      <c r="B2094" s="542"/>
      <c r="C2094" s="40"/>
      <c r="D2094" s="41"/>
      <c r="E2094" s="151"/>
      <c r="F2094" s="41"/>
      <c r="G2094" s="69"/>
    </row>
    <row r="2095" spans="1:7" ht="31.5" customHeight="1">
      <c r="A2095" s="447"/>
      <c r="B2095" s="542"/>
      <c r="C2095" s="43"/>
      <c r="D2095" s="42"/>
      <c r="F2095" s="41"/>
      <c r="G2095" s="70"/>
    </row>
    <row r="2096" spans="1:7" ht="31.5" customHeight="1">
      <c r="A2096" s="447"/>
      <c r="B2096" s="542"/>
      <c r="C2096" s="447"/>
      <c r="D2096" s="542"/>
      <c r="E2096" s="542"/>
      <c r="F2096" s="542"/>
      <c r="G2096" s="448"/>
    </row>
    <row r="2097" spans="1:7" ht="31.5" customHeight="1">
      <c r="A2097" s="447"/>
      <c r="B2097" s="542"/>
      <c r="C2097" s="447"/>
      <c r="D2097" s="542"/>
      <c r="E2097" s="542"/>
      <c r="F2097" s="542"/>
      <c r="G2097" s="448"/>
    </row>
    <row r="2098" spans="1:7" ht="31.5" customHeight="1">
      <c r="A2098" s="447"/>
      <c r="B2098" s="542"/>
      <c r="C2098" s="445"/>
      <c r="D2098" s="557"/>
      <c r="E2098" s="557"/>
      <c r="F2098" s="557"/>
      <c r="G2098" s="446"/>
    </row>
    <row r="2099" spans="1:7" ht="31.5" customHeight="1">
      <c r="A2099" s="417"/>
      <c r="B2099" s="417"/>
      <c r="C2099" s="417"/>
      <c r="D2099" s="417"/>
      <c r="E2099" s="417"/>
      <c r="F2099" s="417"/>
      <c r="G2099" s="417"/>
    </row>
    <row r="2100" spans="1:7" ht="31.5" customHeight="1">
      <c r="A2100" s="127"/>
      <c r="B2100" s="127"/>
      <c r="C2100" s="127"/>
      <c r="D2100" s="127"/>
      <c r="E2100" s="127"/>
      <c r="F2100" s="127"/>
      <c r="G2100" s="127"/>
    </row>
    <row r="2101" spans="1:7" ht="31.5" customHeight="1">
      <c r="A2101" s="428"/>
      <c r="B2101" s="425"/>
      <c r="C2101" s="419"/>
      <c r="D2101" s="420"/>
      <c r="E2101" s="420"/>
      <c r="F2101" s="62"/>
      <c r="G2101" s="25"/>
    </row>
    <row r="2102" spans="1:7" ht="31.5" customHeight="1">
      <c r="A2102" s="546"/>
      <c r="B2102" s="62"/>
      <c r="C2102" s="549"/>
      <c r="D2102" s="418"/>
      <c r="E2102" s="418"/>
      <c r="F2102" s="418"/>
      <c r="G2102" s="418"/>
    </row>
    <row r="2103" spans="1:7" ht="31.5" customHeight="1">
      <c r="A2103" s="547"/>
      <c r="B2103" s="18"/>
      <c r="C2103" s="419"/>
      <c r="D2103" s="420"/>
      <c r="E2103" s="420"/>
      <c r="F2103" s="420"/>
      <c r="G2103" s="424"/>
    </row>
    <row r="2104" spans="1:7" ht="31.5" customHeight="1">
      <c r="A2104" s="548"/>
      <c r="B2104" s="62"/>
      <c r="C2104" s="550"/>
      <c r="D2104" s="551"/>
      <c r="E2104" s="551"/>
      <c r="F2104" s="62"/>
      <c r="G2104" s="25"/>
    </row>
    <row r="2105" spans="1:7" ht="31.5" customHeight="1">
      <c r="A2105" s="419"/>
      <c r="B2105" s="420"/>
      <c r="C2105" s="419"/>
      <c r="D2105" s="420"/>
      <c r="E2105" s="420"/>
      <c r="F2105" s="62"/>
      <c r="G2105" s="25"/>
    </row>
    <row r="2106" spans="1:7" ht="31.5" customHeight="1">
      <c r="A2106" s="428"/>
      <c r="B2106" s="429"/>
      <c r="C2106" s="19"/>
      <c r="D2106" s="425"/>
      <c r="E2106" s="425"/>
      <c r="F2106" s="426"/>
      <c r="G2106" s="427"/>
    </row>
    <row r="2107" spans="1:7" ht="31.5" customHeight="1">
      <c r="A2107" s="430"/>
      <c r="B2107" s="431"/>
      <c r="C2107" s="19"/>
      <c r="D2107" s="19"/>
      <c r="E2107" s="68"/>
      <c r="F2107" s="59"/>
      <c r="G2107" s="21"/>
    </row>
    <row r="2108" spans="1:7" ht="31.5" customHeight="1">
      <c r="A2108" s="430"/>
      <c r="B2108" s="431"/>
      <c r="D2108" s="19"/>
      <c r="E2108" s="68"/>
      <c r="F2108" s="60"/>
      <c r="G2108" s="21"/>
    </row>
    <row r="2109" spans="1:7" ht="31.5" customHeight="1">
      <c r="A2109" s="432"/>
      <c r="B2109" s="433"/>
      <c r="C2109" s="20"/>
      <c r="D2109" s="27"/>
      <c r="E2109" s="27"/>
      <c r="G2109" s="150"/>
    </row>
    <row r="2110" spans="1:7" ht="31.5" customHeight="1">
      <c r="A2110" s="447"/>
      <c r="B2110" s="542"/>
      <c r="C2110" s="44"/>
      <c r="D2110" s="41"/>
      <c r="E2110" s="151"/>
      <c r="F2110" s="61"/>
      <c r="G2110" s="69"/>
    </row>
    <row r="2111" spans="1:7" ht="31.5" customHeight="1">
      <c r="A2111" s="447"/>
      <c r="B2111" s="542"/>
      <c r="C2111" s="152"/>
      <c r="D2111" s="42"/>
      <c r="F2111" s="57"/>
      <c r="G2111" s="70"/>
    </row>
    <row r="2112" spans="1:7" ht="31.5" customHeight="1">
      <c r="A2112" s="419"/>
      <c r="B2112" s="420"/>
      <c r="C2112" s="558"/>
      <c r="D2112" s="553"/>
      <c r="E2112" s="553"/>
      <c r="F2112" s="25"/>
      <c r="G2112" s="58"/>
    </row>
    <row r="2113" spans="1:7" ht="31.5" customHeight="1">
      <c r="A2113" s="428"/>
      <c r="B2113" s="425"/>
      <c r="C2113" s="17"/>
      <c r="D2113" s="425"/>
      <c r="E2113" s="425"/>
      <c r="F2113" s="425"/>
      <c r="G2113" s="429"/>
    </row>
    <row r="2114" spans="1:7" ht="31.5" customHeight="1">
      <c r="A2114" s="430"/>
      <c r="B2114" s="559"/>
      <c r="C2114" s="18"/>
      <c r="D2114" s="559"/>
      <c r="E2114" s="559"/>
      <c r="F2114" s="559"/>
      <c r="G2114" s="431"/>
    </row>
    <row r="2115" spans="1:7" ht="31.5" customHeight="1">
      <c r="A2115" s="432"/>
      <c r="B2115" s="562"/>
      <c r="C2115" s="26"/>
      <c r="D2115" s="27"/>
      <c r="E2115" s="153"/>
      <c r="F2115" s="153"/>
      <c r="G2115" s="154"/>
    </row>
    <row r="2116" spans="1:7" ht="31.5" customHeight="1">
      <c r="A2116" s="447"/>
      <c r="B2116" s="542"/>
      <c r="C2116" s="40"/>
      <c r="D2116" s="41"/>
      <c r="E2116" s="151"/>
      <c r="F2116" s="41"/>
      <c r="G2116" s="69"/>
    </row>
    <row r="2117" spans="1:7" ht="31.5" customHeight="1">
      <c r="A2117" s="447"/>
      <c r="B2117" s="542"/>
      <c r="C2117" s="43"/>
      <c r="D2117" s="42"/>
      <c r="F2117" s="41"/>
      <c r="G2117" s="70"/>
    </row>
    <row r="2118" spans="1:7" ht="31.5" customHeight="1">
      <c r="A2118" s="447"/>
      <c r="B2118" s="542"/>
      <c r="C2118" s="447"/>
      <c r="D2118" s="542"/>
      <c r="E2118" s="542"/>
      <c r="F2118" s="542"/>
      <c r="G2118" s="448"/>
    </row>
    <row r="2119" spans="1:7" ht="31.5" customHeight="1">
      <c r="A2119" s="447"/>
      <c r="B2119" s="542"/>
      <c r="C2119" s="447"/>
      <c r="D2119" s="542"/>
      <c r="E2119" s="542"/>
      <c r="F2119" s="542"/>
      <c r="G2119" s="448"/>
    </row>
    <row r="2120" spans="1:7" ht="31.5" customHeight="1">
      <c r="A2120" s="447"/>
      <c r="B2120" s="542"/>
      <c r="C2120" s="445"/>
      <c r="D2120" s="557"/>
      <c r="E2120" s="557"/>
      <c r="F2120" s="557"/>
      <c r="G2120" s="446"/>
    </row>
    <row r="2121" spans="1:7" ht="31.5" customHeight="1">
      <c r="A2121" s="417"/>
      <c r="B2121" s="417"/>
      <c r="C2121" s="417"/>
      <c r="D2121" s="417"/>
      <c r="E2121" s="417"/>
      <c r="F2121" s="417"/>
      <c r="G2121" s="417"/>
    </row>
    <row r="2122" spans="1:7" ht="31.5" customHeight="1">
      <c r="A2122" s="127"/>
      <c r="B2122" s="127"/>
      <c r="C2122" s="127"/>
      <c r="D2122" s="127"/>
      <c r="E2122" s="127"/>
      <c r="F2122" s="127"/>
      <c r="G2122" s="127"/>
    </row>
    <row r="2123" spans="1:7" ht="31.5" customHeight="1">
      <c r="A2123" s="428"/>
      <c r="B2123" s="425"/>
      <c r="C2123" s="419"/>
      <c r="D2123" s="420"/>
      <c r="E2123" s="420"/>
      <c r="F2123" s="62"/>
      <c r="G2123" s="25"/>
    </row>
    <row r="2124" spans="1:7" ht="31.5" customHeight="1">
      <c r="A2124" s="546"/>
      <c r="B2124" s="62"/>
      <c r="C2124" s="418"/>
      <c r="D2124" s="418"/>
      <c r="E2124" s="418"/>
      <c r="F2124" s="418"/>
      <c r="G2124" s="418"/>
    </row>
    <row r="2125" spans="1:7" ht="31.5" customHeight="1">
      <c r="A2125" s="547"/>
      <c r="B2125" s="18"/>
      <c r="C2125" s="419"/>
      <c r="D2125" s="420"/>
      <c r="E2125" s="420"/>
      <c r="F2125" s="420"/>
      <c r="G2125" s="424"/>
    </row>
    <row r="2126" spans="1:7" ht="31.5" customHeight="1">
      <c r="A2126" s="548"/>
      <c r="B2126" s="62"/>
      <c r="C2126" s="550"/>
      <c r="D2126" s="551"/>
      <c r="E2126" s="551"/>
      <c r="F2126" s="62"/>
      <c r="G2126" s="25"/>
    </row>
    <row r="2127" spans="1:7" ht="31.5" customHeight="1">
      <c r="A2127" s="419"/>
      <c r="B2127" s="420"/>
      <c r="C2127" s="419"/>
      <c r="D2127" s="420"/>
      <c r="E2127" s="420"/>
      <c r="F2127" s="62"/>
      <c r="G2127" s="25"/>
    </row>
    <row r="2128" spans="1:7" ht="31.5" customHeight="1">
      <c r="A2128" s="428"/>
      <c r="B2128" s="429"/>
      <c r="C2128" s="19"/>
      <c r="D2128" s="425"/>
      <c r="E2128" s="425"/>
      <c r="F2128" s="426"/>
      <c r="G2128" s="427"/>
    </row>
    <row r="2129" spans="1:7" ht="31.5" customHeight="1">
      <c r="A2129" s="430"/>
      <c r="B2129" s="431"/>
      <c r="C2129" s="19"/>
      <c r="D2129" s="19"/>
      <c r="E2129" s="68"/>
      <c r="F2129" s="59"/>
      <c r="G2129" s="21"/>
    </row>
    <row r="2130" spans="1:7" ht="31.5" customHeight="1">
      <c r="A2130" s="430"/>
      <c r="B2130" s="431"/>
      <c r="D2130" s="19"/>
      <c r="E2130" s="68"/>
      <c r="F2130" s="60"/>
      <c r="G2130" s="21"/>
    </row>
    <row r="2131" spans="1:7" ht="31.5" customHeight="1">
      <c r="A2131" s="432"/>
      <c r="B2131" s="433"/>
      <c r="C2131" s="20"/>
      <c r="D2131" s="27"/>
      <c r="E2131" s="27"/>
      <c r="G2131" s="150"/>
    </row>
    <row r="2132" spans="1:7" ht="31.5" customHeight="1">
      <c r="A2132" s="447"/>
      <c r="B2132" s="542"/>
      <c r="C2132" s="44"/>
      <c r="D2132" s="41"/>
      <c r="E2132" s="151"/>
      <c r="F2132" s="61"/>
      <c r="G2132" s="69"/>
    </row>
    <row r="2133" spans="1:7" ht="31.5" customHeight="1">
      <c r="A2133" s="447"/>
      <c r="B2133" s="542"/>
      <c r="C2133" s="152"/>
      <c r="D2133" s="42"/>
      <c r="F2133" s="57"/>
      <c r="G2133" s="70"/>
    </row>
    <row r="2134" spans="1:7" ht="31.5" customHeight="1">
      <c r="A2134" s="419"/>
      <c r="B2134" s="420"/>
      <c r="C2134" s="558"/>
      <c r="D2134" s="553"/>
      <c r="E2134" s="553"/>
      <c r="F2134" s="25"/>
      <c r="G2134" s="58"/>
    </row>
    <row r="2135" spans="1:7" ht="31.5" customHeight="1">
      <c r="A2135" s="428"/>
      <c r="B2135" s="425"/>
      <c r="C2135" s="17"/>
      <c r="D2135" s="425"/>
      <c r="E2135" s="425"/>
      <c r="F2135" s="425"/>
      <c r="G2135" s="429"/>
    </row>
    <row r="2136" spans="1:7" ht="31.5" customHeight="1">
      <c r="A2136" s="430"/>
      <c r="B2136" s="559"/>
      <c r="C2136" s="18"/>
      <c r="D2136" s="559"/>
      <c r="E2136" s="559"/>
      <c r="F2136" s="559"/>
      <c r="G2136" s="431"/>
    </row>
    <row r="2137" spans="1:7" ht="31.5" customHeight="1">
      <c r="A2137" s="432"/>
      <c r="B2137" s="562"/>
      <c r="C2137" s="26"/>
      <c r="D2137" s="27"/>
      <c r="E2137" s="153"/>
      <c r="F2137" s="153"/>
      <c r="G2137" s="154"/>
    </row>
    <row r="2138" spans="1:7" ht="31.5" customHeight="1">
      <c r="A2138" s="447"/>
      <c r="B2138" s="542"/>
      <c r="C2138" s="40"/>
      <c r="D2138" s="41"/>
      <c r="E2138" s="151"/>
      <c r="F2138" s="41"/>
      <c r="G2138" s="69"/>
    </row>
    <row r="2139" spans="1:7" ht="31.5" customHeight="1">
      <c r="A2139" s="447"/>
      <c r="B2139" s="542"/>
      <c r="C2139" s="43"/>
      <c r="D2139" s="42"/>
      <c r="F2139" s="41"/>
      <c r="G2139" s="70"/>
    </row>
    <row r="2140" spans="1:7" ht="31.5" customHeight="1">
      <c r="A2140" s="447"/>
      <c r="B2140" s="542"/>
      <c r="C2140" s="447"/>
      <c r="D2140" s="542"/>
      <c r="E2140" s="542"/>
      <c r="F2140" s="542"/>
      <c r="G2140" s="448"/>
    </row>
    <row r="2141" spans="1:7" ht="31.5" customHeight="1">
      <c r="A2141" s="447"/>
      <c r="B2141" s="542"/>
      <c r="C2141" s="447"/>
      <c r="D2141" s="542"/>
      <c r="E2141" s="542"/>
      <c r="F2141" s="542"/>
      <c r="G2141" s="448"/>
    </row>
    <row r="2142" spans="1:7" ht="31.5" customHeight="1">
      <c r="A2142" s="447"/>
      <c r="B2142" s="542"/>
      <c r="C2142" s="445"/>
      <c r="D2142" s="557"/>
      <c r="E2142" s="557"/>
      <c r="F2142" s="557"/>
      <c r="G2142" s="446"/>
    </row>
    <row r="2143" spans="1:7" ht="31.5" customHeight="1">
      <c r="A2143" s="417"/>
      <c r="B2143" s="417"/>
      <c r="C2143" s="417"/>
      <c r="D2143" s="417"/>
      <c r="E2143" s="417"/>
      <c r="F2143" s="417"/>
      <c r="G2143" s="417"/>
    </row>
    <row r="2144" spans="1:7" ht="31.5" customHeight="1">
      <c r="A2144" s="127"/>
      <c r="B2144" s="127"/>
      <c r="C2144" s="127"/>
      <c r="D2144" s="127"/>
      <c r="E2144" s="127"/>
      <c r="F2144" s="127"/>
      <c r="G2144" s="127"/>
    </row>
    <row r="2145" spans="1:7" ht="31.5" customHeight="1">
      <c r="A2145" s="428"/>
      <c r="B2145" s="425"/>
      <c r="C2145" s="419"/>
      <c r="D2145" s="420"/>
      <c r="E2145" s="420"/>
      <c r="F2145" s="62"/>
      <c r="G2145" s="25"/>
    </row>
    <row r="2146" spans="1:7" ht="31.5" customHeight="1">
      <c r="A2146" s="546"/>
      <c r="B2146" s="62"/>
      <c r="C2146" s="549"/>
      <c r="D2146" s="418"/>
      <c r="E2146" s="418"/>
      <c r="F2146" s="418"/>
      <c r="G2146" s="418"/>
    </row>
    <row r="2147" spans="1:7" ht="31.5" customHeight="1">
      <c r="A2147" s="547"/>
      <c r="B2147" s="18"/>
      <c r="C2147" s="419"/>
      <c r="D2147" s="420"/>
      <c r="E2147" s="420"/>
      <c r="F2147" s="420"/>
      <c r="G2147" s="424"/>
    </row>
    <row r="2148" spans="1:7" ht="31.5" customHeight="1">
      <c r="A2148" s="548"/>
      <c r="B2148" s="62"/>
      <c r="C2148" s="550"/>
      <c r="D2148" s="551"/>
      <c r="E2148" s="551"/>
      <c r="F2148" s="62"/>
      <c r="G2148" s="25"/>
    </row>
    <row r="2149" spans="1:7" ht="31.5" customHeight="1">
      <c r="A2149" s="419"/>
      <c r="B2149" s="420"/>
      <c r="C2149" s="419"/>
      <c r="D2149" s="420"/>
      <c r="E2149" s="420"/>
      <c r="F2149" s="62"/>
      <c r="G2149" s="25"/>
    </row>
    <row r="2150" spans="1:7" ht="31.5" customHeight="1">
      <c r="A2150" s="428"/>
      <c r="B2150" s="429"/>
      <c r="C2150" s="19"/>
      <c r="D2150" s="425"/>
      <c r="E2150" s="425"/>
      <c r="F2150" s="426"/>
      <c r="G2150" s="427"/>
    </row>
    <row r="2151" spans="1:7" ht="31.5" customHeight="1">
      <c r="A2151" s="430"/>
      <c r="B2151" s="431"/>
      <c r="C2151" s="19"/>
      <c r="D2151" s="19"/>
      <c r="E2151" s="68"/>
      <c r="F2151" s="59"/>
      <c r="G2151" s="21"/>
    </row>
    <row r="2152" spans="1:7" ht="31.5" customHeight="1">
      <c r="A2152" s="430"/>
      <c r="B2152" s="431"/>
      <c r="D2152" s="19"/>
      <c r="E2152" s="68"/>
      <c r="F2152" s="60"/>
      <c r="G2152" s="21"/>
    </row>
    <row r="2153" spans="1:7" ht="31.5" customHeight="1">
      <c r="A2153" s="432"/>
      <c r="B2153" s="433"/>
      <c r="C2153" s="20"/>
      <c r="D2153" s="27"/>
      <c r="E2153" s="27"/>
      <c r="G2153" s="150"/>
    </row>
    <row r="2154" spans="1:7" ht="31.5" customHeight="1">
      <c r="A2154" s="447"/>
      <c r="B2154" s="542"/>
      <c r="C2154" s="44"/>
      <c r="D2154" s="41"/>
      <c r="E2154" s="151"/>
      <c r="F2154" s="61"/>
      <c r="G2154" s="69"/>
    </row>
    <row r="2155" spans="1:7" ht="31.5" customHeight="1">
      <c r="A2155" s="447"/>
      <c r="B2155" s="542"/>
      <c r="C2155" s="152"/>
      <c r="D2155" s="42"/>
      <c r="F2155" s="57"/>
      <c r="G2155" s="70"/>
    </row>
    <row r="2156" spans="1:7" ht="31.5" customHeight="1">
      <c r="A2156" s="419"/>
      <c r="B2156" s="420"/>
      <c r="C2156" s="558"/>
      <c r="D2156" s="553"/>
      <c r="E2156" s="553"/>
      <c r="F2156" s="25"/>
      <c r="G2156" s="58"/>
    </row>
    <row r="2157" spans="1:7" ht="31.5" customHeight="1">
      <c r="A2157" s="428"/>
      <c r="B2157" s="425"/>
      <c r="C2157" s="17"/>
      <c r="D2157" s="425"/>
      <c r="E2157" s="425"/>
      <c r="F2157" s="425"/>
      <c r="G2157" s="429"/>
    </row>
    <row r="2158" spans="1:7" ht="31.5" customHeight="1">
      <c r="A2158" s="430"/>
      <c r="B2158" s="559"/>
      <c r="C2158" s="18"/>
      <c r="D2158" s="559"/>
      <c r="E2158" s="559"/>
      <c r="F2158" s="559"/>
      <c r="G2158" s="431"/>
    </row>
    <row r="2159" spans="1:7" ht="31.5" customHeight="1">
      <c r="A2159" s="432"/>
      <c r="B2159" s="562"/>
      <c r="C2159" s="26"/>
      <c r="D2159" s="27"/>
      <c r="E2159" s="153"/>
      <c r="F2159" s="153"/>
      <c r="G2159" s="154"/>
    </row>
    <row r="2160" spans="1:7" ht="31.5" customHeight="1">
      <c r="A2160" s="447"/>
      <c r="B2160" s="542"/>
      <c r="C2160" s="40"/>
      <c r="D2160" s="41"/>
      <c r="E2160" s="151"/>
      <c r="F2160" s="41"/>
      <c r="G2160" s="69"/>
    </row>
    <row r="2161" spans="1:7" ht="31.5" customHeight="1">
      <c r="A2161" s="447"/>
      <c r="B2161" s="542"/>
      <c r="C2161" s="43"/>
      <c r="D2161" s="42"/>
      <c r="F2161" s="41"/>
      <c r="G2161" s="70"/>
    </row>
    <row r="2162" spans="1:7" ht="31.5" customHeight="1">
      <c r="A2162" s="447"/>
      <c r="B2162" s="542"/>
      <c r="C2162" s="447"/>
      <c r="D2162" s="542"/>
      <c r="E2162" s="542"/>
      <c r="F2162" s="542"/>
      <c r="G2162" s="448"/>
    </row>
    <row r="2163" spans="1:7" ht="31.5" customHeight="1">
      <c r="A2163" s="447"/>
      <c r="B2163" s="542"/>
      <c r="C2163" s="447"/>
      <c r="D2163" s="542"/>
      <c r="E2163" s="542"/>
      <c r="F2163" s="542"/>
      <c r="G2163" s="448"/>
    </row>
    <row r="2164" spans="1:7" ht="31.5" customHeight="1">
      <c r="A2164" s="447"/>
      <c r="B2164" s="542"/>
      <c r="C2164" s="445"/>
      <c r="D2164" s="557"/>
      <c r="E2164" s="557"/>
      <c r="F2164" s="557"/>
      <c r="G2164" s="446"/>
    </row>
    <row r="2165" spans="1:7" ht="31.5" customHeight="1">
      <c r="A2165" s="417"/>
      <c r="B2165" s="417"/>
      <c r="C2165" s="417"/>
      <c r="D2165" s="417"/>
      <c r="E2165" s="417"/>
      <c r="F2165" s="417"/>
      <c r="G2165" s="417"/>
    </row>
    <row r="2166" spans="1:7" ht="31.5" customHeight="1">
      <c r="A2166" s="127"/>
      <c r="B2166" s="127"/>
      <c r="C2166" s="127"/>
      <c r="D2166" s="127"/>
      <c r="E2166" s="127"/>
      <c r="F2166" s="127"/>
      <c r="G2166" s="127"/>
    </row>
    <row r="2167" spans="1:7" ht="31.5" customHeight="1">
      <c r="A2167" s="428"/>
      <c r="B2167" s="425"/>
      <c r="C2167" s="419"/>
      <c r="D2167" s="420"/>
      <c r="E2167" s="420"/>
      <c r="F2167" s="62"/>
      <c r="G2167" s="25"/>
    </row>
    <row r="2168" spans="1:7" ht="31.5" customHeight="1">
      <c r="A2168" s="546"/>
      <c r="B2168" s="62"/>
      <c r="C2168" s="549"/>
      <c r="D2168" s="418"/>
      <c r="E2168" s="418"/>
      <c r="F2168" s="418"/>
      <c r="G2168" s="418"/>
    </row>
    <row r="2169" spans="1:7" ht="31.5" customHeight="1">
      <c r="A2169" s="547"/>
      <c r="B2169" s="18"/>
      <c r="C2169" s="419"/>
      <c r="D2169" s="420"/>
      <c r="E2169" s="420"/>
      <c r="F2169" s="420"/>
      <c r="G2169" s="424"/>
    </row>
    <row r="2170" spans="1:7" ht="31.5" customHeight="1">
      <c r="A2170" s="548"/>
      <c r="B2170" s="62"/>
      <c r="C2170" s="550"/>
      <c r="D2170" s="551"/>
      <c r="E2170" s="551"/>
      <c r="F2170" s="62"/>
      <c r="G2170" s="25"/>
    </row>
    <row r="2171" spans="1:7" ht="31.5" customHeight="1">
      <c r="A2171" s="419"/>
      <c r="B2171" s="420"/>
      <c r="C2171" s="419"/>
      <c r="D2171" s="420"/>
      <c r="E2171" s="420"/>
      <c r="F2171" s="62"/>
      <c r="G2171" s="25"/>
    </row>
    <row r="2172" spans="1:7" ht="31.5" customHeight="1">
      <c r="A2172" s="428"/>
      <c r="B2172" s="429"/>
      <c r="C2172" s="19"/>
      <c r="D2172" s="425"/>
      <c r="E2172" s="425"/>
      <c r="F2172" s="426"/>
      <c r="G2172" s="427"/>
    </row>
    <row r="2173" spans="1:7" ht="31.5" customHeight="1">
      <c r="A2173" s="430"/>
      <c r="B2173" s="431"/>
      <c r="C2173" s="19"/>
      <c r="D2173" s="19"/>
      <c r="E2173" s="68"/>
      <c r="F2173" s="59"/>
      <c r="G2173" s="21"/>
    </row>
    <row r="2174" spans="1:7" ht="31.5" customHeight="1">
      <c r="A2174" s="430"/>
      <c r="B2174" s="431"/>
      <c r="D2174" s="19"/>
      <c r="E2174" s="68"/>
      <c r="F2174" s="60"/>
      <c r="G2174" s="21"/>
    </row>
    <row r="2175" spans="1:7" ht="31.5" customHeight="1">
      <c r="A2175" s="432"/>
      <c r="B2175" s="433"/>
      <c r="C2175" s="20"/>
      <c r="D2175" s="27"/>
      <c r="E2175" s="27"/>
      <c r="G2175" s="150"/>
    </row>
    <row r="2176" spans="1:7" ht="31.5" customHeight="1">
      <c r="A2176" s="447"/>
      <c r="B2176" s="542"/>
      <c r="C2176" s="44"/>
      <c r="D2176" s="41"/>
      <c r="E2176" s="151"/>
      <c r="F2176" s="61"/>
      <c r="G2176" s="69"/>
    </row>
    <row r="2177" spans="1:7" ht="31.5" customHeight="1">
      <c r="A2177" s="447"/>
      <c r="B2177" s="542"/>
      <c r="C2177" s="152"/>
      <c r="D2177" s="42"/>
      <c r="F2177" s="57"/>
      <c r="G2177" s="70"/>
    </row>
    <row r="2178" spans="1:7" ht="31.5" customHeight="1">
      <c r="A2178" s="419"/>
      <c r="B2178" s="420"/>
      <c r="C2178" s="558"/>
      <c r="D2178" s="553"/>
      <c r="E2178" s="553"/>
      <c r="F2178" s="25"/>
      <c r="G2178" s="58"/>
    </row>
    <row r="2179" spans="1:7" ht="31.5" customHeight="1">
      <c r="A2179" s="428"/>
      <c r="B2179" s="425"/>
      <c r="C2179" s="17"/>
      <c r="D2179" s="425"/>
      <c r="E2179" s="425"/>
      <c r="F2179" s="425"/>
      <c r="G2179" s="429"/>
    </row>
    <row r="2180" spans="1:7" ht="31.5" customHeight="1">
      <c r="A2180" s="430"/>
      <c r="B2180" s="559"/>
      <c r="C2180" s="18"/>
      <c r="D2180" s="559"/>
      <c r="E2180" s="559"/>
      <c r="F2180" s="559"/>
      <c r="G2180" s="431"/>
    </row>
    <row r="2181" spans="1:7" ht="31.5" customHeight="1">
      <c r="A2181" s="432"/>
      <c r="B2181" s="562"/>
      <c r="C2181" s="26"/>
      <c r="D2181" s="27"/>
      <c r="E2181" s="153"/>
      <c r="F2181" s="153"/>
      <c r="G2181" s="154"/>
    </row>
    <row r="2182" spans="1:7" ht="31.5" customHeight="1">
      <c r="A2182" s="447"/>
      <c r="B2182" s="542"/>
      <c r="C2182" s="40"/>
      <c r="D2182" s="41"/>
      <c r="E2182" s="151"/>
      <c r="F2182" s="41"/>
      <c r="G2182" s="69"/>
    </row>
    <row r="2183" spans="1:7" ht="31.5" customHeight="1">
      <c r="A2183" s="447"/>
      <c r="B2183" s="542"/>
      <c r="C2183" s="43"/>
      <c r="D2183" s="42"/>
      <c r="F2183" s="41"/>
      <c r="G2183" s="70"/>
    </row>
    <row r="2184" spans="1:7" ht="31.5" customHeight="1">
      <c r="A2184" s="447"/>
      <c r="B2184" s="542"/>
      <c r="C2184" s="447"/>
      <c r="D2184" s="542"/>
      <c r="E2184" s="542"/>
      <c r="F2184" s="542"/>
      <c r="G2184" s="448"/>
    </row>
    <row r="2185" spans="1:7" ht="31.5" customHeight="1">
      <c r="A2185" s="447"/>
      <c r="B2185" s="542"/>
      <c r="C2185" s="447"/>
      <c r="D2185" s="542"/>
      <c r="E2185" s="542"/>
      <c r="F2185" s="542"/>
      <c r="G2185" s="448"/>
    </row>
    <row r="2186" spans="1:7" ht="31.5" customHeight="1">
      <c r="A2186" s="447"/>
      <c r="B2186" s="542"/>
      <c r="C2186" s="445"/>
      <c r="D2186" s="557"/>
      <c r="E2186" s="557"/>
      <c r="F2186" s="557"/>
      <c r="G2186" s="446"/>
    </row>
    <row r="2187" spans="1:7" ht="31.5" customHeight="1">
      <c r="A2187" s="417"/>
      <c r="B2187" s="417"/>
      <c r="C2187" s="417"/>
      <c r="D2187" s="417"/>
      <c r="E2187" s="417"/>
      <c r="F2187" s="417"/>
      <c r="G2187" s="417"/>
    </row>
    <row r="2188" spans="1:7" ht="31.5" customHeight="1">
      <c r="A2188" s="127"/>
      <c r="B2188" s="127"/>
      <c r="C2188" s="127"/>
      <c r="D2188" s="127"/>
      <c r="E2188" s="127"/>
      <c r="F2188" s="127"/>
      <c r="G2188" s="127"/>
    </row>
    <row r="2189" spans="1:7" ht="31.5" customHeight="1">
      <c r="A2189" s="428"/>
      <c r="B2189" s="425"/>
      <c r="C2189" s="419"/>
      <c r="D2189" s="420"/>
      <c r="E2189" s="420"/>
      <c r="F2189" s="62"/>
      <c r="G2189" s="25"/>
    </row>
    <row r="2190" spans="1:7" ht="31.5" customHeight="1">
      <c r="A2190" s="546"/>
      <c r="B2190" s="62"/>
      <c r="C2190" s="418"/>
      <c r="D2190" s="418"/>
      <c r="E2190" s="418"/>
      <c r="F2190" s="418"/>
      <c r="G2190" s="418"/>
    </row>
    <row r="2191" spans="1:7" ht="31.5" customHeight="1">
      <c r="A2191" s="547"/>
      <c r="B2191" s="18"/>
      <c r="C2191" s="419"/>
      <c r="D2191" s="420"/>
      <c r="E2191" s="420"/>
      <c r="F2191" s="420"/>
      <c r="G2191" s="424"/>
    </row>
    <row r="2192" spans="1:7" ht="31.5" customHeight="1">
      <c r="A2192" s="548"/>
      <c r="B2192" s="62"/>
      <c r="C2192" s="550"/>
      <c r="D2192" s="551"/>
      <c r="E2192" s="551"/>
      <c r="F2192" s="62"/>
      <c r="G2192" s="25"/>
    </row>
    <row r="2193" spans="1:7" ht="31.5" customHeight="1">
      <c r="A2193" s="419"/>
      <c r="B2193" s="420"/>
      <c r="C2193" s="419"/>
      <c r="D2193" s="420"/>
      <c r="E2193" s="420"/>
      <c r="F2193" s="62"/>
      <c r="G2193" s="25"/>
    </row>
    <row r="2194" spans="1:7" ht="31.5" customHeight="1">
      <c r="A2194" s="428"/>
      <c r="B2194" s="429"/>
      <c r="C2194" s="19"/>
      <c r="D2194" s="425"/>
      <c r="E2194" s="425"/>
      <c r="F2194" s="426"/>
      <c r="G2194" s="427"/>
    </row>
    <row r="2195" spans="1:7" ht="31.5" customHeight="1">
      <c r="A2195" s="430"/>
      <c r="B2195" s="431"/>
      <c r="C2195" s="19"/>
      <c r="D2195" s="19"/>
      <c r="E2195" s="68"/>
      <c r="F2195" s="59"/>
      <c r="G2195" s="21"/>
    </row>
    <row r="2196" spans="1:7" ht="31.5" customHeight="1">
      <c r="A2196" s="430"/>
      <c r="B2196" s="431"/>
      <c r="D2196" s="19"/>
      <c r="E2196" s="68"/>
      <c r="F2196" s="60"/>
      <c r="G2196" s="21"/>
    </row>
    <row r="2197" spans="1:7" ht="31.5" customHeight="1">
      <c r="A2197" s="432"/>
      <c r="B2197" s="433"/>
      <c r="C2197" s="20"/>
      <c r="D2197" s="27"/>
      <c r="E2197" s="27"/>
      <c r="G2197" s="150"/>
    </row>
    <row r="2198" spans="1:7" ht="31.5" customHeight="1">
      <c r="A2198" s="447"/>
      <c r="B2198" s="542"/>
      <c r="C2198" s="44"/>
      <c r="D2198" s="41"/>
      <c r="E2198" s="151"/>
      <c r="F2198" s="61"/>
      <c r="G2198" s="69"/>
    </row>
    <row r="2199" spans="1:7" ht="31.5" customHeight="1">
      <c r="A2199" s="447"/>
      <c r="B2199" s="542"/>
      <c r="C2199" s="152"/>
      <c r="D2199" s="42"/>
      <c r="F2199" s="57"/>
      <c r="G2199" s="70"/>
    </row>
    <row r="2200" spans="1:7" ht="31.5" customHeight="1">
      <c r="A2200" s="419"/>
      <c r="B2200" s="420"/>
      <c r="C2200" s="558"/>
      <c r="D2200" s="553"/>
      <c r="E2200" s="553"/>
      <c r="F2200" s="25"/>
      <c r="G2200" s="58"/>
    </row>
    <row r="2201" spans="1:7" ht="31.5" customHeight="1">
      <c r="A2201" s="428"/>
      <c r="B2201" s="425"/>
      <c r="C2201" s="17"/>
      <c r="D2201" s="425"/>
      <c r="E2201" s="425"/>
      <c r="F2201" s="425"/>
      <c r="G2201" s="429"/>
    </row>
    <row r="2202" spans="1:7" ht="31.5" customHeight="1">
      <c r="A2202" s="430"/>
      <c r="B2202" s="559"/>
      <c r="C2202" s="18"/>
      <c r="D2202" s="559"/>
      <c r="E2202" s="559"/>
      <c r="F2202" s="559"/>
      <c r="G2202" s="431"/>
    </row>
    <row r="2203" spans="1:7" ht="31.5" customHeight="1">
      <c r="A2203" s="432"/>
      <c r="B2203" s="562"/>
      <c r="C2203" s="26"/>
      <c r="D2203" s="27"/>
      <c r="E2203" s="153"/>
      <c r="F2203" s="153"/>
      <c r="G2203" s="154"/>
    </row>
    <row r="2204" spans="1:7" ht="31.5" customHeight="1">
      <c r="A2204" s="447"/>
      <c r="B2204" s="542"/>
      <c r="C2204" s="40"/>
      <c r="D2204" s="41"/>
      <c r="E2204" s="151"/>
      <c r="F2204" s="41"/>
      <c r="G2204" s="69"/>
    </row>
    <row r="2205" spans="1:7" ht="31.5" customHeight="1">
      <c r="A2205" s="447"/>
      <c r="B2205" s="542"/>
      <c r="C2205" s="43"/>
      <c r="D2205" s="42"/>
      <c r="F2205" s="41"/>
      <c r="G2205" s="70"/>
    </row>
    <row r="2206" spans="1:7" ht="31.5" customHeight="1">
      <c r="A2206" s="447"/>
      <c r="B2206" s="542"/>
      <c r="C2206" s="447"/>
      <c r="D2206" s="542"/>
      <c r="E2206" s="542"/>
      <c r="F2206" s="542"/>
      <c r="G2206" s="448"/>
    </row>
    <row r="2207" spans="1:7" ht="31.5" customHeight="1">
      <c r="A2207" s="447"/>
      <c r="B2207" s="542"/>
      <c r="C2207" s="447"/>
      <c r="D2207" s="542"/>
      <c r="E2207" s="542"/>
      <c r="F2207" s="542"/>
      <c r="G2207" s="448"/>
    </row>
    <row r="2208" spans="1:7" ht="31.5" customHeight="1">
      <c r="A2208" s="447"/>
      <c r="B2208" s="542"/>
      <c r="C2208" s="445"/>
      <c r="D2208" s="557"/>
      <c r="E2208" s="557"/>
      <c r="F2208" s="557"/>
      <c r="G2208" s="446"/>
    </row>
    <row r="2209" spans="1:7" ht="31.5" customHeight="1">
      <c r="A2209" s="417"/>
      <c r="B2209" s="417"/>
      <c r="C2209" s="417"/>
      <c r="D2209" s="417"/>
      <c r="E2209" s="417"/>
      <c r="F2209" s="417"/>
      <c r="G2209" s="417"/>
    </row>
    <row r="2210" spans="1:7" ht="31.5" customHeight="1">
      <c r="A2210" s="127"/>
      <c r="B2210" s="127"/>
      <c r="C2210" s="127"/>
      <c r="D2210" s="127"/>
      <c r="E2210" s="127"/>
      <c r="F2210" s="127"/>
      <c r="G2210" s="127"/>
    </row>
    <row r="2211" spans="1:7" ht="31.5" customHeight="1">
      <c r="A2211" s="428"/>
      <c r="B2211" s="425"/>
      <c r="C2211" s="419"/>
      <c r="D2211" s="420"/>
      <c r="E2211" s="420"/>
      <c r="F2211" s="62"/>
      <c r="G2211" s="25"/>
    </row>
    <row r="2212" spans="1:7" ht="31.5" customHeight="1">
      <c r="A2212" s="546"/>
      <c r="B2212" s="62"/>
      <c r="C2212" s="418"/>
      <c r="D2212" s="418"/>
      <c r="E2212" s="418"/>
      <c r="F2212" s="418"/>
      <c r="G2212" s="418"/>
    </row>
    <row r="2213" spans="1:7" ht="31.5" customHeight="1">
      <c r="A2213" s="547"/>
      <c r="B2213" s="18"/>
      <c r="C2213" s="419"/>
      <c r="D2213" s="420"/>
      <c r="E2213" s="420"/>
      <c r="F2213" s="420"/>
      <c r="G2213" s="424"/>
    </row>
    <row r="2214" spans="1:7" ht="31.5" customHeight="1">
      <c r="A2214" s="548"/>
      <c r="B2214" s="62"/>
      <c r="C2214" s="550"/>
      <c r="D2214" s="551"/>
      <c r="E2214" s="551"/>
      <c r="F2214" s="62"/>
      <c r="G2214" s="25"/>
    </row>
    <row r="2215" spans="1:7" ht="31.5" customHeight="1">
      <c r="A2215" s="419"/>
      <c r="B2215" s="420"/>
      <c r="C2215" s="419"/>
      <c r="D2215" s="420"/>
      <c r="E2215" s="420"/>
      <c r="F2215" s="62"/>
      <c r="G2215" s="25"/>
    </row>
    <row r="2216" spans="1:7" ht="31.5" customHeight="1">
      <c r="A2216" s="428"/>
      <c r="B2216" s="429"/>
      <c r="C2216" s="19"/>
      <c r="D2216" s="425"/>
      <c r="E2216" s="425"/>
      <c r="F2216" s="426"/>
      <c r="G2216" s="427"/>
    </row>
    <row r="2217" spans="1:7" ht="31.5" customHeight="1">
      <c r="A2217" s="430"/>
      <c r="B2217" s="431"/>
      <c r="C2217" s="19"/>
      <c r="D2217" s="19"/>
      <c r="E2217" s="68"/>
      <c r="F2217" s="59"/>
      <c r="G2217" s="21"/>
    </row>
    <row r="2218" spans="1:7" ht="31.5" customHeight="1">
      <c r="A2218" s="430"/>
      <c r="B2218" s="431"/>
      <c r="D2218" s="19"/>
      <c r="E2218" s="68"/>
      <c r="F2218" s="60"/>
      <c r="G2218" s="21"/>
    </row>
    <row r="2219" spans="1:7" ht="31.5" customHeight="1">
      <c r="A2219" s="432"/>
      <c r="B2219" s="433"/>
      <c r="C2219" s="20"/>
      <c r="D2219" s="27"/>
      <c r="E2219" s="27"/>
      <c r="G2219" s="150"/>
    </row>
    <row r="2220" spans="1:7" ht="31.5" customHeight="1">
      <c r="A2220" s="447"/>
      <c r="B2220" s="542"/>
      <c r="C2220" s="44"/>
      <c r="D2220" s="41"/>
      <c r="E2220" s="151"/>
      <c r="F2220" s="61"/>
      <c r="G2220" s="69"/>
    </row>
    <row r="2221" spans="1:7" ht="31.5" customHeight="1">
      <c r="A2221" s="447"/>
      <c r="B2221" s="542"/>
      <c r="C2221" s="152"/>
      <c r="D2221" s="42"/>
      <c r="F2221" s="57"/>
      <c r="G2221" s="70"/>
    </row>
    <row r="2222" spans="1:7" ht="31.5" customHeight="1">
      <c r="A2222" s="419"/>
      <c r="B2222" s="420"/>
      <c r="C2222" s="558"/>
      <c r="D2222" s="553"/>
      <c r="E2222" s="553"/>
      <c r="F2222" s="25"/>
      <c r="G2222" s="58"/>
    </row>
    <row r="2223" spans="1:7" ht="31.5" customHeight="1">
      <c r="A2223" s="428"/>
      <c r="B2223" s="425"/>
      <c r="C2223" s="17"/>
      <c r="D2223" s="425"/>
      <c r="E2223" s="425"/>
      <c r="F2223" s="425"/>
      <c r="G2223" s="429"/>
    </row>
    <row r="2224" spans="1:7" ht="31.5" customHeight="1">
      <c r="A2224" s="430"/>
      <c r="B2224" s="559"/>
      <c r="C2224" s="18"/>
      <c r="D2224" s="559"/>
      <c r="E2224" s="559"/>
      <c r="F2224" s="559"/>
      <c r="G2224" s="431"/>
    </row>
    <row r="2225" spans="1:7" ht="31.5" customHeight="1">
      <c r="A2225" s="432"/>
      <c r="B2225" s="562"/>
      <c r="C2225" s="26"/>
      <c r="D2225" s="27"/>
      <c r="E2225" s="153"/>
      <c r="F2225" s="153"/>
      <c r="G2225" s="154"/>
    </row>
    <row r="2226" spans="1:7" ht="31.5" customHeight="1">
      <c r="A2226" s="447"/>
      <c r="B2226" s="542"/>
      <c r="C2226" s="40"/>
      <c r="D2226" s="41"/>
      <c r="E2226" s="151"/>
      <c r="F2226" s="41"/>
      <c r="G2226" s="69"/>
    </row>
    <row r="2227" spans="1:7" ht="31.5" customHeight="1">
      <c r="A2227" s="447"/>
      <c r="B2227" s="542"/>
      <c r="C2227" s="43"/>
      <c r="D2227" s="42"/>
      <c r="F2227" s="41"/>
      <c r="G2227" s="70"/>
    </row>
    <row r="2228" spans="1:7" ht="31.5" customHeight="1">
      <c r="A2228" s="447"/>
      <c r="B2228" s="542"/>
      <c r="C2228" s="447"/>
      <c r="D2228" s="542"/>
      <c r="E2228" s="542"/>
      <c r="F2228" s="542"/>
      <c r="G2228" s="448"/>
    </row>
    <row r="2229" spans="1:7" ht="31.5" customHeight="1">
      <c r="A2229" s="447"/>
      <c r="B2229" s="542"/>
      <c r="C2229" s="447"/>
      <c r="D2229" s="542"/>
      <c r="E2229" s="542"/>
      <c r="F2229" s="542"/>
      <c r="G2229" s="448"/>
    </row>
    <row r="2230" spans="1:7" ht="31.5" customHeight="1">
      <c r="A2230" s="447"/>
      <c r="B2230" s="542"/>
      <c r="C2230" s="445"/>
      <c r="D2230" s="557"/>
      <c r="E2230" s="557"/>
      <c r="F2230" s="557"/>
      <c r="G2230" s="446"/>
    </row>
    <row r="2231" spans="1:7" ht="31.5" customHeight="1">
      <c r="A2231" s="417"/>
      <c r="B2231" s="417"/>
      <c r="C2231" s="417"/>
      <c r="D2231" s="417"/>
      <c r="E2231" s="417"/>
      <c r="F2231" s="417"/>
      <c r="G2231" s="417"/>
    </row>
    <row r="2232" spans="1:7" ht="31.5" customHeight="1">
      <c r="A2232" s="127"/>
      <c r="B2232" s="127"/>
      <c r="C2232" s="127"/>
      <c r="D2232" s="127"/>
      <c r="E2232" s="127"/>
      <c r="F2232" s="127"/>
      <c r="G2232" s="127"/>
    </row>
    <row r="2233" spans="1:7" ht="31.5" customHeight="1">
      <c r="A2233" s="428"/>
      <c r="B2233" s="425"/>
      <c r="C2233" s="419"/>
      <c r="D2233" s="420"/>
      <c r="E2233" s="420"/>
      <c r="F2233" s="62"/>
      <c r="G2233" s="25"/>
    </row>
    <row r="2234" spans="1:7" ht="31.5" customHeight="1">
      <c r="A2234" s="546"/>
      <c r="B2234" s="62"/>
      <c r="C2234" s="418"/>
      <c r="D2234" s="418"/>
      <c r="E2234" s="418"/>
      <c r="F2234" s="418"/>
      <c r="G2234" s="418"/>
    </row>
    <row r="2235" spans="1:7" ht="31.5" customHeight="1">
      <c r="A2235" s="547"/>
      <c r="B2235" s="18"/>
      <c r="C2235" s="419"/>
      <c r="D2235" s="420"/>
      <c r="E2235" s="420"/>
      <c r="F2235" s="420"/>
      <c r="G2235" s="424"/>
    </row>
    <row r="2236" spans="1:7" ht="31.5" customHeight="1">
      <c r="A2236" s="548"/>
      <c r="B2236" s="62"/>
      <c r="C2236" s="550"/>
      <c r="D2236" s="551"/>
      <c r="E2236" s="551"/>
      <c r="F2236" s="62"/>
      <c r="G2236" s="25"/>
    </row>
    <row r="2237" spans="1:7" ht="31.5" customHeight="1">
      <c r="A2237" s="419"/>
      <c r="B2237" s="420"/>
      <c r="C2237" s="419"/>
      <c r="D2237" s="420"/>
      <c r="E2237" s="420"/>
      <c r="F2237" s="62"/>
      <c r="G2237" s="25"/>
    </row>
    <row r="2238" spans="1:7" ht="31.5" customHeight="1">
      <c r="A2238" s="428"/>
      <c r="B2238" s="429"/>
      <c r="C2238" s="19"/>
      <c r="D2238" s="425"/>
      <c r="E2238" s="425"/>
      <c r="F2238" s="426"/>
      <c r="G2238" s="427"/>
    </row>
    <row r="2239" spans="1:7" ht="31.5" customHeight="1">
      <c r="A2239" s="430"/>
      <c r="B2239" s="431"/>
      <c r="C2239" s="19"/>
      <c r="D2239" s="19"/>
      <c r="E2239" s="68"/>
      <c r="F2239" s="59"/>
      <c r="G2239" s="21"/>
    </row>
    <row r="2240" spans="1:7" ht="31.5" customHeight="1">
      <c r="A2240" s="430"/>
      <c r="B2240" s="431"/>
      <c r="D2240" s="19"/>
      <c r="E2240" s="68"/>
      <c r="F2240" s="60"/>
      <c r="G2240" s="21"/>
    </row>
    <row r="2241" spans="1:7" ht="31.5" customHeight="1">
      <c r="A2241" s="432"/>
      <c r="B2241" s="433"/>
      <c r="C2241" s="20"/>
      <c r="D2241" s="27"/>
      <c r="E2241" s="27"/>
      <c r="G2241" s="150"/>
    </row>
    <row r="2242" spans="1:7" ht="31.5" customHeight="1">
      <c r="A2242" s="447"/>
      <c r="B2242" s="542"/>
      <c r="C2242" s="44"/>
      <c r="D2242" s="41"/>
      <c r="E2242" s="151"/>
      <c r="F2242" s="61"/>
      <c r="G2242" s="69"/>
    </row>
    <row r="2243" spans="1:7" ht="31.5" customHeight="1">
      <c r="A2243" s="447"/>
      <c r="B2243" s="542"/>
      <c r="C2243" s="152"/>
      <c r="D2243" s="42"/>
      <c r="F2243" s="57"/>
      <c r="G2243" s="70"/>
    </row>
    <row r="2244" spans="1:7" ht="31.5" customHeight="1">
      <c r="A2244" s="419"/>
      <c r="B2244" s="420"/>
      <c r="C2244" s="558"/>
      <c r="D2244" s="553"/>
      <c r="E2244" s="553"/>
      <c r="F2244" s="25"/>
      <c r="G2244" s="58"/>
    </row>
    <row r="2245" spans="1:7" ht="31.5" customHeight="1">
      <c r="A2245" s="428"/>
      <c r="B2245" s="425"/>
      <c r="C2245" s="17"/>
      <c r="D2245" s="425"/>
      <c r="E2245" s="425"/>
      <c r="F2245" s="425"/>
      <c r="G2245" s="429"/>
    </row>
    <row r="2246" spans="1:7" ht="31.5" customHeight="1">
      <c r="A2246" s="430"/>
      <c r="B2246" s="559"/>
      <c r="C2246" s="18"/>
      <c r="D2246" s="559"/>
      <c r="E2246" s="559"/>
      <c r="F2246" s="559"/>
      <c r="G2246" s="431"/>
    </row>
    <row r="2247" spans="1:7" ht="31.5" customHeight="1">
      <c r="A2247" s="432"/>
      <c r="B2247" s="562"/>
      <c r="C2247" s="26"/>
      <c r="D2247" s="27"/>
      <c r="E2247" s="153"/>
      <c r="F2247" s="153"/>
      <c r="G2247" s="154"/>
    </row>
    <row r="2248" spans="1:7" ht="31.5" customHeight="1">
      <c r="A2248" s="447"/>
      <c r="B2248" s="542"/>
      <c r="C2248" s="40"/>
      <c r="D2248" s="41"/>
      <c r="E2248" s="151"/>
      <c r="F2248" s="41"/>
      <c r="G2248" s="69"/>
    </row>
    <row r="2249" spans="1:7" ht="31.5" customHeight="1">
      <c r="A2249" s="447"/>
      <c r="B2249" s="542"/>
      <c r="C2249" s="43"/>
      <c r="D2249" s="42"/>
      <c r="F2249" s="41"/>
      <c r="G2249" s="70"/>
    </row>
    <row r="2250" spans="1:7" ht="31.5" customHeight="1">
      <c r="A2250" s="447"/>
      <c r="B2250" s="542"/>
      <c r="C2250" s="447"/>
      <c r="D2250" s="542"/>
      <c r="E2250" s="542"/>
      <c r="F2250" s="542"/>
      <c r="G2250" s="448"/>
    </row>
    <row r="2251" spans="1:7" ht="31.5" customHeight="1">
      <c r="A2251" s="447"/>
      <c r="B2251" s="542"/>
      <c r="C2251" s="447"/>
      <c r="D2251" s="542"/>
      <c r="E2251" s="542"/>
      <c r="F2251" s="542"/>
      <c r="G2251" s="448"/>
    </row>
    <row r="2252" spans="1:7" ht="31.5" customHeight="1">
      <c r="A2252" s="447"/>
      <c r="B2252" s="542"/>
      <c r="C2252" s="445"/>
      <c r="D2252" s="557"/>
      <c r="E2252" s="557"/>
      <c r="F2252" s="557"/>
      <c r="G2252" s="446"/>
    </row>
  </sheetData>
  <mergeCells count="2754">
    <mergeCell ref="A40:B40"/>
    <mergeCell ref="C40:E40"/>
    <mergeCell ref="A41:B44"/>
    <mergeCell ref="D41:E41"/>
    <mergeCell ref="F41:G41"/>
    <mergeCell ref="A45:B45"/>
    <mergeCell ref="A46:B46"/>
    <mergeCell ref="A47:B47"/>
    <mergeCell ref="C47:G47"/>
    <mergeCell ref="A56:B56"/>
    <mergeCell ref="C56:E56"/>
    <mergeCell ref="A57:B60"/>
    <mergeCell ref="D57:E57"/>
    <mergeCell ref="F57:G57"/>
    <mergeCell ref="A61:B61"/>
    <mergeCell ref="A62:B62"/>
    <mergeCell ref="A63:B63"/>
    <mergeCell ref="C63:G63"/>
    <mergeCell ref="A48:B48"/>
    <mergeCell ref="C48:E48"/>
    <mergeCell ref="A49:B52"/>
    <mergeCell ref="D49:E49"/>
    <mergeCell ref="F49:G49"/>
    <mergeCell ref="A53:B53"/>
    <mergeCell ref="A54:B54"/>
    <mergeCell ref="A55:B55"/>
    <mergeCell ref="C55:G55"/>
    <mergeCell ref="A38:B38"/>
    <mergeCell ref="A39:B39"/>
    <mergeCell ref="A15:B15"/>
    <mergeCell ref="C15:G15"/>
    <mergeCell ref="A24:B24"/>
    <mergeCell ref="C24:E24"/>
    <mergeCell ref="A25:B28"/>
    <mergeCell ref="D25:E25"/>
    <mergeCell ref="F25:G25"/>
    <mergeCell ref="A29:B29"/>
    <mergeCell ref="A30:B30"/>
    <mergeCell ref="A31:B31"/>
    <mergeCell ref="C31:G31"/>
    <mergeCell ref="A32:B32"/>
    <mergeCell ref="C32:E32"/>
    <mergeCell ref="A33:B36"/>
    <mergeCell ref="D33:E33"/>
    <mergeCell ref="F33:G33"/>
    <mergeCell ref="A37:B37"/>
    <mergeCell ref="C39:G39"/>
    <mergeCell ref="A21:B21"/>
    <mergeCell ref="A22:B22"/>
    <mergeCell ref="A17:B20"/>
    <mergeCell ref="D17:G17"/>
    <mergeCell ref="A1436:B1436"/>
    <mergeCell ref="C1436:G1436"/>
    <mergeCell ref="A1437:B1437"/>
    <mergeCell ref="C1437:G1437"/>
    <mergeCell ref="A1438:B1438"/>
    <mergeCell ref="C1438:G1438"/>
    <mergeCell ref="A1508:A1510"/>
    <mergeCell ref="C1508:G1508"/>
    <mergeCell ref="D80:E80"/>
    <mergeCell ref="F80:G80"/>
    <mergeCell ref="C79:E79"/>
    <mergeCell ref="C153:E153"/>
    <mergeCell ref="D154:E154"/>
    <mergeCell ref="F154:G154"/>
    <mergeCell ref="C146:E146"/>
    <mergeCell ref="D147:E147"/>
    <mergeCell ref="F147:G147"/>
    <mergeCell ref="A147:B150"/>
    <mergeCell ref="A1435:B1435"/>
    <mergeCell ref="A1420:A1422"/>
    <mergeCell ref="C1420:G1420"/>
    <mergeCell ref="C1421:G1421"/>
    <mergeCell ref="C1422:E1422"/>
    <mergeCell ref="A1423:B1423"/>
    <mergeCell ref="C1423:E1423"/>
    <mergeCell ref="A1424:B1427"/>
    <mergeCell ref="D1424:E1424"/>
    <mergeCell ref="F1424:G1424"/>
    <mergeCell ref="C1509:G1509"/>
    <mergeCell ref="C1510:E1510"/>
    <mergeCell ref="A1505:G1505"/>
    <mergeCell ref="A1507:B1507"/>
    <mergeCell ref="C1507:E1507"/>
    <mergeCell ref="A1414:B1414"/>
    <mergeCell ref="C1414:G1414"/>
    <mergeCell ref="A1415:B1415"/>
    <mergeCell ref="C1415:G1415"/>
    <mergeCell ref="A1416:B1416"/>
    <mergeCell ref="C1416:G1416"/>
    <mergeCell ref="A1417:G1417"/>
    <mergeCell ref="A1419:B1419"/>
    <mergeCell ref="C1419:E1419"/>
    <mergeCell ref="A1428:B1428"/>
    <mergeCell ref="A1429:B1429"/>
    <mergeCell ref="A1430:B1430"/>
    <mergeCell ref="C1430:E1430"/>
    <mergeCell ref="A1431:B1433"/>
    <mergeCell ref="D1431:G1431"/>
    <mergeCell ref="D1432:G1432"/>
    <mergeCell ref="A1434:B1434"/>
    <mergeCell ref="A1502:B1502"/>
    <mergeCell ref="C1502:G1502"/>
    <mergeCell ref="A1503:B1503"/>
    <mergeCell ref="C1503:G1503"/>
    <mergeCell ref="A1504:B1504"/>
    <mergeCell ref="C1504:G1504"/>
    <mergeCell ref="A1494:B1494"/>
    <mergeCell ref="A1495:B1495"/>
    <mergeCell ref="A1496:B1496"/>
    <mergeCell ref="C1496:E1496"/>
    <mergeCell ref="A1489:B1489"/>
    <mergeCell ref="C1489:E1489"/>
    <mergeCell ref="A1490:B1493"/>
    <mergeCell ref="D1490:E1490"/>
    <mergeCell ref="A1407:B1407"/>
    <mergeCell ref="A1408:B1408"/>
    <mergeCell ref="C1408:E1408"/>
    <mergeCell ref="A1409:B1411"/>
    <mergeCell ref="D1409:G1409"/>
    <mergeCell ref="D1411:G1411"/>
    <mergeCell ref="A1412:B1412"/>
    <mergeCell ref="A1413:B1413"/>
    <mergeCell ref="A1398:A1400"/>
    <mergeCell ref="C1398:G1398"/>
    <mergeCell ref="C1399:G1399"/>
    <mergeCell ref="C1400:E1400"/>
    <mergeCell ref="A1401:B1401"/>
    <mergeCell ref="C1401:E1401"/>
    <mergeCell ref="A1402:B1405"/>
    <mergeCell ref="D1402:E1402"/>
    <mergeCell ref="F1402:G1402"/>
    <mergeCell ref="A1386:B1386"/>
    <mergeCell ref="C1386:E1386"/>
    <mergeCell ref="A1387:B1389"/>
    <mergeCell ref="D1387:G1387"/>
    <mergeCell ref="D1388:G1388"/>
    <mergeCell ref="A1390:B1390"/>
    <mergeCell ref="A1391:B1391"/>
    <mergeCell ref="A1392:B1392"/>
    <mergeCell ref="C1392:G1392"/>
    <mergeCell ref="A1393:B1393"/>
    <mergeCell ref="C1393:G1393"/>
    <mergeCell ref="A1394:B1394"/>
    <mergeCell ref="C1394:G1394"/>
    <mergeCell ref="A1395:G1395"/>
    <mergeCell ref="A1397:B1397"/>
    <mergeCell ref="C1397:E1397"/>
    <mergeCell ref="A1406:B1406"/>
    <mergeCell ref="A1370:B1370"/>
    <mergeCell ref="C1370:G1370"/>
    <mergeCell ref="A1371:B1371"/>
    <mergeCell ref="C1371:G1371"/>
    <mergeCell ref="A1372:B1372"/>
    <mergeCell ref="C1372:G1372"/>
    <mergeCell ref="A1373:G1373"/>
    <mergeCell ref="A1375:B1375"/>
    <mergeCell ref="C1375:E1375"/>
    <mergeCell ref="A1384:B1384"/>
    <mergeCell ref="A1385:B1385"/>
    <mergeCell ref="A1376:A1378"/>
    <mergeCell ref="C1376:G1376"/>
    <mergeCell ref="C1377:G1377"/>
    <mergeCell ref="C1378:E1378"/>
    <mergeCell ref="A1379:B1379"/>
    <mergeCell ref="C1379:E1379"/>
    <mergeCell ref="A1380:B1383"/>
    <mergeCell ref="D1380:E1380"/>
    <mergeCell ref="F1380:G1380"/>
    <mergeCell ref="A1353:B1353"/>
    <mergeCell ref="C1353:E1353"/>
    <mergeCell ref="A1362:B1362"/>
    <mergeCell ref="A1363:B1363"/>
    <mergeCell ref="A1364:B1364"/>
    <mergeCell ref="C1364:E1364"/>
    <mergeCell ref="A1365:B1367"/>
    <mergeCell ref="D1365:G1365"/>
    <mergeCell ref="D1366:G1366"/>
    <mergeCell ref="A1368:B1368"/>
    <mergeCell ref="A1369:B1369"/>
    <mergeCell ref="A1354:A1356"/>
    <mergeCell ref="C1354:G1354"/>
    <mergeCell ref="C1355:G1355"/>
    <mergeCell ref="C1356:E1356"/>
    <mergeCell ref="A1357:B1357"/>
    <mergeCell ref="C1357:E1357"/>
    <mergeCell ref="A1358:B1361"/>
    <mergeCell ref="D1358:E1358"/>
    <mergeCell ref="F1358:G1358"/>
    <mergeCell ref="A1347:B1347"/>
    <mergeCell ref="A1332:A1334"/>
    <mergeCell ref="C1332:G1332"/>
    <mergeCell ref="C1333:G1333"/>
    <mergeCell ref="C1334:E1334"/>
    <mergeCell ref="A1335:B1335"/>
    <mergeCell ref="C1335:E1335"/>
    <mergeCell ref="A1336:B1339"/>
    <mergeCell ref="D1336:E1336"/>
    <mergeCell ref="F1336:G1336"/>
    <mergeCell ref="A1348:B1348"/>
    <mergeCell ref="C1348:G1348"/>
    <mergeCell ref="A1349:B1349"/>
    <mergeCell ref="C1349:G1349"/>
    <mergeCell ref="A1350:B1350"/>
    <mergeCell ref="C1350:G1350"/>
    <mergeCell ref="A1351:G1351"/>
    <mergeCell ref="A1326:B1326"/>
    <mergeCell ref="C1326:G1326"/>
    <mergeCell ref="A1328:B1328"/>
    <mergeCell ref="C1328:G1328"/>
    <mergeCell ref="A1327:B1327"/>
    <mergeCell ref="C1327:G1327"/>
    <mergeCell ref="A1329:G1329"/>
    <mergeCell ref="A1331:B1331"/>
    <mergeCell ref="C1331:E1331"/>
    <mergeCell ref="A1340:B1340"/>
    <mergeCell ref="A1341:B1341"/>
    <mergeCell ref="A1342:B1342"/>
    <mergeCell ref="C1342:E1342"/>
    <mergeCell ref="A1343:B1345"/>
    <mergeCell ref="D1343:G1343"/>
    <mergeCell ref="D1344:G1344"/>
    <mergeCell ref="A1346:B1346"/>
    <mergeCell ref="A1318:B1318"/>
    <mergeCell ref="A1319:B1319"/>
    <mergeCell ref="A1320:B1320"/>
    <mergeCell ref="C1320:E1320"/>
    <mergeCell ref="A1321:B1323"/>
    <mergeCell ref="D1321:G1321"/>
    <mergeCell ref="D1322:G1322"/>
    <mergeCell ref="A1324:B1324"/>
    <mergeCell ref="A1325:B1325"/>
    <mergeCell ref="A1310:A1312"/>
    <mergeCell ref="C1310:G1310"/>
    <mergeCell ref="C1311:G1311"/>
    <mergeCell ref="C1312:E1312"/>
    <mergeCell ref="A1313:B1313"/>
    <mergeCell ref="C1313:E1313"/>
    <mergeCell ref="A1314:B1317"/>
    <mergeCell ref="D1314:E1314"/>
    <mergeCell ref="F1314:G1314"/>
    <mergeCell ref="A1304:B1304"/>
    <mergeCell ref="C1304:G1304"/>
    <mergeCell ref="A1305:B1305"/>
    <mergeCell ref="C1305:G1305"/>
    <mergeCell ref="A1306:B1306"/>
    <mergeCell ref="C1306:G1306"/>
    <mergeCell ref="A1296:B1296"/>
    <mergeCell ref="A1297:B1297"/>
    <mergeCell ref="A1298:B1298"/>
    <mergeCell ref="C1298:E1298"/>
    <mergeCell ref="A1299:B1301"/>
    <mergeCell ref="D1299:G1299"/>
    <mergeCell ref="D1301:G1301"/>
    <mergeCell ref="A1302:B1302"/>
    <mergeCell ref="A1303:B1303"/>
    <mergeCell ref="A1307:G1307"/>
    <mergeCell ref="A1309:B1309"/>
    <mergeCell ref="C1309:E1309"/>
    <mergeCell ref="A1282:B1282"/>
    <mergeCell ref="C1282:G1282"/>
    <mergeCell ref="A1283:B1283"/>
    <mergeCell ref="C1283:G1283"/>
    <mergeCell ref="A1284:B1284"/>
    <mergeCell ref="C1284:G1284"/>
    <mergeCell ref="A1288:A1290"/>
    <mergeCell ref="C1288:G1288"/>
    <mergeCell ref="C1289:G1289"/>
    <mergeCell ref="C1290:E1290"/>
    <mergeCell ref="A1291:B1291"/>
    <mergeCell ref="C1291:E1291"/>
    <mergeCell ref="A1292:B1295"/>
    <mergeCell ref="D1292:E1292"/>
    <mergeCell ref="F1292:G1292"/>
    <mergeCell ref="A1285:G1285"/>
    <mergeCell ref="A1287:B1287"/>
    <mergeCell ref="C1287:E1287"/>
    <mergeCell ref="A1263:G1263"/>
    <mergeCell ref="A1265:B1265"/>
    <mergeCell ref="C1265:E1265"/>
    <mergeCell ref="A1274:B1274"/>
    <mergeCell ref="A1275:B1275"/>
    <mergeCell ref="A1276:B1276"/>
    <mergeCell ref="C1276:E1276"/>
    <mergeCell ref="A1277:B1279"/>
    <mergeCell ref="D1277:G1277"/>
    <mergeCell ref="D1278:G1278"/>
    <mergeCell ref="A1280:B1280"/>
    <mergeCell ref="A1281:B1281"/>
    <mergeCell ref="A1266:A1268"/>
    <mergeCell ref="C1266:G1266"/>
    <mergeCell ref="C1267:G1267"/>
    <mergeCell ref="C1268:E1268"/>
    <mergeCell ref="A1269:B1269"/>
    <mergeCell ref="C1269:E1269"/>
    <mergeCell ref="A1270:B1273"/>
    <mergeCell ref="D1270:E1270"/>
    <mergeCell ref="F1270:G1270"/>
    <mergeCell ref="A1247:B1247"/>
    <mergeCell ref="C1247:E1247"/>
    <mergeCell ref="A1248:B1251"/>
    <mergeCell ref="D1248:E1248"/>
    <mergeCell ref="F1248:G1248"/>
    <mergeCell ref="A1241:G1241"/>
    <mergeCell ref="A1243:B1243"/>
    <mergeCell ref="C1243:E1243"/>
    <mergeCell ref="A1260:B1260"/>
    <mergeCell ref="C1260:G1260"/>
    <mergeCell ref="A1261:B1261"/>
    <mergeCell ref="C1261:G1261"/>
    <mergeCell ref="A1262:B1262"/>
    <mergeCell ref="C1262:G1262"/>
    <mergeCell ref="A1252:B1252"/>
    <mergeCell ref="A1253:B1253"/>
    <mergeCell ref="A1254:B1254"/>
    <mergeCell ref="C1254:E1254"/>
    <mergeCell ref="A1255:B1257"/>
    <mergeCell ref="D1255:G1255"/>
    <mergeCell ref="D1256:G1256"/>
    <mergeCell ref="A1258:B1258"/>
    <mergeCell ref="A1259:B1259"/>
    <mergeCell ref="A1237:B1237"/>
    <mergeCell ref="A1222:A1224"/>
    <mergeCell ref="C1222:G1222"/>
    <mergeCell ref="C1223:G1223"/>
    <mergeCell ref="C1224:E1224"/>
    <mergeCell ref="A1225:B1225"/>
    <mergeCell ref="C1225:E1225"/>
    <mergeCell ref="A1226:B1229"/>
    <mergeCell ref="D1226:E1226"/>
    <mergeCell ref="F1226:G1226"/>
    <mergeCell ref="A1238:B1238"/>
    <mergeCell ref="C1238:G1238"/>
    <mergeCell ref="A1239:B1239"/>
    <mergeCell ref="C1239:G1239"/>
    <mergeCell ref="A1240:B1240"/>
    <mergeCell ref="C1240:G1240"/>
    <mergeCell ref="A1244:A1246"/>
    <mergeCell ref="C1244:G1244"/>
    <mergeCell ref="C1245:G1245"/>
    <mergeCell ref="C1246:E1246"/>
    <mergeCell ref="A1216:B1216"/>
    <mergeCell ref="C1216:G1216"/>
    <mergeCell ref="A1217:B1217"/>
    <mergeCell ref="C1217:G1217"/>
    <mergeCell ref="A1218:B1218"/>
    <mergeCell ref="C1218:G1218"/>
    <mergeCell ref="A1219:G1219"/>
    <mergeCell ref="A1221:B1221"/>
    <mergeCell ref="C1221:E1221"/>
    <mergeCell ref="A1230:B1230"/>
    <mergeCell ref="A1231:B1231"/>
    <mergeCell ref="A1232:B1232"/>
    <mergeCell ref="C1232:E1232"/>
    <mergeCell ref="A1233:B1235"/>
    <mergeCell ref="D1233:G1233"/>
    <mergeCell ref="D1234:G1234"/>
    <mergeCell ref="A1236:B1236"/>
    <mergeCell ref="A1197:G1197"/>
    <mergeCell ref="A1199:B1199"/>
    <mergeCell ref="C1199:E1199"/>
    <mergeCell ref="A1208:B1208"/>
    <mergeCell ref="A1209:B1209"/>
    <mergeCell ref="A1210:B1210"/>
    <mergeCell ref="C1210:E1210"/>
    <mergeCell ref="A1211:B1213"/>
    <mergeCell ref="D1211:G1211"/>
    <mergeCell ref="D1212:G1212"/>
    <mergeCell ref="A1214:B1214"/>
    <mergeCell ref="A1215:B1215"/>
    <mergeCell ref="A1200:A1202"/>
    <mergeCell ref="C1200:G1200"/>
    <mergeCell ref="C1201:G1201"/>
    <mergeCell ref="C1202:E1202"/>
    <mergeCell ref="A1203:B1203"/>
    <mergeCell ref="C1203:E1203"/>
    <mergeCell ref="A1204:B1207"/>
    <mergeCell ref="D1204:E1204"/>
    <mergeCell ref="F1204:G1204"/>
    <mergeCell ref="A1181:B1181"/>
    <mergeCell ref="C1181:E1181"/>
    <mergeCell ref="A1182:B1185"/>
    <mergeCell ref="D1182:E1182"/>
    <mergeCell ref="F1182:G1182"/>
    <mergeCell ref="A1175:G1175"/>
    <mergeCell ref="A1177:B1177"/>
    <mergeCell ref="C1177:E1177"/>
    <mergeCell ref="A1194:B1194"/>
    <mergeCell ref="C1194:G1194"/>
    <mergeCell ref="A1195:B1195"/>
    <mergeCell ref="C1195:G1195"/>
    <mergeCell ref="A1196:B1196"/>
    <mergeCell ref="C1196:G1196"/>
    <mergeCell ref="A1186:B1186"/>
    <mergeCell ref="A1187:B1187"/>
    <mergeCell ref="A1188:B1188"/>
    <mergeCell ref="C1188:E1188"/>
    <mergeCell ref="A1189:B1191"/>
    <mergeCell ref="D1189:G1189"/>
    <mergeCell ref="D1190:G1190"/>
    <mergeCell ref="A1192:B1192"/>
    <mergeCell ref="A1193:B1193"/>
    <mergeCell ref="A1171:B1171"/>
    <mergeCell ref="A1156:A1158"/>
    <mergeCell ref="C1156:G1156"/>
    <mergeCell ref="C1157:G1157"/>
    <mergeCell ref="C1158:E1158"/>
    <mergeCell ref="A1159:B1159"/>
    <mergeCell ref="C1159:E1159"/>
    <mergeCell ref="A1160:B1163"/>
    <mergeCell ref="D1160:E1160"/>
    <mergeCell ref="F1160:G1160"/>
    <mergeCell ref="A1172:B1172"/>
    <mergeCell ref="C1172:G1172"/>
    <mergeCell ref="A1173:B1173"/>
    <mergeCell ref="C1173:G1173"/>
    <mergeCell ref="A1174:B1174"/>
    <mergeCell ref="C1174:G1174"/>
    <mergeCell ref="A1178:A1180"/>
    <mergeCell ref="C1178:G1178"/>
    <mergeCell ref="C1179:G1179"/>
    <mergeCell ref="C1180:E1180"/>
    <mergeCell ref="A1150:B1150"/>
    <mergeCell ref="C1150:G1150"/>
    <mergeCell ref="A1151:B1151"/>
    <mergeCell ref="C1151:G1151"/>
    <mergeCell ref="A1152:B1152"/>
    <mergeCell ref="C1152:G1152"/>
    <mergeCell ref="A1153:G1153"/>
    <mergeCell ref="A1155:B1155"/>
    <mergeCell ref="C1155:E1155"/>
    <mergeCell ref="A1164:B1164"/>
    <mergeCell ref="A1165:B1165"/>
    <mergeCell ref="A1166:B1166"/>
    <mergeCell ref="C1166:E1166"/>
    <mergeCell ref="A1167:B1169"/>
    <mergeCell ref="D1167:G1167"/>
    <mergeCell ref="D1168:G1168"/>
    <mergeCell ref="A1170:B1170"/>
    <mergeCell ref="A1142:B1142"/>
    <mergeCell ref="A1143:B1143"/>
    <mergeCell ref="A1144:B1144"/>
    <mergeCell ref="C1144:E1144"/>
    <mergeCell ref="A1145:B1147"/>
    <mergeCell ref="D1145:G1145"/>
    <mergeCell ref="D1146:G1146"/>
    <mergeCell ref="A1148:B1148"/>
    <mergeCell ref="A1149:B1149"/>
    <mergeCell ref="A1134:A1136"/>
    <mergeCell ref="C1134:G1134"/>
    <mergeCell ref="C1135:G1135"/>
    <mergeCell ref="C1136:E1136"/>
    <mergeCell ref="A1137:B1137"/>
    <mergeCell ref="C1137:E1137"/>
    <mergeCell ref="A1138:B1141"/>
    <mergeCell ref="D1138:E1138"/>
    <mergeCell ref="F1138:G1138"/>
    <mergeCell ref="A1128:B1128"/>
    <mergeCell ref="C1128:G1128"/>
    <mergeCell ref="A1129:B1129"/>
    <mergeCell ref="C1129:G1129"/>
    <mergeCell ref="A1130:B1130"/>
    <mergeCell ref="C1130:G1130"/>
    <mergeCell ref="A1120:B1120"/>
    <mergeCell ref="A1121:B1121"/>
    <mergeCell ref="A1122:B1122"/>
    <mergeCell ref="C1122:E1122"/>
    <mergeCell ref="A1123:B1125"/>
    <mergeCell ref="D1123:G1123"/>
    <mergeCell ref="D1124:G1124"/>
    <mergeCell ref="A1126:B1126"/>
    <mergeCell ref="A1127:B1127"/>
    <mergeCell ref="A1131:G1131"/>
    <mergeCell ref="A1133:B1133"/>
    <mergeCell ref="C1133:E1133"/>
    <mergeCell ref="A1108:B1108"/>
    <mergeCell ref="C1108:G1108"/>
    <mergeCell ref="D1101:G1101"/>
    <mergeCell ref="D1102:G1102"/>
    <mergeCell ref="A1106:B1106"/>
    <mergeCell ref="C1106:G1106"/>
    <mergeCell ref="A1112:A1114"/>
    <mergeCell ref="C1112:G1112"/>
    <mergeCell ref="C1113:G1113"/>
    <mergeCell ref="C1114:E1114"/>
    <mergeCell ref="A1115:B1115"/>
    <mergeCell ref="C1115:E1115"/>
    <mergeCell ref="A1116:B1119"/>
    <mergeCell ref="D1116:E1116"/>
    <mergeCell ref="F1116:G1116"/>
    <mergeCell ref="A1109:G1109"/>
    <mergeCell ref="A1111:B1111"/>
    <mergeCell ref="C1111:E1111"/>
    <mergeCell ref="A1107:B1107"/>
    <mergeCell ref="C1107:G1107"/>
    <mergeCell ref="A1104:B1104"/>
    <mergeCell ref="A1105:B1105"/>
    <mergeCell ref="A1093:B1093"/>
    <mergeCell ref="C1093:E1093"/>
    <mergeCell ref="D1094:E1094"/>
    <mergeCell ref="F1094:G1094"/>
    <mergeCell ref="A1089:B1089"/>
    <mergeCell ref="C1089:E1089"/>
    <mergeCell ref="A1098:B1098"/>
    <mergeCell ref="A1094:B1097"/>
    <mergeCell ref="A1087:G1087"/>
    <mergeCell ref="A1090:A1092"/>
    <mergeCell ref="C1090:G1090"/>
    <mergeCell ref="C1091:G1091"/>
    <mergeCell ref="C1092:E1092"/>
    <mergeCell ref="A1099:B1099"/>
    <mergeCell ref="A1100:B1100"/>
    <mergeCell ref="C1100:E1100"/>
    <mergeCell ref="A1101:B1103"/>
    <mergeCell ref="A1071:B1071"/>
    <mergeCell ref="C1071:E1071"/>
    <mergeCell ref="A1072:B1075"/>
    <mergeCell ref="D1072:E1072"/>
    <mergeCell ref="F1072:G1072"/>
    <mergeCell ref="A1065:G1065"/>
    <mergeCell ref="A1067:B1067"/>
    <mergeCell ref="C1067:E1067"/>
    <mergeCell ref="A1084:B1084"/>
    <mergeCell ref="C1084:G1084"/>
    <mergeCell ref="A1085:B1085"/>
    <mergeCell ref="C1085:G1085"/>
    <mergeCell ref="A1086:B1086"/>
    <mergeCell ref="C1086:G1086"/>
    <mergeCell ref="A1076:B1076"/>
    <mergeCell ref="A1077:B1077"/>
    <mergeCell ref="A1078:B1078"/>
    <mergeCell ref="C1078:E1078"/>
    <mergeCell ref="A1079:B1081"/>
    <mergeCell ref="D1079:G1079"/>
    <mergeCell ref="D1080:G1080"/>
    <mergeCell ref="A1082:B1082"/>
    <mergeCell ref="A1083:B1083"/>
    <mergeCell ref="A1068:A1070"/>
    <mergeCell ref="C1068:G1068"/>
    <mergeCell ref="C1069:G1069"/>
    <mergeCell ref="C1070:E1070"/>
    <mergeCell ref="A1062:B1062"/>
    <mergeCell ref="C1062:G1062"/>
    <mergeCell ref="A1063:B1063"/>
    <mergeCell ref="C1063:G1063"/>
    <mergeCell ref="A1064:B1064"/>
    <mergeCell ref="C1064:G1064"/>
    <mergeCell ref="A1043:G1043"/>
    <mergeCell ref="A1045:B1045"/>
    <mergeCell ref="C1045:E1045"/>
    <mergeCell ref="A1054:B1054"/>
    <mergeCell ref="A1055:B1055"/>
    <mergeCell ref="A1056:B1056"/>
    <mergeCell ref="C1056:E1056"/>
    <mergeCell ref="A1057:B1059"/>
    <mergeCell ref="D1057:G1057"/>
    <mergeCell ref="D1058:G1058"/>
    <mergeCell ref="A1060:B1060"/>
    <mergeCell ref="A1061:B1061"/>
    <mergeCell ref="A1046:A1048"/>
    <mergeCell ref="C1046:G1046"/>
    <mergeCell ref="C1047:G1047"/>
    <mergeCell ref="C1048:E1048"/>
    <mergeCell ref="A1049:B1049"/>
    <mergeCell ref="C1049:E1049"/>
    <mergeCell ref="A1050:B1053"/>
    <mergeCell ref="D1050:E1050"/>
    <mergeCell ref="F1050:G1050"/>
    <mergeCell ref="A1027:B1027"/>
    <mergeCell ref="C1027:E1027"/>
    <mergeCell ref="A1028:B1031"/>
    <mergeCell ref="D1028:E1028"/>
    <mergeCell ref="F1028:G1028"/>
    <mergeCell ref="A1021:G1021"/>
    <mergeCell ref="A1023:B1023"/>
    <mergeCell ref="C1023:E1023"/>
    <mergeCell ref="A1040:B1040"/>
    <mergeCell ref="C1040:G1040"/>
    <mergeCell ref="A1041:B1041"/>
    <mergeCell ref="C1041:G1041"/>
    <mergeCell ref="A1042:B1042"/>
    <mergeCell ref="C1042:G1042"/>
    <mergeCell ref="A1032:B1032"/>
    <mergeCell ref="A1033:B1033"/>
    <mergeCell ref="A1034:B1034"/>
    <mergeCell ref="C1034:E1034"/>
    <mergeCell ref="A1035:B1037"/>
    <mergeCell ref="D1035:G1035"/>
    <mergeCell ref="D1036:G1036"/>
    <mergeCell ref="A1038:B1038"/>
    <mergeCell ref="A1039:B1039"/>
    <mergeCell ref="A1017:B1017"/>
    <mergeCell ref="A1002:A1004"/>
    <mergeCell ref="C1002:G1002"/>
    <mergeCell ref="C1003:G1003"/>
    <mergeCell ref="C1004:E1004"/>
    <mergeCell ref="A1005:B1005"/>
    <mergeCell ref="C1005:E1005"/>
    <mergeCell ref="A1006:B1009"/>
    <mergeCell ref="D1006:E1006"/>
    <mergeCell ref="F1006:G1006"/>
    <mergeCell ref="A1018:B1018"/>
    <mergeCell ref="C1018:G1018"/>
    <mergeCell ref="A1019:B1019"/>
    <mergeCell ref="C1019:G1019"/>
    <mergeCell ref="A1020:B1020"/>
    <mergeCell ref="C1020:G1020"/>
    <mergeCell ref="A1024:A1026"/>
    <mergeCell ref="C1024:G1024"/>
    <mergeCell ref="C1025:G1025"/>
    <mergeCell ref="C1026:E1026"/>
    <mergeCell ref="A974:B974"/>
    <mergeCell ref="C974:G974"/>
    <mergeCell ref="A975:B975"/>
    <mergeCell ref="C975:G975"/>
    <mergeCell ref="A976:B976"/>
    <mergeCell ref="C976:G976"/>
    <mergeCell ref="A999:G999"/>
    <mergeCell ref="A1001:B1001"/>
    <mergeCell ref="C1001:E1001"/>
    <mergeCell ref="A1010:B1010"/>
    <mergeCell ref="A1011:B1011"/>
    <mergeCell ref="A1012:B1012"/>
    <mergeCell ref="C1012:E1012"/>
    <mergeCell ref="A1013:B1015"/>
    <mergeCell ref="D1013:G1013"/>
    <mergeCell ref="D1014:G1014"/>
    <mergeCell ref="A1016:B1016"/>
    <mergeCell ref="A996:B996"/>
    <mergeCell ref="C996:G996"/>
    <mergeCell ref="A997:B997"/>
    <mergeCell ref="C997:G997"/>
    <mergeCell ref="A998:B998"/>
    <mergeCell ref="C998:G998"/>
    <mergeCell ref="A988:B988"/>
    <mergeCell ref="A989:B989"/>
    <mergeCell ref="A990:B990"/>
    <mergeCell ref="C990:E990"/>
    <mergeCell ref="A991:B993"/>
    <mergeCell ref="D991:G991"/>
    <mergeCell ref="D992:G992"/>
    <mergeCell ref="A994:B994"/>
    <mergeCell ref="A995:B995"/>
    <mergeCell ref="A952:B952"/>
    <mergeCell ref="C952:G952"/>
    <mergeCell ref="A953:B953"/>
    <mergeCell ref="C953:G953"/>
    <mergeCell ref="A954:B954"/>
    <mergeCell ref="C954:G954"/>
    <mergeCell ref="A966:B966"/>
    <mergeCell ref="A967:B967"/>
    <mergeCell ref="A968:B968"/>
    <mergeCell ref="C968:E968"/>
    <mergeCell ref="A969:B971"/>
    <mergeCell ref="D969:G969"/>
    <mergeCell ref="D970:G970"/>
    <mergeCell ref="A972:B972"/>
    <mergeCell ref="A973:B973"/>
    <mergeCell ref="A958:A960"/>
    <mergeCell ref="C958:G958"/>
    <mergeCell ref="C959:G959"/>
    <mergeCell ref="C960:E960"/>
    <mergeCell ref="A961:B961"/>
    <mergeCell ref="C961:E961"/>
    <mergeCell ref="A962:B965"/>
    <mergeCell ref="A955:G955"/>
    <mergeCell ref="A957:B957"/>
    <mergeCell ref="C957:E957"/>
    <mergeCell ref="D962:E962"/>
    <mergeCell ref="F962:G962"/>
    <mergeCell ref="A933:G933"/>
    <mergeCell ref="A935:B935"/>
    <mergeCell ref="C935:E935"/>
    <mergeCell ref="A944:B944"/>
    <mergeCell ref="A945:B945"/>
    <mergeCell ref="A946:B946"/>
    <mergeCell ref="C946:E946"/>
    <mergeCell ref="A947:B949"/>
    <mergeCell ref="D947:G947"/>
    <mergeCell ref="D948:G948"/>
    <mergeCell ref="A950:B950"/>
    <mergeCell ref="A951:B951"/>
    <mergeCell ref="A936:A938"/>
    <mergeCell ref="C936:G936"/>
    <mergeCell ref="C937:G937"/>
    <mergeCell ref="C938:E938"/>
    <mergeCell ref="A939:B939"/>
    <mergeCell ref="C939:E939"/>
    <mergeCell ref="A940:B943"/>
    <mergeCell ref="D940:E940"/>
    <mergeCell ref="F940:G940"/>
    <mergeCell ref="A914:A916"/>
    <mergeCell ref="C914:G914"/>
    <mergeCell ref="C915:G915"/>
    <mergeCell ref="C916:E916"/>
    <mergeCell ref="A917:B917"/>
    <mergeCell ref="C917:E917"/>
    <mergeCell ref="A918:B921"/>
    <mergeCell ref="D918:E918"/>
    <mergeCell ref="F918:G918"/>
    <mergeCell ref="A911:G911"/>
    <mergeCell ref="A913:B913"/>
    <mergeCell ref="C913:E913"/>
    <mergeCell ref="A930:B930"/>
    <mergeCell ref="C930:G930"/>
    <mergeCell ref="A931:B931"/>
    <mergeCell ref="C931:G931"/>
    <mergeCell ref="A932:B932"/>
    <mergeCell ref="C932:G932"/>
    <mergeCell ref="A922:B922"/>
    <mergeCell ref="A923:B923"/>
    <mergeCell ref="A924:B924"/>
    <mergeCell ref="C924:E924"/>
    <mergeCell ref="A925:B927"/>
    <mergeCell ref="D925:G925"/>
    <mergeCell ref="D926:G926"/>
    <mergeCell ref="A928:B928"/>
    <mergeCell ref="A929:B929"/>
    <mergeCell ref="A892:A894"/>
    <mergeCell ref="C892:G892"/>
    <mergeCell ref="C893:G893"/>
    <mergeCell ref="C894:E894"/>
    <mergeCell ref="A895:B895"/>
    <mergeCell ref="C895:E895"/>
    <mergeCell ref="A896:B899"/>
    <mergeCell ref="D896:E896"/>
    <mergeCell ref="F896:G896"/>
    <mergeCell ref="A889:G889"/>
    <mergeCell ref="A891:B891"/>
    <mergeCell ref="C891:E891"/>
    <mergeCell ref="A908:B908"/>
    <mergeCell ref="C908:G908"/>
    <mergeCell ref="A909:B909"/>
    <mergeCell ref="C909:G909"/>
    <mergeCell ref="A910:B910"/>
    <mergeCell ref="C910:G910"/>
    <mergeCell ref="A900:B900"/>
    <mergeCell ref="A901:B901"/>
    <mergeCell ref="A902:B902"/>
    <mergeCell ref="C902:E902"/>
    <mergeCell ref="A903:B905"/>
    <mergeCell ref="D903:G903"/>
    <mergeCell ref="D904:G904"/>
    <mergeCell ref="A906:B906"/>
    <mergeCell ref="A907:B907"/>
    <mergeCell ref="A873:B873"/>
    <mergeCell ref="C873:E873"/>
    <mergeCell ref="A874:B877"/>
    <mergeCell ref="D874:E874"/>
    <mergeCell ref="F874:G874"/>
    <mergeCell ref="A867:G867"/>
    <mergeCell ref="A869:B869"/>
    <mergeCell ref="C869:E869"/>
    <mergeCell ref="A886:B886"/>
    <mergeCell ref="C886:G886"/>
    <mergeCell ref="A887:B887"/>
    <mergeCell ref="C887:G887"/>
    <mergeCell ref="A888:B888"/>
    <mergeCell ref="C888:G888"/>
    <mergeCell ref="A878:B878"/>
    <mergeCell ref="A879:B879"/>
    <mergeCell ref="A880:B880"/>
    <mergeCell ref="C880:E880"/>
    <mergeCell ref="A881:B883"/>
    <mergeCell ref="D881:G881"/>
    <mergeCell ref="D882:G882"/>
    <mergeCell ref="A884:B884"/>
    <mergeCell ref="A885:B885"/>
    <mergeCell ref="A864:B864"/>
    <mergeCell ref="C864:G864"/>
    <mergeCell ref="A865:B865"/>
    <mergeCell ref="C865:G865"/>
    <mergeCell ref="A866:B866"/>
    <mergeCell ref="C866:G866"/>
    <mergeCell ref="A856:B856"/>
    <mergeCell ref="A857:B857"/>
    <mergeCell ref="A858:B858"/>
    <mergeCell ref="C858:E858"/>
    <mergeCell ref="A859:B861"/>
    <mergeCell ref="D859:G859"/>
    <mergeCell ref="D860:G860"/>
    <mergeCell ref="A862:B862"/>
    <mergeCell ref="A863:B863"/>
    <mergeCell ref="A870:A872"/>
    <mergeCell ref="C870:G870"/>
    <mergeCell ref="C871:G871"/>
    <mergeCell ref="C872:E872"/>
    <mergeCell ref="A842:B842"/>
    <mergeCell ref="C842:G842"/>
    <mergeCell ref="A843:B843"/>
    <mergeCell ref="C843:G843"/>
    <mergeCell ref="A844:B844"/>
    <mergeCell ref="C844:G844"/>
    <mergeCell ref="A848:A850"/>
    <mergeCell ref="C848:G848"/>
    <mergeCell ref="C849:G849"/>
    <mergeCell ref="C850:E850"/>
    <mergeCell ref="A851:B851"/>
    <mergeCell ref="C851:E851"/>
    <mergeCell ref="A852:B855"/>
    <mergeCell ref="D852:E852"/>
    <mergeCell ref="F852:G852"/>
    <mergeCell ref="A845:G845"/>
    <mergeCell ref="A847:B847"/>
    <mergeCell ref="C847:E847"/>
    <mergeCell ref="A834:B834"/>
    <mergeCell ref="A835:B835"/>
    <mergeCell ref="A836:B836"/>
    <mergeCell ref="C836:E836"/>
    <mergeCell ref="A837:B839"/>
    <mergeCell ref="D837:G837"/>
    <mergeCell ref="D838:G838"/>
    <mergeCell ref="A840:B840"/>
    <mergeCell ref="A841:B841"/>
    <mergeCell ref="A826:A828"/>
    <mergeCell ref="C826:G826"/>
    <mergeCell ref="C827:G827"/>
    <mergeCell ref="C828:E828"/>
    <mergeCell ref="A829:B829"/>
    <mergeCell ref="C829:E829"/>
    <mergeCell ref="A830:B833"/>
    <mergeCell ref="D830:E830"/>
    <mergeCell ref="F830:G830"/>
    <mergeCell ref="A820:B820"/>
    <mergeCell ref="C820:G820"/>
    <mergeCell ref="A821:B821"/>
    <mergeCell ref="C821:G821"/>
    <mergeCell ref="A822:B822"/>
    <mergeCell ref="C822:G822"/>
    <mergeCell ref="A812:B812"/>
    <mergeCell ref="A813:B813"/>
    <mergeCell ref="A814:B814"/>
    <mergeCell ref="C814:E814"/>
    <mergeCell ref="A815:B817"/>
    <mergeCell ref="D815:G815"/>
    <mergeCell ref="D816:G816"/>
    <mergeCell ref="A818:B818"/>
    <mergeCell ref="A819:B819"/>
    <mergeCell ref="A823:G823"/>
    <mergeCell ref="A825:B825"/>
    <mergeCell ref="C825:E825"/>
    <mergeCell ref="A798:B798"/>
    <mergeCell ref="C798:G798"/>
    <mergeCell ref="A799:B799"/>
    <mergeCell ref="C799:G799"/>
    <mergeCell ref="A800:B800"/>
    <mergeCell ref="C800:G800"/>
    <mergeCell ref="A804:A806"/>
    <mergeCell ref="C804:G804"/>
    <mergeCell ref="C805:G805"/>
    <mergeCell ref="C806:E806"/>
    <mergeCell ref="A807:B807"/>
    <mergeCell ref="C807:E807"/>
    <mergeCell ref="A808:B811"/>
    <mergeCell ref="D808:E808"/>
    <mergeCell ref="F808:G808"/>
    <mergeCell ref="A801:G801"/>
    <mergeCell ref="A803:B803"/>
    <mergeCell ref="C803:E803"/>
    <mergeCell ref="A779:G779"/>
    <mergeCell ref="A781:B781"/>
    <mergeCell ref="C781:E781"/>
    <mergeCell ref="A790:B790"/>
    <mergeCell ref="A791:B791"/>
    <mergeCell ref="A792:B792"/>
    <mergeCell ref="C792:E792"/>
    <mergeCell ref="A793:B795"/>
    <mergeCell ref="D793:G793"/>
    <mergeCell ref="D794:G794"/>
    <mergeCell ref="A796:B796"/>
    <mergeCell ref="A797:B797"/>
    <mergeCell ref="A782:A784"/>
    <mergeCell ref="C782:G782"/>
    <mergeCell ref="C783:G783"/>
    <mergeCell ref="C784:E784"/>
    <mergeCell ref="A785:B785"/>
    <mergeCell ref="C785:E785"/>
    <mergeCell ref="A786:B789"/>
    <mergeCell ref="D786:E786"/>
    <mergeCell ref="F786:G786"/>
    <mergeCell ref="A763:B763"/>
    <mergeCell ref="C763:E763"/>
    <mergeCell ref="A764:B767"/>
    <mergeCell ref="D764:E764"/>
    <mergeCell ref="F764:G764"/>
    <mergeCell ref="A757:G757"/>
    <mergeCell ref="A759:B759"/>
    <mergeCell ref="C759:E759"/>
    <mergeCell ref="A776:B776"/>
    <mergeCell ref="C776:G776"/>
    <mergeCell ref="A777:B777"/>
    <mergeCell ref="C777:G777"/>
    <mergeCell ref="A778:B778"/>
    <mergeCell ref="C778:G778"/>
    <mergeCell ref="A768:B768"/>
    <mergeCell ref="A769:B769"/>
    <mergeCell ref="A770:B770"/>
    <mergeCell ref="C770:E770"/>
    <mergeCell ref="A771:B773"/>
    <mergeCell ref="D771:G771"/>
    <mergeCell ref="D772:G772"/>
    <mergeCell ref="A774:B774"/>
    <mergeCell ref="A775:B775"/>
    <mergeCell ref="A753:B753"/>
    <mergeCell ref="A738:A740"/>
    <mergeCell ref="C738:G738"/>
    <mergeCell ref="C739:G739"/>
    <mergeCell ref="C740:E740"/>
    <mergeCell ref="A741:B741"/>
    <mergeCell ref="C741:E741"/>
    <mergeCell ref="A742:B745"/>
    <mergeCell ref="D742:E742"/>
    <mergeCell ref="F742:G742"/>
    <mergeCell ref="A754:B754"/>
    <mergeCell ref="C754:G754"/>
    <mergeCell ref="A755:B755"/>
    <mergeCell ref="C755:G755"/>
    <mergeCell ref="A756:B756"/>
    <mergeCell ref="C756:G756"/>
    <mergeCell ref="A760:A762"/>
    <mergeCell ref="C760:G760"/>
    <mergeCell ref="C761:G761"/>
    <mergeCell ref="C762:E762"/>
    <mergeCell ref="A732:B732"/>
    <mergeCell ref="C732:G732"/>
    <mergeCell ref="A733:B733"/>
    <mergeCell ref="C733:G733"/>
    <mergeCell ref="A734:B734"/>
    <mergeCell ref="C734:G734"/>
    <mergeCell ref="A735:G735"/>
    <mergeCell ref="A737:B737"/>
    <mergeCell ref="C737:E737"/>
    <mergeCell ref="A746:B746"/>
    <mergeCell ref="A747:B747"/>
    <mergeCell ref="A748:B748"/>
    <mergeCell ref="C748:E748"/>
    <mergeCell ref="A749:B751"/>
    <mergeCell ref="D749:G749"/>
    <mergeCell ref="D750:G750"/>
    <mergeCell ref="A752:B752"/>
    <mergeCell ref="A724:B724"/>
    <mergeCell ref="A725:B725"/>
    <mergeCell ref="A726:B726"/>
    <mergeCell ref="C726:E726"/>
    <mergeCell ref="A727:B729"/>
    <mergeCell ref="D727:G727"/>
    <mergeCell ref="D728:G728"/>
    <mergeCell ref="A730:B730"/>
    <mergeCell ref="A731:B731"/>
    <mergeCell ref="A716:A718"/>
    <mergeCell ref="C716:G716"/>
    <mergeCell ref="C717:G717"/>
    <mergeCell ref="C718:E718"/>
    <mergeCell ref="A719:B719"/>
    <mergeCell ref="C719:E719"/>
    <mergeCell ref="A720:B723"/>
    <mergeCell ref="D720:E720"/>
    <mergeCell ref="F720:G720"/>
    <mergeCell ref="A712:B712"/>
    <mergeCell ref="C712:G712"/>
    <mergeCell ref="A694:A696"/>
    <mergeCell ref="C694:G694"/>
    <mergeCell ref="C695:G695"/>
    <mergeCell ref="C696:E696"/>
    <mergeCell ref="A710:B710"/>
    <mergeCell ref="C710:G710"/>
    <mergeCell ref="A711:B711"/>
    <mergeCell ref="C711:G711"/>
    <mergeCell ref="A705:B707"/>
    <mergeCell ref="D705:G705"/>
    <mergeCell ref="D706:G706"/>
    <mergeCell ref="A708:B708"/>
    <mergeCell ref="A709:B709"/>
    <mergeCell ref="A713:G713"/>
    <mergeCell ref="A715:B715"/>
    <mergeCell ref="C715:E715"/>
    <mergeCell ref="A688:B688"/>
    <mergeCell ref="C688:G688"/>
    <mergeCell ref="A689:B689"/>
    <mergeCell ref="C689:G689"/>
    <mergeCell ref="A690:B690"/>
    <mergeCell ref="C690:G690"/>
    <mergeCell ref="A703:B703"/>
    <mergeCell ref="A704:B704"/>
    <mergeCell ref="C704:E704"/>
    <mergeCell ref="A697:B697"/>
    <mergeCell ref="C697:E697"/>
    <mergeCell ref="A702:B702"/>
    <mergeCell ref="F698:G698"/>
    <mergeCell ref="A698:B701"/>
    <mergeCell ref="D698:E698"/>
    <mergeCell ref="A691:G691"/>
    <mergeCell ref="A693:B693"/>
    <mergeCell ref="C693:E693"/>
    <mergeCell ref="A669:G669"/>
    <mergeCell ref="A671:B671"/>
    <mergeCell ref="C671:E671"/>
    <mergeCell ref="A680:B680"/>
    <mergeCell ref="A681:B681"/>
    <mergeCell ref="A682:B682"/>
    <mergeCell ref="C682:E682"/>
    <mergeCell ref="A683:B685"/>
    <mergeCell ref="D683:G683"/>
    <mergeCell ref="D684:G684"/>
    <mergeCell ref="A686:B686"/>
    <mergeCell ref="A687:B687"/>
    <mergeCell ref="A672:A674"/>
    <mergeCell ref="C672:G672"/>
    <mergeCell ref="C673:G673"/>
    <mergeCell ref="C674:E674"/>
    <mergeCell ref="A675:B675"/>
    <mergeCell ref="C675:E675"/>
    <mergeCell ref="A676:B679"/>
    <mergeCell ref="D676:E676"/>
    <mergeCell ref="F676:G676"/>
    <mergeCell ref="A653:B653"/>
    <mergeCell ref="C653:E653"/>
    <mergeCell ref="A654:B657"/>
    <mergeCell ref="D654:E654"/>
    <mergeCell ref="F654:G654"/>
    <mergeCell ref="A647:G647"/>
    <mergeCell ref="A649:B649"/>
    <mergeCell ref="C649:E649"/>
    <mergeCell ref="A666:B666"/>
    <mergeCell ref="C666:G666"/>
    <mergeCell ref="A667:B667"/>
    <mergeCell ref="C667:G667"/>
    <mergeCell ref="A668:B668"/>
    <mergeCell ref="C668:G668"/>
    <mergeCell ref="A658:B658"/>
    <mergeCell ref="A659:B659"/>
    <mergeCell ref="A660:B660"/>
    <mergeCell ref="C660:E660"/>
    <mergeCell ref="A661:B663"/>
    <mergeCell ref="D661:G661"/>
    <mergeCell ref="D662:G662"/>
    <mergeCell ref="A664:B664"/>
    <mergeCell ref="A665:B665"/>
    <mergeCell ref="A644:B644"/>
    <mergeCell ref="C644:G644"/>
    <mergeCell ref="A645:B645"/>
    <mergeCell ref="C645:G645"/>
    <mergeCell ref="A646:B646"/>
    <mergeCell ref="C646:G646"/>
    <mergeCell ref="A636:B636"/>
    <mergeCell ref="A637:B637"/>
    <mergeCell ref="A638:B638"/>
    <mergeCell ref="C638:E638"/>
    <mergeCell ref="A639:B641"/>
    <mergeCell ref="D639:G639"/>
    <mergeCell ref="D640:G640"/>
    <mergeCell ref="A642:B642"/>
    <mergeCell ref="A643:B643"/>
    <mergeCell ref="A650:A652"/>
    <mergeCell ref="C650:G650"/>
    <mergeCell ref="C651:G651"/>
    <mergeCell ref="C652:E652"/>
    <mergeCell ref="A534:B534"/>
    <mergeCell ref="C534:G534"/>
    <mergeCell ref="A535:B535"/>
    <mergeCell ref="C535:G535"/>
    <mergeCell ref="A536:B536"/>
    <mergeCell ref="C536:G536"/>
    <mergeCell ref="A628:A630"/>
    <mergeCell ref="C628:G628"/>
    <mergeCell ref="C629:G629"/>
    <mergeCell ref="C630:E630"/>
    <mergeCell ref="A631:B631"/>
    <mergeCell ref="C631:E631"/>
    <mergeCell ref="A632:B635"/>
    <mergeCell ref="D632:E632"/>
    <mergeCell ref="F632:G632"/>
    <mergeCell ref="A625:G625"/>
    <mergeCell ref="A627:B627"/>
    <mergeCell ref="C627:E627"/>
    <mergeCell ref="A600:B600"/>
    <mergeCell ref="C600:G600"/>
    <mergeCell ref="A601:B601"/>
    <mergeCell ref="C601:G601"/>
    <mergeCell ref="A602:B602"/>
    <mergeCell ref="C602:G602"/>
    <mergeCell ref="A595:B597"/>
    <mergeCell ref="A583:B583"/>
    <mergeCell ref="C583:E583"/>
    <mergeCell ref="A584:A586"/>
    <mergeCell ref="C584:G584"/>
    <mergeCell ref="C585:G585"/>
    <mergeCell ref="C586:E586"/>
    <mergeCell ref="A581:G581"/>
    <mergeCell ref="A515:G515"/>
    <mergeCell ref="A517:B517"/>
    <mergeCell ref="C517:E517"/>
    <mergeCell ref="A526:B526"/>
    <mergeCell ref="A527:B527"/>
    <mergeCell ref="A528:B528"/>
    <mergeCell ref="C528:E528"/>
    <mergeCell ref="A529:B531"/>
    <mergeCell ref="D529:G529"/>
    <mergeCell ref="D530:G530"/>
    <mergeCell ref="A532:B532"/>
    <mergeCell ref="A533:B533"/>
    <mergeCell ref="A518:A520"/>
    <mergeCell ref="C518:G518"/>
    <mergeCell ref="C519:G519"/>
    <mergeCell ref="C520:E520"/>
    <mergeCell ref="A521:B521"/>
    <mergeCell ref="C521:E521"/>
    <mergeCell ref="A522:B525"/>
    <mergeCell ref="D522:E522"/>
    <mergeCell ref="F522:G522"/>
    <mergeCell ref="A496:A498"/>
    <mergeCell ref="C496:G496"/>
    <mergeCell ref="C497:G497"/>
    <mergeCell ref="C498:E498"/>
    <mergeCell ref="A499:B499"/>
    <mergeCell ref="C499:E499"/>
    <mergeCell ref="A500:B503"/>
    <mergeCell ref="D500:E500"/>
    <mergeCell ref="F500:G500"/>
    <mergeCell ref="A493:G493"/>
    <mergeCell ref="A495:B495"/>
    <mergeCell ref="C495:E495"/>
    <mergeCell ref="A512:B512"/>
    <mergeCell ref="C512:G512"/>
    <mergeCell ref="A513:B513"/>
    <mergeCell ref="C513:G513"/>
    <mergeCell ref="A514:B514"/>
    <mergeCell ref="C514:G514"/>
    <mergeCell ref="A504:B504"/>
    <mergeCell ref="A505:B505"/>
    <mergeCell ref="A506:B506"/>
    <mergeCell ref="C506:E506"/>
    <mergeCell ref="A507:B509"/>
    <mergeCell ref="D507:G507"/>
    <mergeCell ref="D508:G508"/>
    <mergeCell ref="A510:B510"/>
    <mergeCell ref="A511:B511"/>
    <mergeCell ref="A477:B477"/>
    <mergeCell ref="C477:E477"/>
    <mergeCell ref="A478:B481"/>
    <mergeCell ref="A471:G471"/>
    <mergeCell ref="A473:B473"/>
    <mergeCell ref="C473:E473"/>
    <mergeCell ref="D478:E478"/>
    <mergeCell ref="F478:G478"/>
    <mergeCell ref="A490:B490"/>
    <mergeCell ref="C490:G490"/>
    <mergeCell ref="A491:B491"/>
    <mergeCell ref="C491:G491"/>
    <mergeCell ref="A492:B492"/>
    <mergeCell ref="C492:G492"/>
    <mergeCell ref="A482:B482"/>
    <mergeCell ref="A483:B483"/>
    <mergeCell ref="A484:B484"/>
    <mergeCell ref="C484:E484"/>
    <mergeCell ref="A485:B487"/>
    <mergeCell ref="D485:G485"/>
    <mergeCell ref="D486:G486"/>
    <mergeCell ref="A488:B488"/>
    <mergeCell ref="A489:B489"/>
    <mergeCell ref="A474:A476"/>
    <mergeCell ref="C474:G474"/>
    <mergeCell ref="C475:G475"/>
    <mergeCell ref="C476:E476"/>
    <mergeCell ref="A433:B433"/>
    <mergeCell ref="C433:E433"/>
    <mergeCell ref="A434:B437"/>
    <mergeCell ref="D434:E434"/>
    <mergeCell ref="F434:G434"/>
    <mergeCell ref="A427:G427"/>
    <mergeCell ref="A429:B429"/>
    <mergeCell ref="C429:E429"/>
    <mergeCell ref="A446:B446"/>
    <mergeCell ref="C446:G446"/>
    <mergeCell ref="A447:B447"/>
    <mergeCell ref="C447:G447"/>
    <mergeCell ref="A448:B448"/>
    <mergeCell ref="C448:G448"/>
    <mergeCell ref="A438:B438"/>
    <mergeCell ref="A439:B439"/>
    <mergeCell ref="A440:B440"/>
    <mergeCell ref="C440:E440"/>
    <mergeCell ref="A441:B443"/>
    <mergeCell ref="D441:G441"/>
    <mergeCell ref="D442:G442"/>
    <mergeCell ref="A444:B444"/>
    <mergeCell ref="A445:B445"/>
    <mergeCell ref="A336:B336"/>
    <mergeCell ref="C336:G336"/>
    <mergeCell ref="A337:B337"/>
    <mergeCell ref="C337:G337"/>
    <mergeCell ref="A338:B338"/>
    <mergeCell ref="C338:G338"/>
    <mergeCell ref="A328:B328"/>
    <mergeCell ref="A329:B329"/>
    <mergeCell ref="A330:B330"/>
    <mergeCell ref="C330:E330"/>
    <mergeCell ref="A331:B333"/>
    <mergeCell ref="D331:G331"/>
    <mergeCell ref="D332:G332"/>
    <mergeCell ref="A334:B334"/>
    <mergeCell ref="A335:B335"/>
    <mergeCell ref="A430:A432"/>
    <mergeCell ref="C430:G430"/>
    <mergeCell ref="C431:G431"/>
    <mergeCell ref="C432:E432"/>
    <mergeCell ref="C359:G359"/>
    <mergeCell ref="A360:B360"/>
    <mergeCell ref="C360:G360"/>
    <mergeCell ref="A350:B350"/>
    <mergeCell ref="A351:B351"/>
    <mergeCell ref="A352:B352"/>
    <mergeCell ref="C352:E352"/>
    <mergeCell ref="A353:B355"/>
    <mergeCell ref="D353:G353"/>
    <mergeCell ref="D355:G355"/>
    <mergeCell ref="A356:B356"/>
    <mergeCell ref="A357:B357"/>
    <mergeCell ref="A408:A410"/>
    <mergeCell ref="D242:G242"/>
    <mergeCell ref="D243:G243"/>
    <mergeCell ref="A245:B245"/>
    <mergeCell ref="A319:A321"/>
    <mergeCell ref="C319:G319"/>
    <mergeCell ref="C320:G320"/>
    <mergeCell ref="C321:E321"/>
    <mergeCell ref="A322:B322"/>
    <mergeCell ref="C322:E322"/>
    <mergeCell ref="A323:B327"/>
    <mergeCell ref="D323:E323"/>
    <mergeCell ref="F323:G323"/>
    <mergeCell ref="A316:G316"/>
    <mergeCell ref="A318:B318"/>
    <mergeCell ref="C318:E318"/>
    <mergeCell ref="A312:B312"/>
    <mergeCell ref="A311:B311"/>
    <mergeCell ref="C307:E307"/>
    <mergeCell ref="D308:E308"/>
    <mergeCell ref="A300:B300"/>
    <mergeCell ref="C300:E300"/>
    <mergeCell ref="A301:B304"/>
    <mergeCell ref="D301:E301"/>
    <mergeCell ref="F301:G301"/>
    <mergeCell ref="A305:B305"/>
    <mergeCell ref="A315:B315"/>
    <mergeCell ref="C315:G315"/>
    <mergeCell ref="A308:B310"/>
    <mergeCell ref="A296:B296"/>
    <mergeCell ref="C296:E296"/>
    <mergeCell ref="A297:A299"/>
    <mergeCell ref="C297:G297"/>
    <mergeCell ref="C298:G298"/>
    <mergeCell ref="C299:E299"/>
    <mergeCell ref="A294:G294"/>
    <mergeCell ref="C270:G270"/>
    <mergeCell ref="A271:B271"/>
    <mergeCell ref="C271:G271"/>
    <mergeCell ref="A261:B261"/>
    <mergeCell ref="A262:B262"/>
    <mergeCell ref="A263:B263"/>
    <mergeCell ref="C263:E263"/>
    <mergeCell ref="A264:B266"/>
    <mergeCell ref="A209:A211"/>
    <mergeCell ref="C209:G209"/>
    <mergeCell ref="C210:G210"/>
    <mergeCell ref="C211:E211"/>
    <mergeCell ref="A212:B212"/>
    <mergeCell ref="C212:E212"/>
    <mergeCell ref="A213:B216"/>
    <mergeCell ref="D213:E213"/>
    <mergeCell ref="F213:G213"/>
    <mergeCell ref="A223:B223"/>
    <mergeCell ref="C253:G253"/>
    <mergeCell ref="C254:G254"/>
    <mergeCell ref="C255:E255"/>
    <mergeCell ref="A256:B256"/>
    <mergeCell ref="C256:E256"/>
    <mergeCell ref="A257:B260"/>
    <mergeCell ref="D257:E257"/>
    <mergeCell ref="F257:G257"/>
    <mergeCell ref="A250:G250"/>
    <mergeCell ref="A252:B252"/>
    <mergeCell ref="C252:E252"/>
    <mergeCell ref="A206:G206"/>
    <mergeCell ref="A208:B208"/>
    <mergeCell ref="C208:E208"/>
    <mergeCell ref="A225:B225"/>
    <mergeCell ref="C225:G225"/>
    <mergeCell ref="A226:B226"/>
    <mergeCell ref="C226:G226"/>
    <mergeCell ref="A227:B227"/>
    <mergeCell ref="C227:G227"/>
    <mergeCell ref="A217:B217"/>
    <mergeCell ref="A218:B218"/>
    <mergeCell ref="A219:B219"/>
    <mergeCell ref="C219:E219"/>
    <mergeCell ref="A220:B222"/>
    <mergeCell ref="D220:G220"/>
    <mergeCell ref="D221:G221"/>
    <mergeCell ref="A96:G96"/>
    <mergeCell ref="C100:G100"/>
    <mergeCell ref="A117:B117"/>
    <mergeCell ref="C102:E102"/>
    <mergeCell ref="C101:E101"/>
    <mergeCell ref="A115:B115"/>
    <mergeCell ref="C115:G115"/>
    <mergeCell ref="A109:B109"/>
    <mergeCell ref="C109:E109"/>
    <mergeCell ref="A110:B112"/>
    <mergeCell ref="D110:E110"/>
    <mergeCell ref="F110:G110"/>
    <mergeCell ref="A113:B113"/>
    <mergeCell ref="A114:B114"/>
    <mergeCell ref="A116:B116"/>
    <mergeCell ref="C116:G116"/>
    <mergeCell ref="C187:G187"/>
    <mergeCell ref="A184:G184"/>
    <mergeCell ref="C145:E145"/>
    <mergeCell ref="A157:B157"/>
    <mergeCell ref="A158:B158"/>
    <mergeCell ref="A151:B151"/>
    <mergeCell ref="A161:B161"/>
    <mergeCell ref="C161:G161"/>
    <mergeCell ref="A160:B160"/>
    <mergeCell ref="A152:B152"/>
    <mergeCell ref="A146:B146"/>
    <mergeCell ref="A159:B159"/>
    <mergeCell ref="C159:G159"/>
    <mergeCell ref="C160:G160"/>
    <mergeCell ref="A186:B186"/>
    <mergeCell ref="C186:E186"/>
    <mergeCell ref="F103:G103"/>
    <mergeCell ref="A102:B102"/>
    <mergeCell ref="C117:G117"/>
    <mergeCell ref="A108:B108"/>
    <mergeCell ref="A107:B107"/>
    <mergeCell ref="A98:B98"/>
    <mergeCell ref="C98:E98"/>
    <mergeCell ref="A99:A101"/>
    <mergeCell ref="C99:G99"/>
    <mergeCell ref="C188:G188"/>
    <mergeCell ref="C189:E189"/>
    <mergeCell ref="A190:B190"/>
    <mergeCell ref="C190:E190"/>
    <mergeCell ref="A191:B194"/>
    <mergeCell ref="D191:E191"/>
    <mergeCell ref="F191:G191"/>
    <mergeCell ref="A203:B203"/>
    <mergeCell ref="C203:G203"/>
    <mergeCell ref="A195:B195"/>
    <mergeCell ref="A196:B196"/>
    <mergeCell ref="A197:B197"/>
    <mergeCell ref="C197:E197"/>
    <mergeCell ref="A198:B200"/>
    <mergeCell ref="D198:G198"/>
    <mergeCell ref="D199:G199"/>
    <mergeCell ref="A201:B201"/>
    <mergeCell ref="A202:B202"/>
    <mergeCell ref="A187:A189"/>
    <mergeCell ref="A162:G162"/>
    <mergeCell ref="A164:B164"/>
    <mergeCell ref="C164:E164"/>
    <mergeCell ref="A165:A167"/>
    <mergeCell ref="C165:G165"/>
    <mergeCell ref="A269:B269"/>
    <mergeCell ref="C269:G269"/>
    <mergeCell ref="A270:B270"/>
    <mergeCell ref="A452:A454"/>
    <mergeCell ref="C452:G452"/>
    <mergeCell ref="C453:G453"/>
    <mergeCell ref="C454:E454"/>
    <mergeCell ref="A455:B455"/>
    <mergeCell ref="C455:E455"/>
    <mergeCell ref="A224:B224"/>
    <mergeCell ref="A204:B204"/>
    <mergeCell ref="C204:G204"/>
    <mergeCell ref="A205:B205"/>
    <mergeCell ref="C205:G205"/>
    <mergeCell ref="A175:B175"/>
    <mergeCell ref="C175:E175"/>
    <mergeCell ref="A176:B178"/>
    <mergeCell ref="D176:G176"/>
    <mergeCell ref="A228:G228"/>
    <mergeCell ref="A230:B230"/>
    <mergeCell ref="C230:E230"/>
    <mergeCell ref="C241:E241"/>
    <mergeCell ref="A242:B244"/>
    <mergeCell ref="A246:B246"/>
    <mergeCell ref="A291:B291"/>
    <mergeCell ref="C291:G291"/>
    <mergeCell ref="A292:B292"/>
    <mergeCell ref="C292:G292"/>
    <mergeCell ref="A293:B293"/>
    <mergeCell ref="C293:G293"/>
    <mergeCell ref="A283:B283"/>
    <mergeCell ref="A284:B284"/>
    <mergeCell ref="A456:B459"/>
    <mergeCell ref="D456:E456"/>
    <mergeCell ref="A272:G272"/>
    <mergeCell ref="A274:B274"/>
    <mergeCell ref="C274:E274"/>
    <mergeCell ref="D264:G264"/>
    <mergeCell ref="D265:G265"/>
    <mergeCell ref="A267:B267"/>
    <mergeCell ref="A268:B268"/>
    <mergeCell ref="A253:A255"/>
    <mergeCell ref="A468:B468"/>
    <mergeCell ref="C468:G468"/>
    <mergeCell ref="A460:B460"/>
    <mergeCell ref="A461:B461"/>
    <mergeCell ref="A462:B462"/>
    <mergeCell ref="C462:E462"/>
    <mergeCell ref="A463:B465"/>
    <mergeCell ref="D463:G463"/>
    <mergeCell ref="D464:G464"/>
    <mergeCell ref="A466:B466"/>
    <mergeCell ref="A467:B467"/>
    <mergeCell ref="F308:G308"/>
    <mergeCell ref="A306:B306"/>
    <mergeCell ref="A307:B307"/>
    <mergeCell ref="A313:B313"/>
    <mergeCell ref="C313:G313"/>
    <mergeCell ref="A314:B314"/>
    <mergeCell ref="C314:G314"/>
    <mergeCell ref="A286:B288"/>
    <mergeCell ref="A358:B358"/>
    <mergeCell ref="C358:G358"/>
    <mergeCell ref="A359:B359"/>
    <mergeCell ref="A1546:B1546"/>
    <mergeCell ref="C1546:G1546"/>
    <mergeCell ref="A1547:B1547"/>
    <mergeCell ref="C1547:G1547"/>
    <mergeCell ref="A1548:B1548"/>
    <mergeCell ref="C1548:G1548"/>
    <mergeCell ref="A2242:B2242"/>
    <mergeCell ref="A2243:B2243"/>
    <mergeCell ref="A2231:G2231"/>
    <mergeCell ref="A2233:B2233"/>
    <mergeCell ref="C2233:E2233"/>
    <mergeCell ref="A2234:A2236"/>
    <mergeCell ref="C2234:G2234"/>
    <mergeCell ref="C2235:G2235"/>
    <mergeCell ref="C2236:E2236"/>
    <mergeCell ref="A2237:B2237"/>
    <mergeCell ref="C2237:E2237"/>
    <mergeCell ref="A2238:B2241"/>
    <mergeCell ref="D2238:E2238"/>
    <mergeCell ref="F2238:G2238"/>
    <mergeCell ref="A1561:B1561"/>
    <mergeCell ref="A1562:B1562"/>
    <mergeCell ref="C1562:E1562"/>
    <mergeCell ref="A1563:B1565"/>
    <mergeCell ref="D1563:E1563"/>
    <mergeCell ref="F1563:G1563"/>
    <mergeCell ref="A1566:B1566"/>
    <mergeCell ref="A1567:B1567"/>
    <mergeCell ref="A1568:B1568"/>
    <mergeCell ref="C1568:G1568"/>
    <mergeCell ref="A1569:B1569"/>
    <mergeCell ref="C1569:G1569"/>
    <mergeCell ref="A1538:B1538"/>
    <mergeCell ref="A1539:B1539"/>
    <mergeCell ref="A1540:B1540"/>
    <mergeCell ref="C1540:E1540"/>
    <mergeCell ref="A1541:B1543"/>
    <mergeCell ref="D1541:G1541"/>
    <mergeCell ref="D1542:G1542"/>
    <mergeCell ref="A1544:B1544"/>
    <mergeCell ref="A1545:B1545"/>
    <mergeCell ref="A1530:A1532"/>
    <mergeCell ref="C1530:G1530"/>
    <mergeCell ref="C1531:G1531"/>
    <mergeCell ref="C1532:E1532"/>
    <mergeCell ref="A1533:B1533"/>
    <mergeCell ref="C1533:E1533"/>
    <mergeCell ref="A1534:B1537"/>
    <mergeCell ref="D1534:E1534"/>
    <mergeCell ref="F1534:G1534"/>
    <mergeCell ref="F1490:G1490"/>
    <mergeCell ref="A1483:G1483"/>
    <mergeCell ref="A1485:B1485"/>
    <mergeCell ref="C1485:E1485"/>
    <mergeCell ref="A1497:B1499"/>
    <mergeCell ref="D1497:G1497"/>
    <mergeCell ref="D1498:G1498"/>
    <mergeCell ref="A1500:B1500"/>
    <mergeCell ref="A1501:B1501"/>
    <mergeCell ref="A1527:G1527"/>
    <mergeCell ref="A1529:B1529"/>
    <mergeCell ref="C1529:E1529"/>
    <mergeCell ref="A1511:B1511"/>
    <mergeCell ref="C1511:E1511"/>
    <mergeCell ref="A1512:B1515"/>
    <mergeCell ref="D1512:E1512"/>
    <mergeCell ref="F1512:G1512"/>
    <mergeCell ref="A1524:B1524"/>
    <mergeCell ref="C1524:G1524"/>
    <mergeCell ref="A1525:B1525"/>
    <mergeCell ref="C1525:G1525"/>
    <mergeCell ref="A1526:B1526"/>
    <mergeCell ref="C1526:G1526"/>
    <mergeCell ref="A1516:B1516"/>
    <mergeCell ref="A1517:B1517"/>
    <mergeCell ref="A1518:B1518"/>
    <mergeCell ref="C1518:E1518"/>
    <mergeCell ref="A1519:B1521"/>
    <mergeCell ref="D1519:G1519"/>
    <mergeCell ref="D1520:G1520"/>
    <mergeCell ref="A1522:B1522"/>
    <mergeCell ref="A1523:B1523"/>
    <mergeCell ref="A1479:B1479"/>
    <mergeCell ref="A1464:A1466"/>
    <mergeCell ref="C1464:G1464"/>
    <mergeCell ref="C1465:G1465"/>
    <mergeCell ref="C1466:E1466"/>
    <mergeCell ref="A1467:B1467"/>
    <mergeCell ref="C1467:E1467"/>
    <mergeCell ref="A1468:B1471"/>
    <mergeCell ref="D1468:E1468"/>
    <mergeCell ref="F1468:G1468"/>
    <mergeCell ref="A1480:B1480"/>
    <mergeCell ref="C1480:G1480"/>
    <mergeCell ref="A1481:B1481"/>
    <mergeCell ref="C1481:G1481"/>
    <mergeCell ref="A1482:B1482"/>
    <mergeCell ref="C1482:G1482"/>
    <mergeCell ref="A1486:A1488"/>
    <mergeCell ref="C1486:G1486"/>
    <mergeCell ref="C1487:G1487"/>
    <mergeCell ref="C1488:E1488"/>
    <mergeCell ref="A1458:B1458"/>
    <mergeCell ref="C1458:G1458"/>
    <mergeCell ref="A1459:B1459"/>
    <mergeCell ref="C1459:G1459"/>
    <mergeCell ref="A1460:B1460"/>
    <mergeCell ref="C1460:G1460"/>
    <mergeCell ref="A1461:G1461"/>
    <mergeCell ref="A1463:B1463"/>
    <mergeCell ref="C1463:E1463"/>
    <mergeCell ref="A1472:B1472"/>
    <mergeCell ref="A1473:B1473"/>
    <mergeCell ref="A1474:B1474"/>
    <mergeCell ref="C1474:E1474"/>
    <mergeCell ref="A1475:B1477"/>
    <mergeCell ref="D1475:G1475"/>
    <mergeCell ref="D1476:G1476"/>
    <mergeCell ref="A1478:B1478"/>
    <mergeCell ref="A1456:B1456"/>
    <mergeCell ref="A1457:B1457"/>
    <mergeCell ref="A1442:A1444"/>
    <mergeCell ref="C1442:G1442"/>
    <mergeCell ref="C1443:G1443"/>
    <mergeCell ref="C1444:E1444"/>
    <mergeCell ref="A1445:B1445"/>
    <mergeCell ref="C1445:E1445"/>
    <mergeCell ref="A1446:B1449"/>
    <mergeCell ref="D1446:E1446"/>
    <mergeCell ref="F1446:G1446"/>
    <mergeCell ref="F456:G456"/>
    <mergeCell ref="C122:G122"/>
    <mergeCell ref="C123:E123"/>
    <mergeCell ref="A124:B124"/>
    <mergeCell ref="C124:E124"/>
    <mergeCell ref="A125:B128"/>
    <mergeCell ref="D125:E125"/>
    <mergeCell ref="F125:G125"/>
    <mergeCell ref="A129:B129"/>
    <mergeCell ref="A130:B130"/>
    <mergeCell ref="A131:B131"/>
    <mergeCell ref="C131:E131"/>
    <mergeCell ref="A132:B134"/>
    <mergeCell ref="D132:E132"/>
    <mergeCell ref="F132:G132"/>
    <mergeCell ref="A449:G449"/>
    <mergeCell ref="A451:B451"/>
    <mergeCell ref="C451:E451"/>
    <mergeCell ref="C166:G166"/>
    <mergeCell ref="A1439:G1439"/>
    <mergeCell ref="A1441:B1441"/>
    <mergeCell ref="A1452:B1452"/>
    <mergeCell ref="C1452:E1452"/>
    <mergeCell ref="A1453:B1455"/>
    <mergeCell ref="D1453:G1453"/>
    <mergeCell ref="D1454:G1454"/>
    <mergeCell ref="A135:B135"/>
    <mergeCell ref="A136:B136"/>
    <mergeCell ref="A137:B137"/>
    <mergeCell ref="C137:G137"/>
    <mergeCell ref="A138:B138"/>
    <mergeCell ref="C138:G138"/>
    <mergeCell ref="A139:B139"/>
    <mergeCell ref="C139:G139"/>
    <mergeCell ref="A469:B469"/>
    <mergeCell ref="C469:G469"/>
    <mergeCell ref="A470:B470"/>
    <mergeCell ref="C470:G470"/>
    <mergeCell ref="A980:A982"/>
    <mergeCell ref="C980:G980"/>
    <mergeCell ref="C981:G981"/>
    <mergeCell ref="C982:E982"/>
    <mergeCell ref="A983:B983"/>
    <mergeCell ref="C983:E983"/>
    <mergeCell ref="A984:B987"/>
    <mergeCell ref="D984:E984"/>
    <mergeCell ref="F984:G984"/>
    <mergeCell ref="A977:G977"/>
    <mergeCell ref="A153:B153"/>
    <mergeCell ref="A154:B156"/>
    <mergeCell ref="A979:B979"/>
    <mergeCell ref="C979:E979"/>
    <mergeCell ref="C167:E167"/>
    <mergeCell ref="D9:E9"/>
    <mergeCell ref="A23:B23"/>
    <mergeCell ref="A16:B16"/>
    <mergeCell ref="C16:E16"/>
    <mergeCell ref="A13:B13"/>
    <mergeCell ref="C1441:E1441"/>
    <mergeCell ref="A1450:B1450"/>
    <mergeCell ref="A1451:B1451"/>
    <mergeCell ref="A168:B168"/>
    <mergeCell ref="C168:E168"/>
    <mergeCell ref="A179:B179"/>
    <mergeCell ref="A180:B180"/>
    <mergeCell ref="A181:B181"/>
    <mergeCell ref="C181:G181"/>
    <mergeCell ref="A182:B182"/>
    <mergeCell ref="C182:G182"/>
    <mergeCell ref="A183:B183"/>
    <mergeCell ref="C183:G183"/>
    <mergeCell ref="A169:B172"/>
    <mergeCell ref="D169:E169"/>
    <mergeCell ref="F169:G169"/>
    <mergeCell ref="A173:B173"/>
    <mergeCell ref="A174:B174"/>
    <mergeCell ref="A142:B142"/>
    <mergeCell ref="C86:E86"/>
    <mergeCell ref="A92:B92"/>
    <mergeCell ref="C93:G93"/>
    <mergeCell ref="C143:G143"/>
    <mergeCell ref="C144:G144"/>
    <mergeCell ref="A93:B93"/>
    <mergeCell ref="A140:G140"/>
    <mergeCell ref="A87:B90"/>
    <mergeCell ref="D88:G88"/>
    <mergeCell ref="A118:G118"/>
    <mergeCell ref="A120:B120"/>
    <mergeCell ref="C120:E120"/>
    <mergeCell ref="A121:A123"/>
    <mergeCell ref="C121:G121"/>
    <mergeCell ref="C142:E142"/>
    <mergeCell ref="A143:A145"/>
    <mergeCell ref="A103:B106"/>
    <mergeCell ref="D103:E103"/>
    <mergeCell ref="A1:G1"/>
    <mergeCell ref="A69:B69"/>
    <mergeCell ref="C75:E75"/>
    <mergeCell ref="A76:A78"/>
    <mergeCell ref="C77:G77"/>
    <mergeCell ref="C78:E78"/>
    <mergeCell ref="A14:B14"/>
    <mergeCell ref="A73:G73"/>
    <mergeCell ref="A64:B64"/>
    <mergeCell ref="C64:E64"/>
    <mergeCell ref="A65:B67"/>
    <mergeCell ref="D65:E65"/>
    <mergeCell ref="F65:G65"/>
    <mergeCell ref="A68:B68"/>
    <mergeCell ref="A4:B4"/>
    <mergeCell ref="C4:E4"/>
    <mergeCell ref="A5:A7"/>
    <mergeCell ref="C5:G5"/>
    <mergeCell ref="C6:G6"/>
    <mergeCell ref="C7:E7"/>
    <mergeCell ref="F9:G9"/>
    <mergeCell ref="C23:G23"/>
    <mergeCell ref="A8:B8"/>
    <mergeCell ref="C8:E8"/>
    <mergeCell ref="A9:B12"/>
    <mergeCell ref="A80:B83"/>
    <mergeCell ref="C76:G76"/>
    <mergeCell ref="C70:G70"/>
    <mergeCell ref="A71:B71"/>
    <mergeCell ref="C71:G71"/>
    <mergeCell ref="A72:B72"/>
    <mergeCell ref="C72:G72"/>
    <mergeCell ref="A70:B70"/>
    <mergeCell ref="A2:G2"/>
    <mergeCell ref="A2248:B2248"/>
    <mergeCell ref="A2249:B2249"/>
    <mergeCell ref="A2250:B2250"/>
    <mergeCell ref="C2250:G2250"/>
    <mergeCell ref="A2251:B2251"/>
    <mergeCell ref="C2251:G2251"/>
    <mergeCell ref="C1570:G1570"/>
    <mergeCell ref="A1571:G1571"/>
    <mergeCell ref="A1573:B1573"/>
    <mergeCell ref="C1573:E1573"/>
    <mergeCell ref="A1574:A1576"/>
    <mergeCell ref="C1574:G1574"/>
    <mergeCell ref="C1575:G1575"/>
    <mergeCell ref="C1576:E1576"/>
    <mergeCell ref="A1577:B1577"/>
    <mergeCell ref="C1577:E1577"/>
    <mergeCell ref="A1578:B1581"/>
    <mergeCell ref="D1578:E1578"/>
    <mergeCell ref="F1578:G1578"/>
    <mergeCell ref="A1582:B1582"/>
    <mergeCell ref="A2252:B2252"/>
    <mergeCell ref="C2252:G2252"/>
    <mergeCell ref="A85:B85"/>
    <mergeCell ref="D87:G87"/>
    <mergeCell ref="A86:B86"/>
    <mergeCell ref="A75:B75"/>
    <mergeCell ref="C94:G94"/>
    <mergeCell ref="A95:B95"/>
    <mergeCell ref="A91:B91"/>
    <mergeCell ref="C95:G95"/>
    <mergeCell ref="A94:B94"/>
    <mergeCell ref="A84:B84"/>
    <mergeCell ref="A79:B79"/>
    <mergeCell ref="A1549:G1549"/>
    <mergeCell ref="A1551:B1551"/>
    <mergeCell ref="C1551:E1551"/>
    <mergeCell ref="A1552:A1554"/>
    <mergeCell ref="C1552:G1552"/>
    <mergeCell ref="C1553:G1553"/>
    <mergeCell ref="C1554:E1554"/>
    <mergeCell ref="A1555:B1555"/>
    <mergeCell ref="C1555:E1555"/>
    <mergeCell ref="A1556:B1559"/>
    <mergeCell ref="D1556:E1556"/>
    <mergeCell ref="F1556:G1556"/>
    <mergeCell ref="A1560:B1560"/>
    <mergeCell ref="A2244:B2244"/>
    <mergeCell ref="C2244:E2244"/>
    <mergeCell ref="A2245:B2247"/>
    <mergeCell ref="D2245:G2245"/>
    <mergeCell ref="D2246:G2246"/>
    <mergeCell ref="A1570:B1570"/>
    <mergeCell ref="A1583:B1583"/>
    <mergeCell ref="A1584:B1584"/>
    <mergeCell ref="C1584:E1584"/>
    <mergeCell ref="A1585:B1587"/>
    <mergeCell ref="D1585:G1585"/>
    <mergeCell ref="D1586:G1586"/>
    <mergeCell ref="A1588:B1588"/>
    <mergeCell ref="A1589:B1589"/>
    <mergeCell ref="A1590:B1590"/>
    <mergeCell ref="C1590:G1590"/>
    <mergeCell ref="A1591:B1591"/>
    <mergeCell ref="C1591:G1591"/>
    <mergeCell ref="A1592:B1592"/>
    <mergeCell ref="C1592:G1592"/>
    <mergeCell ref="A1593:G1593"/>
    <mergeCell ref="A1595:B1595"/>
    <mergeCell ref="C1595:E1595"/>
    <mergeCell ref="A1596:A1598"/>
    <mergeCell ref="C1596:G1596"/>
    <mergeCell ref="C1597:G1597"/>
    <mergeCell ref="C1598:E1598"/>
    <mergeCell ref="A1599:B1599"/>
    <mergeCell ref="C1599:E1599"/>
    <mergeCell ref="A1600:B1603"/>
    <mergeCell ref="D1600:E1600"/>
    <mergeCell ref="F1600:G1600"/>
    <mergeCell ref="A1604:B1604"/>
    <mergeCell ref="A1605:B1605"/>
    <mergeCell ref="A1606:B1606"/>
    <mergeCell ref="C1606:E1606"/>
    <mergeCell ref="A1607:B1609"/>
    <mergeCell ref="D1607:G1607"/>
    <mergeCell ref="D1608:G1608"/>
    <mergeCell ref="A1610:B1610"/>
    <mergeCell ref="A1611:B1611"/>
    <mergeCell ref="A1612:B1612"/>
    <mergeCell ref="C1612:G1612"/>
    <mergeCell ref="A1613:B1613"/>
    <mergeCell ref="C1613:G1613"/>
    <mergeCell ref="A1614:B1614"/>
    <mergeCell ref="C1614:G1614"/>
    <mergeCell ref="A1615:G1615"/>
    <mergeCell ref="A1617:B1617"/>
    <mergeCell ref="C1617:E1617"/>
    <mergeCell ref="A1618:A1620"/>
    <mergeCell ref="C1618:G1618"/>
    <mergeCell ref="C1619:G1619"/>
    <mergeCell ref="C1620:E1620"/>
    <mergeCell ref="A1621:B1621"/>
    <mergeCell ref="C1621:E1621"/>
    <mergeCell ref="A1622:B1625"/>
    <mergeCell ref="D1622:E1622"/>
    <mergeCell ref="F1622:G1622"/>
    <mergeCell ref="A1626:B1626"/>
    <mergeCell ref="A1627:B1627"/>
    <mergeCell ref="A1628:B1628"/>
    <mergeCell ref="C1628:E1628"/>
    <mergeCell ref="A1629:B1631"/>
    <mergeCell ref="D1629:G1629"/>
    <mergeCell ref="D1630:G1630"/>
    <mergeCell ref="A1632:B1632"/>
    <mergeCell ref="A1633:B1633"/>
    <mergeCell ref="A1634:B1634"/>
    <mergeCell ref="C1634:G1634"/>
    <mergeCell ref="A1635:B1635"/>
    <mergeCell ref="C1635:G1635"/>
    <mergeCell ref="A1636:B1636"/>
    <mergeCell ref="C1636:G1636"/>
    <mergeCell ref="A1637:G1637"/>
    <mergeCell ref="A1639:B1639"/>
    <mergeCell ref="C1639:E1639"/>
    <mergeCell ref="A1640:A1642"/>
    <mergeCell ref="C1640:G1640"/>
    <mergeCell ref="C1641:G1641"/>
    <mergeCell ref="C1642:E1642"/>
    <mergeCell ref="A1643:B1643"/>
    <mergeCell ref="C1643:E1643"/>
    <mergeCell ref="A1644:B1647"/>
    <mergeCell ref="D1644:E1644"/>
    <mergeCell ref="F1644:G1644"/>
    <mergeCell ref="A1648:B1648"/>
    <mergeCell ref="A1649:B1649"/>
    <mergeCell ref="A1650:B1650"/>
    <mergeCell ref="C1650:E1650"/>
    <mergeCell ref="A1651:B1653"/>
    <mergeCell ref="D1651:G1651"/>
    <mergeCell ref="D1652:G1652"/>
    <mergeCell ref="A1654:B1654"/>
    <mergeCell ref="A1655:B1655"/>
    <mergeCell ref="A1656:B1656"/>
    <mergeCell ref="C1656:G1656"/>
    <mergeCell ref="A1657:B1657"/>
    <mergeCell ref="C1657:G1657"/>
    <mergeCell ref="A1658:B1658"/>
    <mergeCell ref="C1658:G1658"/>
    <mergeCell ref="A1659:G1659"/>
    <mergeCell ref="A1661:B1661"/>
    <mergeCell ref="C1661:E1661"/>
    <mergeCell ref="A1662:A1664"/>
    <mergeCell ref="C1662:G1662"/>
    <mergeCell ref="C1663:G1663"/>
    <mergeCell ref="C1664:E1664"/>
    <mergeCell ref="A1665:B1665"/>
    <mergeCell ref="C1665:E1665"/>
    <mergeCell ref="A1666:B1669"/>
    <mergeCell ref="D1666:E1666"/>
    <mergeCell ref="F1666:G1666"/>
    <mergeCell ref="A1670:B1670"/>
    <mergeCell ref="A1671:B1671"/>
    <mergeCell ref="A1672:B1672"/>
    <mergeCell ref="C1672:E1672"/>
    <mergeCell ref="A1673:B1675"/>
    <mergeCell ref="D1673:G1673"/>
    <mergeCell ref="D1674:G1674"/>
    <mergeCell ref="A1676:B1676"/>
    <mergeCell ref="A1677:B1677"/>
    <mergeCell ref="A1678:B1678"/>
    <mergeCell ref="C1678:G1678"/>
    <mergeCell ref="A1679:B1679"/>
    <mergeCell ref="C1679:G1679"/>
    <mergeCell ref="A1680:B1680"/>
    <mergeCell ref="C1680:G1680"/>
    <mergeCell ref="A1681:G1681"/>
    <mergeCell ref="A1683:B1683"/>
    <mergeCell ref="C1683:E1683"/>
    <mergeCell ref="A1684:A1686"/>
    <mergeCell ref="C1684:G1684"/>
    <mergeCell ref="C1685:G1685"/>
    <mergeCell ref="C1686:E1686"/>
    <mergeCell ref="A1687:B1687"/>
    <mergeCell ref="C1687:E1687"/>
    <mergeCell ref="A1688:B1691"/>
    <mergeCell ref="D1688:E1688"/>
    <mergeCell ref="F1688:G1688"/>
    <mergeCell ref="A1692:B1692"/>
    <mergeCell ref="A1693:B1693"/>
    <mergeCell ref="A1694:B1694"/>
    <mergeCell ref="C1694:E1694"/>
    <mergeCell ref="A1695:B1697"/>
    <mergeCell ref="D1695:G1695"/>
    <mergeCell ref="D1696:G1696"/>
    <mergeCell ref="A1698:B1698"/>
    <mergeCell ref="A1699:B1699"/>
    <mergeCell ref="A1700:B1700"/>
    <mergeCell ref="C1700:G1700"/>
    <mergeCell ref="A1701:B1701"/>
    <mergeCell ref="C1701:G1701"/>
    <mergeCell ref="A1702:B1702"/>
    <mergeCell ref="C1702:G1702"/>
    <mergeCell ref="A1703:G1703"/>
    <mergeCell ref="A1705:B1705"/>
    <mergeCell ref="C1705:E1705"/>
    <mergeCell ref="A1706:A1708"/>
    <mergeCell ref="C1706:G1706"/>
    <mergeCell ref="C1707:G1707"/>
    <mergeCell ref="C1708:E1708"/>
    <mergeCell ref="A1709:B1709"/>
    <mergeCell ref="C1709:E1709"/>
    <mergeCell ref="A1710:B1713"/>
    <mergeCell ref="D1710:E1710"/>
    <mergeCell ref="F1710:G1710"/>
    <mergeCell ref="A1714:B1714"/>
    <mergeCell ref="A1715:B1715"/>
    <mergeCell ref="A1716:B1716"/>
    <mergeCell ref="C1716:E1716"/>
    <mergeCell ref="A1717:B1719"/>
    <mergeCell ref="D1717:G1717"/>
    <mergeCell ref="D1718:G1718"/>
    <mergeCell ref="A1720:B1720"/>
    <mergeCell ref="A1721:B1721"/>
    <mergeCell ref="A1722:B1722"/>
    <mergeCell ref="C1722:G1722"/>
    <mergeCell ref="A1723:B1723"/>
    <mergeCell ref="C1723:G1723"/>
    <mergeCell ref="A1724:B1724"/>
    <mergeCell ref="C1724:G1724"/>
    <mergeCell ref="A1725:G1725"/>
    <mergeCell ref="A1727:B1727"/>
    <mergeCell ref="C1727:E1727"/>
    <mergeCell ref="A1728:A1730"/>
    <mergeCell ref="C1728:G1728"/>
    <mergeCell ref="C1729:G1729"/>
    <mergeCell ref="C1730:E1730"/>
    <mergeCell ref="A1731:B1731"/>
    <mergeCell ref="C1731:E1731"/>
    <mergeCell ref="A1732:B1735"/>
    <mergeCell ref="D1732:E1732"/>
    <mergeCell ref="F1732:G1732"/>
    <mergeCell ref="A1736:B1736"/>
    <mergeCell ref="A1737:B1737"/>
    <mergeCell ref="A1738:B1738"/>
    <mergeCell ref="C1738:E1738"/>
    <mergeCell ref="A1739:B1741"/>
    <mergeCell ref="D1739:G1739"/>
    <mergeCell ref="D1740:G1740"/>
    <mergeCell ref="A1742:B1742"/>
    <mergeCell ref="A1743:B1743"/>
    <mergeCell ref="A1744:B1744"/>
    <mergeCell ref="C1744:G1744"/>
    <mergeCell ref="A1745:B1745"/>
    <mergeCell ref="C1745:G1745"/>
    <mergeCell ref="A1746:B1746"/>
    <mergeCell ref="C1746:G1746"/>
    <mergeCell ref="A1747:G1747"/>
    <mergeCell ref="A1749:B1749"/>
    <mergeCell ref="C1749:E1749"/>
    <mergeCell ref="A1750:A1752"/>
    <mergeCell ref="C1750:G1750"/>
    <mergeCell ref="C1751:G1751"/>
    <mergeCell ref="C1752:E1752"/>
    <mergeCell ref="A1753:B1753"/>
    <mergeCell ref="C1753:E1753"/>
    <mergeCell ref="A1754:B1757"/>
    <mergeCell ref="D1754:E1754"/>
    <mergeCell ref="F1754:G1754"/>
    <mergeCell ref="A1758:B1758"/>
    <mergeCell ref="A1759:B1759"/>
    <mergeCell ref="A1760:B1760"/>
    <mergeCell ref="C1760:E1760"/>
    <mergeCell ref="A1761:B1763"/>
    <mergeCell ref="D1761:G1761"/>
    <mergeCell ref="D1762:G1762"/>
    <mergeCell ref="A1764:B1764"/>
    <mergeCell ref="A1765:B1765"/>
    <mergeCell ref="A1766:B1766"/>
    <mergeCell ref="C1766:G1766"/>
    <mergeCell ref="A1767:B1767"/>
    <mergeCell ref="C1767:G1767"/>
    <mergeCell ref="A1768:B1768"/>
    <mergeCell ref="C1768:G1768"/>
    <mergeCell ref="A1769:G1769"/>
    <mergeCell ref="A1771:B1771"/>
    <mergeCell ref="C1771:E1771"/>
    <mergeCell ref="A1772:A1774"/>
    <mergeCell ref="C1772:G1772"/>
    <mergeCell ref="C1773:G1773"/>
    <mergeCell ref="C1774:E1774"/>
    <mergeCell ref="A1775:B1775"/>
    <mergeCell ref="C1775:E1775"/>
    <mergeCell ref="A1776:B1779"/>
    <mergeCell ref="D1776:E1776"/>
    <mergeCell ref="F1776:G1776"/>
    <mergeCell ref="A1780:B1780"/>
    <mergeCell ref="A1781:B1781"/>
    <mergeCell ref="A1782:B1782"/>
    <mergeCell ref="C1782:E1782"/>
    <mergeCell ref="A1783:B1785"/>
    <mergeCell ref="D1783:G1783"/>
    <mergeCell ref="D1784:G1784"/>
    <mergeCell ref="A1786:B1786"/>
    <mergeCell ref="A1787:B1787"/>
    <mergeCell ref="A1788:B1788"/>
    <mergeCell ref="C1788:G1788"/>
    <mergeCell ref="A1789:B1789"/>
    <mergeCell ref="C1789:G1789"/>
    <mergeCell ref="A1790:B1790"/>
    <mergeCell ref="C1790:G1790"/>
    <mergeCell ref="A1791:G1791"/>
    <mergeCell ref="A1793:B1793"/>
    <mergeCell ref="C1793:E1793"/>
    <mergeCell ref="A1794:A1796"/>
    <mergeCell ref="C1794:G1794"/>
    <mergeCell ref="C1795:G1795"/>
    <mergeCell ref="C1796:E1796"/>
    <mergeCell ref="A1797:B1797"/>
    <mergeCell ref="C1797:E1797"/>
    <mergeCell ref="A1798:B1801"/>
    <mergeCell ref="D1798:E1798"/>
    <mergeCell ref="F1798:G1798"/>
    <mergeCell ref="A1802:B1802"/>
    <mergeCell ref="A1803:B1803"/>
    <mergeCell ref="A1804:B1804"/>
    <mergeCell ref="C1804:E1804"/>
    <mergeCell ref="A1805:B1807"/>
    <mergeCell ref="D1805:G1805"/>
    <mergeCell ref="D1807:G1807"/>
    <mergeCell ref="A1808:B1808"/>
    <mergeCell ref="A1809:B1809"/>
    <mergeCell ref="A1810:B1810"/>
    <mergeCell ref="C1810:G1810"/>
    <mergeCell ref="A1811:B1811"/>
    <mergeCell ref="C1811:G1811"/>
    <mergeCell ref="A1812:B1812"/>
    <mergeCell ref="C1812:G1812"/>
    <mergeCell ref="A1813:G1813"/>
    <mergeCell ref="A1815:B1815"/>
    <mergeCell ref="C1815:E1815"/>
    <mergeCell ref="A1816:A1818"/>
    <mergeCell ref="C1816:G1816"/>
    <mergeCell ref="C1817:G1817"/>
    <mergeCell ref="C1818:E1818"/>
    <mergeCell ref="A1819:B1819"/>
    <mergeCell ref="C1819:E1819"/>
    <mergeCell ref="A1820:B1823"/>
    <mergeCell ref="D1820:E1820"/>
    <mergeCell ref="F1820:G1820"/>
    <mergeCell ref="A1824:B1824"/>
    <mergeCell ref="A1825:B1825"/>
    <mergeCell ref="A1826:B1826"/>
    <mergeCell ref="C1826:E1826"/>
    <mergeCell ref="A1827:B1829"/>
    <mergeCell ref="D1827:G1827"/>
    <mergeCell ref="D1828:G1828"/>
    <mergeCell ref="A1830:B1830"/>
    <mergeCell ref="A1831:B1831"/>
    <mergeCell ref="A1832:B1832"/>
    <mergeCell ref="C1832:G1832"/>
    <mergeCell ref="A1833:B1833"/>
    <mergeCell ref="C1833:G1833"/>
    <mergeCell ref="A1834:B1834"/>
    <mergeCell ref="C1834:G1834"/>
    <mergeCell ref="A1835:G1835"/>
    <mergeCell ref="A1837:B1837"/>
    <mergeCell ref="C1837:E1837"/>
    <mergeCell ref="A1838:A1840"/>
    <mergeCell ref="C1838:G1838"/>
    <mergeCell ref="C1839:G1839"/>
    <mergeCell ref="C1840:E1840"/>
    <mergeCell ref="A1841:B1841"/>
    <mergeCell ref="C1841:E1841"/>
    <mergeCell ref="A1842:B1845"/>
    <mergeCell ref="D1842:E1842"/>
    <mergeCell ref="F1842:G1842"/>
    <mergeCell ref="A1846:B1846"/>
    <mergeCell ref="A1847:B1847"/>
    <mergeCell ref="A1848:B1848"/>
    <mergeCell ref="C1848:E1848"/>
    <mergeCell ref="A1849:B1851"/>
    <mergeCell ref="D1849:G1849"/>
    <mergeCell ref="D1850:G1850"/>
    <mergeCell ref="A1852:B1852"/>
    <mergeCell ref="A1853:B1853"/>
    <mergeCell ref="A1854:B1854"/>
    <mergeCell ref="C1854:G1854"/>
    <mergeCell ref="A1855:B1855"/>
    <mergeCell ref="C1855:G1855"/>
    <mergeCell ref="A1856:B1856"/>
    <mergeCell ref="C1856:G1856"/>
    <mergeCell ref="A1857:G1857"/>
    <mergeCell ref="A1859:B1859"/>
    <mergeCell ref="C1859:E1859"/>
    <mergeCell ref="A1860:A1862"/>
    <mergeCell ref="C1860:G1860"/>
    <mergeCell ref="C1861:G1861"/>
    <mergeCell ref="C1862:E1862"/>
    <mergeCell ref="A1863:B1863"/>
    <mergeCell ref="C1863:E1863"/>
    <mergeCell ref="A1864:B1867"/>
    <mergeCell ref="D1864:E1864"/>
    <mergeCell ref="F1864:G1864"/>
    <mergeCell ref="A1868:B1868"/>
    <mergeCell ref="A1869:B1869"/>
    <mergeCell ref="A1870:B1870"/>
    <mergeCell ref="C1870:E1870"/>
    <mergeCell ref="A1871:B1873"/>
    <mergeCell ref="D1871:G1871"/>
    <mergeCell ref="D1872:G1872"/>
    <mergeCell ref="A1874:B1874"/>
    <mergeCell ref="A1875:B1875"/>
    <mergeCell ref="A1876:B1876"/>
    <mergeCell ref="C1876:G1876"/>
    <mergeCell ref="A1877:B1877"/>
    <mergeCell ref="C1877:G1877"/>
    <mergeCell ref="A1878:B1878"/>
    <mergeCell ref="C1878:G1878"/>
    <mergeCell ref="A1879:G1879"/>
    <mergeCell ref="A1881:B1881"/>
    <mergeCell ref="C1881:E1881"/>
    <mergeCell ref="A1882:A1884"/>
    <mergeCell ref="C1882:G1882"/>
    <mergeCell ref="C1883:G1883"/>
    <mergeCell ref="C1884:E1884"/>
    <mergeCell ref="A1885:B1885"/>
    <mergeCell ref="C1885:E1885"/>
    <mergeCell ref="A1886:B1889"/>
    <mergeCell ref="D1886:E1886"/>
    <mergeCell ref="F1886:G1886"/>
    <mergeCell ref="A1890:B1890"/>
    <mergeCell ref="A1891:B1891"/>
    <mergeCell ref="A1892:B1892"/>
    <mergeCell ref="C1892:E1892"/>
    <mergeCell ref="A1893:B1895"/>
    <mergeCell ref="D1893:G1893"/>
    <mergeCell ref="D1894:G1894"/>
    <mergeCell ref="A1896:B1896"/>
    <mergeCell ref="A1897:B1897"/>
    <mergeCell ref="A1898:B1898"/>
    <mergeCell ref="C1898:G1898"/>
    <mergeCell ref="A1899:B1899"/>
    <mergeCell ref="C1899:G1899"/>
    <mergeCell ref="A1900:B1900"/>
    <mergeCell ref="C1900:G1900"/>
    <mergeCell ref="A1901:G1901"/>
    <mergeCell ref="A1903:B1903"/>
    <mergeCell ref="C1903:E1903"/>
    <mergeCell ref="A1904:A1906"/>
    <mergeCell ref="C1904:G1904"/>
    <mergeCell ref="C1905:G1905"/>
    <mergeCell ref="C1906:E1906"/>
    <mergeCell ref="A1907:B1907"/>
    <mergeCell ref="C1907:E1907"/>
    <mergeCell ref="A1908:B1911"/>
    <mergeCell ref="D1908:E1908"/>
    <mergeCell ref="F1908:G1908"/>
    <mergeCell ref="A1912:B1912"/>
    <mergeCell ref="A1913:B1913"/>
    <mergeCell ref="A1914:B1914"/>
    <mergeCell ref="C1914:E1914"/>
    <mergeCell ref="A1915:B1917"/>
    <mergeCell ref="D1915:G1915"/>
    <mergeCell ref="D1917:G1917"/>
    <mergeCell ref="A1918:B1918"/>
    <mergeCell ref="A1919:B1919"/>
    <mergeCell ref="A1920:B1920"/>
    <mergeCell ref="C1920:G1920"/>
    <mergeCell ref="A1921:B1921"/>
    <mergeCell ref="C1921:G1921"/>
    <mergeCell ref="A1922:B1922"/>
    <mergeCell ref="C1922:G1922"/>
    <mergeCell ref="A1923:G1923"/>
    <mergeCell ref="A1925:B1925"/>
    <mergeCell ref="C1925:E1925"/>
    <mergeCell ref="A1926:A1928"/>
    <mergeCell ref="C1926:G1926"/>
    <mergeCell ref="C1927:G1927"/>
    <mergeCell ref="C1928:E1928"/>
    <mergeCell ref="A1929:B1929"/>
    <mergeCell ref="C1929:E1929"/>
    <mergeCell ref="A1930:B1933"/>
    <mergeCell ref="D1930:E1930"/>
    <mergeCell ref="F1930:G1930"/>
    <mergeCell ref="A1934:B1934"/>
    <mergeCell ref="A1935:B1935"/>
    <mergeCell ref="A1936:B1936"/>
    <mergeCell ref="C1936:E1936"/>
    <mergeCell ref="A1937:B1939"/>
    <mergeCell ref="D1937:G1937"/>
    <mergeCell ref="D1938:G1938"/>
    <mergeCell ref="A1940:B1940"/>
    <mergeCell ref="A1941:B1941"/>
    <mergeCell ref="A1942:B1942"/>
    <mergeCell ref="C1942:G1942"/>
    <mergeCell ref="A1943:B1943"/>
    <mergeCell ref="C1943:G1943"/>
    <mergeCell ref="A1944:B1944"/>
    <mergeCell ref="C1944:G1944"/>
    <mergeCell ref="A1945:G1945"/>
    <mergeCell ref="A1947:B1947"/>
    <mergeCell ref="C1947:E1947"/>
    <mergeCell ref="A1948:A1950"/>
    <mergeCell ref="C1948:G1948"/>
    <mergeCell ref="C1949:G1949"/>
    <mergeCell ref="C1950:E1950"/>
    <mergeCell ref="A1951:B1951"/>
    <mergeCell ref="C1951:E1951"/>
    <mergeCell ref="A1952:B1955"/>
    <mergeCell ref="D1952:E1952"/>
    <mergeCell ref="F1952:G1952"/>
    <mergeCell ref="A1956:B1956"/>
    <mergeCell ref="A1957:B1957"/>
    <mergeCell ref="A1958:B1958"/>
    <mergeCell ref="C1958:E1958"/>
    <mergeCell ref="A1959:B1961"/>
    <mergeCell ref="D1959:G1959"/>
    <mergeCell ref="D1960:G1960"/>
    <mergeCell ref="A1962:B1962"/>
    <mergeCell ref="A1963:B1963"/>
    <mergeCell ref="A1964:B1964"/>
    <mergeCell ref="C1964:G1964"/>
    <mergeCell ref="A1965:B1965"/>
    <mergeCell ref="C1965:G1965"/>
    <mergeCell ref="A1966:B1966"/>
    <mergeCell ref="C1966:G1966"/>
    <mergeCell ref="A1967:G1967"/>
    <mergeCell ref="A1969:B1969"/>
    <mergeCell ref="C1969:E1969"/>
    <mergeCell ref="A1970:A1972"/>
    <mergeCell ref="C1970:G1970"/>
    <mergeCell ref="C1971:G1971"/>
    <mergeCell ref="C1972:E1972"/>
    <mergeCell ref="A1973:B1973"/>
    <mergeCell ref="C1973:E1973"/>
    <mergeCell ref="A1974:B1977"/>
    <mergeCell ref="D1974:E1974"/>
    <mergeCell ref="F1974:G1974"/>
    <mergeCell ref="A1978:B1978"/>
    <mergeCell ref="A1979:B1979"/>
    <mergeCell ref="A1980:B1980"/>
    <mergeCell ref="C1980:E1980"/>
    <mergeCell ref="A1981:B1983"/>
    <mergeCell ref="D1981:G1981"/>
    <mergeCell ref="D1982:G1982"/>
    <mergeCell ref="A1984:B1984"/>
    <mergeCell ref="A1985:B1985"/>
    <mergeCell ref="A1986:B1986"/>
    <mergeCell ref="C1986:G1986"/>
    <mergeCell ref="A1987:B1987"/>
    <mergeCell ref="C1987:G1987"/>
    <mergeCell ref="A1988:B1988"/>
    <mergeCell ref="C1988:G1988"/>
    <mergeCell ref="A1989:G1989"/>
    <mergeCell ref="A1991:B1991"/>
    <mergeCell ref="C1991:E1991"/>
    <mergeCell ref="A1992:A1994"/>
    <mergeCell ref="C1992:G1992"/>
    <mergeCell ref="C1993:G1993"/>
    <mergeCell ref="C1994:E1994"/>
    <mergeCell ref="A1995:B1995"/>
    <mergeCell ref="C1995:E1995"/>
    <mergeCell ref="A1996:B1999"/>
    <mergeCell ref="D1996:E1996"/>
    <mergeCell ref="F1996:G1996"/>
    <mergeCell ref="A2000:B2000"/>
    <mergeCell ref="A2001:B2001"/>
    <mergeCell ref="A2002:B2002"/>
    <mergeCell ref="C2002:E2002"/>
    <mergeCell ref="A2003:B2005"/>
    <mergeCell ref="D2003:G2003"/>
    <mergeCell ref="D2004:G2004"/>
    <mergeCell ref="A2006:B2006"/>
    <mergeCell ref="A2007:B2007"/>
    <mergeCell ref="A2008:B2008"/>
    <mergeCell ref="C2008:G2008"/>
    <mergeCell ref="A2009:B2009"/>
    <mergeCell ref="C2009:G2009"/>
    <mergeCell ref="A2010:B2010"/>
    <mergeCell ref="C2010:G2010"/>
    <mergeCell ref="A2011:G2011"/>
    <mergeCell ref="A2013:B2013"/>
    <mergeCell ref="C2013:E2013"/>
    <mergeCell ref="A2014:A2016"/>
    <mergeCell ref="C2014:G2014"/>
    <mergeCell ref="C2015:G2015"/>
    <mergeCell ref="C2016:E2016"/>
    <mergeCell ref="A2017:B2017"/>
    <mergeCell ref="C2017:E2017"/>
    <mergeCell ref="A2018:B2021"/>
    <mergeCell ref="D2018:E2018"/>
    <mergeCell ref="F2018:G2018"/>
    <mergeCell ref="A2022:B2022"/>
    <mergeCell ref="A2023:B2023"/>
    <mergeCell ref="A2024:B2024"/>
    <mergeCell ref="C2024:E2024"/>
    <mergeCell ref="A2025:B2027"/>
    <mergeCell ref="D2025:G2025"/>
    <mergeCell ref="D2026:G2026"/>
    <mergeCell ref="A2028:B2028"/>
    <mergeCell ref="A2029:B2029"/>
    <mergeCell ref="A2030:B2030"/>
    <mergeCell ref="C2030:G2030"/>
    <mergeCell ref="A2031:B2031"/>
    <mergeCell ref="C2031:G2031"/>
    <mergeCell ref="A2032:B2032"/>
    <mergeCell ref="C2032:G2032"/>
    <mergeCell ref="A2033:G2033"/>
    <mergeCell ref="A2035:B2035"/>
    <mergeCell ref="C2035:E2035"/>
    <mergeCell ref="A2036:A2038"/>
    <mergeCell ref="C2036:G2036"/>
    <mergeCell ref="C2037:G2037"/>
    <mergeCell ref="C2038:E2038"/>
    <mergeCell ref="A2039:B2039"/>
    <mergeCell ref="C2039:E2039"/>
    <mergeCell ref="A2040:B2043"/>
    <mergeCell ref="D2040:E2040"/>
    <mergeCell ref="F2040:G2040"/>
    <mergeCell ref="A2044:B2044"/>
    <mergeCell ref="A2045:B2045"/>
    <mergeCell ref="A2046:B2046"/>
    <mergeCell ref="C2046:E2046"/>
    <mergeCell ref="A2047:B2049"/>
    <mergeCell ref="D2047:G2047"/>
    <mergeCell ref="D2048:G2048"/>
    <mergeCell ref="A2050:B2050"/>
    <mergeCell ref="A2051:B2051"/>
    <mergeCell ref="A2052:B2052"/>
    <mergeCell ref="C2052:G2052"/>
    <mergeCell ref="A2053:B2053"/>
    <mergeCell ref="C2053:G2053"/>
    <mergeCell ref="A2054:B2054"/>
    <mergeCell ref="C2054:G2054"/>
    <mergeCell ref="A2055:G2055"/>
    <mergeCell ref="A2057:B2057"/>
    <mergeCell ref="C2057:E2057"/>
    <mergeCell ref="A2058:A2060"/>
    <mergeCell ref="C2058:G2058"/>
    <mergeCell ref="C2059:G2059"/>
    <mergeCell ref="C2060:E2060"/>
    <mergeCell ref="A2061:B2061"/>
    <mergeCell ref="C2061:E2061"/>
    <mergeCell ref="A2062:B2065"/>
    <mergeCell ref="D2062:E2062"/>
    <mergeCell ref="F2062:G2062"/>
    <mergeCell ref="A2066:B2066"/>
    <mergeCell ref="A2067:B2067"/>
    <mergeCell ref="A2068:B2068"/>
    <mergeCell ref="C2068:E2068"/>
    <mergeCell ref="A2069:B2071"/>
    <mergeCell ref="D2069:G2069"/>
    <mergeCell ref="D2070:G2070"/>
    <mergeCell ref="A2072:B2072"/>
    <mergeCell ref="A2073:B2073"/>
    <mergeCell ref="A2074:B2074"/>
    <mergeCell ref="C2074:G2074"/>
    <mergeCell ref="A2075:B2075"/>
    <mergeCell ref="C2075:G2075"/>
    <mergeCell ref="A2076:B2076"/>
    <mergeCell ref="C2076:G2076"/>
    <mergeCell ref="A2077:G2077"/>
    <mergeCell ref="A2079:B2079"/>
    <mergeCell ref="C2079:E2079"/>
    <mergeCell ref="A2080:A2082"/>
    <mergeCell ref="C2080:G2080"/>
    <mergeCell ref="C2081:G2081"/>
    <mergeCell ref="C2082:E2082"/>
    <mergeCell ref="A2083:B2083"/>
    <mergeCell ref="C2083:E2083"/>
    <mergeCell ref="A2084:B2087"/>
    <mergeCell ref="D2084:E2084"/>
    <mergeCell ref="F2084:G2084"/>
    <mergeCell ref="A2088:B2088"/>
    <mergeCell ref="A2089:B2089"/>
    <mergeCell ref="A2090:B2090"/>
    <mergeCell ref="C2090:E2090"/>
    <mergeCell ref="A2091:B2093"/>
    <mergeCell ref="D2091:G2091"/>
    <mergeCell ref="D2093:G2093"/>
    <mergeCell ref="A2094:B2094"/>
    <mergeCell ref="A2095:B2095"/>
    <mergeCell ref="A2096:B2096"/>
    <mergeCell ref="C2096:G2096"/>
    <mergeCell ref="A2097:B2097"/>
    <mergeCell ref="C2097:G2097"/>
    <mergeCell ref="A2098:B2098"/>
    <mergeCell ref="C2098:G2098"/>
    <mergeCell ref="A2099:G2099"/>
    <mergeCell ref="A2101:B2101"/>
    <mergeCell ref="C2101:E2101"/>
    <mergeCell ref="A2102:A2104"/>
    <mergeCell ref="C2102:G2102"/>
    <mergeCell ref="C2103:G2103"/>
    <mergeCell ref="C2104:E2104"/>
    <mergeCell ref="A2105:B2105"/>
    <mergeCell ref="C2105:E2105"/>
    <mergeCell ref="A2106:B2109"/>
    <mergeCell ref="D2106:E2106"/>
    <mergeCell ref="F2106:G2106"/>
    <mergeCell ref="A2110:B2110"/>
    <mergeCell ref="A2111:B2111"/>
    <mergeCell ref="A2112:B2112"/>
    <mergeCell ref="C2112:E2112"/>
    <mergeCell ref="A2113:B2115"/>
    <mergeCell ref="D2113:G2113"/>
    <mergeCell ref="D2114:G2114"/>
    <mergeCell ref="A2116:B2116"/>
    <mergeCell ref="A2117:B2117"/>
    <mergeCell ref="A2118:B2118"/>
    <mergeCell ref="C2118:G2118"/>
    <mergeCell ref="A2119:B2119"/>
    <mergeCell ref="C2119:G2119"/>
    <mergeCell ref="A2120:B2120"/>
    <mergeCell ref="C2120:G2120"/>
    <mergeCell ref="A2121:G2121"/>
    <mergeCell ref="A2123:B2123"/>
    <mergeCell ref="C2123:E2123"/>
    <mergeCell ref="A2124:A2126"/>
    <mergeCell ref="C2124:G2124"/>
    <mergeCell ref="C2125:G2125"/>
    <mergeCell ref="C2126:E2126"/>
    <mergeCell ref="A2127:B2127"/>
    <mergeCell ref="C2127:E2127"/>
    <mergeCell ref="A2128:B2131"/>
    <mergeCell ref="D2128:E2128"/>
    <mergeCell ref="F2128:G2128"/>
    <mergeCell ref="A2132:B2132"/>
    <mergeCell ref="A2133:B2133"/>
    <mergeCell ref="A2134:B2134"/>
    <mergeCell ref="C2134:E2134"/>
    <mergeCell ref="A2135:B2137"/>
    <mergeCell ref="D2135:G2135"/>
    <mergeCell ref="D2136:G2136"/>
    <mergeCell ref="A2138:B2138"/>
    <mergeCell ref="A2139:B2139"/>
    <mergeCell ref="A2140:B2140"/>
    <mergeCell ref="C2140:G2140"/>
    <mergeCell ref="A2141:B2141"/>
    <mergeCell ref="C2141:G2141"/>
    <mergeCell ref="A2142:B2142"/>
    <mergeCell ref="C2142:G2142"/>
    <mergeCell ref="A2143:G2143"/>
    <mergeCell ref="A2145:B2145"/>
    <mergeCell ref="C2145:E2145"/>
    <mergeCell ref="A2146:A2148"/>
    <mergeCell ref="C2146:G2146"/>
    <mergeCell ref="C2147:G2147"/>
    <mergeCell ref="C2148:E2148"/>
    <mergeCell ref="A2149:B2149"/>
    <mergeCell ref="C2149:E2149"/>
    <mergeCell ref="A2150:B2153"/>
    <mergeCell ref="D2150:E2150"/>
    <mergeCell ref="F2150:G2150"/>
    <mergeCell ref="A2154:B2154"/>
    <mergeCell ref="A2155:B2155"/>
    <mergeCell ref="A2156:B2156"/>
    <mergeCell ref="C2156:E2156"/>
    <mergeCell ref="A2157:B2159"/>
    <mergeCell ref="D2157:G2157"/>
    <mergeCell ref="D2158:G2158"/>
    <mergeCell ref="A2160:B2160"/>
    <mergeCell ref="A2161:B2161"/>
    <mergeCell ref="A2162:B2162"/>
    <mergeCell ref="C2162:G2162"/>
    <mergeCell ref="A2163:B2163"/>
    <mergeCell ref="C2163:G2163"/>
    <mergeCell ref="A2164:B2164"/>
    <mergeCell ref="C2164:G2164"/>
    <mergeCell ref="A2165:G2165"/>
    <mergeCell ref="A2167:B2167"/>
    <mergeCell ref="C2167:E2167"/>
    <mergeCell ref="C2193:E2193"/>
    <mergeCell ref="A2194:B2197"/>
    <mergeCell ref="D2194:E2194"/>
    <mergeCell ref="F2194:G2194"/>
    <mergeCell ref="A2198:B2198"/>
    <mergeCell ref="A2199:B2199"/>
    <mergeCell ref="A2200:B2200"/>
    <mergeCell ref="C2200:E2200"/>
    <mergeCell ref="A2168:A2170"/>
    <mergeCell ref="C2168:G2168"/>
    <mergeCell ref="C2169:G2169"/>
    <mergeCell ref="C2170:E2170"/>
    <mergeCell ref="A2171:B2171"/>
    <mergeCell ref="C2171:E2171"/>
    <mergeCell ref="A2172:B2175"/>
    <mergeCell ref="D2172:E2172"/>
    <mergeCell ref="F2172:G2172"/>
    <mergeCell ref="A2176:B2176"/>
    <mergeCell ref="A2177:B2177"/>
    <mergeCell ref="A2178:B2178"/>
    <mergeCell ref="C2178:E2178"/>
    <mergeCell ref="A2179:B2181"/>
    <mergeCell ref="D2179:G2179"/>
    <mergeCell ref="D2180:G2180"/>
    <mergeCell ref="A2182:B2182"/>
    <mergeCell ref="A2229:B2229"/>
    <mergeCell ref="C2229:G2229"/>
    <mergeCell ref="A2201:B2203"/>
    <mergeCell ref="D2201:G2201"/>
    <mergeCell ref="D2202:G2202"/>
    <mergeCell ref="A2204:B2204"/>
    <mergeCell ref="A2205:B2205"/>
    <mergeCell ref="A2206:B2206"/>
    <mergeCell ref="C2206:G2206"/>
    <mergeCell ref="A2207:B2207"/>
    <mergeCell ref="C2207:G2207"/>
    <mergeCell ref="A2208:B2208"/>
    <mergeCell ref="C2208:G2208"/>
    <mergeCell ref="A2209:G2209"/>
    <mergeCell ref="A2211:B2211"/>
    <mergeCell ref="C2211:E2211"/>
    <mergeCell ref="A2212:A2214"/>
    <mergeCell ref="C2212:G2212"/>
    <mergeCell ref="C2213:G2213"/>
    <mergeCell ref="C2214:E2214"/>
    <mergeCell ref="D2216:E2216"/>
    <mergeCell ref="F2216:G2216"/>
    <mergeCell ref="A2220:B2220"/>
    <mergeCell ref="A2221:B2221"/>
    <mergeCell ref="A2222:B2222"/>
    <mergeCell ref="C2222:E2222"/>
    <mergeCell ref="A2223:B2225"/>
    <mergeCell ref="D2223:G2223"/>
    <mergeCell ref="D2224:G2224"/>
    <mergeCell ref="A2226:B2226"/>
    <mergeCell ref="A2227:B2227"/>
    <mergeCell ref="A2228:B2228"/>
    <mergeCell ref="C2228:G2228"/>
    <mergeCell ref="A2183:B2183"/>
    <mergeCell ref="A2184:B2184"/>
    <mergeCell ref="C2184:G2184"/>
    <mergeCell ref="A2185:B2185"/>
    <mergeCell ref="C2185:G2185"/>
    <mergeCell ref="A2186:B2186"/>
    <mergeCell ref="C2186:G2186"/>
    <mergeCell ref="A2187:G2187"/>
    <mergeCell ref="A2189:B2189"/>
    <mergeCell ref="C2189:E2189"/>
    <mergeCell ref="A2190:A2192"/>
    <mergeCell ref="C2190:G2190"/>
    <mergeCell ref="C2191:G2191"/>
    <mergeCell ref="C2192:E2192"/>
    <mergeCell ref="A2193:B2193"/>
    <mergeCell ref="A231:A233"/>
    <mergeCell ref="C231:G231"/>
    <mergeCell ref="C232:G232"/>
    <mergeCell ref="C233:E233"/>
    <mergeCell ref="A234:B234"/>
    <mergeCell ref="C234:E234"/>
    <mergeCell ref="A235:B238"/>
    <mergeCell ref="D235:E235"/>
    <mergeCell ref="F235:G235"/>
    <mergeCell ref="A247:B247"/>
    <mergeCell ref="C247:G247"/>
    <mergeCell ref="A248:B248"/>
    <mergeCell ref="C248:G248"/>
    <mergeCell ref="A239:B239"/>
    <mergeCell ref="A240:B240"/>
    <mergeCell ref="A241:B241"/>
    <mergeCell ref="A2230:B2230"/>
    <mergeCell ref="C2230:G2230"/>
    <mergeCell ref="A2215:B2215"/>
    <mergeCell ref="C2215:E2215"/>
    <mergeCell ref="A2216:B2219"/>
    <mergeCell ref="D286:G286"/>
    <mergeCell ref="D287:G287"/>
    <mergeCell ref="A289:B289"/>
    <mergeCell ref="A290:B290"/>
    <mergeCell ref="A275:A277"/>
    <mergeCell ref="C275:G275"/>
    <mergeCell ref="C276:G276"/>
    <mergeCell ref="C277:E277"/>
    <mergeCell ref="A278:B278"/>
    <mergeCell ref="C278:E278"/>
    <mergeCell ref="A279:B282"/>
    <mergeCell ref="A249:B249"/>
    <mergeCell ref="C249:G249"/>
    <mergeCell ref="A342:A344"/>
    <mergeCell ref="C342:G342"/>
    <mergeCell ref="C343:G343"/>
    <mergeCell ref="C344:E344"/>
    <mergeCell ref="A345:B345"/>
    <mergeCell ref="C345:E345"/>
    <mergeCell ref="A346:B349"/>
    <mergeCell ref="D346:E346"/>
    <mergeCell ref="F346:G346"/>
    <mergeCell ref="A339:G339"/>
    <mergeCell ref="A341:B341"/>
    <mergeCell ref="C341:E341"/>
    <mergeCell ref="D279:E279"/>
    <mergeCell ref="F279:G279"/>
    <mergeCell ref="A285:B285"/>
    <mergeCell ref="C285:E285"/>
    <mergeCell ref="C408:G408"/>
    <mergeCell ref="C409:G409"/>
    <mergeCell ref="C410:E410"/>
    <mergeCell ref="A411:B411"/>
    <mergeCell ref="C411:E411"/>
    <mergeCell ref="A412:B415"/>
    <mergeCell ref="D412:E412"/>
    <mergeCell ref="F412:G412"/>
    <mergeCell ref="A405:G405"/>
    <mergeCell ref="A407:B407"/>
    <mergeCell ref="C407:E407"/>
    <mergeCell ref="A424:B424"/>
    <mergeCell ref="C424:G424"/>
    <mergeCell ref="A425:B425"/>
    <mergeCell ref="C425:G425"/>
    <mergeCell ref="A383:G383"/>
    <mergeCell ref="A385:B385"/>
    <mergeCell ref="C385:E385"/>
    <mergeCell ref="D399:G399"/>
    <mergeCell ref="A400:B400"/>
    <mergeCell ref="A401:B401"/>
    <mergeCell ref="A364:A366"/>
    <mergeCell ref="C364:G364"/>
    <mergeCell ref="C365:G365"/>
    <mergeCell ref="C366:E366"/>
    <mergeCell ref="A367:B367"/>
    <mergeCell ref="C367:E367"/>
    <mergeCell ref="A368:B371"/>
    <mergeCell ref="D368:E368"/>
    <mergeCell ref="F368:G368"/>
    <mergeCell ref="A426:B426"/>
    <mergeCell ref="C426:G426"/>
    <mergeCell ref="A416:B416"/>
    <mergeCell ref="A417:B417"/>
    <mergeCell ref="A418:B418"/>
    <mergeCell ref="C418:E418"/>
    <mergeCell ref="A419:B421"/>
    <mergeCell ref="D419:G419"/>
    <mergeCell ref="D421:G421"/>
    <mergeCell ref="A422:B422"/>
    <mergeCell ref="A423:B423"/>
    <mergeCell ref="A386:A388"/>
    <mergeCell ref="C387:G387"/>
    <mergeCell ref="C388:E388"/>
    <mergeCell ref="A389:B389"/>
    <mergeCell ref="C389:E389"/>
    <mergeCell ref="A390:B393"/>
    <mergeCell ref="D390:E390"/>
    <mergeCell ref="F390:G390"/>
    <mergeCell ref="A402:B402"/>
    <mergeCell ref="C402:G402"/>
    <mergeCell ref="A403:B403"/>
    <mergeCell ref="C403:G403"/>
    <mergeCell ref="A404:B404"/>
    <mergeCell ref="C404:G404"/>
    <mergeCell ref="A394:B394"/>
    <mergeCell ref="A395:B395"/>
    <mergeCell ref="A396:B396"/>
    <mergeCell ref="C396:E396"/>
    <mergeCell ref="A397:B399"/>
    <mergeCell ref="D397:G397"/>
    <mergeCell ref="A361:G361"/>
    <mergeCell ref="A363:B363"/>
    <mergeCell ref="C363:E363"/>
    <mergeCell ref="A380:B380"/>
    <mergeCell ref="C380:G380"/>
    <mergeCell ref="A381:B381"/>
    <mergeCell ref="C381:G381"/>
    <mergeCell ref="A382:B382"/>
    <mergeCell ref="C382:G382"/>
    <mergeCell ref="A372:B372"/>
    <mergeCell ref="A373:B373"/>
    <mergeCell ref="A374:B374"/>
    <mergeCell ref="C374:E374"/>
    <mergeCell ref="A375:B377"/>
    <mergeCell ref="D375:G375"/>
    <mergeCell ref="D377:G377"/>
    <mergeCell ref="A378:B378"/>
    <mergeCell ref="A379:B379"/>
    <mergeCell ref="A599:B599"/>
    <mergeCell ref="A598:B598"/>
    <mergeCell ref="C594:E594"/>
    <mergeCell ref="D595:E595"/>
    <mergeCell ref="A587:B587"/>
    <mergeCell ref="C587:E587"/>
    <mergeCell ref="A588:B591"/>
    <mergeCell ref="D588:E588"/>
    <mergeCell ref="F588:G588"/>
    <mergeCell ref="A592:B592"/>
    <mergeCell ref="F595:G595"/>
    <mergeCell ref="A593:B593"/>
    <mergeCell ref="A594:B594"/>
    <mergeCell ref="A578:B578"/>
    <mergeCell ref="C578:G578"/>
    <mergeCell ref="A579:B579"/>
    <mergeCell ref="C579:G579"/>
    <mergeCell ref="A580:B580"/>
    <mergeCell ref="C580:G580"/>
    <mergeCell ref="A573:B575"/>
    <mergeCell ref="A561:B561"/>
    <mergeCell ref="C561:E561"/>
    <mergeCell ref="A562:A564"/>
    <mergeCell ref="C562:G562"/>
    <mergeCell ref="C563:G563"/>
    <mergeCell ref="C564:E564"/>
    <mergeCell ref="A559:G559"/>
    <mergeCell ref="A577:B577"/>
    <mergeCell ref="A576:B576"/>
    <mergeCell ref="C572:E572"/>
    <mergeCell ref="D573:E573"/>
    <mergeCell ref="A565:B565"/>
    <mergeCell ref="C565:E565"/>
    <mergeCell ref="A566:B569"/>
    <mergeCell ref="D566:E566"/>
    <mergeCell ref="F566:G566"/>
    <mergeCell ref="A570:B570"/>
    <mergeCell ref="F573:G573"/>
    <mergeCell ref="A571:B571"/>
    <mergeCell ref="A572:B572"/>
    <mergeCell ref="A556:B556"/>
    <mergeCell ref="C556:G556"/>
    <mergeCell ref="A557:B557"/>
    <mergeCell ref="C557:G557"/>
    <mergeCell ref="A558:B558"/>
    <mergeCell ref="C558:G558"/>
    <mergeCell ref="A551:B553"/>
    <mergeCell ref="A539:B539"/>
    <mergeCell ref="C539:E539"/>
    <mergeCell ref="A540:A542"/>
    <mergeCell ref="C540:G540"/>
    <mergeCell ref="C541:G541"/>
    <mergeCell ref="C542:E542"/>
    <mergeCell ref="A537:G537"/>
    <mergeCell ref="A555:B555"/>
    <mergeCell ref="A554:B554"/>
    <mergeCell ref="C550:E550"/>
    <mergeCell ref="D551:E551"/>
    <mergeCell ref="A543:B543"/>
    <mergeCell ref="C543:E543"/>
    <mergeCell ref="A544:B547"/>
    <mergeCell ref="D544:E544"/>
    <mergeCell ref="F544:G544"/>
    <mergeCell ref="A548:B548"/>
    <mergeCell ref="F551:G551"/>
    <mergeCell ref="A549:B549"/>
    <mergeCell ref="A550:B550"/>
    <mergeCell ref="A622:B622"/>
    <mergeCell ref="C622:G622"/>
    <mergeCell ref="A623:B623"/>
    <mergeCell ref="C623:G623"/>
    <mergeCell ref="A624:B624"/>
    <mergeCell ref="C624:G624"/>
    <mergeCell ref="A617:B619"/>
    <mergeCell ref="A605:B605"/>
    <mergeCell ref="C605:E605"/>
    <mergeCell ref="A606:A608"/>
    <mergeCell ref="C606:G606"/>
    <mergeCell ref="C607:G607"/>
    <mergeCell ref="C608:E608"/>
    <mergeCell ref="A603:G603"/>
    <mergeCell ref="A621:B621"/>
    <mergeCell ref="A620:B620"/>
    <mergeCell ref="C616:E616"/>
    <mergeCell ref="D617:E617"/>
    <mergeCell ref="A609:B609"/>
    <mergeCell ref="C609:E609"/>
    <mergeCell ref="A610:B613"/>
    <mergeCell ref="D610:E610"/>
    <mergeCell ref="F610:G610"/>
    <mergeCell ref="A614:B614"/>
    <mergeCell ref="F617:G617"/>
    <mergeCell ref="A615:B615"/>
    <mergeCell ref="A616:B616"/>
  </mergeCells>
  <phoneticPr fontId="27" type="noConversion"/>
  <printOptions horizontalCentered="1"/>
  <pageMargins left="0.2361111044883728" right="0.2361111044883728" top="0.74791663885116577" bottom="0.74791663885116577" header="0.31486111879348755" footer="0.31486111879348755"/>
  <pageSetup paperSize="9" scale="89" fitToHeight="0" orientation="portrait" r:id="rId1"/>
  <headerFooter>
    <oddFooter>&amp;C&amp;"맑은 고딕,Regular"&amp;P</oddFooter>
  </headerFooter>
  <rowBreaks count="100" manualBreakCount="100">
    <brk id="1" max="6" man="1"/>
    <brk id="23" max="6" man="1"/>
    <brk id="39" max="6" man="1"/>
    <brk id="55" max="6" man="1"/>
    <brk id="72" max="6" man="1"/>
    <brk id="95" max="6" man="1"/>
    <brk id="117" max="6" man="1"/>
    <brk id="139" max="6" man="1"/>
    <brk id="161" max="6" man="1"/>
    <brk id="183" max="6" man="1"/>
    <brk id="205" max="6" man="1"/>
    <brk id="227" max="6" man="1"/>
    <brk id="249" max="6" man="1"/>
    <brk id="271" max="6" man="1"/>
    <brk id="293" max="6" man="1"/>
    <brk id="315" max="6" man="1"/>
    <brk id="338" max="6" man="1"/>
    <brk id="360" max="6" man="1"/>
    <brk id="382" max="6" man="1"/>
    <brk id="404" max="6" man="1"/>
    <brk id="426" max="6" man="1"/>
    <brk id="448" max="6" man="1"/>
    <brk id="470" max="6" man="1"/>
    <brk id="492" max="6" man="1"/>
    <brk id="514" max="6" man="1"/>
    <brk id="536" max="6" man="1"/>
    <brk id="558" max="6" man="1"/>
    <brk id="580" max="6" man="1"/>
    <brk id="602" max="6" man="1"/>
    <brk id="624" max="6" man="1"/>
    <brk id="646" max="6" man="1"/>
    <brk id="668" max="6" man="1"/>
    <brk id="690" max="6" man="1"/>
    <brk id="712" max="6" man="1"/>
    <brk id="734" max="6" man="1"/>
    <brk id="756" max="6" man="1"/>
    <brk id="778" max="6" man="1"/>
    <brk id="800" max="6" man="1"/>
    <brk id="822" max="6" man="1"/>
    <brk id="844" max="6" man="1"/>
    <brk id="866" max="6" man="1"/>
    <brk id="888" max="6" man="1"/>
    <brk id="910" max="6" man="1"/>
    <brk id="932" max="6" man="1"/>
    <brk id="954" max="6" man="1"/>
    <brk id="976" max="6" man="1"/>
    <brk id="998" max="6" man="1"/>
    <brk id="1020" max="6" man="1"/>
    <brk id="1042" max="6" man="1"/>
    <brk id="1064" max="6" man="1"/>
    <brk id="1086" max="6" man="1"/>
    <brk id="1108" max="6" man="1"/>
    <brk id="1130" max="6" man="1"/>
    <brk id="1152" max="6" man="1"/>
    <brk id="1174" max="6" man="1"/>
    <brk id="1196" max="6" man="1"/>
    <brk id="1218" max="6" man="1"/>
    <brk id="1240" max="6" man="1"/>
    <brk id="1262" max="6" man="1"/>
    <brk id="1284" max="6" man="1"/>
    <brk id="1306" max="6" man="1"/>
    <brk id="1328" max="6" man="1"/>
    <brk id="1350" max="6" man="1"/>
    <brk id="1372" max="6" man="1"/>
    <brk id="1394" max="6" man="1"/>
    <brk id="1416" max="6" man="1"/>
    <brk id="1438" max="6" man="1"/>
    <brk id="1460" max="6" man="1"/>
    <brk id="1482" max="6" man="1"/>
    <brk id="1504" max="6" man="1"/>
    <brk id="1526" max="6" man="1"/>
    <brk id="1548" max="6" man="1"/>
    <brk id="1570" max="6" man="1"/>
    <brk id="1592" max="6" man="1"/>
    <brk id="1614" max="6" man="1"/>
    <brk id="1636" max="6" man="1"/>
    <brk id="1658" max="6" man="1"/>
    <brk id="1680" max="6" man="1"/>
    <brk id="1702" max="6" man="1"/>
    <brk id="1724" max="6" man="1"/>
    <brk id="1746" max="6" man="1"/>
    <brk id="1768" max="6" man="1"/>
    <brk id="1790" max="6" man="1"/>
    <brk id="1812" max="6" man="1"/>
    <brk id="1834" max="6" man="1"/>
    <brk id="1856" max="6" man="1"/>
    <brk id="1878" max="6" man="1"/>
    <brk id="1900" max="6" man="1"/>
    <brk id="1922" max="6" man="1"/>
    <brk id="1944" max="6" man="1"/>
    <brk id="1966" max="6" man="1"/>
    <brk id="1988" max="6" man="1"/>
    <brk id="2010" max="6" man="1"/>
    <brk id="2032" max="6" man="1"/>
    <brk id="2054" max="6" man="1"/>
    <brk id="2076" max="6" man="1"/>
    <brk id="2098" max="6" man="1"/>
    <brk id="2120" max="6" man="1"/>
    <brk id="2142" max="6" man="1"/>
    <brk id="2164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37"/>
  <sheetViews>
    <sheetView view="pageBreakPreview" topLeftCell="A7" zoomScaleNormal="97" zoomScaleSheetLayoutView="100" workbookViewId="0">
      <selection activeCell="E9" sqref="E9:E28"/>
    </sheetView>
  </sheetViews>
  <sheetFormatPr defaultColWidth="8.88671875" defaultRowHeight="18.95" customHeight="1"/>
  <cols>
    <col min="1" max="1" width="4.5546875" style="1" customWidth="1"/>
    <col min="2" max="2" width="5.77734375" style="1" customWidth="1"/>
    <col min="3" max="3" width="3.33203125" style="1" customWidth="1"/>
    <col min="4" max="4" width="15.77734375" style="1" customWidth="1"/>
    <col min="5" max="5" width="26.77734375" style="9" customWidth="1"/>
    <col min="6" max="6" width="15.5546875" style="1" customWidth="1"/>
    <col min="7" max="7" width="15.77734375" style="1" customWidth="1"/>
    <col min="8" max="8" width="35.5546875" style="1" customWidth="1"/>
    <col min="9" max="9" width="10.109375" style="1" customWidth="1"/>
    <col min="10" max="10" width="10.21875" style="1" bestFit="1" customWidth="1"/>
    <col min="11" max="12" width="11.33203125" style="1" bestFit="1" customWidth="1"/>
    <col min="13" max="16384" width="8.88671875" style="1"/>
  </cols>
  <sheetData>
    <row r="1" spans="1:10" ht="399.95" customHeight="1">
      <c r="A1" s="504" t="str">
        <f>A2</f>
        <v>8. 벌금 · 조세채권자의 목록 총괄표</v>
      </c>
      <c r="B1" s="504"/>
      <c r="C1" s="504"/>
      <c r="D1" s="504"/>
      <c r="E1" s="504"/>
      <c r="F1" s="504"/>
      <c r="G1" s="504"/>
      <c r="H1" s="504"/>
    </row>
    <row r="2" spans="1:10" ht="30" customHeight="1">
      <c r="A2" s="582" t="s">
        <v>5</v>
      </c>
      <c r="B2" s="582"/>
      <c r="C2" s="582"/>
      <c r="D2" s="582"/>
      <c r="E2" s="582"/>
      <c r="F2" s="582"/>
      <c r="G2" s="582"/>
      <c r="H2" s="582"/>
    </row>
    <row r="3" spans="1:10" s="35" customFormat="1" ht="21" customHeight="1">
      <c r="A3" s="33" t="str">
        <f>"채무자: "&amp;표지!$O$5</f>
        <v>채무자: ○○○○ 주식회사</v>
      </c>
      <c r="B3" s="33"/>
      <c r="C3" s="33"/>
      <c r="D3" s="33"/>
      <c r="E3" s="33"/>
      <c r="F3" s="33"/>
      <c r="G3" s="33"/>
      <c r="H3" s="34" t="s">
        <v>149</v>
      </c>
    </row>
    <row r="4" spans="1:10" s="5" customFormat="1" ht="21" customHeight="1">
      <c r="A4" s="176" t="s">
        <v>21</v>
      </c>
      <c r="B4" s="595" t="s">
        <v>125</v>
      </c>
      <c r="C4" s="596"/>
      <c r="D4" s="108" t="s">
        <v>240</v>
      </c>
      <c r="E4" s="108" t="s">
        <v>250</v>
      </c>
      <c r="F4" s="204" t="s">
        <v>137</v>
      </c>
      <c r="G4" s="108" t="s">
        <v>253</v>
      </c>
      <c r="H4" s="109" t="s">
        <v>19</v>
      </c>
    </row>
    <row r="5" spans="1:10" s="5" customFormat="1" ht="18" customHeight="1">
      <c r="A5" s="487">
        <v>1</v>
      </c>
      <c r="B5" s="515" t="s">
        <v>290</v>
      </c>
      <c r="C5" s="581" t="s">
        <v>432</v>
      </c>
      <c r="D5" s="492" t="s">
        <v>486</v>
      </c>
      <c r="E5" s="492" t="s">
        <v>487</v>
      </c>
      <c r="F5" s="171" t="s">
        <v>206</v>
      </c>
      <c r="G5" s="157"/>
      <c r="H5" s="577" t="s">
        <v>431</v>
      </c>
      <c r="J5" s="5">
        <v>25000000</v>
      </c>
    </row>
    <row r="6" spans="1:10" s="5" customFormat="1" ht="18" customHeight="1">
      <c r="A6" s="488"/>
      <c r="B6" s="516"/>
      <c r="C6" s="502"/>
      <c r="D6" s="493"/>
      <c r="E6" s="493"/>
      <c r="F6" s="236" t="s">
        <v>241</v>
      </c>
      <c r="G6" s="182">
        <v>44000000</v>
      </c>
      <c r="H6" s="578"/>
      <c r="J6" s="5">
        <v>19000000</v>
      </c>
    </row>
    <row r="7" spans="1:10" s="5" customFormat="1" ht="18" customHeight="1">
      <c r="A7" s="488"/>
      <c r="B7" s="516"/>
      <c r="C7" s="502"/>
      <c r="D7" s="493"/>
      <c r="E7" s="493"/>
      <c r="F7" s="175" t="s">
        <v>247</v>
      </c>
      <c r="G7" s="32"/>
      <c r="H7" s="578"/>
      <c r="J7" s="5">
        <f>SUM(J5:J6)</f>
        <v>44000000</v>
      </c>
    </row>
    <row r="8" spans="1:10" s="5" customFormat="1" ht="18" customHeight="1">
      <c r="A8" s="580"/>
      <c r="B8" s="517"/>
      <c r="C8" s="502"/>
      <c r="D8" s="541"/>
      <c r="E8" s="541"/>
      <c r="F8" s="234" t="s">
        <v>244</v>
      </c>
      <c r="G8" s="235">
        <f>SUM(G6:G7)</f>
        <v>44000000</v>
      </c>
      <c r="H8" s="579"/>
    </row>
    <row r="9" spans="1:10" s="5" customFormat="1" ht="18" customHeight="1">
      <c r="A9" s="488">
        <v>2</v>
      </c>
      <c r="B9" s="516" t="s">
        <v>290</v>
      </c>
      <c r="C9" s="501" t="s">
        <v>237</v>
      </c>
      <c r="D9" s="493" t="s">
        <v>497</v>
      </c>
      <c r="E9" s="493" t="s">
        <v>488</v>
      </c>
      <c r="F9" s="175" t="s">
        <v>198</v>
      </c>
      <c r="G9" s="233"/>
      <c r="H9" s="578"/>
    </row>
    <row r="10" spans="1:10" s="5" customFormat="1" ht="18" customHeight="1">
      <c r="A10" s="488"/>
      <c r="B10" s="516"/>
      <c r="C10" s="502"/>
      <c r="D10" s="493"/>
      <c r="E10" s="493"/>
      <c r="F10" s="236" t="s">
        <v>241</v>
      </c>
      <c r="G10" s="182">
        <v>7524910</v>
      </c>
      <c r="H10" s="598"/>
    </row>
    <row r="11" spans="1:10" s="5" customFormat="1" ht="18" customHeight="1">
      <c r="A11" s="488"/>
      <c r="B11" s="516"/>
      <c r="C11" s="502"/>
      <c r="D11" s="493"/>
      <c r="E11" s="493"/>
      <c r="F11" s="175" t="s">
        <v>247</v>
      </c>
      <c r="G11" s="32"/>
      <c r="H11" s="598"/>
    </row>
    <row r="12" spans="1:10" s="5" customFormat="1" ht="18" customHeight="1">
      <c r="A12" s="488"/>
      <c r="B12" s="517"/>
      <c r="C12" s="502"/>
      <c r="D12" s="493"/>
      <c r="E12" s="493"/>
      <c r="F12" s="234" t="s">
        <v>244</v>
      </c>
      <c r="G12" s="235">
        <f>SUM(G10:G11)</f>
        <v>7524910</v>
      </c>
      <c r="H12" s="599"/>
    </row>
    <row r="13" spans="1:10" s="5" customFormat="1" ht="18" hidden="1" customHeight="1">
      <c r="A13" s="488"/>
      <c r="B13" s="597" t="s">
        <v>290</v>
      </c>
      <c r="C13" s="502" t="s">
        <v>235</v>
      </c>
      <c r="D13" s="493"/>
      <c r="E13" s="493"/>
      <c r="F13" s="183" t="s">
        <v>209</v>
      </c>
      <c r="G13" s="200"/>
      <c r="H13" s="600"/>
    </row>
    <row r="14" spans="1:10" s="5" customFormat="1" ht="18" hidden="1" customHeight="1">
      <c r="A14" s="488"/>
      <c r="B14" s="516"/>
      <c r="C14" s="502"/>
      <c r="D14" s="493"/>
      <c r="E14" s="493"/>
      <c r="F14" s="236" t="s">
        <v>241</v>
      </c>
      <c r="G14" s="32"/>
      <c r="H14" s="598"/>
    </row>
    <row r="15" spans="1:10" s="5" customFormat="1" ht="18" hidden="1" customHeight="1">
      <c r="A15" s="488"/>
      <c r="B15" s="516"/>
      <c r="C15" s="502"/>
      <c r="D15" s="493"/>
      <c r="E15" s="493"/>
      <c r="F15" s="175" t="s">
        <v>247</v>
      </c>
      <c r="G15" s="32"/>
      <c r="H15" s="598"/>
    </row>
    <row r="16" spans="1:10" s="5" customFormat="1" ht="18" hidden="1" customHeight="1">
      <c r="A16" s="488"/>
      <c r="B16" s="517"/>
      <c r="C16" s="502"/>
      <c r="D16" s="493"/>
      <c r="E16" s="493"/>
      <c r="F16" s="234" t="s">
        <v>244</v>
      </c>
      <c r="G16" s="235">
        <f>SUM(G14:G15)</f>
        <v>0</v>
      </c>
      <c r="H16" s="599"/>
    </row>
    <row r="17" spans="1:8" s="5" customFormat="1" ht="18" customHeight="1">
      <c r="A17" s="488"/>
      <c r="B17" s="597" t="s">
        <v>290</v>
      </c>
      <c r="C17" s="502" t="s">
        <v>235</v>
      </c>
      <c r="D17" s="493"/>
      <c r="E17" s="493"/>
      <c r="F17" s="183" t="s">
        <v>130</v>
      </c>
      <c r="G17" s="200"/>
      <c r="H17" s="600"/>
    </row>
    <row r="18" spans="1:8" s="5" customFormat="1" ht="18" customHeight="1">
      <c r="A18" s="488"/>
      <c r="B18" s="516"/>
      <c r="C18" s="502"/>
      <c r="D18" s="493"/>
      <c r="E18" s="493"/>
      <c r="F18" s="236" t="s">
        <v>241</v>
      </c>
      <c r="G18" s="182">
        <v>8557140</v>
      </c>
      <c r="H18" s="578"/>
    </row>
    <row r="19" spans="1:8" s="5" customFormat="1" ht="18" customHeight="1">
      <c r="A19" s="488"/>
      <c r="B19" s="516"/>
      <c r="C19" s="502"/>
      <c r="D19" s="493"/>
      <c r="E19" s="493"/>
      <c r="F19" s="175" t="s">
        <v>247</v>
      </c>
      <c r="G19" s="32"/>
      <c r="H19" s="578"/>
    </row>
    <row r="20" spans="1:8" s="5" customFormat="1" ht="18" customHeight="1">
      <c r="A20" s="488"/>
      <c r="B20" s="517"/>
      <c r="C20" s="502"/>
      <c r="D20" s="493"/>
      <c r="E20" s="493"/>
      <c r="F20" s="234" t="s">
        <v>244</v>
      </c>
      <c r="G20" s="235">
        <f>SUM(G18:G19)</f>
        <v>8557140</v>
      </c>
      <c r="H20" s="579"/>
    </row>
    <row r="21" spans="1:8" s="5" customFormat="1" ht="18" customHeight="1">
      <c r="A21" s="488"/>
      <c r="B21" s="597" t="s">
        <v>290</v>
      </c>
      <c r="C21" s="502" t="s">
        <v>257</v>
      </c>
      <c r="D21" s="493"/>
      <c r="E21" s="493"/>
      <c r="F21" s="183" t="s">
        <v>131</v>
      </c>
      <c r="G21" s="200"/>
      <c r="H21" s="600"/>
    </row>
    <row r="22" spans="1:8" s="5" customFormat="1" ht="18" customHeight="1">
      <c r="A22" s="488"/>
      <c r="B22" s="516"/>
      <c r="C22" s="502"/>
      <c r="D22" s="493"/>
      <c r="E22" s="493"/>
      <c r="F22" s="236" t="s">
        <v>241</v>
      </c>
      <c r="G22" s="182">
        <v>1712800</v>
      </c>
      <c r="H22" s="578"/>
    </row>
    <row r="23" spans="1:8" s="5" customFormat="1" ht="18" customHeight="1">
      <c r="A23" s="488"/>
      <c r="B23" s="516"/>
      <c r="C23" s="502"/>
      <c r="D23" s="493"/>
      <c r="E23" s="493"/>
      <c r="F23" s="175" t="s">
        <v>247</v>
      </c>
      <c r="G23" s="32"/>
      <c r="H23" s="578"/>
    </row>
    <row r="24" spans="1:8" s="5" customFormat="1" ht="18" customHeight="1">
      <c r="A24" s="488"/>
      <c r="B24" s="517"/>
      <c r="C24" s="502"/>
      <c r="D24" s="493"/>
      <c r="E24" s="493"/>
      <c r="F24" s="234" t="s">
        <v>244</v>
      </c>
      <c r="G24" s="235">
        <f>SUM(G22:G23)</f>
        <v>1712800</v>
      </c>
      <c r="H24" s="579"/>
    </row>
    <row r="25" spans="1:8" s="5" customFormat="1" ht="18" hidden="1" customHeight="1">
      <c r="A25" s="488"/>
      <c r="B25" s="597" t="s">
        <v>290</v>
      </c>
      <c r="C25" s="502" t="s">
        <v>266</v>
      </c>
      <c r="D25" s="493"/>
      <c r="E25" s="493"/>
      <c r="F25" s="175" t="s">
        <v>211</v>
      </c>
      <c r="G25" s="233"/>
      <c r="H25" s="600"/>
    </row>
    <row r="26" spans="1:8" s="5" customFormat="1" ht="18" hidden="1" customHeight="1">
      <c r="A26" s="488"/>
      <c r="B26" s="516"/>
      <c r="C26" s="502"/>
      <c r="D26" s="493"/>
      <c r="E26" s="493"/>
      <c r="F26" s="236" t="s">
        <v>241</v>
      </c>
      <c r="G26" s="182"/>
      <c r="H26" s="578"/>
    </row>
    <row r="27" spans="1:8" s="5" customFormat="1" ht="18" hidden="1" customHeight="1">
      <c r="A27" s="488"/>
      <c r="B27" s="516"/>
      <c r="C27" s="502"/>
      <c r="D27" s="493"/>
      <c r="E27" s="493"/>
      <c r="F27" s="175" t="s">
        <v>247</v>
      </c>
      <c r="G27" s="32"/>
      <c r="H27" s="578"/>
    </row>
    <row r="28" spans="1:8" s="5" customFormat="1" ht="18" hidden="1" customHeight="1">
      <c r="A28" s="580"/>
      <c r="B28" s="517"/>
      <c r="C28" s="502"/>
      <c r="D28" s="541"/>
      <c r="E28" s="541"/>
      <c r="F28" s="234" t="s">
        <v>244</v>
      </c>
      <c r="G28" s="235">
        <f>SUM(G26:G27)</f>
        <v>0</v>
      </c>
      <c r="H28" s="579"/>
    </row>
    <row r="29" spans="1:8" s="5" customFormat="1" ht="18" customHeight="1">
      <c r="A29" s="601"/>
      <c r="B29" s="469" t="s">
        <v>386</v>
      </c>
      <c r="C29" s="470"/>
      <c r="D29" s="470"/>
      <c r="E29" s="471"/>
      <c r="F29" s="175"/>
      <c r="G29" s="233"/>
      <c r="H29" s="578"/>
    </row>
    <row r="30" spans="1:8" s="5" customFormat="1" ht="18" customHeight="1">
      <c r="A30" s="602"/>
      <c r="B30" s="472"/>
      <c r="C30" s="473"/>
      <c r="D30" s="473"/>
      <c r="E30" s="474"/>
      <c r="F30" s="236" t="s">
        <v>241</v>
      </c>
      <c r="G30" s="32">
        <f>SUMIF(F9:F28,$F30,G9:G28)</f>
        <v>17794850</v>
      </c>
      <c r="H30" s="598"/>
    </row>
    <row r="31" spans="1:8" s="5" customFormat="1" ht="18" customHeight="1">
      <c r="A31" s="602"/>
      <c r="B31" s="472"/>
      <c r="C31" s="473"/>
      <c r="D31" s="473"/>
      <c r="E31" s="474"/>
      <c r="F31" s="175" t="s">
        <v>247</v>
      </c>
      <c r="G31" s="32">
        <f>SUMIF(F9:F28,$F31,G9:G28)</f>
        <v>0</v>
      </c>
      <c r="H31" s="598"/>
    </row>
    <row r="32" spans="1:8" s="5" customFormat="1" ht="18" customHeight="1">
      <c r="A32" s="603"/>
      <c r="B32" s="475"/>
      <c r="C32" s="476"/>
      <c r="D32" s="476"/>
      <c r="E32" s="477"/>
      <c r="F32" s="234" t="s">
        <v>244</v>
      </c>
      <c r="G32" s="237">
        <f>SUM(G30:G31)</f>
        <v>17794850</v>
      </c>
      <c r="H32" s="604"/>
    </row>
    <row r="33" spans="1:11" s="5" customFormat="1" ht="21" customHeight="1">
      <c r="A33" s="586" t="s">
        <v>358</v>
      </c>
      <c r="B33" s="587"/>
      <c r="C33" s="587"/>
      <c r="D33" s="587"/>
      <c r="E33" s="588"/>
      <c r="F33" s="203" t="s">
        <v>241</v>
      </c>
      <c r="G33" s="239">
        <f>G6+G30</f>
        <v>61794850</v>
      </c>
      <c r="H33" s="583"/>
    </row>
    <row r="34" spans="1:11" s="5" customFormat="1" ht="21" customHeight="1">
      <c r="A34" s="589"/>
      <c r="B34" s="590"/>
      <c r="C34" s="590"/>
      <c r="D34" s="590"/>
      <c r="E34" s="591"/>
      <c r="F34" s="238" t="s">
        <v>247</v>
      </c>
      <c r="G34" s="239">
        <f>G7+G31</f>
        <v>0</v>
      </c>
      <c r="H34" s="584"/>
    </row>
    <row r="35" spans="1:11" s="5" customFormat="1" ht="21" customHeight="1">
      <c r="A35" s="592"/>
      <c r="B35" s="593"/>
      <c r="C35" s="593"/>
      <c r="D35" s="593"/>
      <c r="E35" s="594"/>
      <c r="F35" s="240" t="s">
        <v>244</v>
      </c>
      <c r="G35" s="241">
        <f>SUM(G33:G34)</f>
        <v>61794850</v>
      </c>
      <c r="H35" s="585"/>
    </row>
    <row r="36" spans="1:11" ht="18.95" customHeight="1">
      <c r="J36" s="5"/>
      <c r="K36" s="5"/>
    </row>
    <row r="37" spans="1:11" ht="18.95" customHeight="1">
      <c r="F37" s="7"/>
      <c r="G37" s="206"/>
    </row>
  </sheetData>
  <mergeCells count="32">
    <mergeCell ref="H17:H20"/>
    <mergeCell ref="B21:B24"/>
    <mergeCell ref="C21:C24"/>
    <mergeCell ref="H21:H24"/>
    <mergeCell ref="A9:A28"/>
    <mergeCell ref="B29:E32"/>
    <mergeCell ref="D9:D28"/>
    <mergeCell ref="E9:E28"/>
    <mergeCell ref="B25:B28"/>
    <mergeCell ref="C25:C28"/>
    <mergeCell ref="A1:H1"/>
    <mergeCell ref="A2:H2"/>
    <mergeCell ref="H33:H35"/>
    <mergeCell ref="A33:E35"/>
    <mergeCell ref="B4:C4"/>
    <mergeCell ref="B17:B20"/>
    <mergeCell ref="C17:C20"/>
    <mergeCell ref="H9:H12"/>
    <mergeCell ref="B13:B16"/>
    <mergeCell ref="C13:C16"/>
    <mergeCell ref="H13:H16"/>
    <mergeCell ref="B9:B12"/>
    <mergeCell ref="C9:C12"/>
    <mergeCell ref="H25:H28"/>
    <mergeCell ref="A29:A32"/>
    <mergeCell ref="H29:H32"/>
    <mergeCell ref="H5:H8"/>
    <mergeCell ref="A5:A8"/>
    <mergeCell ref="D5:D8"/>
    <mergeCell ref="E5:E8"/>
    <mergeCell ref="B5:B8"/>
    <mergeCell ref="C5:C8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scale="91" fitToHeight="0" orientation="landscape" r:id="rId1"/>
  <headerFooter>
    <oddFooter>&amp;C&amp;"맑은 고딕,Regular"&amp;P</oddFooter>
  </headerFooter>
  <rowBreaks count="1" manualBreakCount="1">
    <brk id="1" max="104857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49"/>
  <sheetViews>
    <sheetView view="pageBreakPreview" topLeftCell="A27" zoomScaleNormal="100" zoomScaleSheetLayoutView="100" workbookViewId="0">
      <selection activeCell="G4" sqref="G4:H4"/>
    </sheetView>
  </sheetViews>
  <sheetFormatPr defaultColWidth="8.88671875" defaultRowHeight="23.45" customHeight="1"/>
  <cols>
    <col min="1" max="2" width="7.77734375" style="30" customWidth="1"/>
    <col min="3" max="3" width="6.77734375" style="30" customWidth="1"/>
    <col min="4" max="4" width="4.77734375" style="30" customWidth="1"/>
    <col min="5" max="5" width="10.77734375" style="30" customWidth="1"/>
    <col min="6" max="6" width="14.77734375" style="30" customWidth="1"/>
    <col min="7" max="7" width="3.77734375" style="30" customWidth="1"/>
    <col min="8" max="8" width="17.77734375" style="30" customWidth="1"/>
    <col min="9" max="9" width="13.77734375" style="30" bestFit="1" customWidth="1"/>
    <col min="10" max="16384" width="8.88671875" style="30"/>
  </cols>
  <sheetData>
    <row r="1" spans="1:11" ht="399.95" customHeight="1">
      <c r="A1" s="417" t="str">
        <f>A2</f>
        <v>9. 벌금 · 조세채권자의 목록</v>
      </c>
      <c r="B1" s="417"/>
      <c r="C1" s="417"/>
      <c r="D1" s="417"/>
      <c r="E1" s="417"/>
      <c r="F1" s="417"/>
      <c r="G1" s="417"/>
      <c r="H1" s="417"/>
    </row>
    <row r="2" spans="1:11" ht="35.1" customHeight="1">
      <c r="A2" s="417" t="s">
        <v>62</v>
      </c>
      <c r="B2" s="417"/>
      <c r="C2" s="417"/>
      <c r="D2" s="417"/>
      <c r="E2" s="417"/>
      <c r="F2" s="417"/>
      <c r="G2" s="417"/>
      <c r="H2" s="417"/>
      <c r="K2" s="177"/>
    </row>
    <row r="3" spans="1:11" ht="23.45" customHeight="1">
      <c r="A3" s="127"/>
      <c r="B3" s="127"/>
      <c r="C3" s="127"/>
      <c r="D3" s="127"/>
      <c r="E3" s="127"/>
      <c r="F3" s="127"/>
      <c r="G3" s="127"/>
      <c r="H3" s="127"/>
      <c r="K3" s="177"/>
    </row>
    <row r="4" spans="1:11" ht="23.45" customHeight="1">
      <c r="A4" s="418" t="s">
        <v>34</v>
      </c>
      <c r="B4" s="418"/>
      <c r="C4" s="419" t="str">
        <f>표지!$O$3&amp;" "&amp;표지!$O$4</f>
        <v>20○○회합100○○○ 회생</v>
      </c>
      <c r="D4" s="420"/>
      <c r="E4" s="420"/>
      <c r="F4" s="25" t="s">
        <v>261</v>
      </c>
      <c r="G4" s="419" t="str">
        <f>표지!$O$5</f>
        <v>○○○○ 주식회사</v>
      </c>
      <c r="H4" s="424"/>
      <c r="I4" s="20"/>
    </row>
    <row r="5" spans="1:11" ht="23.45" customHeight="1">
      <c r="A5" s="421" t="s">
        <v>195</v>
      </c>
      <c r="B5" s="25" t="s">
        <v>148</v>
      </c>
      <c r="C5" s="419" t="str">
        <f>조세총괄!D5</f>
        <v>OOO세무서</v>
      </c>
      <c r="D5" s="420"/>
      <c r="E5" s="420"/>
      <c r="F5" s="420"/>
      <c r="G5" s="420"/>
      <c r="H5" s="424"/>
      <c r="I5" s="20" t="s">
        <v>328</v>
      </c>
    </row>
    <row r="6" spans="1:11" ht="23.45" customHeight="1">
      <c r="A6" s="422"/>
      <c r="B6" s="25" t="s">
        <v>180</v>
      </c>
      <c r="C6" s="419" t="str">
        <f>조세총괄!E5</f>
        <v>OO시 OO로 OO (OO동 OOO-2)</v>
      </c>
      <c r="D6" s="420"/>
      <c r="E6" s="420"/>
      <c r="F6" s="420"/>
      <c r="G6" s="420"/>
      <c r="H6" s="424"/>
      <c r="I6" s="20"/>
    </row>
    <row r="7" spans="1:11" ht="23.45" customHeight="1">
      <c r="A7" s="423"/>
      <c r="B7" s="25" t="s">
        <v>23</v>
      </c>
      <c r="C7" s="419"/>
      <c r="D7" s="420"/>
      <c r="E7" s="420"/>
      <c r="F7" s="25" t="s">
        <v>151</v>
      </c>
      <c r="G7" s="419"/>
      <c r="H7" s="424"/>
      <c r="I7" s="20"/>
    </row>
    <row r="8" spans="1:11" ht="23.45" customHeight="1">
      <c r="A8" s="418" t="s">
        <v>125</v>
      </c>
      <c r="B8" s="418"/>
      <c r="C8" s="419" t="s">
        <v>290</v>
      </c>
      <c r="D8" s="420"/>
      <c r="E8" s="278">
        <v>1</v>
      </c>
      <c r="F8" s="25" t="s">
        <v>190</v>
      </c>
      <c r="G8" s="419"/>
      <c r="H8" s="424"/>
      <c r="I8" s="20"/>
    </row>
    <row r="9" spans="1:11" ht="23.45" customHeight="1">
      <c r="A9" s="549" t="s">
        <v>355</v>
      </c>
      <c r="B9" s="418"/>
      <c r="C9" s="17" t="s">
        <v>153</v>
      </c>
      <c r="D9" s="425" t="str">
        <f>조세총괄!F5</f>
        <v>부가가치세</v>
      </c>
      <c r="E9" s="425"/>
      <c r="F9" s="426" t="s">
        <v>433</v>
      </c>
      <c r="G9" s="426"/>
      <c r="H9" s="427"/>
      <c r="I9" s="20"/>
    </row>
    <row r="10" spans="1:11" ht="23.45" customHeight="1">
      <c r="A10" s="418"/>
      <c r="B10" s="418"/>
      <c r="C10" s="18" t="s">
        <v>181</v>
      </c>
      <c r="D10" s="19" t="s">
        <v>260</v>
      </c>
      <c r="E10" s="20" t="s">
        <v>210</v>
      </c>
      <c r="F10" s="39">
        <f>조세총괄!G6</f>
        <v>44000000</v>
      </c>
      <c r="G10" s="20" t="s">
        <v>238</v>
      </c>
      <c r="H10" s="21"/>
      <c r="I10" s="20"/>
    </row>
    <row r="11" spans="1:11" ht="23.45" customHeight="1">
      <c r="A11" s="418"/>
      <c r="B11" s="418"/>
      <c r="C11" s="22"/>
      <c r="D11" s="19" t="s">
        <v>260</v>
      </c>
      <c r="E11" s="20" t="s">
        <v>158</v>
      </c>
      <c r="F11" s="39"/>
      <c r="G11" s="20" t="s">
        <v>238</v>
      </c>
      <c r="H11" s="23"/>
      <c r="I11" s="20"/>
    </row>
    <row r="12" spans="1:11" ht="23.45" customHeight="1">
      <c r="A12" s="418"/>
      <c r="B12" s="418"/>
      <c r="C12" s="26"/>
      <c r="D12" s="19" t="s">
        <v>260</v>
      </c>
      <c r="E12" s="20" t="s">
        <v>191</v>
      </c>
      <c r="F12" s="31">
        <f>SUM(F10:F11)</f>
        <v>44000000</v>
      </c>
      <c r="G12" s="27" t="s">
        <v>238</v>
      </c>
      <c r="H12" s="28"/>
      <c r="I12" s="20"/>
    </row>
    <row r="13" spans="1:11" ht="23.45" hidden="1" customHeight="1">
      <c r="A13" s="418" t="s">
        <v>125</v>
      </c>
      <c r="B13" s="418"/>
      <c r="C13" s="419" t="s">
        <v>290</v>
      </c>
      <c r="D13" s="420"/>
      <c r="E13" s="156"/>
      <c r="F13" s="25" t="s">
        <v>190</v>
      </c>
      <c r="G13" s="419"/>
      <c r="H13" s="424"/>
    </row>
    <row r="14" spans="1:11" ht="23.45" hidden="1" customHeight="1">
      <c r="A14" s="549" t="s">
        <v>355</v>
      </c>
      <c r="B14" s="418"/>
      <c r="C14" s="17" t="s">
        <v>153</v>
      </c>
      <c r="D14" s="425"/>
      <c r="E14" s="425"/>
      <c r="F14" s="426"/>
      <c r="G14" s="426"/>
      <c r="H14" s="427"/>
    </row>
    <row r="15" spans="1:11" ht="23.45" hidden="1" customHeight="1">
      <c r="A15" s="418"/>
      <c r="B15" s="418"/>
      <c r="C15" s="18" t="s">
        <v>181</v>
      </c>
      <c r="D15" s="19" t="s">
        <v>260</v>
      </c>
      <c r="E15" s="20" t="s">
        <v>210</v>
      </c>
      <c r="F15" s="39"/>
      <c r="G15" s="20" t="s">
        <v>238</v>
      </c>
      <c r="H15" s="21"/>
    </row>
    <row r="16" spans="1:11" ht="23.45" hidden="1" customHeight="1">
      <c r="A16" s="418"/>
      <c r="B16" s="418"/>
      <c r="C16" s="22"/>
      <c r="D16" s="19" t="s">
        <v>260</v>
      </c>
      <c r="E16" s="20" t="s">
        <v>158</v>
      </c>
      <c r="F16" s="39"/>
      <c r="G16" s="20" t="s">
        <v>238</v>
      </c>
      <c r="H16" s="23"/>
    </row>
    <row r="17" spans="1:11" ht="23.45" hidden="1" customHeight="1">
      <c r="A17" s="418"/>
      <c r="B17" s="418"/>
      <c r="C17" s="26"/>
      <c r="D17" s="19" t="s">
        <v>260</v>
      </c>
      <c r="E17" s="20" t="s">
        <v>191</v>
      </c>
      <c r="F17" s="31"/>
      <c r="G17" s="27" t="s">
        <v>238</v>
      </c>
      <c r="H17" s="28"/>
    </row>
    <row r="18" spans="1:11" ht="23.45" customHeight="1">
      <c r="A18" s="450" t="s">
        <v>32</v>
      </c>
      <c r="B18" s="445"/>
      <c r="C18" s="605"/>
      <c r="D18" s="605"/>
      <c r="E18" s="605"/>
      <c r="F18" s="605"/>
      <c r="G18" s="605"/>
      <c r="H18" s="605"/>
    </row>
    <row r="19" spans="1:11" ht="23.45" customHeight="1">
      <c r="A19" s="449" t="s">
        <v>25</v>
      </c>
      <c r="B19" s="449"/>
      <c r="C19" s="454"/>
      <c r="D19" s="454"/>
      <c r="E19" s="454"/>
      <c r="F19" s="454"/>
      <c r="G19" s="454"/>
      <c r="H19" s="454"/>
    </row>
    <row r="20" spans="1:11" ht="23.45" customHeight="1">
      <c r="A20" s="447" t="s">
        <v>19</v>
      </c>
      <c r="B20" s="448"/>
      <c r="C20" s="609"/>
      <c r="D20" s="610"/>
      <c r="E20" s="610"/>
      <c r="F20" s="610"/>
      <c r="G20" s="610"/>
      <c r="H20" s="611"/>
    </row>
    <row r="21" spans="1:11" ht="35.1" customHeight="1">
      <c r="A21" s="417" t="s">
        <v>62</v>
      </c>
      <c r="B21" s="417"/>
      <c r="C21" s="417"/>
      <c r="D21" s="417"/>
      <c r="E21" s="417"/>
      <c r="F21" s="417"/>
      <c r="G21" s="417"/>
      <c r="H21" s="417"/>
      <c r="K21" s="177"/>
    </row>
    <row r="22" spans="1:11" ht="23.45" customHeight="1">
      <c r="A22" s="127"/>
      <c r="B22" s="127"/>
      <c r="C22" s="127"/>
      <c r="D22" s="127"/>
      <c r="E22" s="127"/>
      <c r="F22" s="127"/>
      <c r="G22" s="127"/>
      <c r="H22" s="127"/>
      <c r="K22" s="177"/>
    </row>
    <row r="23" spans="1:11" ht="23.45" customHeight="1">
      <c r="A23" s="421" t="s">
        <v>195</v>
      </c>
      <c r="B23" s="25" t="s">
        <v>148</v>
      </c>
      <c r="C23" s="419" t="str">
        <f>조세총괄!D9</f>
        <v>국민건강보험공단
서울강원지역본부
(이사장 OOO)</v>
      </c>
      <c r="D23" s="420"/>
      <c r="E23" s="420"/>
      <c r="F23" s="420"/>
      <c r="G23" s="420"/>
      <c r="H23" s="424"/>
      <c r="I23" s="20" t="s">
        <v>328</v>
      </c>
    </row>
    <row r="24" spans="1:11" ht="23.45" customHeight="1">
      <c r="A24" s="422"/>
      <c r="B24" s="25" t="s">
        <v>180</v>
      </c>
      <c r="C24" s="419" t="str">
        <f>조세총괄!E9</f>
        <v>OO도 OO시 OO로 OO</v>
      </c>
      <c r="D24" s="420"/>
      <c r="E24" s="420"/>
      <c r="F24" s="420"/>
      <c r="G24" s="420"/>
      <c r="H24" s="424"/>
      <c r="I24" s="20"/>
    </row>
    <row r="25" spans="1:11" ht="23.45" customHeight="1">
      <c r="A25" s="423"/>
      <c r="B25" s="25" t="s">
        <v>23</v>
      </c>
      <c r="C25" s="419"/>
      <c r="D25" s="420"/>
      <c r="E25" s="420"/>
      <c r="F25" s="25" t="s">
        <v>151</v>
      </c>
      <c r="G25" s="419"/>
      <c r="H25" s="424"/>
      <c r="I25" s="20"/>
    </row>
    <row r="26" spans="1:11" ht="23.45" customHeight="1">
      <c r="A26" s="418" t="s">
        <v>125</v>
      </c>
      <c r="B26" s="418"/>
      <c r="C26" s="419" t="s">
        <v>290</v>
      </c>
      <c r="D26" s="420"/>
      <c r="E26" s="278" t="s">
        <v>237</v>
      </c>
      <c r="F26" s="25" t="s">
        <v>190</v>
      </c>
      <c r="G26" s="419"/>
      <c r="H26" s="424"/>
      <c r="I26" s="20"/>
    </row>
    <row r="27" spans="1:11" ht="23.45" customHeight="1">
      <c r="A27" s="549" t="s">
        <v>355</v>
      </c>
      <c r="B27" s="418"/>
      <c r="C27" s="17" t="s">
        <v>153</v>
      </c>
      <c r="D27" s="425" t="str">
        <f>조세총괄!F9</f>
        <v>건강보험료</v>
      </c>
      <c r="E27" s="425"/>
      <c r="F27" s="426"/>
      <c r="G27" s="426"/>
      <c r="H27" s="427"/>
      <c r="I27" s="20"/>
    </row>
    <row r="28" spans="1:11" ht="23.45" customHeight="1">
      <c r="A28" s="418"/>
      <c r="B28" s="418"/>
      <c r="C28" s="18" t="s">
        <v>181</v>
      </c>
      <c r="D28" s="19" t="s">
        <v>260</v>
      </c>
      <c r="E28" s="20" t="s">
        <v>210</v>
      </c>
      <c r="F28" s="39">
        <f>조세총괄!G10</f>
        <v>7524910</v>
      </c>
      <c r="G28" s="20" t="s">
        <v>238</v>
      </c>
      <c r="H28" s="21"/>
      <c r="I28" s="20"/>
    </row>
    <row r="29" spans="1:11" ht="23.45" customHeight="1">
      <c r="A29" s="418"/>
      <c r="B29" s="418"/>
      <c r="C29" s="22"/>
      <c r="D29" s="19" t="s">
        <v>260</v>
      </c>
      <c r="E29" s="20" t="s">
        <v>158</v>
      </c>
      <c r="F29" s="39"/>
      <c r="G29" s="20" t="s">
        <v>238</v>
      </c>
      <c r="H29" s="23"/>
      <c r="I29" s="20"/>
    </row>
    <row r="30" spans="1:11" ht="23.45" customHeight="1">
      <c r="A30" s="418"/>
      <c r="B30" s="418"/>
      <c r="C30" s="26"/>
      <c r="D30" s="19" t="s">
        <v>260</v>
      </c>
      <c r="E30" s="20" t="s">
        <v>191</v>
      </c>
      <c r="F30" s="31">
        <f>SUM(F28:F29)</f>
        <v>7524910</v>
      </c>
      <c r="G30" s="27" t="s">
        <v>238</v>
      </c>
      <c r="H30" s="28"/>
      <c r="I30" s="20"/>
    </row>
    <row r="31" spans="1:11" ht="23.45" customHeight="1">
      <c r="A31" s="418" t="s">
        <v>125</v>
      </c>
      <c r="B31" s="418"/>
      <c r="C31" s="419" t="s">
        <v>290</v>
      </c>
      <c r="D31" s="420"/>
      <c r="E31" s="278" t="s">
        <v>235</v>
      </c>
      <c r="F31" s="25" t="s">
        <v>190</v>
      </c>
      <c r="G31" s="419"/>
      <c r="H31" s="424"/>
    </row>
    <row r="32" spans="1:11" ht="23.45" customHeight="1">
      <c r="A32" s="549" t="s">
        <v>355</v>
      </c>
      <c r="B32" s="418"/>
      <c r="C32" s="17" t="s">
        <v>153</v>
      </c>
      <c r="D32" s="425" t="str">
        <f>조세총괄!F17</f>
        <v>연금보험료</v>
      </c>
      <c r="E32" s="425"/>
      <c r="F32" s="426"/>
      <c r="G32" s="426"/>
      <c r="H32" s="427"/>
    </row>
    <row r="33" spans="1:8" ht="23.45" customHeight="1">
      <c r="A33" s="418"/>
      <c r="B33" s="418"/>
      <c r="C33" s="18" t="s">
        <v>181</v>
      </c>
      <c r="D33" s="19" t="s">
        <v>260</v>
      </c>
      <c r="E33" s="20" t="s">
        <v>210</v>
      </c>
      <c r="F33" s="39">
        <f>조세총괄!G18</f>
        <v>8557140</v>
      </c>
      <c r="G33" s="20" t="s">
        <v>238</v>
      </c>
      <c r="H33" s="21"/>
    </row>
    <row r="34" spans="1:8" ht="23.45" customHeight="1">
      <c r="A34" s="418"/>
      <c r="B34" s="418"/>
      <c r="C34" s="22"/>
      <c r="D34" s="19" t="s">
        <v>260</v>
      </c>
      <c r="E34" s="20" t="s">
        <v>158</v>
      </c>
      <c r="F34" s="39"/>
      <c r="G34" s="20" t="s">
        <v>238</v>
      </c>
      <c r="H34" s="23"/>
    </row>
    <row r="35" spans="1:8" ht="23.45" customHeight="1">
      <c r="A35" s="418"/>
      <c r="B35" s="418"/>
      <c r="C35" s="26"/>
      <c r="D35" s="285" t="s">
        <v>260</v>
      </c>
      <c r="E35" s="27" t="s">
        <v>191</v>
      </c>
      <c r="F35" s="31">
        <f>SUM(F33:F34)</f>
        <v>8557140</v>
      </c>
      <c r="G35" s="27" t="s">
        <v>238</v>
      </c>
      <c r="H35" s="28"/>
    </row>
    <row r="36" spans="1:8" ht="23.45" customHeight="1">
      <c r="A36" s="418" t="s">
        <v>125</v>
      </c>
      <c r="B36" s="418"/>
      <c r="C36" s="419" t="s">
        <v>290</v>
      </c>
      <c r="D36" s="420"/>
      <c r="E36" s="278" t="s">
        <v>257</v>
      </c>
      <c r="F36" s="25" t="s">
        <v>190</v>
      </c>
      <c r="G36" s="419"/>
      <c r="H36" s="424"/>
    </row>
    <row r="37" spans="1:8" ht="23.45" customHeight="1">
      <c r="A37" s="549" t="s">
        <v>355</v>
      </c>
      <c r="B37" s="418"/>
      <c r="C37" s="17" t="s">
        <v>153</v>
      </c>
      <c r="D37" s="425" t="str">
        <f>조세총괄!F21</f>
        <v>고용보험료</v>
      </c>
      <c r="E37" s="425"/>
      <c r="F37" s="426"/>
      <c r="G37" s="426"/>
      <c r="H37" s="427"/>
    </row>
    <row r="38" spans="1:8" ht="23.45" customHeight="1">
      <c r="A38" s="418"/>
      <c r="B38" s="418"/>
      <c r="C38" s="18" t="s">
        <v>181</v>
      </c>
      <c r="D38" s="19" t="s">
        <v>260</v>
      </c>
      <c r="E38" s="20" t="s">
        <v>210</v>
      </c>
      <c r="F38" s="39">
        <f>조세총괄!G22</f>
        <v>1712800</v>
      </c>
      <c r="G38" s="20" t="s">
        <v>238</v>
      </c>
      <c r="H38" s="21"/>
    </row>
    <row r="39" spans="1:8" ht="23.45" customHeight="1">
      <c r="A39" s="418"/>
      <c r="B39" s="418"/>
      <c r="C39" s="22"/>
      <c r="D39" s="19" t="s">
        <v>260</v>
      </c>
      <c r="E39" s="20" t="s">
        <v>158</v>
      </c>
      <c r="F39" s="39"/>
      <c r="G39" s="20" t="s">
        <v>238</v>
      </c>
      <c r="H39" s="23"/>
    </row>
    <row r="40" spans="1:8" ht="23.45" customHeight="1">
      <c r="A40" s="418"/>
      <c r="B40" s="418"/>
      <c r="C40" s="26"/>
      <c r="D40" s="285" t="s">
        <v>260</v>
      </c>
      <c r="E40" s="27" t="s">
        <v>191</v>
      </c>
      <c r="F40" s="31">
        <f>SUM(F38:F39)</f>
        <v>1712800</v>
      </c>
      <c r="G40" s="27" t="s">
        <v>238</v>
      </c>
      <c r="H40" s="28"/>
    </row>
    <row r="41" spans="1:8" ht="23.45" hidden="1" customHeight="1">
      <c r="A41" s="423" t="s">
        <v>125</v>
      </c>
      <c r="B41" s="423"/>
      <c r="C41" s="432" t="s">
        <v>290</v>
      </c>
      <c r="D41" s="562"/>
      <c r="E41" s="279" t="s">
        <v>289</v>
      </c>
      <c r="F41" s="80" t="s">
        <v>190</v>
      </c>
      <c r="G41" s="432"/>
      <c r="H41" s="433"/>
    </row>
    <row r="42" spans="1:8" ht="23.45" hidden="1" customHeight="1">
      <c r="A42" s="549" t="s">
        <v>355</v>
      </c>
      <c r="B42" s="418"/>
      <c r="C42" s="17" t="s">
        <v>153</v>
      </c>
      <c r="D42" s="425" t="str">
        <f>조세총괄!F25</f>
        <v>산재보험료</v>
      </c>
      <c r="E42" s="425"/>
      <c r="F42" s="426"/>
      <c r="G42" s="426"/>
      <c r="H42" s="427"/>
    </row>
    <row r="43" spans="1:8" ht="23.45" hidden="1" customHeight="1">
      <c r="A43" s="418"/>
      <c r="B43" s="418"/>
      <c r="C43" s="18" t="s">
        <v>181</v>
      </c>
      <c r="D43" s="19" t="s">
        <v>260</v>
      </c>
      <c r="E43" s="20" t="s">
        <v>210</v>
      </c>
      <c r="F43" s="39">
        <f>조세총괄!G26</f>
        <v>0</v>
      </c>
      <c r="G43" s="20" t="s">
        <v>238</v>
      </c>
      <c r="H43" s="21"/>
    </row>
    <row r="44" spans="1:8" ht="23.45" hidden="1" customHeight="1">
      <c r="A44" s="418"/>
      <c r="B44" s="418"/>
      <c r="C44" s="22"/>
      <c r="D44" s="19" t="s">
        <v>260</v>
      </c>
      <c r="E44" s="20" t="s">
        <v>158</v>
      </c>
      <c r="F44" s="39"/>
      <c r="G44" s="20" t="s">
        <v>238</v>
      </c>
      <c r="H44" s="23"/>
    </row>
    <row r="45" spans="1:8" ht="23.45" hidden="1" customHeight="1">
      <c r="A45" s="418"/>
      <c r="B45" s="418"/>
      <c r="C45" s="26"/>
      <c r="D45" s="19" t="s">
        <v>260</v>
      </c>
      <c r="E45" s="20" t="s">
        <v>191</v>
      </c>
      <c r="F45" s="31">
        <f>SUM(F43:F44)</f>
        <v>0</v>
      </c>
      <c r="G45" s="27" t="s">
        <v>238</v>
      </c>
      <c r="H45" s="28"/>
    </row>
    <row r="46" spans="1:8" ht="23.45" customHeight="1">
      <c r="A46" s="450" t="s">
        <v>32</v>
      </c>
      <c r="B46" s="445"/>
      <c r="C46" s="605"/>
      <c r="D46" s="605"/>
      <c r="E46" s="605"/>
      <c r="F46" s="605"/>
      <c r="G46" s="605"/>
      <c r="H46" s="605"/>
    </row>
    <row r="47" spans="1:8" ht="23.45" customHeight="1">
      <c r="A47" s="449" t="s">
        <v>25</v>
      </c>
      <c r="B47" s="449"/>
      <c r="C47" s="605"/>
      <c r="D47" s="605"/>
      <c r="E47" s="605"/>
      <c r="F47" s="605"/>
      <c r="G47" s="605"/>
      <c r="H47" s="605"/>
    </row>
    <row r="48" spans="1:8" ht="23.45" hidden="1" customHeight="1">
      <c r="A48" s="443" t="s">
        <v>19</v>
      </c>
      <c r="B48" s="444"/>
      <c r="C48" s="606"/>
      <c r="D48" s="607"/>
      <c r="E48" s="607"/>
      <c r="F48" s="607"/>
      <c r="G48" s="607"/>
      <c r="H48" s="608"/>
    </row>
    <row r="49" spans="1:8" ht="23.45" customHeight="1">
      <c r="A49" s="445"/>
      <c r="B49" s="446"/>
      <c r="C49" s="543"/>
      <c r="D49" s="544"/>
      <c r="E49" s="544"/>
      <c r="F49" s="544"/>
      <c r="G49" s="544"/>
      <c r="H49" s="545"/>
    </row>
  </sheetData>
  <mergeCells count="64">
    <mergeCell ref="G7:H7"/>
    <mergeCell ref="C6:H6"/>
    <mergeCell ref="A21:H21"/>
    <mergeCell ref="A9:B12"/>
    <mergeCell ref="C8:D8"/>
    <mergeCell ref="D14:E14"/>
    <mergeCell ref="F14:H14"/>
    <mergeCell ref="D9:E9"/>
    <mergeCell ref="F9:H9"/>
    <mergeCell ref="A8:B8"/>
    <mergeCell ref="G8:H8"/>
    <mergeCell ref="A20:B20"/>
    <mergeCell ref="C20:H20"/>
    <mergeCell ref="A1:H1"/>
    <mergeCell ref="A19:B19"/>
    <mergeCell ref="C19:H19"/>
    <mergeCell ref="A18:B18"/>
    <mergeCell ref="C18:H18"/>
    <mergeCell ref="A14:B17"/>
    <mergeCell ref="G13:H13"/>
    <mergeCell ref="C13:D13"/>
    <mergeCell ref="A13:B13"/>
    <mergeCell ref="C5:H5"/>
    <mergeCell ref="A2:H2"/>
    <mergeCell ref="A4:B4"/>
    <mergeCell ref="C4:E4"/>
    <mergeCell ref="G4:H4"/>
    <mergeCell ref="A5:A7"/>
    <mergeCell ref="C7:E7"/>
    <mergeCell ref="A23:A25"/>
    <mergeCell ref="C23:H23"/>
    <mergeCell ref="C24:H24"/>
    <mergeCell ref="C25:E25"/>
    <mergeCell ref="G25:H25"/>
    <mergeCell ref="A26:B26"/>
    <mergeCell ref="C26:D26"/>
    <mergeCell ref="G26:H26"/>
    <mergeCell ref="A27:B30"/>
    <mergeCell ref="D27:E27"/>
    <mergeCell ref="F27:H27"/>
    <mergeCell ref="A31:B31"/>
    <mergeCell ref="C31:D31"/>
    <mergeCell ref="G31:H31"/>
    <mergeCell ref="A32:B35"/>
    <mergeCell ref="D32:E32"/>
    <mergeCell ref="F32:H32"/>
    <mergeCell ref="A46:B46"/>
    <mergeCell ref="C46:H46"/>
    <mergeCell ref="A47:B47"/>
    <mergeCell ref="C47:H47"/>
    <mergeCell ref="A48:B49"/>
    <mergeCell ref="C48:H49"/>
    <mergeCell ref="A36:B36"/>
    <mergeCell ref="C36:D36"/>
    <mergeCell ref="G36:H36"/>
    <mergeCell ref="A37:B40"/>
    <mergeCell ref="D37:E37"/>
    <mergeCell ref="F37:H37"/>
    <mergeCell ref="A41:B41"/>
    <mergeCell ref="C41:D41"/>
    <mergeCell ref="G41:H41"/>
    <mergeCell ref="A42:B45"/>
    <mergeCell ref="D42:E42"/>
    <mergeCell ref="F42:H42"/>
  </mergeCells>
  <phoneticPr fontId="27" type="noConversion"/>
  <printOptions horizontalCentered="1"/>
  <pageMargins left="0.78740157480314965" right="0.78740157480314965" top="0.98425196850393704" bottom="0.70866141732283472" header="0.51181102362204722" footer="0.51181102362204722"/>
  <pageSetup paperSize="9" fitToHeight="0" orientation="landscape" r:id="rId1"/>
  <headerFooter>
    <oddFooter>&amp;C&amp;"맑은 고딕,Regular"&amp;P</oddFooter>
  </headerFooter>
  <rowBreaks count="3" manualBreakCount="3">
    <brk id="1" max="1048575" man="1"/>
    <brk id="20" max="7" man="1"/>
    <brk id="35" max="7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L27"/>
  <sheetViews>
    <sheetView view="pageBreakPreview" zoomScaleNormal="100" zoomScaleSheetLayoutView="100" workbookViewId="0">
      <selection activeCell="E20" sqref="E20"/>
    </sheetView>
  </sheetViews>
  <sheetFormatPr defaultColWidth="8.88671875" defaultRowHeight="13.5"/>
  <cols>
    <col min="1" max="2" width="4.5546875" customWidth="1"/>
    <col min="3" max="3" width="3.21875" customWidth="1"/>
    <col min="4" max="4" width="12.5546875" customWidth="1"/>
    <col min="5" max="5" width="35.77734375" customWidth="1"/>
    <col min="6" max="6" width="13" customWidth="1"/>
    <col min="7" max="7" width="10.88671875" customWidth="1"/>
    <col min="8" max="8" width="13.6640625" customWidth="1"/>
    <col min="9" max="9" width="8.33203125" style="85" customWidth="1"/>
    <col min="10" max="10" width="9.109375" customWidth="1"/>
    <col min="11" max="11" width="13.44140625" bestFit="1" customWidth="1"/>
  </cols>
  <sheetData>
    <row r="1" spans="1:12" ht="399.95" customHeight="1">
      <c r="A1" s="342" t="str">
        <f>A2</f>
        <v>10. 주주 지분권자의 목록 총괄표</v>
      </c>
      <c r="B1" s="342"/>
      <c r="C1" s="342"/>
      <c r="D1" s="342"/>
      <c r="E1" s="342"/>
      <c r="F1" s="342"/>
      <c r="G1" s="342"/>
      <c r="H1" s="342"/>
      <c r="I1" s="342"/>
      <c r="J1" s="342"/>
    </row>
    <row r="2" spans="1:12" ht="39.950000000000003" customHeight="1">
      <c r="A2" s="612" t="s">
        <v>108</v>
      </c>
      <c r="B2" s="612"/>
      <c r="C2" s="612"/>
      <c r="D2" s="612"/>
      <c r="E2" s="612"/>
      <c r="F2" s="612"/>
      <c r="G2" s="612"/>
      <c r="H2" s="612"/>
      <c r="I2" s="612"/>
      <c r="J2" s="612"/>
    </row>
    <row r="3" spans="1:12" ht="20.100000000000001" customHeight="1">
      <c r="A3" s="617" t="str">
        <f>"채무자: "&amp;표지!$O$5</f>
        <v>채무자: ○○○○ 주식회사</v>
      </c>
      <c r="B3" s="617"/>
      <c r="C3" s="617"/>
      <c r="D3" s="617"/>
      <c r="E3" s="20"/>
      <c r="F3" s="20"/>
      <c r="G3" s="20"/>
      <c r="H3" s="20"/>
      <c r="I3" s="81"/>
      <c r="J3" s="60" t="str">
        <f>"(단위: 원, 주 / 주당 액면가: "&amp;TEXT(L4,"###,###")&amp;"원)"</f>
        <v>(단위: 원, 주 / 주당 액면가: 100원)</v>
      </c>
    </row>
    <row r="4" spans="1:12" ht="39.950000000000003" customHeight="1">
      <c r="A4" s="282" t="s">
        <v>21</v>
      </c>
      <c r="B4" s="615" t="s">
        <v>125</v>
      </c>
      <c r="C4" s="616"/>
      <c r="D4" s="112" t="s">
        <v>155</v>
      </c>
      <c r="E4" s="112" t="s">
        <v>246</v>
      </c>
      <c r="F4" s="113" t="s">
        <v>28</v>
      </c>
      <c r="G4" s="113" t="s">
        <v>200</v>
      </c>
      <c r="H4" s="114" t="s">
        <v>317</v>
      </c>
      <c r="I4" s="114" t="s">
        <v>278</v>
      </c>
      <c r="J4" s="115" t="s">
        <v>19</v>
      </c>
      <c r="K4" t="s">
        <v>371</v>
      </c>
      <c r="L4" s="149">
        <v>100</v>
      </c>
    </row>
    <row r="5" spans="1:12" ht="39.950000000000003" customHeight="1">
      <c r="A5" s="286">
        <v>1</v>
      </c>
      <c r="B5" s="248" t="s">
        <v>285</v>
      </c>
      <c r="C5" s="249">
        <f t="shared" ref="C5:C8" si="0">A5</f>
        <v>1</v>
      </c>
      <c r="D5" s="332" t="s">
        <v>489</v>
      </c>
      <c r="E5" s="86" t="s">
        <v>493</v>
      </c>
      <c r="F5" s="25" t="s">
        <v>281</v>
      </c>
      <c r="G5" s="167">
        <v>7442400</v>
      </c>
      <c r="H5" s="167">
        <f t="shared" ref="H5:H8" si="1">G5*$L$4</f>
        <v>744240000</v>
      </c>
      <c r="I5" s="250">
        <f>H5/$H$9</f>
        <v>0.49615999999999999</v>
      </c>
      <c r="J5" s="161"/>
    </row>
    <row r="6" spans="1:12" ht="39.950000000000003" customHeight="1">
      <c r="A6" s="287">
        <v>2</v>
      </c>
      <c r="B6" s="248" t="s">
        <v>285</v>
      </c>
      <c r="C6" s="249">
        <f t="shared" si="0"/>
        <v>2</v>
      </c>
      <c r="D6" s="332" t="s">
        <v>490</v>
      </c>
      <c r="E6" s="86" t="s">
        <v>494</v>
      </c>
      <c r="F6" s="25" t="s">
        <v>281</v>
      </c>
      <c r="G6" s="167">
        <v>6227200</v>
      </c>
      <c r="H6" s="167">
        <f t="shared" si="1"/>
        <v>622720000</v>
      </c>
      <c r="I6" s="250">
        <f>H6/$H$9</f>
        <v>0.41514666666666666</v>
      </c>
      <c r="J6" s="161"/>
    </row>
    <row r="7" spans="1:12" ht="39.950000000000003" customHeight="1">
      <c r="A7" s="287">
        <v>3</v>
      </c>
      <c r="B7" s="248" t="s">
        <v>285</v>
      </c>
      <c r="C7" s="249">
        <f t="shared" si="0"/>
        <v>3</v>
      </c>
      <c r="D7" s="332" t="s">
        <v>491</v>
      </c>
      <c r="E7" s="86" t="s">
        <v>495</v>
      </c>
      <c r="F7" s="25" t="s">
        <v>281</v>
      </c>
      <c r="G7" s="167">
        <v>1000000</v>
      </c>
      <c r="H7" s="167">
        <f t="shared" si="1"/>
        <v>100000000</v>
      </c>
      <c r="I7" s="250">
        <f>H7/$H$9</f>
        <v>6.6666666666666666E-2</v>
      </c>
      <c r="J7" s="161"/>
    </row>
    <row r="8" spans="1:12" ht="39.950000000000003" customHeight="1">
      <c r="A8" s="287">
        <v>4</v>
      </c>
      <c r="B8" s="248" t="s">
        <v>285</v>
      </c>
      <c r="C8" s="249">
        <f t="shared" si="0"/>
        <v>4</v>
      </c>
      <c r="D8" s="332" t="s">
        <v>492</v>
      </c>
      <c r="E8" s="86" t="s">
        <v>496</v>
      </c>
      <c r="F8" s="25" t="s">
        <v>281</v>
      </c>
      <c r="G8" s="167">
        <v>330400</v>
      </c>
      <c r="H8" s="167">
        <f t="shared" si="1"/>
        <v>33040000</v>
      </c>
      <c r="I8" s="250">
        <f>H8/$H$9</f>
        <v>2.2026666666666667E-2</v>
      </c>
      <c r="J8" s="161"/>
    </row>
    <row r="9" spans="1:12" ht="39.950000000000003" customHeight="1">
      <c r="A9" s="613" t="s">
        <v>378</v>
      </c>
      <c r="B9" s="614"/>
      <c r="C9" s="614"/>
      <c r="D9" s="614"/>
      <c r="E9" s="614"/>
      <c r="F9" s="614"/>
      <c r="G9" s="173">
        <f>SUM(G5:G8)</f>
        <v>15000000</v>
      </c>
      <c r="H9" s="168">
        <f>SUM(H5:H8)</f>
        <v>1500000000</v>
      </c>
      <c r="I9" s="174">
        <f>SUM(I5:I8)</f>
        <v>1</v>
      </c>
      <c r="J9" s="110"/>
    </row>
    <row r="10" spans="1:12" ht="20.100000000000001" customHeight="1">
      <c r="A10" s="82"/>
      <c r="B10" s="82"/>
      <c r="C10" s="82"/>
      <c r="D10" s="82"/>
      <c r="E10" s="82"/>
      <c r="F10" s="82"/>
      <c r="G10" s="82"/>
      <c r="H10" s="82"/>
      <c r="I10" s="83"/>
      <c r="J10" s="82"/>
    </row>
    <row r="11" spans="1:12" ht="16.5">
      <c r="A11" s="82"/>
      <c r="B11" s="82"/>
      <c r="C11" s="82"/>
      <c r="D11" s="82"/>
      <c r="E11" s="82"/>
      <c r="F11" s="84"/>
      <c r="G11" s="82"/>
      <c r="H11" s="82"/>
      <c r="I11" s="83"/>
      <c r="J11" s="82"/>
    </row>
    <row r="12" spans="1:12">
      <c r="A12" s="82"/>
      <c r="B12" s="82"/>
      <c r="C12" s="82"/>
      <c r="D12" s="82"/>
      <c r="E12" s="82"/>
      <c r="F12" s="82"/>
      <c r="G12" s="82"/>
      <c r="H12" s="82"/>
      <c r="I12" s="83"/>
      <c r="J12" s="82"/>
    </row>
    <row r="13" spans="1:12">
      <c r="A13" s="82"/>
      <c r="B13" s="82"/>
      <c r="C13" s="82"/>
      <c r="D13" s="82"/>
      <c r="E13" s="82"/>
      <c r="F13" s="82"/>
      <c r="G13" s="82"/>
      <c r="H13" s="82"/>
      <c r="I13" s="83"/>
      <c r="J13" s="82"/>
    </row>
    <row r="14" spans="1:12">
      <c r="A14" s="82"/>
      <c r="B14" s="82"/>
      <c r="C14" s="82"/>
      <c r="D14" s="82"/>
      <c r="E14" s="82"/>
      <c r="F14" s="82"/>
      <c r="G14" s="82"/>
      <c r="H14" s="82"/>
      <c r="I14" s="83"/>
      <c r="J14" s="82"/>
    </row>
    <row r="15" spans="1:12">
      <c r="A15" s="82"/>
      <c r="B15" s="82"/>
      <c r="C15" s="82"/>
      <c r="D15" s="80" t="s">
        <v>273</v>
      </c>
      <c r="E15" s="86"/>
      <c r="F15" s="25" t="s">
        <v>281</v>
      </c>
      <c r="G15" s="172"/>
      <c r="H15" s="167">
        <f>G15*$L$4</f>
        <v>0</v>
      </c>
      <c r="I15" s="227" t="e">
        <f>H15/H16</f>
        <v>#DIV/0!</v>
      </c>
      <c r="J15" s="111"/>
    </row>
    <row r="16" spans="1:12">
      <c r="A16" s="82"/>
      <c r="B16" s="82"/>
      <c r="C16" s="82"/>
      <c r="D16" s="82"/>
      <c r="E16" s="82"/>
      <c r="F16" s="82"/>
      <c r="G16" s="82"/>
      <c r="H16" s="82"/>
      <c r="I16" s="83"/>
      <c r="J16" s="82"/>
    </row>
    <row r="17" spans="1:10">
      <c r="A17" s="82"/>
      <c r="B17" s="82"/>
      <c r="C17" s="82"/>
      <c r="D17" s="82"/>
      <c r="E17" s="82"/>
      <c r="F17" s="82"/>
      <c r="G17" s="82"/>
      <c r="H17" s="82"/>
      <c r="I17" s="83"/>
      <c r="J17" s="82"/>
    </row>
    <row r="18" spans="1:10">
      <c r="A18" s="82"/>
      <c r="B18" s="82"/>
      <c r="C18" s="82"/>
      <c r="D18" s="82"/>
      <c r="E18" s="82"/>
      <c r="F18" s="82"/>
      <c r="G18" s="82"/>
      <c r="H18" s="82"/>
      <c r="I18" s="83"/>
      <c r="J18" s="82"/>
    </row>
    <row r="19" spans="1:10">
      <c r="A19" s="82"/>
      <c r="B19" s="82"/>
      <c r="C19" s="82"/>
      <c r="D19" s="82"/>
      <c r="E19" s="82"/>
      <c r="F19" s="82"/>
      <c r="G19" s="82"/>
      <c r="H19" s="82"/>
      <c r="I19" s="83"/>
      <c r="J19" s="82"/>
    </row>
    <row r="20" spans="1:10">
      <c r="A20" s="82"/>
      <c r="B20" s="82"/>
      <c r="C20" s="82"/>
      <c r="D20" s="82"/>
      <c r="E20" s="82"/>
      <c r="F20" s="82"/>
      <c r="G20" s="82"/>
      <c r="H20" s="82"/>
      <c r="I20" s="83"/>
      <c r="J20" s="82"/>
    </row>
    <row r="21" spans="1:10">
      <c r="A21" s="82"/>
      <c r="B21" s="82"/>
      <c r="C21" s="82"/>
      <c r="D21" s="82"/>
      <c r="E21" s="82"/>
      <c r="F21" s="82"/>
      <c r="G21" s="82"/>
      <c r="H21" s="82"/>
      <c r="I21" s="83"/>
      <c r="J21" s="82"/>
    </row>
    <row r="22" spans="1:10">
      <c r="A22" s="82"/>
      <c r="B22" s="82"/>
      <c r="C22" s="82"/>
      <c r="D22" s="82"/>
      <c r="E22" s="82"/>
      <c r="F22" s="82"/>
      <c r="G22" s="82"/>
      <c r="H22" s="82"/>
      <c r="I22" s="83"/>
      <c r="J22" s="82"/>
    </row>
    <row r="23" spans="1:10">
      <c r="A23" s="82"/>
      <c r="B23" s="82"/>
      <c r="C23" s="82"/>
      <c r="D23" s="82"/>
      <c r="E23" s="82"/>
      <c r="F23" s="82"/>
      <c r="G23" s="82"/>
      <c r="H23" s="82"/>
      <c r="I23" s="83"/>
      <c r="J23" s="82"/>
    </row>
    <row r="24" spans="1:10">
      <c r="A24" s="82"/>
      <c r="B24" s="82"/>
      <c r="C24" s="82"/>
      <c r="D24" s="82"/>
      <c r="E24" s="82"/>
      <c r="F24" s="82"/>
      <c r="G24" s="82"/>
      <c r="H24" s="82"/>
      <c r="I24" s="83"/>
      <c r="J24" s="82"/>
    </row>
    <row r="25" spans="1:10">
      <c r="A25" s="82"/>
      <c r="B25" s="82"/>
      <c r="C25" s="82"/>
      <c r="D25" s="82"/>
      <c r="E25" s="82"/>
      <c r="F25" s="82"/>
      <c r="G25" s="82"/>
      <c r="H25" s="82"/>
      <c r="I25" s="83"/>
      <c r="J25" s="82"/>
    </row>
    <row r="26" spans="1:10">
      <c r="A26" s="82"/>
      <c r="B26" s="82"/>
      <c r="C26" s="82"/>
      <c r="D26" s="82"/>
      <c r="E26" s="82"/>
      <c r="F26" s="82"/>
      <c r="G26" s="82"/>
      <c r="H26" s="82"/>
      <c r="I26" s="83"/>
      <c r="J26" s="82"/>
    </row>
    <row r="27" spans="1:10">
      <c r="A27" s="82"/>
      <c r="B27" s="82"/>
      <c r="C27" s="82"/>
      <c r="D27" s="82"/>
      <c r="E27" s="82"/>
      <c r="F27" s="82"/>
      <c r="G27" s="82"/>
      <c r="H27" s="82"/>
      <c r="I27" s="83"/>
      <c r="J27" s="82"/>
    </row>
  </sheetData>
  <sortState ref="A6:J8">
    <sortCondition ref="A6:A8"/>
  </sortState>
  <mergeCells count="5">
    <mergeCell ref="A2:J2"/>
    <mergeCell ref="A9:F9"/>
    <mergeCell ref="A1:J1"/>
    <mergeCell ref="B4:C4"/>
    <mergeCell ref="A3:D3"/>
  </mergeCells>
  <phoneticPr fontId="27" type="noConversion"/>
  <printOptions horizontalCentered="1"/>
  <pageMargins left="0.78694444894790649" right="0.78694444894790649" top="0.98416668176651001" bottom="0.7086111307144165" header="0.51138889789581299" footer="0.51138889789581299"/>
  <pageSetup paperSize="9" scale="97" fitToHeight="0" orientation="landscape" r:id="rId1"/>
  <headerFooter>
    <oddFooter>&amp;C&amp;"맑은 고딕,Regular"&amp;P</oddFooter>
  </headerFooter>
  <rowBreaks count="1" manualBreakCount="1">
    <brk id="1" max="104857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N1756"/>
  <sheetViews>
    <sheetView view="pageBreakPreview" topLeftCell="A17" zoomScale="110" zoomScaleNormal="100" zoomScaleSheetLayoutView="110" workbookViewId="0">
      <selection activeCell="D22" sqref="D22"/>
    </sheetView>
  </sheetViews>
  <sheetFormatPr defaultColWidth="8.88671875" defaultRowHeight="30.95" customHeight="1"/>
  <cols>
    <col min="1" max="1" width="14.77734375" style="20" customWidth="1"/>
    <col min="2" max="2" width="7.5546875" style="20" customWidth="1"/>
    <col min="3" max="3" width="11.5546875" style="20" customWidth="1"/>
    <col min="4" max="4" width="23.109375" style="20" customWidth="1"/>
    <col min="5" max="5" width="14.77734375" style="20" customWidth="1"/>
    <col min="6" max="6" width="19.21875" style="20" customWidth="1"/>
    <col min="7" max="13" width="8.88671875" style="20"/>
    <col min="14" max="14" width="8.88671875" style="20" bestFit="1" customWidth="1"/>
    <col min="15" max="16384" width="8.88671875" style="20"/>
  </cols>
  <sheetData>
    <row r="1" spans="1:7" ht="399.95" customHeight="1">
      <c r="A1" s="612" t="str">
        <f>A2</f>
        <v>11. 주주 지분권자의 목록</v>
      </c>
      <c r="B1" s="612"/>
      <c r="C1" s="612"/>
      <c r="D1" s="612"/>
      <c r="E1" s="612"/>
      <c r="F1" s="612"/>
    </row>
    <row r="2" spans="1:7" ht="30.95" customHeight="1">
      <c r="A2" s="612" t="s">
        <v>41</v>
      </c>
      <c r="B2" s="612"/>
      <c r="C2" s="612"/>
      <c r="D2" s="612"/>
      <c r="E2" s="612"/>
      <c r="F2" s="612"/>
      <c r="G2" s="20" t="s">
        <v>165</v>
      </c>
    </row>
    <row r="3" spans="1:7" ht="30.95" customHeight="1">
      <c r="A3" s="128"/>
      <c r="B3" s="128"/>
      <c r="C3" s="128"/>
      <c r="D3" s="128"/>
      <c r="E3" s="128"/>
      <c r="F3" s="128"/>
    </row>
    <row r="4" spans="1:7" ht="30.95" customHeight="1">
      <c r="A4" s="622" t="s">
        <v>249</v>
      </c>
      <c r="B4" s="623"/>
      <c r="C4" s="623"/>
      <c r="D4" s="198" t="str">
        <f>표지!$O$3&amp;" "&amp;표지!$O$4</f>
        <v>20○○회합100○○○ 회생</v>
      </c>
      <c r="E4" s="160" t="s">
        <v>261</v>
      </c>
      <c r="F4" s="199" t="str">
        <f>표지!$O$5</f>
        <v>○○○○ 주식회사</v>
      </c>
    </row>
    <row r="5" spans="1:7" ht="30.95" customHeight="1">
      <c r="A5" s="624" t="s">
        <v>125</v>
      </c>
      <c r="B5" s="423"/>
      <c r="C5" s="423"/>
      <c r="D5" s="276">
        <v>1</v>
      </c>
      <c r="E5" s="170" t="s">
        <v>190</v>
      </c>
      <c r="F5" s="111"/>
      <c r="G5" s="20" t="s">
        <v>345</v>
      </c>
    </row>
    <row r="6" spans="1:7" ht="30.95" customHeight="1">
      <c r="A6" s="625" t="s">
        <v>183</v>
      </c>
      <c r="B6" s="419" t="s">
        <v>118</v>
      </c>
      <c r="C6" s="420"/>
      <c r="D6" s="419" t="str">
        <f>VLOOKUP(D5,주주총괄!$A$5:$J$8,4,0)</f>
        <v>OO광</v>
      </c>
      <c r="E6" s="420"/>
      <c r="F6" s="626"/>
    </row>
    <row r="7" spans="1:7" ht="30.95" customHeight="1">
      <c r="A7" s="625"/>
      <c r="B7" s="419" t="s">
        <v>250</v>
      </c>
      <c r="C7" s="420"/>
      <c r="D7" s="564" t="str">
        <f>VLOOKUP(D5,주주총괄!$A$5:$J$8,5,0)</f>
        <v>OO도 OOO시 OO읍 OO로OOO번길 OO OO아파트 OOO동 OOO호</v>
      </c>
      <c r="E7" s="565"/>
      <c r="F7" s="627"/>
    </row>
    <row r="8" spans="1:7" ht="30.95" customHeight="1">
      <c r="A8" s="625"/>
      <c r="B8" s="419" t="s">
        <v>23</v>
      </c>
      <c r="C8" s="420"/>
      <c r="D8" s="25"/>
      <c r="E8" s="62" t="s">
        <v>151</v>
      </c>
      <c r="F8" s="161"/>
    </row>
    <row r="9" spans="1:7" ht="30.95" customHeight="1">
      <c r="A9" s="210" t="s">
        <v>59</v>
      </c>
      <c r="B9" s="205" t="str">
        <f>VLOOKUP(D5,주주총괄!$A$5:$J$8,6,0)</f>
        <v>보통주</v>
      </c>
      <c r="C9" s="274">
        <f>VLOOKUP(D5,주주총괄!$A$5:$J$8,7,0)</f>
        <v>7442400</v>
      </c>
      <c r="D9" s="275">
        <f>VLOOKUP(D5,주주총괄!$A$5:$J$8,8,0)</f>
        <v>744240000</v>
      </c>
      <c r="E9" s="620" t="str">
        <f>"(액면가액: "&amp;TEXT(주주총괄!$L$4,"###,###원)")</f>
        <v>(액면가액: 100원)</v>
      </c>
      <c r="F9" s="621"/>
    </row>
    <row r="10" spans="1:7" ht="30.95" customHeight="1">
      <c r="A10" s="211" t="s">
        <v>19</v>
      </c>
      <c r="B10" s="618"/>
      <c r="C10" s="618"/>
      <c r="D10" s="618"/>
      <c r="E10" s="618"/>
      <c r="F10" s="619"/>
    </row>
    <row r="11" spans="1:7" ht="30.95" customHeight="1">
      <c r="A11" s="612" t="s">
        <v>41</v>
      </c>
      <c r="B11" s="612"/>
      <c r="C11" s="612"/>
      <c r="D11" s="612"/>
      <c r="E11" s="612"/>
      <c r="F11" s="612"/>
      <c r="G11" s="20" t="s">
        <v>165</v>
      </c>
    </row>
    <row r="12" spans="1:7" ht="30.95" customHeight="1">
      <c r="A12" s="128"/>
      <c r="B12" s="128"/>
      <c r="C12" s="128"/>
      <c r="D12" s="128"/>
      <c r="E12" s="128"/>
      <c r="F12" s="128"/>
    </row>
    <row r="13" spans="1:7" ht="30.95" customHeight="1">
      <c r="A13" s="622" t="s">
        <v>249</v>
      </c>
      <c r="B13" s="623"/>
      <c r="C13" s="623"/>
      <c r="D13" s="198" t="str">
        <f>표지!$O$3&amp;" "&amp;표지!$O$4</f>
        <v>20○○회합100○○○ 회생</v>
      </c>
      <c r="E13" s="160" t="s">
        <v>261</v>
      </c>
      <c r="F13" s="199" t="str">
        <f>표지!$O$5</f>
        <v>○○○○ 주식회사</v>
      </c>
    </row>
    <row r="14" spans="1:7" ht="30.95" customHeight="1">
      <c r="A14" s="624" t="s">
        <v>125</v>
      </c>
      <c r="B14" s="423"/>
      <c r="C14" s="423"/>
      <c r="D14" s="276">
        <v>2</v>
      </c>
      <c r="E14" s="170" t="s">
        <v>190</v>
      </c>
      <c r="F14" s="111"/>
      <c r="G14" s="20" t="s">
        <v>345</v>
      </c>
    </row>
    <row r="15" spans="1:7" ht="30.95" customHeight="1">
      <c r="A15" s="625" t="s">
        <v>183</v>
      </c>
      <c r="B15" s="419" t="s">
        <v>118</v>
      </c>
      <c r="C15" s="420"/>
      <c r="D15" s="419" t="str">
        <f>VLOOKUP(D14,주주총괄!$A$5:$J$8,4,0)</f>
        <v>OO영</v>
      </c>
      <c r="E15" s="420"/>
      <c r="F15" s="626"/>
    </row>
    <row r="16" spans="1:7" ht="30.95" customHeight="1">
      <c r="A16" s="625"/>
      <c r="B16" s="419" t="s">
        <v>250</v>
      </c>
      <c r="C16" s="420"/>
      <c r="D16" s="564" t="str">
        <f>VLOOKUP(D14,주주총괄!$A$5:$J$8,5,0)</f>
        <v>OO시 OO구 OOOO2로 OO OOO동 OOOO호</v>
      </c>
      <c r="E16" s="565"/>
      <c r="F16" s="627"/>
    </row>
    <row r="17" spans="1:7" ht="30.95" customHeight="1">
      <c r="A17" s="625"/>
      <c r="B17" s="419" t="s">
        <v>23</v>
      </c>
      <c r="C17" s="420"/>
      <c r="D17" s="25"/>
      <c r="E17" s="62" t="s">
        <v>151</v>
      </c>
      <c r="F17" s="161"/>
    </row>
    <row r="18" spans="1:7" ht="30.95" customHeight="1">
      <c r="A18" s="210" t="s">
        <v>59</v>
      </c>
      <c r="B18" s="205" t="str">
        <f>VLOOKUP(D14,주주총괄!$A$5:$J$8,6,0)</f>
        <v>보통주</v>
      </c>
      <c r="C18" s="274">
        <f>VLOOKUP(D14,주주총괄!$A$5:$J$8,7,0)</f>
        <v>6227200</v>
      </c>
      <c r="D18" s="275">
        <f>VLOOKUP(D14,주주총괄!$A$5:$J$8,8,0)</f>
        <v>622720000</v>
      </c>
      <c r="E18" s="620" t="str">
        <f>"(액면가액: "&amp;TEXT(주주총괄!$L$4,"###,###원)")</f>
        <v>(액면가액: 100원)</v>
      </c>
      <c r="F18" s="621"/>
    </row>
    <row r="19" spans="1:7" ht="30.95" customHeight="1">
      <c r="A19" s="211" t="s">
        <v>19</v>
      </c>
      <c r="B19" s="618"/>
      <c r="C19" s="618"/>
      <c r="D19" s="618"/>
      <c r="E19" s="618"/>
      <c r="F19" s="619"/>
    </row>
    <row r="20" spans="1:7" ht="30.95" customHeight="1">
      <c r="A20" s="612" t="s">
        <v>41</v>
      </c>
      <c r="B20" s="612"/>
      <c r="C20" s="612"/>
      <c r="D20" s="612"/>
      <c r="E20" s="612"/>
      <c r="F20" s="612"/>
      <c r="G20" s="20" t="s">
        <v>165</v>
      </c>
    </row>
    <row r="21" spans="1:7" ht="30.95" customHeight="1">
      <c r="A21" s="128"/>
      <c r="B21" s="128"/>
      <c r="C21" s="128"/>
      <c r="D21" s="128"/>
      <c r="E21" s="128"/>
      <c r="F21" s="128"/>
    </row>
    <row r="22" spans="1:7" ht="30.95" customHeight="1">
      <c r="A22" s="622" t="s">
        <v>249</v>
      </c>
      <c r="B22" s="623"/>
      <c r="C22" s="623"/>
      <c r="D22" s="198" t="str">
        <f>표지!$O$3&amp;" "&amp;표지!$O$4</f>
        <v>20○○회합100○○○ 회생</v>
      </c>
      <c r="E22" s="160" t="s">
        <v>261</v>
      </c>
      <c r="F22" s="199" t="str">
        <f>표지!$O$5</f>
        <v>○○○○ 주식회사</v>
      </c>
    </row>
    <row r="23" spans="1:7" ht="30.95" customHeight="1">
      <c r="A23" s="624" t="s">
        <v>125</v>
      </c>
      <c r="B23" s="423"/>
      <c r="C23" s="423"/>
      <c r="D23" s="276">
        <v>3</v>
      </c>
      <c r="E23" s="170" t="s">
        <v>190</v>
      </c>
      <c r="F23" s="111"/>
      <c r="G23" s="20" t="s">
        <v>345</v>
      </c>
    </row>
    <row r="24" spans="1:7" ht="30.95" customHeight="1">
      <c r="A24" s="625" t="s">
        <v>183</v>
      </c>
      <c r="B24" s="419" t="s">
        <v>118</v>
      </c>
      <c r="C24" s="420"/>
      <c r="D24" s="419" t="str">
        <f>VLOOKUP(D23,주주총괄!$A$5:$J$8,4,0)</f>
        <v>OO훈</v>
      </c>
      <c r="E24" s="420"/>
      <c r="F24" s="626"/>
    </row>
    <row r="25" spans="1:7" ht="30.95" customHeight="1">
      <c r="A25" s="625"/>
      <c r="B25" s="419" t="s">
        <v>250</v>
      </c>
      <c r="C25" s="420"/>
      <c r="D25" s="564" t="str">
        <f>VLOOKUP(D23,주주총괄!$A$5:$J$8,5,0)</f>
        <v>경기 OO시 OO읍 OO로 OOO, OOO동 OOOO호</v>
      </c>
      <c r="E25" s="565"/>
      <c r="F25" s="627"/>
    </row>
    <row r="26" spans="1:7" ht="30.95" customHeight="1">
      <c r="A26" s="625"/>
      <c r="B26" s="419" t="s">
        <v>23</v>
      </c>
      <c r="C26" s="420"/>
      <c r="D26" s="25"/>
      <c r="E26" s="62" t="s">
        <v>151</v>
      </c>
      <c r="F26" s="161"/>
    </row>
    <row r="27" spans="1:7" ht="30.95" customHeight="1">
      <c r="A27" s="210" t="s">
        <v>59</v>
      </c>
      <c r="B27" s="205" t="str">
        <f>VLOOKUP(D23,주주총괄!$A$5:$J$8,6,0)</f>
        <v>보통주</v>
      </c>
      <c r="C27" s="274">
        <f>VLOOKUP(D23,주주총괄!$A$5:$J$8,7,0)</f>
        <v>1000000</v>
      </c>
      <c r="D27" s="275">
        <f>VLOOKUP(D23,주주총괄!$A$5:$J$8,8,0)</f>
        <v>100000000</v>
      </c>
      <c r="E27" s="620" t="str">
        <f>"(액면가액: "&amp;TEXT(주주총괄!$L$4,"###,###원)")</f>
        <v>(액면가액: 100원)</v>
      </c>
      <c r="F27" s="621"/>
    </row>
    <row r="28" spans="1:7" ht="30.95" customHeight="1">
      <c r="A28" s="211" t="s">
        <v>19</v>
      </c>
      <c r="B28" s="618"/>
      <c r="C28" s="618"/>
      <c r="D28" s="618"/>
      <c r="E28" s="618"/>
      <c r="F28" s="619"/>
    </row>
    <row r="29" spans="1:7" ht="30.95" customHeight="1">
      <c r="A29" s="612" t="s">
        <v>41</v>
      </c>
      <c r="B29" s="612"/>
      <c r="C29" s="612"/>
      <c r="D29" s="612"/>
      <c r="E29" s="612"/>
      <c r="F29" s="612"/>
    </row>
    <row r="30" spans="1:7" ht="30.95" customHeight="1">
      <c r="A30" s="128"/>
      <c r="B30" s="128"/>
      <c r="C30" s="128"/>
      <c r="D30" s="128"/>
      <c r="E30" s="128"/>
      <c r="F30" s="128"/>
    </row>
    <row r="31" spans="1:7" ht="30.95" customHeight="1">
      <c r="A31" s="622" t="s">
        <v>249</v>
      </c>
      <c r="B31" s="623"/>
      <c r="C31" s="623"/>
      <c r="D31" s="198" t="str">
        <f>표지!$O$3&amp;" "&amp;표지!$O$4</f>
        <v>20○○회합100○○○ 회생</v>
      </c>
      <c r="E31" s="160" t="s">
        <v>261</v>
      </c>
      <c r="F31" s="199" t="str">
        <f>표지!$O$5</f>
        <v>○○○○ 주식회사</v>
      </c>
    </row>
    <row r="32" spans="1:7" ht="30.95" customHeight="1">
      <c r="A32" s="624" t="s">
        <v>125</v>
      </c>
      <c r="B32" s="423"/>
      <c r="C32" s="423"/>
      <c r="D32" s="276">
        <v>4</v>
      </c>
      <c r="E32" s="170" t="s">
        <v>190</v>
      </c>
      <c r="F32" s="111"/>
    </row>
    <row r="33" spans="1:6" ht="30.95" customHeight="1">
      <c r="A33" s="625" t="s">
        <v>183</v>
      </c>
      <c r="B33" s="419" t="s">
        <v>118</v>
      </c>
      <c r="C33" s="420"/>
      <c r="D33" s="419" t="str">
        <f>VLOOKUP(D32,주주총괄!$A$5:$J$8,4,0)</f>
        <v>OO나</v>
      </c>
      <c r="E33" s="420"/>
      <c r="F33" s="626"/>
    </row>
    <row r="34" spans="1:6" ht="30.95" customHeight="1">
      <c r="A34" s="625"/>
      <c r="B34" s="419" t="s">
        <v>250</v>
      </c>
      <c r="C34" s="420"/>
      <c r="D34" s="564" t="str">
        <f>VLOOKUP(D32,주주총괄!$A$5:$J$8,5,0)</f>
        <v>OO시 OOO구 OOOO2로 OO OOO동 OOOO호</v>
      </c>
      <c r="E34" s="565"/>
      <c r="F34" s="627"/>
    </row>
    <row r="35" spans="1:6" ht="30.95" customHeight="1">
      <c r="A35" s="625"/>
      <c r="B35" s="419" t="s">
        <v>23</v>
      </c>
      <c r="C35" s="420"/>
      <c r="D35" s="25"/>
      <c r="E35" s="62" t="s">
        <v>151</v>
      </c>
      <c r="F35" s="161"/>
    </row>
    <row r="36" spans="1:6" ht="30.95" customHeight="1">
      <c r="A36" s="210" t="s">
        <v>59</v>
      </c>
      <c r="B36" s="205" t="str">
        <f>VLOOKUP(D32,주주총괄!$A$5:$J$8,6,0)</f>
        <v>보통주</v>
      </c>
      <c r="C36" s="274">
        <f>VLOOKUP(D32,주주총괄!$A$5:$J$8,7,0)</f>
        <v>330400</v>
      </c>
      <c r="D36" s="275">
        <f>VLOOKUP(D32,주주총괄!$A$5:$J$8,8,0)</f>
        <v>33040000</v>
      </c>
      <c r="E36" s="620" t="str">
        <f>"(액면가액: "&amp;TEXT(주주총괄!$L$4,"###,###원)")</f>
        <v>(액면가액: 100원)</v>
      </c>
      <c r="F36" s="621"/>
    </row>
    <row r="37" spans="1:6" ht="30.95" customHeight="1">
      <c r="A37" s="211" t="s">
        <v>19</v>
      </c>
      <c r="B37" s="618"/>
      <c r="C37" s="618"/>
      <c r="D37" s="618"/>
      <c r="E37" s="618"/>
      <c r="F37" s="619"/>
    </row>
    <row r="38" spans="1:6" ht="30.95" hidden="1" customHeight="1">
      <c r="A38" s="612" t="s">
        <v>41</v>
      </c>
      <c r="B38" s="612"/>
      <c r="C38" s="612"/>
      <c r="D38" s="612"/>
      <c r="E38" s="612"/>
      <c r="F38" s="612"/>
    </row>
    <row r="39" spans="1:6" ht="30.95" hidden="1" customHeight="1">
      <c r="A39" s="128"/>
      <c r="B39" s="128"/>
      <c r="C39" s="128"/>
      <c r="D39" s="128"/>
      <c r="E39" s="128"/>
      <c r="F39" s="128"/>
    </row>
    <row r="40" spans="1:6" ht="30.95" hidden="1" customHeight="1">
      <c r="A40" s="622" t="s">
        <v>249</v>
      </c>
      <c r="B40" s="623"/>
      <c r="C40" s="623"/>
      <c r="D40" s="198" t="str">
        <f>표지!$O$3&amp;" "&amp;표지!$O$4</f>
        <v>20○○회합100○○○ 회생</v>
      </c>
      <c r="E40" s="160" t="s">
        <v>261</v>
      </c>
      <c r="F40" s="199" t="str">
        <f>표지!$O$5</f>
        <v>○○○○ 주식회사</v>
      </c>
    </row>
    <row r="41" spans="1:6" ht="30.95" hidden="1" customHeight="1">
      <c r="A41" s="624" t="s">
        <v>125</v>
      </c>
      <c r="B41" s="423"/>
      <c r="C41" s="423"/>
      <c r="D41" s="276">
        <v>5</v>
      </c>
      <c r="E41" s="170" t="s">
        <v>190</v>
      </c>
      <c r="F41" s="111"/>
    </row>
    <row r="42" spans="1:6" ht="30.95" hidden="1" customHeight="1">
      <c r="A42" s="625" t="s">
        <v>183</v>
      </c>
      <c r="B42" s="419" t="s">
        <v>118</v>
      </c>
      <c r="C42" s="420"/>
      <c r="D42" s="419" t="e">
        <f>VLOOKUP(D41,주주총괄!$A$5:$J$8,4,0)</f>
        <v>#N/A</v>
      </c>
      <c r="E42" s="420"/>
      <c r="F42" s="626"/>
    </row>
    <row r="43" spans="1:6" ht="30.95" hidden="1" customHeight="1">
      <c r="A43" s="625"/>
      <c r="B43" s="419" t="s">
        <v>250</v>
      </c>
      <c r="C43" s="420"/>
      <c r="D43" s="564" t="e">
        <f>VLOOKUP(D41,주주총괄!$A$5:$J$8,5,0)</f>
        <v>#N/A</v>
      </c>
      <c r="E43" s="565"/>
      <c r="F43" s="627"/>
    </row>
    <row r="44" spans="1:6" ht="30.95" hidden="1" customHeight="1">
      <c r="A44" s="625"/>
      <c r="B44" s="419" t="s">
        <v>23</v>
      </c>
      <c r="C44" s="420"/>
      <c r="D44" s="25"/>
      <c r="E44" s="62" t="s">
        <v>151</v>
      </c>
      <c r="F44" s="161"/>
    </row>
    <row r="45" spans="1:6" ht="30.95" hidden="1" customHeight="1">
      <c r="A45" s="210" t="s">
        <v>59</v>
      </c>
      <c r="B45" s="205" t="e">
        <f>VLOOKUP(D41,주주총괄!$A$5:$J$8,6,0)</f>
        <v>#N/A</v>
      </c>
      <c r="C45" s="274" t="e">
        <f>VLOOKUP(D41,주주총괄!$A$5:$J$8,7,0)</f>
        <v>#N/A</v>
      </c>
      <c r="D45" s="275" t="e">
        <f>VLOOKUP(D41,주주총괄!$A$5:$J$8,8,0)</f>
        <v>#N/A</v>
      </c>
      <c r="E45" s="620" t="str">
        <f>"(액면가액: "&amp;TEXT(주주총괄!$L$4,"###,###원)")</f>
        <v>(액면가액: 100원)</v>
      </c>
      <c r="F45" s="621"/>
    </row>
    <row r="46" spans="1:6" ht="30.95" hidden="1" customHeight="1">
      <c r="A46" s="211" t="s">
        <v>19</v>
      </c>
      <c r="B46" s="618"/>
      <c r="C46" s="618"/>
      <c r="D46" s="618"/>
      <c r="E46" s="618"/>
      <c r="F46" s="619"/>
    </row>
    <row r="47" spans="1:6" ht="30.95" hidden="1" customHeight="1">
      <c r="A47" s="612" t="s">
        <v>41</v>
      </c>
      <c r="B47" s="612"/>
      <c r="C47" s="612"/>
      <c r="D47" s="612"/>
      <c r="E47" s="612"/>
      <c r="F47" s="612"/>
    </row>
    <row r="48" spans="1:6" ht="30.95" hidden="1" customHeight="1">
      <c r="A48" s="128"/>
      <c r="B48" s="128"/>
      <c r="C48" s="128"/>
      <c r="D48" s="128"/>
      <c r="E48" s="128"/>
      <c r="F48" s="128"/>
    </row>
    <row r="49" spans="1:6" ht="30.95" hidden="1" customHeight="1">
      <c r="A49" s="622" t="s">
        <v>249</v>
      </c>
      <c r="B49" s="623"/>
      <c r="C49" s="623"/>
      <c r="D49" s="198" t="str">
        <f>표지!$O$3&amp;" "&amp;표지!$O$4</f>
        <v>20○○회합100○○○ 회생</v>
      </c>
      <c r="E49" s="160" t="s">
        <v>261</v>
      </c>
      <c r="F49" s="199" t="str">
        <f>표지!$O$5</f>
        <v>○○○○ 주식회사</v>
      </c>
    </row>
    <row r="50" spans="1:6" ht="30.95" hidden="1" customHeight="1">
      <c r="A50" s="624" t="s">
        <v>125</v>
      </c>
      <c r="B50" s="423"/>
      <c r="C50" s="423"/>
      <c r="D50" s="276">
        <v>6</v>
      </c>
      <c r="E50" s="170" t="s">
        <v>190</v>
      </c>
      <c r="F50" s="111"/>
    </row>
    <row r="51" spans="1:6" ht="30.95" hidden="1" customHeight="1">
      <c r="A51" s="625" t="s">
        <v>183</v>
      </c>
      <c r="B51" s="419" t="s">
        <v>118</v>
      </c>
      <c r="C51" s="420"/>
      <c r="D51" s="419" t="e">
        <f>VLOOKUP(D50,주주총괄!$A$5:$J$8,4,0)</f>
        <v>#N/A</v>
      </c>
      <c r="E51" s="420"/>
      <c r="F51" s="626"/>
    </row>
    <row r="52" spans="1:6" ht="30.95" hidden="1" customHeight="1">
      <c r="A52" s="625"/>
      <c r="B52" s="419" t="s">
        <v>250</v>
      </c>
      <c r="C52" s="420"/>
      <c r="D52" s="564" t="e">
        <f>VLOOKUP(D50,주주총괄!$A$5:$J$8,5,0)</f>
        <v>#N/A</v>
      </c>
      <c r="E52" s="565"/>
      <c r="F52" s="627"/>
    </row>
    <row r="53" spans="1:6" ht="30.95" hidden="1" customHeight="1">
      <c r="A53" s="625"/>
      <c r="B53" s="419" t="s">
        <v>23</v>
      </c>
      <c r="C53" s="420"/>
      <c r="D53" s="25"/>
      <c r="E53" s="62" t="s">
        <v>151</v>
      </c>
      <c r="F53" s="161"/>
    </row>
    <row r="54" spans="1:6" ht="30.95" hidden="1" customHeight="1">
      <c r="A54" s="210" t="s">
        <v>59</v>
      </c>
      <c r="B54" s="205" t="e">
        <f>VLOOKUP(D50,주주총괄!$A$5:$J$8,6,0)</f>
        <v>#N/A</v>
      </c>
      <c r="C54" s="274" t="e">
        <f>VLOOKUP(D50,주주총괄!$A$5:$J$8,7,0)</f>
        <v>#N/A</v>
      </c>
      <c r="D54" s="275" t="e">
        <f>VLOOKUP(D50,주주총괄!$A$5:$J$8,8,0)</f>
        <v>#N/A</v>
      </c>
      <c r="E54" s="620" t="str">
        <f>"(액면가액: "&amp;TEXT(주주총괄!$L$4,"###,###원)")</f>
        <v>(액면가액: 100원)</v>
      </c>
      <c r="F54" s="621"/>
    </row>
    <row r="55" spans="1:6" ht="30.95" hidden="1" customHeight="1">
      <c r="A55" s="211" t="s">
        <v>19</v>
      </c>
      <c r="B55" s="618"/>
      <c r="C55" s="618"/>
      <c r="D55" s="618"/>
      <c r="E55" s="618"/>
      <c r="F55" s="619"/>
    </row>
    <row r="56" spans="1:6" ht="30.95" hidden="1" customHeight="1">
      <c r="A56" s="612" t="s">
        <v>41</v>
      </c>
      <c r="B56" s="612"/>
      <c r="C56" s="612"/>
      <c r="D56" s="612"/>
      <c r="E56" s="612"/>
      <c r="F56" s="612"/>
    </row>
    <row r="57" spans="1:6" ht="30.95" hidden="1" customHeight="1">
      <c r="A57" s="128"/>
      <c r="B57" s="128"/>
      <c r="C57" s="128"/>
      <c r="D57" s="128"/>
      <c r="E57" s="128"/>
      <c r="F57" s="128"/>
    </row>
    <row r="58" spans="1:6" ht="30.95" hidden="1" customHeight="1">
      <c r="A58" s="622" t="s">
        <v>249</v>
      </c>
      <c r="B58" s="623"/>
      <c r="C58" s="623"/>
      <c r="D58" s="198" t="str">
        <f>표지!$O$3&amp;" "&amp;표지!$O$4</f>
        <v>20○○회합100○○○ 회생</v>
      </c>
      <c r="E58" s="160" t="s">
        <v>261</v>
      </c>
      <c r="F58" s="199" t="str">
        <f>표지!$O$5</f>
        <v>○○○○ 주식회사</v>
      </c>
    </row>
    <row r="59" spans="1:6" ht="30.95" hidden="1" customHeight="1">
      <c r="A59" s="624" t="s">
        <v>125</v>
      </c>
      <c r="B59" s="423"/>
      <c r="C59" s="423"/>
      <c r="D59" s="276">
        <v>7</v>
      </c>
      <c r="E59" s="170" t="s">
        <v>190</v>
      </c>
      <c r="F59" s="111"/>
    </row>
    <row r="60" spans="1:6" ht="30.95" hidden="1" customHeight="1">
      <c r="A60" s="625" t="s">
        <v>183</v>
      </c>
      <c r="B60" s="419" t="s">
        <v>118</v>
      </c>
      <c r="C60" s="420"/>
      <c r="D60" s="419" t="e">
        <f>VLOOKUP(D59,주주총괄!$A$5:$J$8,4,0)</f>
        <v>#N/A</v>
      </c>
      <c r="E60" s="420"/>
      <c r="F60" s="626"/>
    </row>
    <row r="61" spans="1:6" ht="30.95" hidden="1" customHeight="1">
      <c r="A61" s="625"/>
      <c r="B61" s="419" t="s">
        <v>250</v>
      </c>
      <c r="C61" s="420"/>
      <c r="D61" s="564" t="e">
        <f>VLOOKUP(D59,주주총괄!$A$5:$J$8,5,0)</f>
        <v>#N/A</v>
      </c>
      <c r="E61" s="565"/>
      <c r="F61" s="627"/>
    </row>
    <row r="62" spans="1:6" ht="30.95" hidden="1" customHeight="1">
      <c r="A62" s="625"/>
      <c r="B62" s="419" t="s">
        <v>23</v>
      </c>
      <c r="C62" s="420"/>
      <c r="D62" s="25"/>
      <c r="E62" s="62" t="s">
        <v>151</v>
      </c>
      <c r="F62" s="161"/>
    </row>
    <row r="63" spans="1:6" ht="30.95" hidden="1" customHeight="1">
      <c r="A63" s="210" t="s">
        <v>59</v>
      </c>
      <c r="B63" s="205" t="e">
        <f>VLOOKUP(D59,주주총괄!$A$5:$J$8,6,0)</f>
        <v>#N/A</v>
      </c>
      <c r="C63" s="274" t="e">
        <f>VLOOKUP(D59,주주총괄!$A$5:$J$8,7,0)</f>
        <v>#N/A</v>
      </c>
      <c r="D63" s="275" t="e">
        <f>VLOOKUP(D59,주주총괄!$A$5:$J$8,8,0)</f>
        <v>#N/A</v>
      </c>
      <c r="E63" s="620" t="str">
        <f>"(액면가액: "&amp;TEXT(주주총괄!$L$4,"###,###원)")</f>
        <v>(액면가액: 100원)</v>
      </c>
      <c r="F63" s="621"/>
    </row>
    <row r="64" spans="1:6" ht="30.95" hidden="1" customHeight="1">
      <c r="A64" s="211" t="s">
        <v>19</v>
      </c>
      <c r="B64" s="618"/>
      <c r="C64" s="618"/>
      <c r="D64" s="618"/>
      <c r="E64" s="618"/>
      <c r="F64" s="619"/>
    </row>
    <row r="65" spans="1:6" ht="30.95" hidden="1" customHeight="1">
      <c r="A65" s="612" t="s">
        <v>41</v>
      </c>
      <c r="B65" s="612"/>
      <c r="C65" s="612"/>
      <c r="D65" s="612"/>
      <c r="E65" s="612"/>
      <c r="F65" s="612"/>
    </row>
    <row r="66" spans="1:6" ht="30.95" hidden="1" customHeight="1">
      <c r="A66" s="128"/>
      <c r="B66" s="128"/>
      <c r="C66" s="128"/>
      <c r="D66" s="128"/>
      <c r="E66" s="128"/>
      <c r="F66" s="128"/>
    </row>
    <row r="67" spans="1:6" ht="30.95" hidden="1" customHeight="1">
      <c r="A67" s="622" t="s">
        <v>249</v>
      </c>
      <c r="B67" s="623"/>
      <c r="C67" s="623"/>
      <c r="D67" s="198" t="str">
        <f>표지!$O$3&amp;" "&amp;표지!$O$4</f>
        <v>20○○회합100○○○ 회생</v>
      </c>
      <c r="E67" s="160" t="s">
        <v>261</v>
      </c>
      <c r="F67" s="199" t="str">
        <f>표지!$O$5</f>
        <v>○○○○ 주식회사</v>
      </c>
    </row>
    <row r="68" spans="1:6" ht="30.95" hidden="1" customHeight="1">
      <c r="A68" s="624" t="s">
        <v>125</v>
      </c>
      <c r="B68" s="423"/>
      <c r="C68" s="423"/>
      <c r="D68" s="276">
        <v>8</v>
      </c>
      <c r="E68" s="170" t="s">
        <v>190</v>
      </c>
      <c r="F68" s="111"/>
    </row>
    <row r="69" spans="1:6" ht="30.95" hidden="1" customHeight="1">
      <c r="A69" s="625" t="s">
        <v>183</v>
      </c>
      <c r="B69" s="419" t="s">
        <v>118</v>
      </c>
      <c r="C69" s="420"/>
      <c r="D69" s="419" t="e">
        <f>VLOOKUP(D68,주주총괄!$A$5:$J$8,4,0)</f>
        <v>#N/A</v>
      </c>
      <c r="E69" s="420"/>
      <c r="F69" s="626"/>
    </row>
    <row r="70" spans="1:6" ht="30.95" hidden="1" customHeight="1">
      <c r="A70" s="625"/>
      <c r="B70" s="419" t="s">
        <v>250</v>
      </c>
      <c r="C70" s="420"/>
      <c r="D70" s="564" t="e">
        <f>VLOOKUP(D68,주주총괄!$A$5:$J$8,5,0)</f>
        <v>#N/A</v>
      </c>
      <c r="E70" s="565"/>
      <c r="F70" s="627"/>
    </row>
    <row r="71" spans="1:6" ht="30.95" hidden="1" customHeight="1">
      <c r="A71" s="625"/>
      <c r="B71" s="419" t="s">
        <v>23</v>
      </c>
      <c r="C71" s="420"/>
      <c r="D71" s="25"/>
      <c r="E71" s="62" t="s">
        <v>151</v>
      </c>
      <c r="F71" s="161"/>
    </row>
    <row r="72" spans="1:6" ht="30.95" hidden="1" customHeight="1">
      <c r="A72" s="210" t="s">
        <v>59</v>
      </c>
      <c r="B72" s="205" t="e">
        <f>VLOOKUP(D68,주주총괄!$A$5:$J$8,6,0)</f>
        <v>#N/A</v>
      </c>
      <c r="C72" s="274" t="e">
        <f>VLOOKUP(D68,주주총괄!$A$5:$J$8,7,0)</f>
        <v>#N/A</v>
      </c>
      <c r="D72" s="275" t="e">
        <f>VLOOKUP(D68,주주총괄!$A$5:$J$8,8,0)</f>
        <v>#N/A</v>
      </c>
      <c r="E72" s="620" t="str">
        <f>"(액면가액: "&amp;TEXT(주주총괄!$L$4,"###,###원)")</f>
        <v>(액면가액: 100원)</v>
      </c>
      <c r="F72" s="621"/>
    </row>
    <row r="73" spans="1:6" ht="30.95" hidden="1" customHeight="1">
      <c r="A73" s="211" t="s">
        <v>19</v>
      </c>
      <c r="B73" s="618"/>
      <c r="C73" s="618"/>
      <c r="D73" s="618"/>
      <c r="E73" s="618"/>
      <c r="F73" s="619"/>
    </row>
    <row r="74" spans="1:6" ht="30.95" hidden="1" customHeight="1">
      <c r="A74" s="612" t="s">
        <v>41</v>
      </c>
      <c r="B74" s="612"/>
      <c r="C74" s="612"/>
      <c r="D74" s="612"/>
      <c r="E74" s="612"/>
      <c r="F74" s="612"/>
    </row>
    <row r="75" spans="1:6" ht="30.95" hidden="1" customHeight="1">
      <c r="A75" s="128"/>
      <c r="B75" s="128"/>
      <c r="C75" s="128"/>
      <c r="D75" s="128"/>
      <c r="E75" s="128"/>
      <c r="F75" s="128"/>
    </row>
    <row r="76" spans="1:6" ht="30.95" hidden="1" customHeight="1">
      <c r="A76" s="622" t="s">
        <v>249</v>
      </c>
      <c r="B76" s="623"/>
      <c r="C76" s="623"/>
      <c r="D76" s="198" t="str">
        <f>표지!$O$3&amp;" "&amp;표지!$O$4</f>
        <v>20○○회합100○○○ 회생</v>
      </c>
      <c r="E76" s="160" t="s">
        <v>261</v>
      </c>
      <c r="F76" s="199" t="str">
        <f>표지!$O$5</f>
        <v>○○○○ 주식회사</v>
      </c>
    </row>
    <row r="77" spans="1:6" ht="30.95" hidden="1" customHeight="1">
      <c r="A77" s="624" t="s">
        <v>125</v>
      </c>
      <c r="B77" s="423"/>
      <c r="C77" s="423"/>
      <c r="D77" s="276">
        <v>9</v>
      </c>
      <c r="E77" s="170" t="s">
        <v>190</v>
      </c>
      <c r="F77" s="111"/>
    </row>
    <row r="78" spans="1:6" ht="30.95" hidden="1" customHeight="1">
      <c r="A78" s="625" t="s">
        <v>183</v>
      </c>
      <c r="B78" s="419" t="s">
        <v>118</v>
      </c>
      <c r="C78" s="420"/>
      <c r="D78" s="419" t="e">
        <f>VLOOKUP(D77,주주총괄!$A$5:$J$8,4,0)</f>
        <v>#N/A</v>
      </c>
      <c r="E78" s="420"/>
      <c r="F78" s="626"/>
    </row>
    <row r="79" spans="1:6" ht="30.95" hidden="1" customHeight="1">
      <c r="A79" s="625"/>
      <c r="B79" s="419" t="s">
        <v>250</v>
      </c>
      <c r="C79" s="420"/>
      <c r="D79" s="564" t="e">
        <f>VLOOKUP(D77,주주총괄!$A$5:$J$8,5,0)</f>
        <v>#N/A</v>
      </c>
      <c r="E79" s="565"/>
      <c r="F79" s="627"/>
    </row>
    <row r="80" spans="1:6" ht="30.95" hidden="1" customHeight="1">
      <c r="A80" s="625"/>
      <c r="B80" s="419" t="s">
        <v>23</v>
      </c>
      <c r="C80" s="420"/>
      <c r="D80" s="25"/>
      <c r="E80" s="62" t="s">
        <v>151</v>
      </c>
      <c r="F80" s="161"/>
    </row>
    <row r="81" spans="1:6" ht="30.95" hidden="1" customHeight="1">
      <c r="A81" s="210" t="s">
        <v>59</v>
      </c>
      <c r="B81" s="205" t="e">
        <f>VLOOKUP(D77,주주총괄!$A$5:$J$8,6,0)</f>
        <v>#N/A</v>
      </c>
      <c r="C81" s="274" t="e">
        <f>VLOOKUP(D77,주주총괄!$A$5:$J$8,7,0)</f>
        <v>#N/A</v>
      </c>
      <c r="D81" s="275" t="e">
        <f>VLOOKUP(D77,주주총괄!$A$5:$J$8,8,0)</f>
        <v>#N/A</v>
      </c>
      <c r="E81" s="620" t="str">
        <f>"(액면가액: "&amp;TEXT(주주총괄!$L$4,"###,###원)")</f>
        <v>(액면가액: 100원)</v>
      </c>
      <c r="F81" s="621"/>
    </row>
    <row r="82" spans="1:6" ht="30.95" hidden="1" customHeight="1">
      <c r="A82" s="211" t="s">
        <v>19</v>
      </c>
      <c r="B82" s="618"/>
      <c r="C82" s="618"/>
      <c r="D82" s="618"/>
      <c r="E82" s="618"/>
      <c r="F82" s="619"/>
    </row>
    <row r="83" spans="1:6" ht="30.95" hidden="1" customHeight="1">
      <c r="A83" s="612" t="s">
        <v>41</v>
      </c>
      <c r="B83" s="612"/>
      <c r="C83" s="612"/>
      <c r="D83" s="612"/>
      <c r="E83" s="612"/>
      <c r="F83" s="612"/>
    </row>
    <row r="84" spans="1:6" ht="30.95" hidden="1" customHeight="1">
      <c r="A84" s="128"/>
      <c r="B84" s="128"/>
      <c r="C84" s="128"/>
      <c r="D84" s="128"/>
      <c r="E84" s="128"/>
      <c r="F84" s="128"/>
    </row>
    <row r="85" spans="1:6" ht="30.95" hidden="1" customHeight="1">
      <c r="A85" s="622" t="s">
        <v>249</v>
      </c>
      <c r="B85" s="623"/>
      <c r="C85" s="623"/>
      <c r="D85" s="198" t="str">
        <f>표지!$O$3&amp;" "&amp;표지!$O$4</f>
        <v>20○○회합100○○○ 회생</v>
      </c>
      <c r="E85" s="160" t="s">
        <v>261</v>
      </c>
      <c r="F85" s="199" t="str">
        <f>표지!$O$5</f>
        <v>○○○○ 주식회사</v>
      </c>
    </row>
    <row r="86" spans="1:6" ht="30.95" hidden="1" customHeight="1">
      <c r="A86" s="624" t="s">
        <v>125</v>
      </c>
      <c r="B86" s="423"/>
      <c r="C86" s="423"/>
      <c r="D86" s="276">
        <v>10</v>
      </c>
      <c r="E86" s="170" t="s">
        <v>190</v>
      </c>
      <c r="F86" s="111"/>
    </row>
    <row r="87" spans="1:6" ht="30.95" hidden="1" customHeight="1">
      <c r="A87" s="625" t="s">
        <v>183</v>
      </c>
      <c r="B87" s="419" t="s">
        <v>118</v>
      </c>
      <c r="C87" s="420"/>
      <c r="D87" s="419" t="e">
        <f>VLOOKUP(D86,주주총괄!$A$5:$J$8,4,0)</f>
        <v>#N/A</v>
      </c>
      <c r="E87" s="420"/>
      <c r="F87" s="626"/>
    </row>
    <row r="88" spans="1:6" ht="30.95" hidden="1" customHeight="1">
      <c r="A88" s="625"/>
      <c r="B88" s="419" t="s">
        <v>250</v>
      </c>
      <c r="C88" s="420"/>
      <c r="D88" s="564" t="e">
        <f>VLOOKUP(D86,주주총괄!$A$5:$J$8,5,0)</f>
        <v>#N/A</v>
      </c>
      <c r="E88" s="565"/>
      <c r="F88" s="627"/>
    </row>
    <row r="89" spans="1:6" ht="30.95" hidden="1" customHeight="1">
      <c r="A89" s="625"/>
      <c r="B89" s="419" t="s">
        <v>23</v>
      </c>
      <c r="C89" s="420"/>
      <c r="D89" s="25"/>
      <c r="E89" s="62" t="s">
        <v>151</v>
      </c>
      <c r="F89" s="161"/>
    </row>
    <row r="90" spans="1:6" ht="30.95" hidden="1" customHeight="1">
      <c r="A90" s="210" t="s">
        <v>59</v>
      </c>
      <c r="B90" s="205" t="e">
        <f>VLOOKUP(D86,주주총괄!$A$5:$J$8,6,0)</f>
        <v>#N/A</v>
      </c>
      <c r="C90" s="274" t="e">
        <f>VLOOKUP(D86,주주총괄!$A$5:$J$8,7,0)</f>
        <v>#N/A</v>
      </c>
      <c r="D90" s="275" t="e">
        <f>VLOOKUP(D86,주주총괄!$A$5:$J$8,8,0)</f>
        <v>#N/A</v>
      </c>
      <c r="E90" s="620" t="str">
        <f>"(액면가액: "&amp;TEXT(주주총괄!$L$4,"###,###원)")</f>
        <v>(액면가액: 100원)</v>
      </c>
      <c r="F90" s="621"/>
    </row>
    <row r="91" spans="1:6" ht="30.95" hidden="1" customHeight="1">
      <c r="A91" s="211" t="s">
        <v>19</v>
      </c>
      <c r="B91" s="618"/>
      <c r="C91" s="618"/>
      <c r="D91" s="618"/>
      <c r="E91" s="618"/>
      <c r="F91" s="619"/>
    </row>
    <row r="92" spans="1:6" ht="30.95" hidden="1" customHeight="1">
      <c r="A92" s="612" t="s">
        <v>41</v>
      </c>
      <c r="B92" s="612"/>
      <c r="C92" s="612"/>
      <c r="D92" s="612"/>
      <c r="E92" s="612"/>
      <c r="F92" s="612"/>
    </row>
    <row r="93" spans="1:6" ht="30.95" hidden="1" customHeight="1">
      <c r="A93" s="128"/>
      <c r="B93" s="128"/>
      <c r="C93" s="128"/>
      <c r="D93" s="128"/>
      <c r="E93" s="128"/>
      <c r="F93" s="128"/>
    </row>
    <row r="94" spans="1:6" ht="30.95" hidden="1" customHeight="1">
      <c r="A94" s="622" t="s">
        <v>249</v>
      </c>
      <c r="B94" s="623"/>
      <c r="C94" s="623"/>
      <c r="D94" s="198" t="str">
        <f>표지!$O$3&amp;" "&amp;표지!$O$4</f>
        <v>20○○회합100○○○ 회생</v>
      </c>
      <c r="E94" s="160" t="s">
        <v>261</v>
      </c>
      <c r="F94" s="199" t="str">
        <f>표지!$O$5</f>
        <v>○○○○ 주식회사</v>
      </c>
    </row>
    <row r="95" spans="1:6" ht="30.95" hidden="1" customHeight="1">
      <c r="A95" s="624" t="s">
        <v>125</v>
      </c>
      <c r="B95" s="423"/>
      <c r="C95" s="423"/>
      <c r="D95" s="276">
        <v>11</v>
      </c>
      <c r="E95" s="170" t="s">
        <v>190</v>
      </c>
      <c r="F95" s="111"/>
    </row>
    <row r="96" spans="1:6" ht="30.95" hidden="1" customHeight="1">
      <c r="A96" s="625" t="s">
        <v>183</v>
      </c>
      <c r="B96" s="419" t="s">
        <v>118</v>
      </c>
      <c r="C96" s="420"/>
      <c r="D96" s="419" t="e">
        <f>VLOOKUP(D95,주주총괄!$A$5:$J$8,4,0)</f>
        <v>#N/A</v>
      </c>
      <c r="E96" s="420"/>
      <c r="F96" s="626"/>
    </row>
    <row r="97" spans="1:6" ht="30.95" hidden="1" customHeight="1">
      <c r="A97" s="625"/>
      <c r="B97" s="419" t="s">
        <v>250</v>
      </c>
      <c r="C97" s="420"/>
      <c r="D97" s="564" t="e">
        <f>VLOOKUP(D95,주주총괄!$A$5:$J$8,5,0)</f>
        <v>#N/A</v>
      </c>
      <c r="E97" s="565"/>
      <c r="F97" s="627"/>
    </row>
    <row r="98" spans="1:6" ht="30.95" hidden="1" customHeight="1">
      <c r="A98" s="625"/>
      <c r="B98" s="419" t="s">
        <v>23</v>
      </c>
      <c r="C98" s="420"/>
      <c r="D98" s="25"/>
      <c r="E98" s="62" t="s">
        <v>151</v>
      </c>
      <c r="F98" s="161"/>
    </row>
    <row r="99" spans="1:6" ht="30.95" hidden="1" customHeight="1">
      <c r="A99" s="210" t="s">
        <v>59</v>
      </c>
      <c r="B99" s="205" t="e">
        <f>VLOOKUP(D95,주주총괄!$A$5:$J$8,6,0)</f>
        <v>#N/A</v>
      </c>
      <c r="C99" s="274" t="e">
        <f>VLOOKUP(D95,주주총괄!$A$5:$J$8,7,0)</f>
        <v>#N/A</v>
      </c>
      <c r="D99" s="275" t="e">
        <f>VLOOKUP(D95,주주총괄!$A$5:$J$8,8,0)</f>
        <v>#N/A</v>
      </c>
      <c r="E99" s="620" t="str">
        <f>"(액면가액: "&amp;TEXT(주주총괄!$L$4,"###,###원)")</f>
        <v>(액면가액: 100원)</v>
      </c>
      <c r="F99" s="621"/>
    </row>
    <row r="100" spans="1:6" ht="30.95" hidden="1" customHeight="1">
      <c r="A100" s="211" t="s">
        <v>19</v>
      </c>
      <c r="B100" s="618"/>
      <c r="C100" s="618"/>
      <c r="D100" s="618"/>
      <c r="E100" s="618"/>
      <c r="F100" s="619"/>
    </row>
    <row r="101" spans="1:6" ht="30.95" hidden="1" customHeight="1">
      <c r="A101" s="612" t="s">
        <v>41</v>
      </c>
      <c r="B101" s="612"/>
      <c r="C101" s="612"/>
      <c r="D101" s="612"/>
      <c r="E101" s="612"/>
      <c r="F101" s="612"/>
    </row>
    <row r="102" spans="1:6" ht="30.95" hidden="1" customHeight="1">
      <c r="A102" s="128"/>
      <c r="B102" s="128"/>
      <c r="C102" s="128"/>
      <c r="D102" s="128"/>
      <c r="E102" s="128"/>
      <c r="F102" s="128"/>
    </row>
    <row r="103" spans="1:6" ht="30.95" hidden="1" customHeight="1">
      <c r="A103" s="622" t="s">
        <v>249</v>
      </c>
      <c r="B103" s="623"/>
      <c r="C103" s="623"/>
      <c r="D103" s="198" t="str">
        <f>표지!$O$3&amp;" "&amp;표지!$O$4</f>
        <v>20○○회합100○○○ 회생</v>
      </c>
      <c r="E103" s="160" t="s">
        <v>261</v>
      </c>
      <c r="F103" s="199" t="str">
        <f>표지!$O$5</f>
        <v>○○○○ 주식회사</v>
      </c>
    </row>
    <row r="104" spans="1:6" ht="30.95" hidden="1" customHeight="1">
      <c r="A104" s="624" t="s">
        <v>125</v>
      </c>
      <c r="B104" s="423"/>
      <c r="C104" s="423"/>
      <c r="D104" s="276">
        <v>12</v>
      </c>
      <c r="E104" s="170" t="s">
        <v>190</v>
      </c>
      <c r="F104" s="111"/>
    </row>
    <row r="105" spans="1:6" ht="30.95" hidden="1" customHeight="1">
      <c r="A105" s="625" t="s">
        <v>183</v>
      </c>
      <c r="B105" s="419" t="s">
        <v>118</v>
      </c>
      <c r="C105" s="420"/>
      <c r="D105" s="419" t="e">
        <f>VLOOKUP(D104,주주총괄!$A$5:$J$8,4,0)</f>
        <v>#N/A</v>
      </c>
      <c r="E105" s="420"/>
      <c r="F105" s="626"/>
    </row>
    <row r="106" spans="1:6" ht="30.95" hidden="1" customHeight="1">
      <c r="A106" s="625"/>
      <c r="B106" s="419" t="s">
        <v>250</v>
      </c>
      <c r="C106" s="420"/>
      <c r="D106" s="564" t="e">
        <f>VLOOKUP(D104,주주총괄!$A$5:$J$8,5,0)</f>
        <v>#N/A</v>
      </c>
      <c r="E106" s="565"/>
      <c r="F106" s="627"/>
    </row>
    <row r="107" spans="1:6" ht="30.95" hidden="1" customHeight="1">
      <c r="A107" s="625"/>
      <c r="B107" s="419" t="s">
        <v>23</v>
      </c>
      <c r="C107" s="420"/>
      <c r="D107" s="25"/>
      <c r="E107" s="62" t="s">
        <v>151</v>
      </c>
      <c r="F107" s="161"/>
    </row>
    <row r="108" spans="1:6" ht="30.95" hidden="1" customHeight="1">
      <c r="A108" s="210" t="s">
        <v>59</v>
      </c>
      <c r="B108" s="205" t="e">
        <f>VLOOKUP(D104,주주총괄!$A$5:$J$8,6,0)</f>
        <v>#N/A</v>
      </c>
      <c r="C108" s="274" t="e">
        <f>VLOOKUP(D104,주주총괄!$A$5:$J$8,7,0)</f>
        <v>#N/A</v>
      </c>
      <c r="D108" s="275" t="e">
        <f>VLOOKUP(D104,주주총괄!$A$5:$J$8,8,0)</f>
        <v>#N/A</v>
      </c>
      <c r="E108" s="620" t="str">
        <f>"(액면가액: "&amp;TEXT(주주총괄!$L$4,"###,###원)")</f>
        <v>(액면가액: 100원)</v>
      </c>
      <c r="F108" s="621"/>
    </row>
    <row r="109" spans="1:6" ht="30.95" hidden="1" customHeight="1">
      <c r="A109" s="211" t="s">
        <v>19</v>
      </c>
      <c r="B109" s="618"/>
      <c r="C109" s="618"/>
      <c r="D109" s="618"/>
      <c r="E109" s="618"/>
      <c r="F109" s="619"/>
    </row>
    <row r="110" spans="1:6" ht="30.95" hidden="1" customHeight="1">
      <c r="A110" s="612" t="s">
        <v>41</v>
      </c>
      <c r="B110" s="612"/>
      <c r="C110" s="612"/>
      <c r="D110" s="612"/>
      <c r="E110" s="612"/>
      <c r="F110" s="612"/>
    </row>
    <row r="111" spans="1:6" ht="30.95" hidden="1" customHeight="1">
      <c r="A111" s="128"/>
      <c r="B111" s="128"/>
      <c r="C111" s="128"/>
      <c r="D111" s="128"/>
      <c r="E111" s="128"/>
      <c r="F111" s="128"/>
    </row>
    <row r="112" spans="1:6" ht="30.95" hidden="1" customHeight="1">
      <c r="A112" s="622" t="s">
        <v>249</v>
      </c>
      <c r="B112" s="623"/>
      <c r="C112" s="623"/>
      <c r="D112" s="198" t="str">
        <f>표지!$O$3&amp;" "&amp;표지!$O$4</f>
        <v>20○○회합100○○○ 회생</v>
      </c>
      <c r="E112" s="160" t="s">
        <v>261</v>
      </c>
      <c r="F112" s="199" t="str">
        <f>표지!$O$5</f>
        <v>○○○○ 주식회사</v>
      </c>
    </row>
    <row r="113" spans="1:6" ht="30.95" hidden="1" customHeight="1">
      <c r="A113" s="624" t="s">
        <v>125</v>
      </c>
      <c r="B113" s="423"/>
      <c r="C113" s="423"/>
      <c r="D113" s="276">
        <v>13</v>
      </c>
      <c r="E113" s="170" t="s">
        <v>190</v>
      </c>
      <c r="F113" s="111"/>
    </row>
    <row r="114" spans="1:6" ht="30.95" hidden="1" customHeight="1">
      <c r="A114" s="625" t="s">
        <v>183</v>
      </c>
      <c r="B114" s="419" t="s">
        <v>118</v>
      </c>
      <c r="C114" s="420"/>
      <c r="D114" s="419" t="e">
        <f>VLOOKUP(D113,주주총괄!$A$5:$J$8,4,0)</f>
        <v>#N/A</v>
      </c>
      <c r="E114" s="420"/>
      <c r="F114" s="626"/>
    </row>
    <row r="115" spans="1:6" ht="30.95" hidden="1" customHeight="1">
      <c r="A115" s="625"/>
      <c r="B115" s="419" t="s">
        <v>250</v>
      </c>
      <c r="C115" s="420"/>
      <c r="D115" s="564" t="e">
        <f>VLOOKUP(D113,주주총괄!$A$5:$J$8,5,0)</f>
        <v>#N/A</v>
      </c>
      <c r="E115" s="565"/>
      <c r="F115" s="627"/>
    </row>
    <row r="116" spans="1:6" ht="30.95" hidden="1" customHeight="1">
      <c r="A116" s="625"/>
      <c r="B116" s="419" t="s">
        <v>23</v>
      </c>
      <c r="C116" s="420"/>
      <c r="D116" s="25"/>
      <c r="E116" s="62" t="s">
        <v>151</v>
      </c>
      <c r="F116" s="161"/>
    </row>
    <row r="117" spans="1:6" ht="30.95" hidden="1" customHeight="1">
      <c r="A117" s="210" t="s">
        <v>59</v>
      </c>
      <c r="B117" s="205" t="e">
        <f>VLOOKUP(D113,주주총괄!$A$5:$J$8,6,0)</f>
        <v>#N/A</v>
      </c>
      <c r="C117" s="274" t="e">
        <f>VLOOKUP(D113,주주총괄!$A$5:$J$8,7,0)</f>
        <v>#N/A</v>
      </c>
      <c r="D117" s="275" t="e">
        <f>VLOOKUP(D113,주주총괄!$A$5:$J$8,8,0)</f>
        <v>#N/A</v>
      </c>
      <c r="E117" s="620" t="str">
        <f>"(액면가액: "&amp;TEXT(주주총괄!$L$4,"###,###원)")</f>
        <v>(액면가액: 100원)</v>
      </c>
      <c r="F117" s="621"/>
    </row>
    <row r="118" spans="1:6" ht="30.95" hidden="1" customHeight="1">
      <c r="A118" s="211" t="s">
        <v>19</v>
      </c>
      <c r="B118" s="618"/>
      <c r="C118" s="618"/>
      <c r="D118" s="618"/>
      <c r="E118" s="618"/>
      <c r="F118" s="619"/>
    </row>
    <row r="119" spans="1:6" ht="30.95" hidden="1" customHeight="1">
      <c r="A119" s="612" t="s">
        <v>41</v>
      </c>
      <c r="B119" s="612"/>
      <c r="C119" s="612"/>
      <c r="D119" s="612"/>
      <c r="E119" s="612"/>
      <c r="F119" s="612"/>
    </row>
    <row r="120" spans="1:6" ht="30.95" hidden="1" customHeight="1">
      <c r="A120" s="128"/>
      <c r="B120" s="128"/>
      <c r="C120" s="128"/>
      <c r="D120" s="128"/>
      <c r="E120" s="128"/>
      <c r="F120" s="128"/>
    </row>
    <row r="121" spans="1:6" ht="30.95" hidden="1" customHeight="1">
      <c r="A121" s="622" t="s">
        <v>249</v>
      </c>
      <c r="B121" s="623"/>
      <c r="C121" s="623"/>
      <c r="D121" s="198" t="str">
        <f>표지!$O$3&amp;" "&amp;표지!$O$4</f>
        <v>20○○회합100○○○ 회생</v>
      </c>
      <c r="E121" s="160" t="s">
        <v>261</v>
      </c>
      <c r="F121" s="199" t="str">
        <f>표지!$O$5</f>
        <v>○○○○ 주식회사</v>
      </c>
    </row>
    <row r="122" spans="1:6" ht="30.95" hidden="1" customHeight="1">
      <c r="A122" s="624" t="s">
        <v>125</v>
      </c>
      <c r="B122" s="423"/>
      <c r="C122" s="423"/>
      <c r="D122" s="276">
        <v>14</v>
      </c>
      <c r="E122" s="170" t="s">
        <v>190</v>
      </c>
      <c r="F122" s="111"/>
    </row>
    <row r="123" spans="1:6" ht="30.95" hidden="1" customHeight="1">
      <c r="A123" s="625" t="s">
        <v>183</v>
      </c>
      <c r="B123" s="419" t="s">
        <v>118</v>
      </c>
      <c r="C123" s="420"/>
      <c r="D123" s="419" t="e">
        <f>VLOOKUP(D122,주주총괄!$A$5:$J$8,4,0)</f>
        <v>#N/A</v>
      </c>
      <c r="E123" s="420"/>
      <c r="F123" s="626"/>
    </row>
    <row r="124" spans="1:6" ht="30.95" hidden="1" customHeight="1">
      <c r="A124" s="625"/>
      <c r="B124" s="419" t="s">
        <v>250</v>
      </c>
      <c r="C124" s="420"/>
      <c r="D124" s="564" t="e">
        <f>VLOOKUP(D122,주주총괄!$A$5:$J$8,5,0)</f>
        <v>#N/A</v>
      </c>
      <c r="E124" s="565"/>
      <c r="F124" s="627"/>
    </row>
    <row r="125" spans="1:6" ht="30.95" hidden="1" customHeight="1">
      <c r="A125" s="625"/>
      <c r="B125" s="419" t="s">
        <v>23</v>
      </c>
      <c r="C125" s="420"/>
      <c r="D125" s="25"/>
      <c r="E125" s="62" t="s">
        <v>151</v>
      </c>
      <c r="F125" s="161"/>
    </row>
    <row r="126" spans="1:6" ht="30.95" hidden="1" customHeight="1">
      <c r="A126" s="210" t="s">
        <v>59</v>
      </c>
      <c r="B126" s="205" t="e">
        <f>VLOOKUP(D122,주주총괄!$A$5:$J$8,6,0)</f>
        <v>#N/A</v>
      </c>
      <c r="C126" s="274" t="e">
        <f>VLOOKUP(D122,주주총괄!$A$5:$J$8,7,0)</f>
        <v>#N/A</v>
      </c>
      <c r="D126" s="275" t="e">
        <f>VLOOKUP(D122,주주총괄!$A$5:$J$8,8,0)</f>
        <v>#N/A</v>
      </c>
      <c r="E126" s="620" t="str">
        <f>"(액면가액: "&amp;TEXT(주주총괄!$L$4,"###,###원)")</f>
        <v>(액면가액: 100원)</v>
      </c>
      <c r="F126" s="621"/>
    </row>
    <row r="127" spans="1:6" ht="30.95" hidden="1" customHeight="1">
      <c r="A127" s="211" t="s">
        <v>19</v>
      </c>
      <c r="B127" s="618"/>
      <c r="C127" s="618"/>
      <c r="D127" s="618"/>
      <c r="E127" s="618"/>
      <c r="F127" s="619"/>
    </row>
    <row r="128" spans="1:6" ht="30.95" hidden="1" customHeight="1">
      <c r="A128" s="612" t="s">
        <v>41</v>
      </c>
      <c r="B128" s="612"/>
      <c r="C128" s="612"/>
      <c r="D128" s="612"/>
      <c r="E128" s="612"/>
      <c r="F128" s="612"/>
    </row>
    <row r="129" spans="1:6" ht="30.95" hidden="1" customHeight="1">
      <c r="A129" s="128"/>
      <c r="B129" s="128"/>
      <c r="C129" s="128"/>
      <c r="D129" s="128"/>
      <c r="E129" s="128"/>
      <c r="F129" s="128"/>
    </row>
    <row r="130" spans="1:6" ht="30.95" hidden="1" customHeight="1">
      <c r="A130" s="622" t="s">
        <v>249</v>
      </c>
      <c r="B130" s="623"/>
      <c r="C130" s="623"/>
      <c r="D130" s="198" t="str">
        <f>표지!$O$3&amp;" "&amp;표지!$O$4</f>
        <v>20○○회합100○○○ 회생</v>
      </c>
      <c r="E130" s="160" t="s">
        <v>261</v>
      </c>
      <c r="F130" s="199" t="str">
        <f>표지!$O$5</f>
        <v>○○○○ 주식회사</v>
      </c>
    </row>
    <row r="131" spans="1:6" ht="30.95" hidden="1" customHeight="1">
      <c r="A131" s="624" t="s">
        <v>125</v>
      </c>
      <c r="B131" s="423"/>
      <c r="C131" s="423"/>
      <c r="D131" s="276">
        <v>15</v>
      </c>
      <c r="E131" s="170" t="s">
        <v>190</v>
      </c>
      <c r="F131" s="111"/>
    </row>
    <row r="132" spans="1:6" ht="30.95" hidden="1" customHeight="1">
      <c r="A132" s="625" t="s">
        <v>183</v>
      </c>
      <c r="B132" s="419" t="s">
        <v>118</v>
      </c>
      <c r="C132" s="420"/>
      <c r="D132" s="419" t="e">
        <f>VLOOKUP(D131,주주총괄!$A$5:$J$8,4,0)</f>
        <v>#N/A</v>
      </c>
      <c r="E132" s="420"/>
      <c r="F132" s="626"/>
    </row>
    <row r="133" spans="1:6" ht="30.95" hidden="1" customHeight="1">
      <c r="A133" s="625"/>
      <c r="B133" s="419" t="s">
        <v>250</v>
      </c>
      <c r="C133" s="420"/>
      <c r="D133" s="564" t="e">
        <f>VLOOKUP(D131,주주총괄!$A$5:$J$8,5,0)</f>
        <v>#N/A</v>
      </c>
      <c r="E133" s="565"/>
      <c r="F133" s="627"/>
    </row>
    <row r="134" spans="1:6" ht="30.95" hidden="1" customHeight="1">
      <c r="A134" s="625"/>
      <c r="B134" s="419" t="s">
        <v>23</v>
      </c>
      <c r="C134" s="420"/>
      <c r="D134" s="25"/>
      <c r="E134" s="62" t="s">
        <v>151</v>
      </c>
      <c r="F134" s="161"/>
    </row>
    <row r="135" spans="1:6" ht="30.95" hidden="1" customHeight="1">
      <c r="A135" s="210" t="s">
        <v>59</v>
      </c>
      <c r="B135" s="205" t="e">
        <f>VLOOKUP(D131,주주총괄!$A$5:$J$8,6,0)</f>
        <v>#N/A</v>
      </c>
      <c r="C135" s="274" t="e">
        <f>VLOOKUP(D131,주주총괄!$A$5:$J$8,7,0)</f>
        <v>#N/A</v>
      </c>
      <c r="D135" s="275" t="e">
        <f>VLOOKUP(D131,주주총괄!$A$5:$J$8,8,0)</f>
        <v>#N/A</v>
      </c>
      <c r="E135" s="620" t="str">
        <f>"(액면가액: "&amp;TEXT(주주총괄!$L$4,"###,###원)")</f>
        <v>(액면가액: 100원)</v>
      </c>
      <c r="F135" s="621"/>
    </row>
    <row r="136" spans="1:6" ht="30.95" hidden="1" customHeight="1">
      <c r="A136" s="211" t="s">
        <v>19</v>
      </c>
      <c r="B136" s="618"/>
      <c r="C136" s="618"/>
      <c r="D136" s="618"/>
      <c r="E136" s="618"/>
      <c r="F136" s="619"/>
    </row>
    <row r="137" spans="1:6" ht="30.95" hidden="1" customHeight="1">
      <c r="A137" s="612" t="s">
        <v>41</v>
      </c>
      <c r="B137" s="612"/>
      <c r="C137" s="612"/>
      <c r="D137" s="612"/>
      <c r="E137" s="612"/>
      <c r="F137" s="612"/>
    </row>
    <row r="138" spans="1:6" ht="30.95" hidden="1" customHeight="1">
      <c r="A138" s="128"/>
      <c r="B138" s="128"/>
      <c r="C138" s="128"/>
      <c r="D138" s="128"/>
      <c r="E138" s="128"/>
      <c r="F138" s="128"/>
    </row>
    <row r="139" spans="1:6" ht="30.95" hidden="1" customHeight="1">
      <c r="A139" s="622" t="s">
        <v>249</v>
      </c>
      <c r="B139" s="623"/>
      <c r="C139" s="623"/>
      <c r="D139" s="198" t="str">
        <f>표지!$O$3&amp;" "&amp;표지!$O$4</f>
        <v>20○○회합100○○○ 회생</v>
      </c>
      <c r="E139" s="160" t="s">
        <v>261</v>
      </c>
      <c r="F139" s="199" t="str">
        <f>표지!$O$5</f>
        <v>○○○○ 주식회사</v>
      </c>
    </row>
    <row r="140" spans="1:6" ht="30.95" hidden="1" customHeight="1">
      <c r="A140" s="624" t="s">
        <v>125</v>
      </c>
      <c r="B140" s="423"/>
      <c r="C140" s="423"/>
      <c r="D140" s="276">
        <v>16</v>
      </c>
      <c r="E140" s="170" t="s">
        <v>190</v>
      </c>
      <c r="F140" s="111"/>
    </row>
    <row r="141" spans="1:6" ht="30.95" hidden="1" customHeight="1">
      <c r="A141" s="625" t="s">
        <v>183</v>
      </c>
      <c r="B141" s="419" t="s">
        <v>118</v>
      </c>
      <c r="C141" s="420"/>
      <c r="D141" s="419" t="e">
        <f>VLOOKUP(D140,주주총괄!$A$5:$J$8,4,0)</f>
        <v>#N/A</v>
      </c>
      <c r="E141" s="420"/>
      <c r="F141" s="626"/>
    </row>
    <row r="142" spans="1:6" ht="30.95" hidden="1" customHeight="1">
      <c r="A142" s="625"/>
      <c r="B142" s="419" t="s">
        <v>250</v>
      </c>
      <c r="C142" s="420"/>
      <c r="D142" s="564" t="e">
        <f>VLOOKUP(D140,주주총괄!$A$5:$J$8,5,0)</f>
        <v>#N/A</v>
      </c>
      <c r="E142" s="565"/>
      <c r="F142" s="627"/>
    </row>
    <row r="143" spans="1:6" ht="30.95" hidden="1" customHeight="1">
      <c r="A143" s="625"/>
      <c r="B143" s="419" t="s">
        <v>23</v>
      </c>
      <c r="C143" s="420"/>
      <c r="D143" s="25"/>
      <c r="E143" s="62" t="s">
        <v>151</v>
      </c>
      <c r="F143" s="161"/>
    </row>
    <row r="144" spans="1:6" ht="30.95" hidden="1" customHeight="1">
      <c r="A144" s="210" t="s">
        <v>59</v>
      </c>
      <c r="B144" s="205" t="e">
        <f>VLOOKUP(D140,주주총괄!$A$5:$J$8,6,0)</f>
        <v>#N/A</v>
      </c>
      <c r="C144" s="274" t="e">
        <f>VLOOKUP(D140,주주총괄!$A$5:$J$8,7,0)</f>
        <v>#N/A</v>
      </c>
      <c r="D144" s="275" t="e">
        <f>VLOOKUP(D140,주주총괄!$A$5:$J$8,8,0)</f>
        <v>#N/A</v>
      </c>
      <c r="E144" s="620" t="str">
        <f>"(액면가액: "&amp;TEXT(주주총괄!$L$4,"###,###원)")</f>
        <v>(액면가액: 100원)</v>
      </c>
      <c r="F144" s="621"/>
    </row>
    <row r="145" spans="1:6" ht="30.95" hidden="1" customHeight="1">
      <c r="A145" s="211" t="s">
        <v>19</v>
      </c>
      <c r="B145" s="618"/>
      <c r="C145" s="618"/>
      <c r="D145" s="618"/>
      <c r="E145" s="618"/>
      <c r="F145" s="619"/>
    </row>
    <row r="146" spans="1:6" ht="30.95" hidden="1" customHeight="1">
      <c r="A146" s="612" t="s">
        <v>41</v>
      </c>
      <c r="B146" s="612"/>
      <c r="C146" s="612"/>
      <c r="D146" s="612"/>
      <c r="E146" s="612"/>
      <c r="F146" s="612"/>
    </row>
    <row r="147" spans="1:6" ht="30.95" hidden="1" customHeight="1">
      <c r="A147" s="128"/>
      <c r="B147" s="128"/>
      <c r="C147" s="128"/>
      <c r="D147" s="128"/>
      <c r="E147" s="128"/>
      <c r="F147" s="128"/>
    </row>
    <row r="148" spans="1:6" ht="30.95" hidden="1" customHeight="1">
      <c r="A148" s="622" t="s">
        <v>249</v>
      </c>
      <c r="B148" s="623"/>
      <c r="C148" s="623"/>
      <c r="D148" s="198" t="str">
        <f>표지!$O$3&amp;" "&amp;표지!$O$4</f>
        <v>20○○회합100○○○ 회생</v>
      </c>
      <c r="E148" s="160" t="s">
        <v>261</v>
      </c>
      <c r="F148" s="199" t="str">
        <f>표지!$O$5</f>
        <v>○○○○ 주식회사</v>
      </c>
    </row>
    <row r="149" spans="1:6" ht="30.95" hidden="1" customHeight="1">
      <c r="A149" s="624" t="s">
        <v>125</v>
      </c>
      <c r="B149" s="423"/>
      <c r="C149" s="423"/>
      <c r="D149" s="276">
        <v>17</v>
      </c>
      <c r="E149" s="170" t="s">
        <v>190</v>
      </c>
      <c r="F149" s="111"/>
    </row>
    <row r="150" spans="1:6" ht="30.95" hidden="1" customHeight="1">
      <c r="A150" s="625" t="s">
        <v>183</v>
      </c>
      <c r="B150" s="419" t="s">
        <v>118</v>
      </c>
      <c r="C150" s="420"/>
      <c r="D150" s="419" t="e">
        <f>VLOOKUP(D149,주주총괄!$A$5:$J$8,4,0)</f>
        <v>#N/A</v>
      </c>
      <c r="E150" s="420"/>
      <c r="F150" s="626"/>
    </row>
    <row r="151" spans="1:6" ht="30.95" hidden="1" customHeight="1">
      <c r="A151" s="625"/>
      <c r="B151" s="419" t="s">
        <v>250</v>
      </c>
      <c r="C151" s="420"/>
      <c r="D151" s="564" t="e">
        <f>VLOOKUP(D149,주주총괄!$A$5:$J$8,5,0)</f>
        <v>#N/A</v>
      </c>
      <c r="E151" s="565"/>
      <c r="F151" s="627"/>
    </row>
    <row r="152" spans="1:6" ht="30.95" hidden="1" customHeight="1">
      <c r="A152" s="625"/>
      <c r="B152" s="419" t="s">
        <v>23</v>
      </c>
      <c r="C152" s="420"/>
      <c r="D152" s="25"/>
      <c r="E152" s="62" t="s">
        <v>151</v>
      </c>
      <c r="F152" s="161"/>
    </row>
    <row r="153" spans="1:6" ht="30.95" hidden="1" customHeight="1">
      <c r="A153" s="210" t="s">
        <v>59</v>
      </c>
      <c r="B153" s="205" t="e">
        <f>VLOOKUP(D149,주주총괄!$A$5:$J$8,6,0)</f>
        <v>#N/A</v>
      </c>
      <c r="C153" s="274" t="e">
        <f>VLOOKUP(D149,주주총괄!$A$5:$J$8,7,0)</f>
        <v>#N/A</v>
      </c>
      <c r="D153" s="275" t="e">
        <f>VLOOKUP(D149,주주총괄!$A$5:$J$8,8,0)</f>
        <v>#N/A</v>
      </c>
      <c r="E153" s="620" t="str">
        <f>"(액면가액: "&amp;TEXT(주주총괄!$L$4,"###,###원)")</f>
        <v>(액면가액: 100원)</v>
      </c>
      <c r="F153" s="621"/>
    </row>
    <row r="154" spans="1:6" ht="30.95" hidden="1" customHeight="1">
      <c r="A154" s="211" t="s">
        <v>19</v>
      </c>
      <c r="B154" s="618"/>
      <c r="C154" s="618"/>
      <c r="D154" s="618"/>
      <c r="E154" s="618"/>
      <c r="F154" s="619"/>
    </row>
    <row r="155" spans="1:6" ht="30.95" hidden="1" customHeight="1">
      <c r="A155" s="612" t="s">
        <v>41</v>
      </c>
      <c r="B155" s="612"/>
      <c r="C155" s="612"/>
      <c r="D155" s="612"/>
      <c r="E155" s="612"/>
      <c r="F155" s="612"/>
    </row>
    <row r="156" spans="1:6" ht="30.95" hidden="1" customHeight="1">
      <c r="A156" s="128"/>
      <c r="B156" s="128"/>
      <c r="C156" s="128"/>
      <c r="D156" s="128"/>
      <c r="E156" s="128"/>
      <c r="F156" s="128"/>
    </row>
    <row r="157" spans="1:6" ht="30.95" hidden="1" customHeight="1">
      <c r="A157" s="622" t="s">
        <v>249</v>
      </c>
      <c r="B157" s="623"/>
      <c r="C157" s="623"/>
      <c r="D157" s="198" t="str">
        <f>표지!$O$3&amp;" "&amp;표지!$O$4</f>
        <v>20○○회합100○○○ 회생</v>
      </c>
      <c r="E157" s="160" t="s">
        <v>261</v>
      </c>
      <c r="F157" s="199" t="str">
        <f>표지!$O$5</f>
        <v>○○○○ 주식회사</v>
      </c>
    </row>
    <row r="158" spans="1:6" ht="30.95" hidden="1" customHeight="1">
      <c r="A158" s="624" t="s">
        <v>125</v>
      </c>
      <c r="B158" s="423"/>
      <c r="C158" s="423"/>
      <c r="D158" s="276">
        <v>18</v>
      </c>
      <c r="E158" s="170" t="s">
        <v>190</v>
      </c>
      <c r="F158" s="111"/>
    </row>
    <row r="159" spans="1:6" ht="30.95" hidden="1" customHeight="1">
      <c r="A159" s="625" t="s">
        <v>183</v>
      </c>
      <c r="B159" s="419" t="s">
        <v>118</v>
      </c>
      <c r="C159" s="420"/>
      <c r="D159" s="419" t="e">
        <f>VLOOKUP(D158,주주총괄!$A$5:$J$8,4,0)</f>
        <v>#N/A</v>
      </c>
      <c r="E159" s="420"/>
      <c r="F159" s="626"/>
    </row>
    <row r="160" spans="1:6" ht="30.95" hidden="1" customHeight="1">
      <c r="A160" s="625"/>
      <c r="B160" s="419" t="s">
        <v>250</v>
      </c>
      <c r="C160" s="420"/>
      <c r="D160" s="564" t="e">
        <f>VLOOKUP(D158,주주총괄!$A$5:$J$8,5,0)</f>
        <v>#N/A</v>
      </c>
      <c r="E160" s="565"/>
      <c r="F160" s="627"/>
    </row>
    <row r="161" spans="1:6" ht="30.95" hidden="1" customHeight="1">
      <c r="A161" s="625"/>
      <c r="B161" s="419" t="s">
        <v>23</v>
      </c>
      <c r="C161" s="420"/>
      <c r="D161" s="25"/>
      <c r="E161" s="62" t="s">
        <v>151</v>
      </c>
      <c r="F161" s="161"/>
    </row>
    <row r="162" spans="1:6" ht="30.95" hidden="1" customHeight="1">
      <c r="A162" s="210" t="s">
        <v>59</v>
      </c>
      <c r="B162" s="205" t="e">
        <f>VLOOKUP(D158,주주총괄!$A$5:$J$8,6,0)</f>
        <v>#N/A</v>
      </c>
      <c r="C162" s="274" t="e">
        <f>VLOOKUP(D158,주주총괄!$A$5:$J$8,7,0)</f>
        <v>#N/A</v>
      </c>
      <c r="D162" s="275" t="e">
        <f>VLOOKUP(D158,주주총괄!$A$5:$J$8,8,0)</f>
        <v>#N/A</v>
      </c>
      <c r="E162" s="620" t="str">
        <f>"(액면가액: "&amp;TEXT(주주총괄!$L$4,"###,###원)")</f>
        <v>(액면가액: 100원)</v>
      </c>
      <c r="F162" s="621"/>
    </row>
    <row r="163" spans="1:6" ht="30.95" hidden="1" customHeight="1">
      <c r="A163" s="211" t="s">
        <v>19</v>
      </c>
      <c r="B163" s="618"/>
      <c r="C163" s="618"/>
      <c r="D163" s="618"/>
      <c r="E163" s="618"/>
      <c r="F163" s="619"/>
    </row>
    <row r="164" spans="1:6" ht="30.95" hidden="1" customHeight="1">
      <c r="A164" s="612" t="s">
        <v>41</v>
      </c>
      <c r="B164" s="612"/>
      <c r="C164" s="612"/>
      <c r="D164" s="612"/>
      <c r="E164" s="612"/>
      <c r="F164" s="612"/>
    </row>
    <row r="165" spans="1:6" ht="30.95" hidden="1" customHeight="1">
      <c r="A165" s="128"/>
      <c r="B165" s="128"/>
      <c r="C165" s="128"/>
      <c r="D165" s="128"/>
      <c r="E165" s="128"/>
      <c r="F165" s="128"/>
    </row>
    <row r="166" spans="1:6" ht="30.95" hidden="1" customHeight="1">
      <c r="A166" s="622" t="s">
        <v>249</v>
      </c>
      <c r="B166" s="623"/>
      <c r="C166" s="623"/>
      <c r="D166" s="198" t="str">
        <f>표지!$O$3&amp;" "&amp;표지!$O$4</f>
        <v>20○○회합100○○○ 회생</v>
      </c>
      <c r="E166" s="160" t="s">
        <v>261</v>
      </c>
      <c r="F166" s="199" t="str">
        <f>표지!$O$5</f>
        <v>○○○○ 주식회사</v>
      </c>
    </row>
    <row r="167" spans="1:6" ht="30.95" hidden="1" customHeight="1">
      <c r="A167" s="624" t="s">
        <v>125</v>
      </c>
      <c r="B167" s="423"/>
      <c r="C167" s="423"/>
      <c r="D167" s="276">
        <v>19</v>
      </c>
      <c r="E167" s="170" t="s">
        <v>190</v>
      </c>
      <c r="F167" s="111"/>
    </row>
    <row r="168" spans="1:6" ht="30.95" hidden="1" customHeight="1">
      <c r="A168" s="625" t="s">
        <v>183</v>
      </c>
      <c r="B168" s="419" t="s">
        <v>118</v>
      </c>
      <c r="C168" s="420"/>
      <c r="D168" s="419" t="e">
        <f>VLOOKUP(D167,주주총괄!$A$5:$J$8,4,0)</f>
        <v>#N/A</v>
      </c>
      <c r="E168" s="420"/>
      <c r="F168" s="626"/>
    </row>
    <row r="169" spans="1:6" ht="30.95" hidden="1" customHeight="1">
      <c r="A169" s="625"/>
      <c r="B169" s="419" t="s">
        <v>250</v>
      </c>
      <c r="C169" s="420"/>
      <c r="D169" s="564" t="e">
        <f>VLOOKUP(D167,주주총괄!$A$5:$J$8,5,0)</f>
        <v>#N/A</v>
      </c>
      <c r="E169" s="565"/>
      <c r="F169" s="627"/>
    </row>
    <row r="170" spans="1:6" ht="30.95" hidden="1" customHeight="1">
      <c r="A170" s="625"/>
      <c r="B170" s="419" t="s">
        <v>23</v>
      </c>
      <c r="C170" s="420"/>
      <c r="D170" s="25"/>
      <c r="E170" s="62" t="s">
        <v>151</v>
      </c>
      <c r="F170" s="161"/>
    </row>
    <row r="171" spans="1:6" ht="30.95" hidden="1" customHeight="1">
      <c r="A171" s="210" t="s">
        <v>59</v>
      </c>
      <c r="B171" s="205" t="e">
        <f>VLOOKUP(D167,주주총괄!$A$5:$J$8,6,0)</f>
        <v>#N/A</v>
      </c>
      <c r="C171" s="274" t="e">
        <f>VLOOKUP(D167,주주총괄!$A$5:$J$8,7,0)</f>
        <v>#N/A</v>
      </c>
      <c r="D171" s="275" t="e">
        <f>VLOOKUP(D167,주주총괄!$A$5:$J$8,8,0)</f>
        <v>#N/A</v>
      </c>
      <c r="E171" s="620" t="str">
        <f>"(액면가액: "&amp;TEXT(주주총괄!$L$4,"###,###원)")</f>
        <v>(액면가액: 100원)</v>
      </c>
      <c r="F171" s="621"/>
    </row>
    <row r="172" spans="1:6" ht="30.95" hidden="1" customHeight="1">
      <c r="A172" s="211" t="s">
        <v>19</v>
      </c>
      <c r="B172" s="618"/>
      <c r="C172" s="618"/>
      <c r="D172" s="618"/>
      <c r="E172" s="618"/>
      <c r="F172" s="619"/>
    </row>
    <row r="173" spans="1:6" ht="30.95" hidden="1" customHeight="1">
      <c r="A173" s="612" t="s">
        <v>41</v>
      </c>
      <c r="B173" s="612"/>
      <c r="C173" s="612"/>
      <c r="D173" s="612"/>
      <c r="E173" s="612"/>
      <c r="F173" s="612"/>
    </row>
    <row r="174" spans="1:6" ht="30.95" hidden="1" customHeight="1">
      <c r="A174" s="128"/>
      <c r="B174" s="128"/>
      <c r="C174" s="128"/>
      <c r="D174" s="128"/>
      <c r="E174" s="128"/>
      <c r="F174" s="128"/>
    </row>
    <row r="175" spans="1:6" ht="30.95" hidden="1" customHeight="1">
      <c r="A175" s="622" t="s">
        <v>249</v>
      </c>
      <c r="B175" s="623"/>
      <c r="C175" s="623"/>
      <c r="D175" s="198" t="str">
        <f>표지!$O$3&amp;" "&amp;표지!$O$4</f>
        <v>20○○회합100○○○ 회생</v>
      </c>
      <c r="E175" s="160" t="s">
        <v>261</v>
      </c>
      <c r="F175" s="199" t="str">
        <f>표지!$O$5</f>
        <v>○○○○ 주식회사</v>
      </c>
    </row>
    <row r="176" spans="1:6" ht="30.95" hidden="1" customHeight="1">
      <c r="A176" s="624" t="s">
        <v>125</v>
      </c>
      <c r="B176" s="423"/>
      <c r="C176" s="423"/>
      <c r="D176" s="276">
        <v>20</v>
      </c>
      <c r="E176" s="170" t="s">
        <v>190</v>
      </c>
      <c r="F176" s="111"/>
    </row>
    <row r="177" spans="1:6" ht="30.95" hidden="1" customHeight="1">
      <c r="A177" s="625" t="s">
        <v>183</v>
      </c>
      <c r="B177" s="419" t="s">
        <v>118</v>
      </c>
      <c r="C177" s="420"/>
      <c r="D177" s="419" t="e">
        <f>VLOOKUP(D176,주주총괄!$A$5:$J$8,4,0)</f>
        <v>#N/A</v>
      </c>
      <c r="E177" s="420"/>
      <c r="F177" s="626"/>
    </row>
    <row r="178" spans="1:6" ht="30.95" hidden="1" customHeight="1">
      <c r="A178" s="625"/>
      <c r="B178" s="419" t="s">
        <v>250</v>
      </c>
      <c r="C178" s="420"/>
      <c r="D178" s="564" t="e">
        <f>VLOOKUP(D176,주주총괄!$A$5:$J$8,5,0)</f>
        <v>#N/A</v>
      </c>
      <c r="E178" s="565"/>
      <c r="F178" s="627"/>
    </row>
    <row r="179" spans="1:6" ht="30.95" hidden="1" customHeight="1">
      <c r="A179" s="625"/>
      <c r="B179" s="419" t="s">
        <v>23</v>
      </c>
      <c r="C179" s="420"/>
      <c r="D179" s="25"/>
      <c r="E179" s="62" t="s">
        <v>151</v>
      </c>
      <c r="F179" s="161"/>
    </row>
    <row r="180" spans="1:6" ht="30.95" hidden="1" customHeight="1">
      <c r="A180" s="210" t="s">
        <v>59</v>
      </c>
      <c r="B180" s="205" t="e">
        <f>VLOOKUP(D176,주주총괄!$A$5:$J$8,6,0)</f>
        <v>#N/A</v>
      </c>
      <c r="C180" s="274" t="e">
        <f>VLOOKUP(D176,주주총괄!$A$5:$J$8,7,0)</f>
        <v>#N/A</v>
      </c>
      <c r="D180" s="275" t="e">
        <f>VLOOKUP(D176,주주총괄!$A$5:$J$8,8,0)</f>
        <v>#N/A</v>
      </c>
      <c r="E180" s="620" t="str">
        <f>"(액면가액: "&amp;TEXT(주주총괄!$L$4,"###,###원)")</f>
        <v>(액면가액: 100원)</v>
      </c>
      <c r="F180" s="621"/>
    </row>
    <row r="181" spans="1:6" ht="30.95" hidden="1" customHeight="1">
      <c r="A181" s="211" t="s">
        <v>19</v>
      </c>
      <c r="B181" s="618"/>
      <c r="C181" s="618"/>
      <c r="D181" s="618"/>
      <c r="E181" s="618"/>
      <c r="F181" s="619"/>
    </row>
    <row r="182" spans="1:6" ht="30.95" hidden="1" customHeight="1">
      <c r="A182" s="612" t="s">
        <v>41</v>
      </c>
      <c r="B182" s="612"/>
      <c r="C182" s="612"/>
      <c r="D182" s="612"/>
      <c r="E182" s="612"/>
      <c r="F182" s="612"/>
    </row>
    <row r="183" spans="1:6" ht="30.95" hidden="1" customHeight="1">
      <c r="A183" s="128"/>
      <c r="B183" s="128"/>
      <c r="C183" s="128"/>
      <c r="D183" s="128"/>
      <c r="E183" s="128"/>
      <c r="F183" s="128"/>
    </row>
    <row r="184" spans="1:6" ht="30.95" hidden="1" customHeight="1">
      <c r="A184" s="622" t="s">
        <v>249</v>
      </c>
      <c r="B184" s="623"/>
      <c r="C184" s="623"/>
      <c r="D184" s="198" t="str">
        <f>표지!$O$3&amp;" "&amp;표지!$O$4</f>
        <v>20○○회합100○○○ 회생</v>
      </c>
      <c r="E184" s="160" t="s">
        <v>261</v>
      </c>
      <c r="F184" s="199" t="str">
        <f>표지!$O$5</f>
        <v>○○○○ 주식회사</v>
      </c>
    </row>
    <row r="185" spans="1:6" ht="30.95" hidden="1" customHeight="1">
      <c r="A185" s="624" t="s">
        <v>125</v>
      </c>
      <c r="B185" s="423"/>
      <c r="C185" s="423"/>
      <c r="D185" s="276">
        <v>21</v>
      </c>
      <c r="E185" s="170" t="s">
        <v>190</v>
      </c>
      <c r="F185" s="111"/>
    </row>
    <row r="186" spans="1:6" ht="30.95" hidden="1" customHeight="1">
      <c r="A186" s="625" t="s">
        <v>183</v>
      </c>
      <c r="B186" s="419" t="s">
        <v>118</v>
      </c>
      <c r="C186" s="420"/>
      <c r="D186" s="419" t="e">
        <f>VLOOKUP(D185,주주총괄!$A$5:$J$8,4,0)</f>
        <v>#N/A</v>
      </c>
      <c r="E186" s="420"/>
      <c r="F186" s="626"/>
    </row>
    <row r="187" spans="1:6" ht="30.95" hidden="1" customHeight="1">
      <c r="A187" s="625"/>
      <c r="B187" s="419" t="s">
        <v>250</v>
      </c>
      <c r="C187" s="420"/>
      <c r="D187" s="564" t="e">
        <f>VLOOKUP(D185,주주총괄!$A$5:$J$8,5,0)</f>
        <v>#N/A</v>
      </c>
      <c r="E187" s="565"/>
      <c r="F187" s="627"/>
    </row>
    <row r="188" spans="1:6" ht="30.95" hidden="1" customHeight="1">
      <c r="A188" s="625"/>
      <c r="B188" s="419" t="s">
        <v>23</v>
      </c>
      <c r="C188" s="420"/>
      <c r="D188" s="25"/>
      <c r="E188" s="62" t="s">
        <v>151</v>
      </c>
      <c r="F188" s="161"/>
    </row>
    <row r="189" spans="1:6" ht="30.95" hidden="1" customHeight="1">
      <c r="A189" s="210" t="s">
        <v>59</v>
      </c>
      <c r="B189" s="205" t="e">
        <f>VLOOKUP(D185,주주총괄!$A$5:$J$8,6,0)</f>
        <v>#N/A</v>
      </c>
      <c r="C189" s="274" t="e">
        <f>VLOOKUP(D185,주주총괄!$A$5:$J$8,7,0)</f>
        <v>#N/A</v>
      </c>
      <c r="D189" s="275" t="e">
        <f>VLOOKUP(D185,주주총괄!$A$5:$J$8,8,0)</f>
        <v>#N/A</v>
      </c>
      <c r="E189" s="620" t="str">
        <f>"(액면가액: "&amp;TEXT(주주총괄!$L$4,"###,###원)")</f>
        <v>(액면가액: 100원)</v>
      </c>
      <c r="F189" s="621"/>
    </row>
    <row r="190" spans="1:6" ht="30.95" hidden="1" customHeight="1">
      <c r="A190" s="211" t="s">
        <v>19</v>
      </c>
      <c r="B190" s="618"/>
      <c r="C190" s="618"/>
      <c r="D190" s="618"/>
      <c r="E190" s="618"/>
      <c r="F190" s="619"/>
    </row>
    <row r="191" spans="1:6" ht="30.95" hidden="1" customHeight="1">
      <c r="A191" s="612" t="s">
        <v>41</v>
      </c>
      <c r="B191" s="612"/>
      <c r="C191" s="612"/>
      <c r="D191" s="612"/>
      <c r="E191" s="612"/>
      <c r="F191" s="612"/>
    </row>
    <row r="192" spans="1:6" ht="30.95" hidden="1" customHeight="1">
      <c r="A192" s="128"/>
      <c r="B192" s="128"/>
      <c r="C192" s="128"/>
      <c r="D192" s="128"/>
      <c r="E192" s="128"/>
      <c r="F192" s="128"/>
    </row>
    <row r="193" spans="1:6" ht="30.95" hidden="1" customHeight="1">
      <c r="A193" s="622" t="s">
        <v>249</v>
      </c>
      <c r="B193" s="623"/>
      <c r="C193" s="623"/>
      <c r="D193" s="198" t="str">
        <f>표지!$O$3&amp;" "&amp;표지!$O$4</f>
        <v>20○○회합100○○○ 회생</v>
      </c>
      <c r="E193" s="160" t="s">
        <v>261</v>
      </c>
      <c r="F193" s="199" t="str">
        <f>표지!$O$5</f>
        <v>○○○○ 주식회사</v>
      </c>
    </row>
    <row r="194" spans="1:6" ht="30.95" hidden="1" customHeight="1">
      <c r="A194" s="624" t="s">
        <v>125</v>
      </c>
      <c r="B194" s="423"/>
      <c r="C194" s="423"/>
      <c r="D194" s="276">
        <v>22</v>
      </c>
      <c r="E194" s="170" t="s">
        <v>190</v>
      </c>
      <c r="F194" s="111"/>
    </row>
    <row r="195" spans="1:6" ht="30.95" hidden="1" customHeight="1">
      <c r="A195" s="625" t="s">
        <v>183</v>
      </c>
      <c r="B195" s="419" t="s">
        <v>118</v>
      </c>
      <c r="C195" s="420"/>
      <c r="D195" s="419" t="e">
        <f>VLOOKUP(D194,주주총괄!$A$5:$J$8,4,0)</f>
        <v>#N/A</v>
      </c>
      <c r="E195" s="420"/>
      <c r="F195" s="626"/>
    </row>
    <row r="196" spans="1:6" ht="30.95" hidden="1" customHeight="1">
      <c r="A196" s="625"/>
      <c r="B196" s="419" t="s">
        <v>250</v>
      </c>
      <c r="C196" s="420"/>
      <c r="D196" s="564" t="e">
        <f>VLOOKUP(D194,주주총괄!$A$5:$J$8,5,0)</f>
        <v>#N/A</v>
      </c>
      <c r="E196" s="565"/>
      <c r="F196" s="627"/>
    </row>
    <row r="197" spans="1:6" ht="30.95" hidden="1" customHeight="1">
      <c r="A197" s="625"/>
      <c r="B197" s="419" t="s">
        <v>23</v>
      </c>
      <c r="C197" s="420"/>
      <c r="D197" s="25"/>
      <c r="E197" s="62" t="s">
        <v>151</v>
      </c>
      <c r="F197" s="161"/>
    </row>
    <row r="198" spans="1:6" ht="30.95" hidden="1" customHeight="1">
      <c r="A198" s="210" t="s">
        <v>59</v>
      </c>
      <c r="B198" s="205" t="e">
        <f>VLOOKUP(D194,주주총괄!$A$5:$J$8,6,0)</f>
        <v>#N/A</v>
      </c>
      <c r="C198" s="274" t="e">
        <f>VLOOKUP(D194,주주총괄!$A$5:$J$8,7,0)</f>
        <v>#N/A</v>
      </c>
      <c r="D198" s="275" t="e">
        <f>VLOOKUP(D194,주주총괄!$A$5:$J$8,8,0)</f>
        <v>#N/A</v>
      </c>
      <c r="E198" s="620" t="str">
        <f>"(액면가액: "&amp;TEXT(주주총괄!$L$4,"###,###원)")</f>
        <v>(액면가액: 100원)</v>
      </c>
      <c r="F198" s="621"/>
    </row>
    <row r="199" spans="1:6" ht="30.95" hidden="1" customHeight="1">
      <c r="A199" s="211" t="s">
        <v>19</v>
      </c>
      <c r="B199" s="618"/>
      <c r="C199" s="618"/>
      <c r="D199" s="618"/>
      <c r="E199" s="618"/>
      <c r="F199" s="619"/>
    </row>
    <row r="200" spans="1:6" ht="30.95" hidden="1" customHeight="1">
      <c r="A200" s="612" t="s">
        <v>41</v>
      </c>
      <c r="B200" s="612"/>
      <c r="C200" s="612"/>
      <c r="D200" s="612"/>
      <c r="E200" s="612"/>
      <c r="F200" s="612"/>
    </row>
    <row r="201" spans="1:6" ht="30.95" hidden="1" customHeight="1">
      <c r="A201" s="128"/>
      <c r="B201" s="128"/>
      <c r="C201" s="128"/>
      <c r="D201" s="128"/>
      <c r="E201" s="128"/>
      <c r="F201" s="128"/>
    </row>
    <row r="202" spans="1:6" ht="30.95" hidden="1" customHeight="1">
      <c r="A202" s="622" t="s">
        <v>249</v>
      </c>
      <c r="B202" s="623"/>
      <c r="C202" s="623"/>
      <c r="D202" s="198" t="str">
        <f>표지!$O$3&amp;" "&amp;표지!$O$4</f>
        <v>20○○회합100○○○ 회생</v>
      </c>
      <c r="E202" s="160" t="s">
        <v>261</v>
      </c>
      <c r="F202" s="199" t="str">
        <f>표지!$O$5</f>
        <v>○○○○ 주식회사</v>
      </c>
    </row>
    <row r="203" spans="1:6" ht="30.95" hidden="1" customHeight="1">
      <c r="A203" s="624" t="s">
        <v>125</v>
      </c>
      <c r="B203" s="423"/>
      <c r="C203" s="423"/>
      <c r="D203" s="276">
        <v>23</v>
      </c>
      <c r="E203" s="170" t="s">
        <v>190</v>
      </c>
      <c r="F203" s="111"/>
    </row>
    <row r="204" spans="1:6" ht="30.95" hidden="1" customHeight="1">
      <c r="A204" s="625" t="s">
        <v>183</v>
      </c>
      <c r="B204" s="419" t="s">
        <v>118</v>
      </c>
      <c r="C204" s="420"/>
      <c r="D204" s="419" t="e">
        <f>VLOOKUP(D203,주주총괄!$A$5:$J$8,4,0)</f>
        <v>#N/A</v>
      </c>
      <c r="E204" s="420"/>
      <c r="F204" s="626"/>
    </row>
    <row r="205" spans="1:6" ht="30.95" hidden="1" customHeight="1">
      <c r="A205" s="625"/>
      <c r="B205" s="419" t="s">
        <v>250</v>
      </c>
      <c r="C205" s="420"/>
      <c r="D205" s="564" t="e">
        <f>VLOOKUP(D203,주주총괄!$A$5:$J$8,5,0)</f>
        <v>#N/A</v>
      </c>
      <c r="E205" s="565"/>
      <c r="F205" s="627"/>
    </row>
    <row r="206" spans="1:6" ht="30.95" hidden="1" customHeight="1">
      <c r="A206" s="625"/>
      <c r="B206" s="419" t="s">
        <v>23</v>
      </c>
      <c r="C206" s="420"/>
      <c r="D206" s="25"/>
      <c r="E206" s="62" t="s">
        <v>151</v>
      </c>
      <c r="F206" s="161"/>
    </row>
    <row r="207" spans="1:6" ht="30.95" hidden="1" customHeight="1">
      <c r="A207" s="210" t="s">
        <v>59</v>
      </c>
      <c r="B207" s="205" t="e">
        <f>VLOOKUP(D203,주주총괄!$A$5:$J$8,6,0)</f>
        <v>#N/A</v>
      </c>
      <c r="C207" s="274" t="e">
        <f>VLOOKUP(D203,주주총괄!$A$5:$J$8,7,0)</f>
        <v>#N/A</v>
      </c>
      <c r="D207" s="275" t="e">
        <f>VLOOKUP(D203,주주총괄!$A$5:$J$8,8,0)</f>
        <v>#N/A</v>
      </c>
      <c r="E207" s="620" t="str">
        <f>"(액면가액: "&amp;TEXT(주주총괄!$L$4,"###,###원)")</f>
        <v>(액면가액: 100원)</v>
      </c>
      <c r="F207" s="621"/>
    </row>
    <row r="208" spans="1:6" ht="30.95" hidden="1" customHeight="1">
      <c r="A208" s="211" t="s">
        <v>19</v>
      </c>
      <c r="B208" s="618"/>
      <c r="C208" s="618"/>
      <c r="D208" s="618"/>
      <c r="E208" s="618"/>
      <c r="F208" s="619"/>
    </row>
    <row r="209" spans="1:6" ht="30.95" hidden="1" customHeight="1">
      <c r="A209" s="612" t="s">
        <v>41</v>
      </c>
      <c r="B209" s="612"/>
      <c r="C209" s="612"/>
      <c r="D209" s="612"/>
      <c r="E209" s="612"/>
      <c r="F209" s="612"/>
    </row>
    <row r="210" spans="1:6" ht="30.95" hidden="1" customHeight="1">
      <c r="A210" s="128"/>
      <c r="B210" s="128"/>
      <c r="C210" s="128"/>
      <c r="D210" s="128"/>
      <c r="E210" s="128"/>
      <c r="F210" s="128"/>
    </row>
    <row r="211" spans="1:6" ht="30.95" hidden="1" customHeight="1">
      <c r="A211" s="622" t="s">
        <v>249</v>
      </c>
      <c r="B211" s="623"/>
      <c r="C211" s="623"/>
      <c r="D211" s="198" t="str">
        <f>표지!$O$3&amp;" "&amp;표지!$O$4</f>
        <v>20○○회합100○○○ 회생</v>
      </c>
      <c r="E211" s="160" t="s">
        <v>261</v>
      </c>
      <c r="F211" s="199" t="str">
        <f>표지!$O$5</f>
        <v>○○○○ 주식회사</v>
      </c>
    </row>
    <row r="212" spans="1:6" ht="30.95" hidden="1" customHeight="1">
      <c r="A212" s="624" t="s">
        <v>125</v>
      </c>
      <c r="B212" s="423"/>
      <c r="C212" s="423"/>
      <c r="D212" s="276">
        <v>24</v>
      </c>
      <c r="E212" s="170" t="s">
        <v>190</v>
      </c>
      <c r="F212" s="111"/>
    </row>
    <row r="213" spans="1:6" ht="30.95" hidden="1" customHeight="1">
      <c r="A213" s="625" t="s">
        <v>183</v>
      </c>
      <c r="B213" s="419" t="s">
        <v>118</v>
      </c>
      <c r="C213" s="420"/>
      <c r="D213" s="419" t="e">
        <f>VLOOKUP(D212,주주총괄!$A$5:$J$8,4,0)</f>
        <v>#N/A</v>
      </c>
      <c r="E213" s="420"/>
      <c r="F213" s="626"/>
    </row>
    <row r="214" spans="1:6" ht="30.95" hidden="1" customHeight="1">
      <c r="A214" s="625"/>
      <c r="B214" s="419" t="s">
        <v>250</v>
      </c>
      <c r="C214" s="420"/>
      <c r="D214" s="564" t="e">
        <f>VLOOKUP(D212,주주총괄!$A$5:$J$8,5,0)</f>
        <v>#N/A</v>
      </c>
      <c r="E214" s="565"/>
      <c r="F214" s="627"/>
    </row>
    <row r="215" spans="1:6" ht="30.95" hidden="1" customHeight="1">
      <c r="A215" s="625"/>
      <c r="B215" s="419" t="s">
        <v>23</v>
      </c>
      <c r="C215" s="420"/>
      <c r="D215" s="25"/>
      <c r="E215" s="62" t="s">
        <v>151</v>
      </c>
      <c r="F215" s="161"/>
    </row>
    <row r="216" spans="1:6" ht="30.95" hidden="1" customHeight="1">
      <c r="A216" s="210" t="s">
        <v>59</v>
      </c>
      <c r="B216" s="205" t="e">
        <f>VLOOKUP(D212,주주총괄!$A$5:$J$8,6,0)</f>
        <v>#N/A</v>
      </c>
      <c r="C216" s="274" t="e">
        <f>VLOOKUP(D212,주주총괄!$A$5:$J$8,7,0)</f>
        <v>#N/A</v>
      </c>
      <c r="D216" s="275" t="e">
        <f>VLOOKUP(D212,주주총괄!$A$5:$J$8,8,0)</f>
        <v>#N/A</v>
      </c>
      <c r="E216" s="620" t="str">
        <f>"(액면가액: "&amp;TEXT(주주총괄!$L$4,"###,###원)")</f>
        <v>(액면가액: 100원)</v>
      </c>
      <c r="F216" s="621"/>
    </row>
    <row r="217" spans="1:6" ht="30.95" hidden="1" customHeight="1">
      <c r="A217" s="211" t="s">
        <v>19</v>
      </c>
      <c r="B217" s="618"/>
      <c r="C217" s="618"/>
      <c r="D217" s="618"/>
      <c r="E217" s="618"/>
      <c r="F217" s="619"/>
    </row>
    <row r="218" spans="1:6" ht="30.95" hidden="1" customHeight="1">
      <c r="A218" s="612" t="s">
        <v>41</v>
      </c>
      <c r="B218" s="612"/>
      <c r="C218" s="612"/>
      <c r="D218" s="612"/>
      <c r="E218" s="612"/>
      <c r="F218" s="612"/>
    </row>
    <row r="219" spans="1:6" ht="30.95" hidden="1" customHeight="1">
      <c r="A219" s="128"/>
      <c r="B219" s="128"/>
      <c r="C219" s="128"/>
      <c r="D219" s="128"/>
      <c r="E219" s="128"/>
      <c r="F219" s="128"/>
    </row>
    <row r="220" spans="1:6" ht="30.95" hidden="1" customHeight="1">
      <c r="A220" s="622" t="s">
        <v>249</v>
      </c>
      <c r="B220" s="623"/>
      <c r="C220" s="623"/>
      <c r="D220" s="198" t="str">
        <f>표지!$O$3&amp;" "&amp;표지!$O$4</f>
        <v>20○○회합100○○○ 회생</v>
      </c>
      <c r="E220" s="160" t="s">
        <v>261</v>
      </c>
      <c r="F220" s="199" t="str">
        <f>표지!$O$5</f>
        <v>○○○○ 주식회사</v>
      </c>
    </row>
    <row r="221" spans="1:6" ht="30.95" hidden="1" customHeight="1">
      <c r="A221" s="624" t="s">
        <v>125</v>
      </c>
      <c r="B221" s="423"/>
      <c r="C221" s="423"/>
      <c r="D221" s="276">
        <v>25</v>
      </c>
      <c r="E221" s="170" t="s">
        <v>190</v>
      </c>
      <c r="F221" s="111"/>
    </row>
    <row r="222" spans="1:6" ht="30.95" hidden="1" customHeight="1">
      <c r="A222" s="625" t="s">
        <v>183</v>
      </c>
      <c r="B222" s="419" t="s">
        <v>118</v>
      </c>
      <c r="C222" s="420"/>
      <c r="D222" s="419" t="e">
        <f>VLOOKUP(D221,주주총괄!$A$5:$J$8,4,0)</f>
        <v>#N/A</v>
      </c>
      <c r="E222" s="420"/>
      <c r="F222" s="626"/>
    </row>
    <row r="223" spans="1:6" ht="30.95" hidden="1" customHeight="1">
      <c r="A223" s="625"/>
      <c r="B223" s="419" t="s">
        <v>250</v>
      </c>
      <c r="C223" s="420"/>
      <c r="D223" s="564" t="e">
        <f>VLOOKUP(D221,주주총괄!$A$5:$J$8,5,0)</f>
        <v>#N/A</v>
      </c>
      <c r="E223" s="565"/>
      <c r="F223" s="627"/>
    </row>
    <row r="224" spans="1:6" ht="30.95" hidden="1" customHeight="1">
      <c r="A224" s="625"/>
      <c r="B224" s="419" t="s">
        <v>23</v>
      </c>
      <c r="C224" s="420"/>
      <c r="D224" s="25"/>
      <c r="E224" s="62" t="s">
        <v>151</v>
      </c>
      <c r="F224" s="161"/>
    </row>
    <row r="225" spans="1:6" ht="30.95" hidden="1" customHeight="1">
      <c r="A225" s="210" t="s">
        <v>59</v>
      </c>
      <c r="B225" s="205" t="e">
        <f>VLOOKUP(D221,주주총괄!$A$5:$J$8,6,0)</f>
        <v>#N/A</v>
      </c>
      <c r="C225" s="274" t="e">
        <f>VLOOKUP(D221,주주총괄!$A$5:$J$8,7,0)</f>
        <v>#N/A</v>
      </c>
      <c r="D225" s="275" t="e">
        <f>VLOOKUP(D221,주주총괄!$A$5:$J$8,8,0)</f>
        <v>#N/A</v>
      </c>
      <c r="E225" s="620" t="str">
        <f>"(액면가액: "&amp;TEXT(주주총괄!$L$4,"###,###원)")</f>
        <v>(액면가액: 100원)</v>
      </c>
      <c r="F225" s="621"/>
    </row>
    <row r="226" spans="1:6" ht="30.95" hidden="1" customHeight="1">
      <c r="A226" s="211" t="s">
        <v>19</v>
      </c>
      <c r="B226" s="618"/>
      <c r="C226" s="618"/>
      <c r="D226" s="618"/>
      <c r="E226" s="618"/>
      <c r="F226" s="619"/>
    </row>
    <row r="227" spans="1:6" ht="30.95" hidden="1" customHeight="1">
      <c r="A227" s="612" t="s">
        <v>41</v>
      </c>
      <c r="B227" s="612"/>
      <c r="C227" s="612"/>
      <c r="D227" s="612"/>
      <c r="E227" s="612"/>
      <c r="F227" s="612"/>
    </row>
    <row r="228" spans="1:6" ht="30.95" hidden="1" customHeight="1">
      <c r="A228" s="128"/>
      <c r="B228" s="128"/>
      <c r="C228" s="128"/>
      <c r="D228" s="128"/>
      <c r="E228" s="128"/>
      <c r="F228" s="128"/>
    </row>
    <row r="229" spans="1:6" ht="30.95" hidden="1" customHeight="1">
      <c r="A229" s="622" t="s">
        <v>249</v>
      </c>
      <c r="B229" s="623"/>
      <c r="C229" s="623"/>
      <c r="D229" s="198" t="str">
        <f>표지!$O$3&amp;" "&amp;표지!$O$4</f>
        <v>20○○회합100○○○ 회생</v>
      </c>
      <c r="E229" s="160" t="s">
        <v>261</v>
      </c>
      <c r="F229" s="199" t="str">
        <f>표지!$O$5</f>
        <v>○○○○ 주식회사</v>
      </c>
    </row>
    <row r="230" spans="1:6" ht="30.95" hidden="1" customHeight="1">
      <c r="A230" s="624" t="s">
        <v>125</v>
      </c>
      <c r="B230" s="423"/>
      <c r="C230" s="423"/>
      <c r="D230" s="276">
        <v>26</v>
      </c>
      <c r="E230" s="170" t="s">
        <v>190</v>
      </c>
      <c r="F230" s="111"/>
    </row>
    <row r="231" spans="1:6" ht="30.95" hidden="1" customHeight="1">
      <c r="A231" s="625" t="s">
        <v>183</v>
      </c>
      <c r="B231" s="419" t="s">
        <v>118</v>
      </c>
      <c r="C231" s="420"/>
      <c r="D231" s="419" t="e">
        <f>VLOOKUP(D230,주주총괄!$A$5:$J$8,4,0)</f>
        <v>#N/A</v>
      </c>
      <c r="E231" s="420"/>
      <c r="F231" s="626"/>
    </row>
    <row r="232" spans="1:6" ht="30.95" hidden="1" customHeight="1">
      <c r="A232" s="625"/>
      <c r="B232" s="419" t="s">
        <v>250</v>
      </c>
      <c r="C232" s="420"/>
      <c r="D232" s="564" t="e">
        <f>VLOOKUP(D230,주주총괄!$A$5:$J$8,5,0)</f>
        <v>#N/A</v>
      </c>
      <c r="E232" s="565"/>
      <c r="F232" s="627"/>
    </row>
    <row r="233" spans="1:6" ht="30.95" hidden="1" customHeight="1">
      <c r="A233" s="625"/>
      <c r="B233" s="419" t="s">
        <v>23</v>
      </c>
      <c r="C233" s="420"/>
      <c r="D233" s="25"/>
      <c r="E233" s="62" t="s">
        <v>151</v>
      </c>
      <c r="F233" s="161"/>
    </row>
    <row r="234" spans="1:6" ht="30.95" hidden="1" customHeight="1">
      <c r="A234" s="210" t="s">
        <v>59</v>
      </c>
      <c r="B234" s="205" t="e">
        <f>VLOOKUP(D230,주주총괄!$A$5:$J$8,6,0)</f>
        <v>#N/A</v>
      </c>
      <c r="C234" s="274" t="e">
        <f>VLOOKUP(D230,주주총괄!$A$5:$J$8,7,0)</f>
        <v>#N/A</v>
      </c>
      <c r="D234" s="275" t="e">
        <f>VLOOKUP(D230,주주총괄!$A$5:$J$8,8,0)</f>
        <v>#N/A</v>
      </c>
      <c r="E234" s="620" t="str">
        <f>"(액면가액: "&amp;TEXT(주주총괄!$L$4,"###,###원)")</f>
        <v>(액면가액: 100원)</v>
      </c>
      <c r="F234" s="621"/>
    </row>
    <row r="235" spans="1:6" ht="30.95" hidden="1" customHeight="1">
      <c r="A235" s="211" t="s">
        <v>19</v>
      </c>
      <c r="B235" s="618"/>
      <c r="C235" s="618"/>
      <c r="D235" s="618"/>
      <c r="E235" s="618"/>
      <c r="F235" s="619"/>
    </row>
    <row r="236" spans="1:6" ht="30.95" hidden="1" customHeight="1">
      <c r="A236" s="612" t="s">
        <v>41</v>
      </c>
      <c r="B236" s="612"/>
      <c r="C236" s="612"/>
      <c r="D236" s="612"/>
      <c r="E236" s="612"/>
      <c r="F236" s="612"/>
    </row>
    <row r="237" spans="1:6" ht="30.95" hidden="1" customHeight="1">
      <c r="A237" s="128"/>
      <c r="B237" s="128"/>
      <c r="C237" s="128"/>
      <c r="D237" s="128"/>
      <c r="E237" s="128"/>
      <c r="F237" s="128"/>
    </row>
    <row r="238" spans="1:6" ht="30.95" hidden="1" customHeight="1">
      <c r="A238" s="622" t="s">
        <v>249</v>
      </c>
      <c r="B238" s="623"/>
      <c r="C238" s="623"/>
      <c r="D238" s="198" t="str">
        <f>표지!$O$3&amp;" "&amp;표지!$O$4</f>
        <v>20○○회합100○○○ 회생</v>
      </c>
      <c r="E238" s="160" t="s">
        <v>261</v>
      </c>
      <c r="F238" s="199" t="str">
        <f>표지!$O$5</f>
        <v>○○○○ 주식회사</v>
      </c>
    </row>
    <row r="239" spans="1:6" ht="30.95" hidden="1" customHeight="1">
      <c r="A239" s="624" t="s">
        <v>125</v>
      </c>
      <c r="B239" s="423"/>
      <c r="C239" s="423"/>
      <c r="D239" s="276">
        <v>27</v>
      </c>
      <c r="E239" s="170" t="s">
        <v>190</v>
      </c>
      <c r="F239" s="111"/>
    </row>
    <row r="240" spans="1:6" ht="30.95" hidden="1" customHeight="1">
      <c r="A240" s="625" t="s">
        <v>183</v>
      </c>
      <c r="B240" s="419" t="s">
        <v>118</v>
      </c>
      <c r="C240" s="420"/>
      <c r="D240" s="419" t="e">
        <f>VLOOKUP(D239,주주총괄!$A$5:$J$8,4,0)</f>
        <v>#N/A</v>
      </c>
      <c r="E240" s="420"/>
      <c r="F240" s="626"/>
    </row>
    <row r="241" spans="1:6" ht="30.95" hidden="1" customHeight="1">
      <c r="A241" s="625"/>
      <c r="B241" s="419" t="s">
        <v>250</v>
      </c>
      <c r="C241" s="420"/>
      <c r="D241" s="564" t="e">
        <f>VLOOKUP(D239,주주총괄!$A$5:$J$8,5,0)</f>
        <v>#N/A</v>
      </c>
      <c r="E241" s="565"/>
      <c r="F241" s="627"/>
    </row>
    <row r="242" spans="1:6" ht="30.95" hidden="1" customHeight="1">
      <c r="A242" s="625"/>
      <c r="B242" s="419" t="s">
        <v>23</v>
      </c>
      <c r="C242" s="420"/>
      <c r="D242" s="25"/>
      <c r="E242" s="62" t="s">
        <v>151</v>
      </c>
      <c r="F242" s="161"/>
    </row>
    <row r="243" spans="1:6" ht="30.95" hidden="1" customHeight="1">
      <c r="A243" s="210" t="s">
        <v>59</v>
      </c>
      <c r="B243" s="205" t="e">
        <f>VLOOKUP(D239,주주총괄!$A$5:$J$8,6,0)</f>
        <v>#N/A</v>
      </c>
      <c r="C243" s="274" t="e">
        <f>VLOOKUP(D239,주주총괄!$A$5:$J$8,7,0)</f>
        <v>#N/A</v>
      </c>
      <c r="D243" s="275" t="e">
        <f>VLOOKUP(D239,주주총괄!$A$5:$J$8,8,0)</f>
        <v>#N/A</v>
      </c>
      <c r="E243" s="620" t="str">
        <f>"(액면가액: "&amp;TEXT(주주총괄!$L$4,"###,###원)")</f>
        <v>(액면가액: 100원)</v>
      </c>
      <c r="F243" s="621"/>
    </row>
    <row r="244" spans="1:6" ht="30.95" hidden="1" customHeight="1">
      <c r="A244" s="211" t="s">
        <v>19</v>
      </c>
      <c r="B244" s="618"/>
      <c r="C244" s="618"/>
      <c r="D244" s="618"/>
      <c r="E244" s="618"/>
      <c r="F244" s="619"/>
    </row>
    <row r="245" spans="1:6" ht="30.95" hidden="1" customHeight="1">
      <c r="A245" s="612" t="s">
        <v>41</v>
      </c>
      <c r="B245" s="612"/>
      <c r="C245" s="612"/>
      <c r="D245" s="612"/>
      <c r="E245" s="612"/>
      <c r="F245" s="612"/>
    </row>
    <row r="246" spans="1:6" ht="30.95" hidden="1" customHeight="1">
      <c r="A246" s="128"/>
      <c r="B246" s="128"/>
      <c r="C246" s="128"/>
      <c r="D246" s="128"/>
      <c r="E246" s="128"/>
      <c r="F246" s="128"/>
    </row>
    <row r="247" spans="1:6" ht="30.95" hidden="1" customHeight="1">
      <c r="A247" s="622" t="s">
        <v>249</v>
      </c>
      <c r="B247" s="623"/>
      <c r="C247" s="623"/>
      <c r="D247" s="198" t="str">
        <f>표지!$O$3&amp;" "&amp;표지!$O$4</f>
        <v>20○○회합100○○○ 회생</v>
      </c>
      <c r="E247" s="160" t="s">
        <v>261</v>
      </c>
      <c r="F247" s="199" t="str">
        <f>표지!$O$5</f>
        <v>○○○○ 주식회사</v>
      </c>
    </row>
    <row r="248" spans="1:6" ht="30.95" hidden="1" customHeight="1">
      <c r="A248" s="624" t="s">
        <v>125</v>
      </c>
      <c r="B248" s="423"/>
      <c r="C248" s="423"/>
      <c r="D248" s="276">
        <v>28</v>
      </c>
      <c r="E248" s="170" t="s">
        <v>190</v>
      </c>
      <c r="F248" s="111"/>
    </row>
    <row r="249" spans="1:6" ht="30.95" hidden="1" customHeight="1">
      <c r="A249" s="625" t="s">
        <v>183</v>
      </c>
      <c r="B249" s="419" t="s">
        <v>118</v>
      </c>
      <c r="C249" s="420"/>
      <c r="D249" s="419" t="e">
        <f>VLOOKUP(D248,주주총괄!$A$5:$J$8,4,0)</f>
        <v>#N/A</v>
      </c>
      <c r="E249" s="420"/>
      <c r="F249" s="626"/>
    </row>
    <row r="250" spans="1:6" ht="30.95" hidden="1" customHeight="1">
      <c r="A250" s="625"/>
      <c r="B250" s="419" t="s">
        <v>250</v>
      </c>
      <c r="C250" s="420"/>
      <c r="D250" s="564" t="e">
        <f>VLOOKUP(D248,주주총괄!$A$5:$J$8,5,0)</f>
        <v>#N/A</v>
      </c>
      <c r="E250" s="565"/>
      <c r="F250" s="627"/>
    </row>
    <row r="251" spans="1:6" ht="30.95" hidden="1" customHeight="1">
      <c r="A251" s="625"/>
      <c r="B251" s="419" t="s">
        <v>23</v>
      </c>
      <c r="C251" s="420"/>
      <c r="D251" s="25"/>
      <c r="E251" s="62" t="s">
        <v>151</v>
      </c>
      <c r="F251" s="161"/>
    </row>
    <row r="252" spans="1:6" ht="30.95" hidden="1" customHeight="1">
      <c r="A252" s="210" t="s">
        <v>59</v>
      </c>
      <c r="B252" s="205" t="e">
        <f>VLOOKUP(D248,주주총괄!$A$5:$J$8,6,0)</f>
        <v>#N/A</v>
      </c>
      <c r="C252" s="274" t="e">
        <f>VLOOKUP(D248,주주총괄!$A$5:$J$8,7,0)</f>
        <v>#N/A</v>
      </c>
      <c r="D252" s="275" t="e">
        <f>VLOOKUP(D248,주주총괄!$A$5:$J$8,8,0)</f>
        <v>#N/A</v>
      </c>
      <c r="E252" s="620" t="str">
        <f>"(액면가액: "&amp;TEXT(주주총괄!$L$4,"###,###원)")</f>
        <v>(액면가액: 100원)</v>
      </c>
      <c r="F252" s="621"/>
    </row>
    <row r="253" spans="1:6" ht="30.95" hidden="1" customHeight="1">
      <c r="A253" s="211" t="s">
        <v>19</v>
      </c>
      <c r="B253" s="618"/>
      <c r="C253" s="618"/>
      <c r="D253" s="618"/>
      <c r="E253" s="618"/>
      <c r="F253" s="619"/>
    </row>
    <row r="254" spans="1:6" ht="30.95" hidden="1" customHeight="1">
      <c r="A254" s="612" t="s">
        <v>41</v>
      </c>
      <c r="B254" s="612"/>
      <c r="C254" s="612"/>
      <c r="D254" s="612"/>
      <c r="E254" s="612"/>
      <c r="F254" s="612"/>
    </row>
    <row r="255" spans="1:6" ht="30.95" hidden="1" customHeight="1">
      <c r="A255" s="128"/>
      <c r="B255" s="128"/>
      <c r="C255" s="128"/>
      <c r="D255" s="128"/>
      <c r="E255" s="128"/>
      <c r="F255" s="128"/>
    </row>
    <row r="256" spans="1:6" ht="30.95" hidden="1" customHeight="1">
      <c r="A256" s="622" t="s">
        <v>249</v>
      </c>
      <c r="B256" s="623"/>
      <c r="C256" s="623"/>
      <c r="D256" s="198" t="str">
        <f>표지!$O$3&amp;" "&amp;표지!$O$4</f>
        <v>20○○회합100○○○ 회생</v>
      </c>
      <c r="E256" s="160" t="s">
        <v>261</v>
      </c>
      <c r="F256" s="199" t="str">
        <f>표지!$O$5</f>
        <v>○○○○ 주식회사</v>
      </c>
    </row>
    <row r="257" spans="1:6" ht="30.95" hidden="1" customHeight="1">
      <c r="A257" s="624" t="s">
        <v>125</v>
      </c>
      <c r="B257" s="423"/>
      <c r="C257" s="423"/>
      <c r="D257" s="276">
        <v>29</v>
      </c>
      <c r="E257" s="170" t="s">
        <v>190</v>
      </c>
      <c r="F257" s="111"/>
    </row>
    <row r="258" spans="1:6" ht="30.95" hidden="1" customHeight="1">
      <c r="A258" s="625" t="s">
        <v>183</v>
      </c>
      <c r="B258" s="419" t="s">
        <v>118</v>
      </c>
      <c r="C258" s="420"/>
      <c r="D258" s="419" t="e">
        <f>VLOOKUP(D257,주주총괄!$A$5:$J$8,4,0)</f>
        <v>#N/A</v>
      </c>
      <c r="E258" s="420"/>
      <c r="F258" s="626"/>
    </row>
    <row r="259" spans="1:6" ht="30.95" hidden="1" customHeight="1">
      <c r="A259" s="625"/>
      <c r="B259" s="419" t="s">
        <v>250</v>
      </c>
      <c r="C259" s="420"/>
      <c r="D259" s="564" t="e">
        <f>VLOOKUP(D257,주주총괄!$A$5:$J$8,5,0)</f>
        <v>#N/A</v>
      </c>
      <c r="E259" s="565"/>
      <c r="F259" s="627"/>
    </row>
    <row r="260" spans="1:6" ht="30.95" hidden="1" customHeight="1">
      <c r="A260" s="625"/>
      <c r="B260" s="419" t="s">
        <v>23</v>
      </c>
      <c r="C260" s="420"/>
      <c r="D260" s="25"/>
      <c r="E260" s="62" t="s">
        <v>151</v>
      </c>
      <c r="F260" s="161"/>
    </row>
    <row r="261" spans="1:6" ht="30.95" hidden="1" customHeight="1">
      <c r="A261" s="210" t="s">
        <v>59</v>
      </c>
      <c r="B261" s="205" t="e">
        <f>VLOOKUP(D257,주주총괄!$A$5:$J$8,6,0)</f>
        <v>#N/A</v>
      </c>
      <c r="C261" s="274" t="e">
        <f>VLOOKUP(D257,주주총괄!$A$5:$J$8,7,0)</f>
        <v>#N/A</v>
      </c>
      <c r="D261" s="275" t="e">
        <f>VLOOKUP(D257,주주총괄!$A$5:$J$8,8,0)</f>
        <v>#N/A</v>
      </c>
      <c r="E261" s="620" t="str">
        <f>"(액면가액: "&amp;TEXT(주주총괄!$L$4,"###,###원)")</f>
        <v>(액면가액: 100원)</v>
      </c>
      <c r="F261" s="621"/>
    </row>
    <row r="262" spans="1:6" ht="30.95" hidden="1" customHeight="1">
      <c r="A262" s="211" t="s">
        <v>19</v>
      </c>
      <c r="B262" s="618"/>
      <c r="C262" s="618"/>
      <c r="D262" s="618"/>
      <c r="E262" s="618"/>
      <c r="F262" s="619"/>
    </row>
    <row r="263" spans="1:6" ht="30.95" hidden="1" customHeight="1">
      <c r="A263" s="612" t="s">
        <v>41</v>
      </c>
      <c r="B263" s="612"/>
      <c r="C263" s="612"/>
      <c r="D263" s="612"/>
      <c r="E263" s="612"/>
      <c r="F263" s="612"/>
    </row>
    <row r="264" spans="1:6" ht="30.95" hidden="1" customHeight="1">
      <c r="A264" s="128"/>
      <c r="B264" s="128"/>
      <c r="C264" s="128"/>
      <c r="D264" s="128"/>
      <c r="E264" s="128"/>
      <c r="F264" s="128"/>
    </row>
    <row r="265" spans="1:6" ht="30.95" hidden="1" customHeight="1">
      <c r="A265" s="622" t="s">
        <v>249</v>
      </c>
      <c r="B265" s="623"/>
      <c r="C265" s="623"/>
      <c r="D265" s="198" t="str">
        <f>표지!$O$3&amp;" "&amp;표지!$O$4</f>
        <v>20○○회합100○○○ 회생</v>
      </c>
      <c r="E265" s="160" t="s">
        <v>261</v>
      </c>
      <c r="F265" s="199" t="str">
        <f>표지!$O$5</f>
        <v>○○○○ 주식회사</v>
      </c>
    </row>
    <row r="266" spans="1:6" ht="30.95" hidden="1" customHeight="1">
      <c r="A266" s="624" t="s">
        <v>125</v>
      </c>
      <c r="B266" s="423"/>
      <c r="C266" s="423"/>
      <c r="D266" s="276">
        <v>30</v>
      </c>
      <c r="E266" s="170" t="s">
        <v>190</v>
      </c>
      <c r="F266" s="111"/>
    </row>
    <row r="267" spans="1:6" ht="30.95" hidden="1" customHeight="1">
      <c r="A267" s="625" t="s">
        <v>183</v>
      </c>
      <c r="B267" s="419" t="s">
        <v>118</v>
      </c>
      <c r="C267" s="420"/>
      <c r="D267" s="419" t="e">
        <f>VLOOKUP(D266,주주총괄!$A$5:$J$8,4,0)</f>
        <v>#N/A</v>
      </c>
      <c r="E267" s="420"/>
      <c r="F267" s="626"/>
    </row>
    <row r="268" spans="1:6" ht="30.95" hidden="1" customHeight="1">
      <c r="A268" s="625"/>
      <c r="B268" s="419" t="s">
        <v>250</v>
      </c>
      <c r="C268" s="420"/>
      <c r="D268" s="564" t="e">
        <f>VLOOKUP(D266,주주총괄!$A$5:$J$8,5,0)</f>
        <v>#N/A</v>
      </c>
      <c r="E268" s="565"/>
      <c r="F268" s="627"/>
    </row>
    <row r="269" spans="1:6" ht="30.95" hidden="1" customHeight="1">
      <c r="A269" s="625"/>
      <c r="B269" s="419" t="s">
        <v>23</v>
      </c>
      <c r="C269" s="420"/>
      <c r="D269" s="25"/>
      <c r="E269" s="62" t="s">
        <v>151</v>
      </c>
      <c r="F269" s="161"/>
    </row>
    <row r="270" spans="1:6" ht="30.95" hidden="1" customHeight="1">
      <c r="A270" s="210" t="s">
        <v>59</v>
      </c>
      <c r="B270" s="205" t="e">
        <f>VLOOKUP(D266,주주총괄!$A$5:$J$8,6,0)</f>
        <v>#N/A</v>
      </c>
      <c r="C270" s="274" t="e">
        <f>VLOOKUP(D266,주주총괄!$A$5:$J$8,7,0)</f>
        <v>#N/A</v>
      </c>
      <c r="D270" s="275" t="e">
        <f>VLOOKUP(D266,주주총괄!$A$5:$J$8,8,0)</f>
        <v>#N/A</v>
      </c>
      <c r="E270" s="620" t="str">
        <f>"(액면가액: "&amp;TEXT(주주총괄!$L$4,"###,###원)")</f>
        <v>(액면가액: 100원)</v>
      </c>
      <c r="F270" s="621"/>
    </row>
    <row r="271" spans="1:6" ht="30.95" hidden="1" customHeight="1">
      <c r="A271" s="211" t="s">
        <v>19</v>
      </c>
      <c r="B271" s="618"/>
      <c r="C271" s="618"/>
      <c r="D271" s="618"/>
      <c r="E271" s="618"/>
      <c r="F271" s="619"/>
    </row>
    <row r="272" spans="1:6" ht="30.95" hidden="1" customHeight="1">
      <c r="A272" s="612" t="s">
        <v>41</v>
      </c>
      <c r="B272" s="612"/>
      <c r="C272" s="612"/>
      <c r="D272" s="612"/>
      <c r="E272" s="612"/>
      <c r="F272" s="612"/>
    </row>
    <row r="273" spans="1:6" ht="30.95" hidden="1" customHeight="1">
      <c r="A273" s="128"/>
      <c r="B273" s="128"/>
      <c r="C273" s="128"/>
      <c r="D273" s="128"/>
      <c r="E273" s="128"/>
      <c r="F273" s="128"/>
    </row>
    <row r="274" spans="1:6" ht="30.95" hidden="1" customHeight="1">
      <c r="A274" s="622" t="s">
        <v>249</v>
      </c>
      <c r="B274" s="623"/>
      <c r="C274" s="623"/>
      <c r="D274" s="198" t="str">
        <f>표지!$O$3&amp;" "&amp;표지!$O$4</f>
        <v>20○○회합100○○○ 회생</v>
      </c>
      <c r="E274" s="160" t="s">
        <v>261</v>
      </c>
      <c r="F274" s="199" t="str">
        <f>표지!$O$5</f>
        <v>○○○○ 주식회사</v>
      </c>
    </row>
    <row r="275" spans="1:6" ht="30.95" hidden="1" customHeight="1">
      <c r="A275" s="624" t="s">
        <v>125</v>
      </c>
      <c r="B275" s="423"/>
      <c r="C275" s="423"/>
      <c r="D275" s="276">
        <v>31</v>
      </c>
      <c r="E275" s="170" t="s">
        <v>190</v>
      </c>
      <c r="F275" s="111"/>
    </row>
    <row r="276" spans="1:6" ht="30.95" hidden="1" customHeight="1">
      <c r="A276" s="625" t="s">
        <v>183</v>
      </c>
      <c r="B276" s="419" t="s">
        <v>118</v>
      </c>
      <c r="C276" s="420"/>
      <c r="D276" s="419" t="e">
        <f>VLOOKUP(D275,주주총괄!$A$5:$J$8,4,0)</f>
        <v>#N/A</v>
      </c>
      <c r="E276" s="420"/>
      <c r="F276" s="626"/>
    </row>
    <row r="277" spans="1:6" ht="30.95" hidden="1" customHeight="1">
      <c r="A277" s="625"/>
      <c r="B277" s="419" t="s">
        <v>250</v>
      </c>
      <c r="C277" s="420"/>
      <c r="D277" s="564" t="e">
        <f>VLOOKUP(D275,주주총괄!$A$5:$J$8,5,0)</f>
        <v>#N/A</v>
      </c>
      <c r="E277" s="565"/>
      <c r="F277" s="627"/>
    </row>
    <row r="278" spans="1:6" ht="30.95" hidden="1" customHeight="1">
      <c r="A278" s="625"/>
      <c r="B278" s="419" t="s">
        <v>23</v>
      </c>
      <c r="C278" s="420"/>
      <c r="D278" s="25"/>
      <c r="E278" s="62" t="s">
        <v>151</v>
      </c>
      <c r="F278" s="161"/>
    </row>
    <row r="279" spans="1:6" ht="30.95" hidden="1" customHeight="1">
      <c r="A279" s="210" t="s">
        <v>59</v>
      </c>
      <c r="B279" s="205" t="e">
        <f>VLOOKUP(D275,주주총괄!$A$5:$J$8,6,0)</f>
        <v>#N/A</v>
      </c>
      <c r="C279" s="274" t="e">
        <f>VLOOKUP(D275,주주총괄!$A$5:$J$8,7,0)</f>
        <v>#N/A</v>
      </c>
      <c r="D279" s="275" t="e">
        <f>VLOOKUP(D275,주주총괄!$A$5:$J$8,8,0)</f>
        <v>#N/A</v>
      </c>
      <c r="E279" s="620" t="str">
        <f>"(액면가액: "&amp;TEXT(주주총괄!$L$4,"###,###원)")</f>
        <v>(액면가액: 100원)</v>
      </c>
      <c r="F279" s="621"/>
    </row>
    <row r="280" spans="1:6" ht="30.95" hidden="1" customHeight="1">
      <c r="A280" s="211" t="s">
        <v>19</v>
      </c>
      <c r="B280" s="618"/>
      <c r="C280" s="618"/>
      <c r="D280" s="618"/>
      <c r="E280" s="618"/>
      <c r="F280" s="619"/>
    </row>
    <row r="281" spans="1:6" ht="30.95" hidden="1" customHeight="1">
      <c r="A281" s="612" t="s">
        <v>41</v>
      </c>
      <c r="B281" s="612"/>
      <c r="C281" s="612"/>
      <c r="D281" s="612"/>
      <c r="E281" s="612"/>
      <c r="F281" s="612"/>
    </row>
    <row r="282" spans="1:6" ht="30.95" hidden="1" customHeight="1">
      <c r="A282" s="128"/>
      <c r="B282" s="128"/>
      <c r="C282" s="128"/>
      <c r="D282" s="128"/>
      <c r="E282" s="128"/>
      <c r="F282" s="128"/>
    </row>
    <row r="283" spans="1:6" ht="30.95" hidden="1" customHeight="1">
      <c r="A283" s="622" t="s">
        <v>249</v>
      </c>
      <c r="B283" s="623"/>
      <c r="C283" s="623"/>
      <c r="D283" s="198" t="str">
        <f>표지!$O$3&amp;" "&amp;표지!$O$4</f>
        <v>20○○회합100○○○ 회생</v>
      </c>
      <c r="E283" s="160" t="s">
        <v>261</v>
      </c>
      <c r="F283" s="199" t="str">
        <f>표지!$O$5</f>
        <v>○○○○ 주식회사</v>
      </c>
    </row>
    <row r="284" spans="1:6" ht="30.95" hidden="1" customHeight="1">
      <c r="A284" s="624" t="s">
        <v>125</v>
      </c>
      <c r="B284" s="423"/>
      <c r="C284" s="423"/>
      <c r="D284" s="276">
        <v>32</v>
      </c>
      <c r="E284" s="170" t="s">
        <v>190</v>
      </c>
      <c r="F284" s="111"/>
    </row>
    <row r="285" spans="1:6" ht="30.95" hidden="1" customHeight="1">
      <c r="A285" s="625" t="s">
        <v>183</v>
      </c>
      <c r="B285" s="419" t="s">
        <v>118</v>
      </c>
      <c r="C285" s="420"/>
      <c r="D285" s="419" t="e">
        <f>VLOOKUP(D284,주주총괄!$A$5:$J$8,4,0)</f>
        <v>#N/A</v>
      </c>
      <c r="E285" s="420"/>
      <c r="F285" s="626"/>
    </row>
    <row r="286" spans="1:6" ht="30.95" hidden="1" customHeight="1">
      <c r="A286" s="625"/>
      <c r="B286" s="419" t="s">
        <v>250</v>
      </c>
      <c r="C286" s="420"/>
      <c r="D286" s="564" t="e">
        <f>VLOOKUP(D284,주주총괄!$A$5:$J$8,5,0)</f>
        <v>#N/A</v>
      </c>
      <c r="E286" s="565"/>
      <c r="F286" s="627"/>
    </row>
    <row r="287" spans="1:6" ht="30.95" hidden="1" customHeight="1">
      <c r="A287" s="625"/>
      <c r="B287" s="419" t="s">
        <v>23</v>
      </c>
      <c r="C287" s="420"/>
      <c r="D287" s="25"/>
      <c r="E287" s="62" t="s">
        <v>151</v>
      </c>
      <c r="F287" s="161"/>
    </row>
    <row r="288" spans="1:6" ht="30.95" hidden="1" customHeight="1">
      <c r="A288" s="210" t="s">
        <v>59</v>
      </c>
      <c r="B288" s="205" t="e">
        <f>VLOOKUP(D284,주주총괄!$A$5:$J$8,6,0)</f>
        <v>#N/A</v>
      </c>
      <c r="C288" s="274" t="e">
        <f>VLOOKUP(D284,주주총괄!$A$5:$J$8,7,0)</f>
        <v>#N/A</v>
      </c>
      <c r="D288" s="275" t="e">
        <f>VLOOKUP(D284,주주총괄!$A$5:$J$8,8,0)</f>
        <v>#N/A</v>
      </c>
      <c r="E288" s="620" t="str">
        <f>"(액면가액: "&amp;TEXT(주주총괄!$L$4,"###,###원)")</f>
        <v>(액면가액: 100원)</v>
      </c>
      <c r="F288" s="621"/>
    </row>
    <row r="289" spans="1:6" ht="30.95" hidden="1" customHeight="1">
      <c r="A289" s="211" t="s">
        <v>19</v>
      </c>
      <c r="B289" s="618"/>
      <c r="C289" s="618"/>
      <c r="D289" s="618"/>
      <c r="E289" s="618"/>
      <c r="F289" s="619"/>
    </row>
    <row r="290" spans="1:6" ht="30.95" hidden="1" customHeight="1">
      <c r="A290" s="612" t="s">
        <v>41</v>
      </c>
      <c r="B290" s="612"/>
      <c r="C290" s="612"/>
      <c r="D290" s="612"/>
      <c r="E290" s="612"/>
      <c r="F290" s="612"/>
    </row>
    <row r="291" spans="1:6" ht="30.95" hidden="1" customHeight="1">
      <c r="A291" s="128"/>
      <c r="B291" s="128"/>
      <c r="C291" s="128"/>
      <c r="D291" s="128"/>
      <c r="E291" s="128"/>
      <c r="F291" s="128"/>
    </row>
    <row r="292" spans="1:6" ht="30.95" hidden="1" customHeight="1">
      <c r="A292" s="622" t="s">
        <v>249</v>
      </c>
      <c r="B292" s="623"/>
      <c r="C292" s="623"/>
      <c r="D292" s="198" t="str">
        <f>표지!$O$3&amp;" "&amp;표지!$O$4</f>
        <v>20○○회합100○○○ 회생</v>
      </c>
      <c r="E292" s="160" t="s">
        <v>261</v>
      </c>
      <c r="F292" s="199" t="str">
        <f>표지!$O$5</f>
        <v>○○○○ 주식회사</v>
      </c>
    </row>
    <row r="293" spans="1:6" ht="30.95" hidden="1" customHeight="1">
      <c r="A293" s="624" t="s">
        <v>125</v>
      </c>
      <c r="B293" s="423"/>
      <c r="C293" s="423"/>
      <c r="D293" s="276">
        <v>33</v>
      </c>
      <c r="E293" s="170" t="s">
        <v>190</v>
      </c>
      <c r="F293" s="111"/>
    </row>
    <row r="294" spans="1:6" ht="30.95" hidden="1" customHeight="1">
      <c r="A294" s="625" t="s">
        <v>183</v>
      </c>
      <c r="B294" s="419" t="s">
        <v>118</v>
      </c>
      <c r="C294" s="420"/>
      <c r="D294" s="419" t="e">
        <f>VLOOKUP(D293,주주총괄!$A$5:$J$8,4,0)</f>
        <v>#N/A</v>
      </c>
      <c r="E294" s="420"/>
      <c r="F294" s="626"/>
    </row>
    <row r="295" spans="1:6" ht="30.95" hidden="1" customHeight="1">
      <c r="A295" s="625"/>
      <c r="B295" s="419" t="s">
        <v>250</v>
      </c>
      <c r="C295" s="420"/>
      <c r="D295" s="564" t="e">
        <f>VLOOKUP(D293,주주총괄!$A$5:$J$8,5,0)</f>
        <v>#N/A</v>
      </c>
      <c r="E295" s="565"/>
      <c r="F295" s="627"/>
    </row>
    <row r="296" spans="1:6" ht="30.95" hidden="1" customHeight="1">
      <c r="A296" s="625"/>
      <c r="B296" s="419" t="s">
        <v>23</v>
      </c>
      <c r="C296" s="420"/>
      <c r="D296" s="25"/>
      <c r="E296" s="62" t="s">
        <v>151</v>
      </c>
      <c r="F296" s="161"/>
    </row>
    <row r="297" spans="1:6" ht="30.95" hidden="1" customHeight="1">
      <c r="A297" s="210" t="s">
        <v>59</v>
      </c>
      <c r="B297" s="205" t="e">
        <f>VLOOKUP(D293,주주총괄!$A$5:$J$8,6,0)</f>
        <v>#N/A</v>
      </c>
      <c r="C297" s="274" t="e">
        <f>VLOOKUP(D293,주주총괄!$A$5:$J$8,7,0)</f>
        <v>#N/A</v>
      </c>
      <c r="D297" s="275" t="e">
        <f>VLOOKUP(D293,주주총괄!$A$5:$J$8,8,0)</f>
        <v>#N/A</v>
      </c>
      <c r="E297" s="620" t="str">
        <f>"(액면가액: "&amp;TEXT(주주총괄!$L$4,"###,###원)")</f>
        <v>(액면가액: 100원)</v>
      </c>
      <c r="F297" s="621"/>
    </row>
    <row r="298" spans="1:6" ht="30.95" hidden="1" customHeight="1">
      <c r="A298" s="211" t="s">
        <v>19</v>
      </c>
      <c r="B298" s="618"/>
      <c r="C298" s="618"/>
      <c r="D298" s="618"/>
      <c r="E298" s="618"/>
      <c r="F298" s="619"/>
    </row>
    <row r="299" spans="1:6" ht="30.95" hidden="1" customHeight="1">
      <c r="A299" s="612" t="s">
        <v>41</v>
      </c>
      <c r="B299" s="612"/>
      <c r="C299" s="612"/>
      <c r="D299" s="612"/>
      <c r="E299" s="612"/>
      <c r="F299" s="612"/>
    </row>
    <row r="300" spans="1:6" ht="30.95" hidden="1" customHeight="1">
      <c r="A300" s="128"/>
      <c r="B300" s="128"/>
      <c r="C300" s="128"/>
      <c r="D300" s="128"/>
      <c r="E300" s="128"/>
      <c r="F300" s="128"/>
    </row>
    <row r="301" spans="1:6" ht="30.95" hidden="1" customHeight="1">
      <c r="A301" s="622" t="s">
        <v>249</v>
      </c>
      <c r="B301" s="623"/>
      <c r="C301" s="623"/>
      <c r="D301" s="198" t="str">
        <f>표지!$O$3&amp;" "&amp;표지!$O$4</f>
        <v>20○○회합100○○○ 회생</v>
      </c>
      <c r="E301" s="160" t="s">
        <v>261</v>
      </c>
      <c r="F301" s="199" t="str">
        <f>표지!$O$5</f>
        <v>○○○○ 주식회사</v>
      </c>
    </row>
    <row r="302" spans="1:6" ht="30.95" hidden="1" customHeight="1">
      <c r="A302" s="624" t="s">
        <v>125</v>
      </c>
      <c r="B302" s="423"/>
      <c r="C302" s="423"/>
      <c r="D302" s="276">
        <v>34</v>
      </c>
      <c r="E302" s="170" t="s">
        <v>190</v>
      </c>
      <c r="F302" s="111"/>
    </row>
    <row r="303" spans="1:6" ht="30.95" hidden="1" customHeight="1">
      <c r="A303" s="625" t="s">
        <v>183</v>
      </c>
      <c r="B303" s="419" t="s">
        <v>118</v>
      </c>
      <c r="C303" s="420"/>
      <c r="D303" s="419" t="e">
        <f>VLOOKUP(D302,주주총괄!$A$5:$J$8,4,0)</f>
        <v>#N/A</v>
      </c>
      <c r="E303" s="420"/>
      <c r="F303" s="626"/>
    </row>
    <row r="304" spans="1:6" ht="30.95" hidden="1" customHeight="1">
      <c r="A304" s="625"/>
      <c r="B304" s="419" t="s">
        <v>250</v>
      </c>
      <c r="C304" s="420"/>
      <c r="D304" s="564" t="e">
        <f>VLOOKUP(D302,주주총괄!$A$5:$J$8,5,0)</f>
        <v>#N/A</v>
      </c>
      <c r="E304" s="565"/>
      <c r="F304" s="627"/>
    </row>
    <row r="305" spans="1:6" ht="30.95" hidden="1" customHeight="1">
      <c r="A305" s="625"/>
      <c r="B305" s="419" t="s">
        <v>23</v>
      </c>
      <c r="C305" s="420"/>
      <c r="D305" s="25"/>
      <c r="E305" s="62" t="s">
        <v>151</v>
      </c>
      <c r="F305" s="161"/>
    </row>
    <row r="306" spans="1:6" ht="30.95" hidden="1" customHeight="1">
      <c r="A306" s="210" t="s">
        <v>59</v>
      </c>
      <c r="B306" s="205" t="e">
        <f>VLOOKUP(D302,주주총괄!$A$5:$J$8,6,0)</f>
        <v>#N/A</v>
      </c>
      <c r="C306" s="274" t="e">
        <f>VLOOKUP(D302,주주총괄!$A$5:$J$8,7,0)</f>
        <v>#N/A</v>
      </c>
      <c r="D306" s="275" t="e">
        <f>VLOOKUP(D302,주주총괄!$A$5:$J$8,8,0)</f>
        <v>#N/A</v>
      </c>
      <c r="E306" s="620" t="str">
        <f>"(액면가액: "&amp;TEXT(주주총괄!$L$4,"###,###원)")</f>
        <v>(액면가액: 100원)</v>
      </c>
      <c r="F306" s="621"/>
    </row>
    <row r="307" spans="1:6" ht="30.95" hidden="1" customHeight="1">
      <c r="A307" s="211" t="s">
        <v>19</v>
      </c>
      <c r="B307" s="618"/>
      <c r="C307" s="618"/>
      <c r="D307" s="618"/>
      <c r="E307" s="618"/>
      <c r="F307" s="619"/>
    </row>
    <row r="308" spans="1:6" ht="30.95" hidden="1" customHeight="1">
      <c r="A308" s="612" t="s">
        <v>41</v>
      </c>
      <c r="B308" s="612"/>
      <c r="C308" s="612"/>
      <c r="D308" s="612"/>
      <c r="E308" s="612"/>
      <c r="F308" s="612"/>
    </row>
    <row r="309" spans="1:6" ht="30.95" hidden="1" customHeight="1">
      <c r="A309" s="128"/>
      <c r="B309" s="128"/>
      <c r="C309" s="128"/>
      <c r="D309" s="128"/>
      <c r="E309" s="128"/>
      <c r="F309" s="128"/>
    </row>
    <row r="310" spans="1:6" ht="30.95" hidden="1" customHeight="1">
      <c r="A310" s="622" t="s">
        <v>249</v>
      </c>
      <c r="B310" s="623"/>
      <c r="C310" s="623"/>
      <c r="D310" s="198" t="str">
        <f>표지!$O$3&amp;" "&amp;표지!$O$4</f>
        <v>20○○회합100○○○ 회생</v>
      </c>
      <c r="E310" s="160" t="s">
        <v>261</v>
      </c>
      <c r="F310" s="199" t="str">
        <f>표지!$O$5</f>
        <v>○○○○ 주식회사</v>
      </c>
    </row>
    <row r="311" spans="1:6" ht="30.95" hidden="1" customHeight="1">
      <c r="A311" s="624" t="s">
        <v>125</v>
      </c>
      <c r="B311" s="423"/>
      <c r="C311" s="423"/>
      <c r="D311" s="276">
        <v>35</v>
      </c>
      <c r="E311" s="170" t="s">
        <v>190</v>
      </c>
      <c r="F311" s="111"/>
    </row>
    <row r="312" spans="1:6" ht="30.95" hidden="1" customHeight="1">
      <c r="A312" s="625" t="s">
        <v>183</v>
      </c>
      <c r="B312" s="419" t="s">
        <v>118</v>
      </c>
      <c r="C312" s="420"/>
      <c r="D312" s="419" t="e">
        <f>VLOOKUP(D311,주주총괄!$A$5:$J$8,4,0)</f>
        <v>#N/A</v>
      </c>
      <c r="E312" s="420"/>
      <c r="F312" s="626"/>
    </row>
    <row r="313" spans="1:6" ht="30.95" hidden="1" customHeight="1">
      <c r="A313" s="625"/>
      <c r="B313" s="419" t="s">
        <v>250</v>
      </c>
      <c r="C313" s="420"/>
      <c r="D313" s="564" t="e">
        <f>VLOOKUP(D311,주주총괄!$A$5:$J$8,5,0)</f>
        <v>#N/A</v>
      </c>
      <c r="E313" s="565"/>
      <c r="F313" s="627"/>
    </row>
    <row r="314" spans="1:6" ht="30.95" hidden="1" customHeight="1">
      <c r="A314" s="625"/>
      <c r="B314" s="419" t="s">
        <v>23</v>
      </c>
      <c r="C314" s="420"/>
      <c r="D314" s="25"/>
      <c r="E314" s="62" t="s">
        <v>151</v>
      </c>
      <c r="F314" s="161"/>
    </row>
    <row r="315" spans="1:6" ht="30.95" hidden="1" customHeight="1">
      <c r="A315" s="210" t="s">
        <v>59</v>
      </c>
      <c r="B315" s="205" t="e">
        <f>VLOOKUP(D311,주주총괄!$A$5:$J$8,6,0)</f>
        <v>#N/A</v>
      </c>
      <c r="C315" s="274" t="e">
        <f>VLOOKUP(D311,주주총괄!$A$5:$J$8,7,0)</f>
        <v>#N/A</v>
      </c>
      <c r="D315" s="275" t="e">
        <f>VLOOKUP(D311,주주총괄!$A$5:$J$8,8,0)</f>
        <v>#N/A</v>
      </c>
      <c r="E315" s="620" t="str">
        <f>"(액면가액: "&amp;TEXT(주주총괄!$L$4,"###,###원)")</f>
        <v>(액면가액: 100원)</v>
      </c>
      <c r="F315" s="621"/>
    </row>
    <row r="316" spans="1:6" ht="30.95" hidden="1" customHeight="1">
      <c r="A316" s="211" t="s">
        <v>19</v>
      </c>
      <c r="B316" s="618"/>
      <c r="C316" s="618"/>
      <c r="D316" s="618"/>
      <c r="E316" s="618"/>
      <c r="F316" s="619"/>
    </row>
    <row r="317" spans="1:6" ht="30.95" hidden="1" customHeight="1">
      <c r="A317" s="612" t="s">
        <v>41</v>
      </c>
      <c r="B317" s="612"/>
      <c r="C317" s="612"/>
      <c r="D317" s="612"/>
      <c r="E317" s="612"/>
      <c r="F317" s="612"/>
    </row>
    <row r="318" spans="1:6" ht="30.95" hidden="1" customHeight="1">
      <c r="A318" s="128"/>
      <c r="B318" s="128"/>
      <c r="C318" s="128"/>
      <c r="D318" s="128"/>
      <c r="E318" s="128"/>
      <c r="F318" s="128"/>
    </row>
    <row r="319" spans="1:6" ht="30.95" hidden="1" customHeight="1">
      <c r="A319" s="622" t="s">
        <v>249</v>
      </c>
      <c r="B319" s="623"/>
      <c r="C319" s="623"/>
      <c r="D319" s="198" t="str">
        <f>표지!$O$3&amp;" "&amp;표지!$O$4</f>
        <v>20○○회합100○○○ 회생</v>
      </c>
      <c r="E319" s="160" t="s">
        <v>261</v>
      </c>
      <c r="F319" s="199" t="str">
        <f>표지!$O$5</f>
        <v>○○○○ 주식회사</v>
      </c>
    </row>
    <row r="320" spans="1:6" ht="30.95" hidden="1" customHeight="1">
      <c r="A320" s="624" t="s">
        <v>125</v>
      </c>
      <c r="B320" s="423"/>
      <c r="C320" s="423"/>
      <c r="D320" s="276">
        <v>36</v>
      </c>
      <c r="E320" s="170" t="s">
        <v>190</v>
      </c>
      <c r="F320" s="111"/>
    </row>
    <row r="321" spans="1:6" ht="30.95" hidden="1" customHeight="1">
      <c r="A321" s="625" t="s">
        <v>183</v>
      </c>
      <c r="B321" s="419" t="s">
        <v>118</v>
      </c>
      <c r="C321" s="420"/>
      <c r="D321" s="419" t="e">
        <f>VLOOKUP(D320,주주총괄!$A$5:$J$8,4,0)</f>
        <v>#N/A</v>
      </c>
      <c r="E321" s="420"/>
      <c r="F321" s="626"/>
    </row>
    <row r="322" spans="1:6" ht="30.95" hidden="1" customHeight="1">
      <c r="A322" s="625"/>
      <c r="B322" s="419" t="s">
        <v>250</v>
      </c>
      <c r="C322" s="420"/>
      <c r="D322" s="564" t="e">
        <f>VLOOKUP(D320,주주총괄!$A$5:$J$8,5,0)</f>
        <v>#N/A</v>
      </c>
      <c r="E322" s="565"/>
      <c r="F322" s="627"/>
    </row>
    <row r="323" spans="1:6" ht="30.95" hidden="1" customHeight="1">
      <c r="A323" s="625"/>
      <c r="B323" s="419" t="s">
        <v>23</v>
      </c>
      <c r="C323" s="420"/>
      <c r="D323" s="25"/>
      <c r="E323" s="62" t="s">
        <v>151</v>
      </c>
      <c r="F323" s="161"/>
    </row>
    <row r="324" spans="1:6" ht="30.95" hidden="1" customHeight="1">
      <c r="A324" s="210" t="s">
        <v>59</v>
      </c>
      <c r="B324" s="205" t="e">
        <f>VLOOKUP(D320,주주총괄!$A$5:$J$8,6,0)</f>
        <v>#N/A</v>
      </c>
      <c r="C324" s="274" t="e">
        <f>VLOOKUP(D320,주주총괄!$A$5:$J$8,7,0)</f>
        <v>#N/A</v>
      </c>
      <c r="D324" s="275" t="e">
        <f>VLOOKUP(D320,주주총괄!$A$5:$J$8,8,0)</f>
        <v>#N/A</v>
      </c>
      <c r="E324" s="620" t="str">
        <f>"(액면가액: "&amp;TEXT(주주총괄!$L$4,"###,###원)")</f>
        <v>(액면가액: 100원)</v>
      </c>
      <c r="F324" s="621"/>
    </row>
    <row r="325" spans="1:6" ht="30.95" hidden="1" customHeight="1">
      <c r="A325" s="211" t="s">
        <v>19</v>
      </c>
      <c r="B325" s="618"/>
      <c r="C325" s="618"/>
      <c r="D325" s="618"/>
      <c r="E325" s="618"/>
      <c r="F325" s="619"/>
    </row>
    <row r="326" spans="1:6" ht="30.95" hidden="1" customHeight="1">
      <c r="A326" s="612" t="s">
        <v>41</v>
      </c>
      <c r="B326" s="612"/>
      <c r="C326" s="612"/>
      <c r="D326" s="612"/>
      <c r="E326" s="612"/>
      <c r="F326" s="612"/>
    </row>
    <row r="327" spans="1:6" ht="30.95" hidden="1" customHeight="1">
      <c r="A327" s="128"/>
      <c r="B327" s="128"/>
      <c r="C327" s="128"/>
      <c r="D327" s="128"/>
      <c r="E327" s="128"/>
      <c r="F327" s="128"/>
    </row>
    <row r="328" spans="1:6" ht="30.95" hidden="1" customHeight="1">
      <c r="A328" s="622" t="s">
        <v>249</v>
      </c>
      <c r="B328" s="623"/>
      <c r="C328" s="623"/>
      <c r="D328" s="198" t="str">
        <f>표지!$O$3&amp;" "&amp;표지!$O$4</f>
        <v>20○○회합100○○○ 회생</v>
      </c>
      <c r="E328" s="160" t="s">
        <v>261</v>
      </c>
      <c r="F328" s="199" t="str">
        <f>표지!$O$5</f>
        <v>○○○○ 주식회사</v>
      </c>
    </row>
    <row r="329" spans="1:6" ht="30.95" hidden="1" customHeight="1">
      <c r="A329" s="624" t="s">
        <v>125</v>
      </c>
      <c r="B329" s="423"/>
      <c r="C329" s="423"/>
      <c r="D329" s="276">
        <v>37</v>
      </c>
      <c r="E329" s="170" t="s">
        <v>190</v>
      </c>
      <c r="F329" s="111"/>
    </row>
    <row r="330" spans="1:6" ht="30.95" hidden="1" customHeight="1">
      <c r="A330" s="625" t="s">
        <v>183</v>
      </c>
      <c r="B330" s="419" t="s">
        <v>118</v>
      </c>
      <c r="C330" s="420"/>
      <c r="D330" s="419" t="e">
        <f>VLOOKUP(D329,주주총괄!$A$5:$J$8,4,0)</f>
        <v>#N/A</v>
      </c>
      <c r="E330" s="420"/>
      <c r="F330" s="626"/>
    </row>
    <row r="331" spans="1:6" ht="30.95" hidden="1" customHeight="1">
      <c r="A331" s="625"/>
      <c r="B331" s="419" t="s">
        <v>250</v>
      </c>
      <c r="C331" s="420"/>
      <c r="D331" s="564" t="e">
        <f>VLOOKUP(D329,주주총괄!$A$5:$J$8,5,0)</f>
        <v>#N/A</v>
      </c>
      <c r="E331" s="565"/>
      <c r="F331" s="627"/>
    </row>
    <row r="332" spans="1:6" ht="30.95" hidden="1" customHeight="1">
      <c r="A332" s="625"/>
      <c r="B332" s="419" t="s">
        <v>23</v>
      </c>
      <c r="C332" s="420"/>
      <c r="D332" s="25"/>
      <c r="E332" s="62" t="s">
        <v>151</v>
      </c>
      <c r="F332" s="161"/>
    </row>
    <row r="333" spans="1:6" ht="30.95" hidden="1" customHeight="1">
      <c r="A333" s="210" t="s">
        <v>59</v>
      </c>
      <c r="B333" s="205" t="e">
        <f>VLOOKUP(D329,주주총괄!$A$5:$J$8,6,0)</f>
        <v>#N/A</v>
      </c>
      <c r="C333" s="274" t="e">
        <f>VLOOKUP(D329,주주총괄!$A$5:$J$8,7,0)</f>
        <v>#N/A</v>
      </c>
      <c r="D333" s="275" t="e">
        <f>VLOOKUP(D329,주주총괄!$A$5:$J$8,8,0)</f>
        <v>#N/A</v>
      </c>
      <c r="E333" s="620" t="str">
        <f>"(액면가액: "&amp;TEXT(주주총괄!$L$4,"###,###원)")</f>
        <v>(액면가액: 100원)</v>
      </c>
      <c r="F333" s="621"/>
    </row>
    <row r="334" spans="1:6" ht="30.95" hidden="1" customHeight="1">
      <c r="A334" s="211" t="s">
        <v>19</v>
      </c>
      <c r="B334" s="618"/>
      <c r="C334" s="618"/>
      <c r="D334" s="618"/>
      <c r="E334" s="618"/>
      <c r="F334" s="619"/>
    </row>
    <row r="335" spans="1:6" ht="30.95" hidden="1" customHeight="1">
      <c r="A335" s="612" t="s">
        <v>41</v>
      </c>
      <c r="B335" s="612"/>
      <c r="C335" s="612"/>
      <c r="D335" s="612"/>
      <c r="E335" s="612"/>
      <c r="F335" s="612"/>
    </row>
    <row r="336" spans="1:6" ht="30.95" hidden="1" customHeight="1">
      <c r="A336" s="128"/>
      <c r="B336" s="128"/>
      <c r="C336" s="128"/>
      <c r="D336" s="128"/>
      <c r="E336" s="128"/>
      <c r="F336" s="128"/>
    </row>
    <row r="337" spans="1:6" ht="30.95" hidden="1" customHeight="1">
      <c r="A337" s="622" t="s">
        <v>249</v>
      </c>
      <c r="B337" s="623"/>
      <c r="C337" s="623"/>
      <c r="D337" s="198" t="str">
        <f>표지!$O$3&amp;" "&amp;표지!$O$4</f>
        <v>20○○회합100○○○ 회생</v>
      </c>
      <c r="E337" s="160" t="s">
        <v>261</v>
      </c>
      <c r="F337" s="199" t="str">
        <f>표지!$O$5</f>
        <v>○○○○ 주식회사</v>
      </c>
    </row>
    <row r="338" spans="1:6" ht="30.95" hidden="1" customHeight="1">
      <c r="A338" s="624" t="s">
        <v>125</v>
      </c>
      <c r="B338" s="423"/>
      <c r="C338" s="423"/>
      <c r="D338" s="276">
        <v>38</v>
      </c>
      <c r="E338" s="170" t="s">
        <v>190</v>
      </c>
      <c r="F338" s="111"/>
    </row>
    <row r="339" spans="1:6" ht="30.95" hidden="1" customHeight="1">
      <c r="A339" s="625" t="s">
        <v>183</v>
      </c>
      <c r="B339" s="419" t="s">
        <v>118</v>
      </c>
      <c r="C339" s="420"/>
      <c r="D339" s="419" t="e">
        <f>VLOOKUP(D338,주주총괄!$A$5:$J$8,4,0)</f>
        <v>#N/A</v>
      </c>
      <c r="E339" s="420"/>
      <c r="F339" s="626"/>
    </row>
    <row r="340" spans="1:6" ht="30.95" hidden="1" customHeight="1">
      <c r="A340" s="625"/>
      <c r="B340" s="419" t="s">
        <v>250</v>
      </c>
      <c r="C340" s="420"/>
      <c r="D340" s="564" t="e">
        <f>VLOOKUP(D338,주주총괄!$A$5:$J$8,5,0)</f>
        <v>#N/A</v>
      </c>
      <c r="E340" s="565"/>
      <c r="F340" s="627"/>
    </row>
    <row r="341" spans="1:6" ht="30.95" hidden="1" customHeight="1">
      <c r="A341" s="625"/>
      <c r="B341" s="419" t="s">
        <v>23</v>
      </c>
      <c r="C341" s="420"/>
      <c r="D341" s="25"/>
      <c r="E341" s="62" t="s">
        <v>151</v>
      </c>
      <c r="F341" s="161"/>
    </row>
    <row r="342" spans="1:6" ht="30.95" hidden="1" customHeight="1">
      <c r="A342" s="210" t="s">
        <v>59</v>
      </c>
      <c r="B342" s="205" t="e">
        <f>VLOOKUP(D338,주주총괄!$A$5:$J$8,6,0)</f>
        <v>#N/A</v>
      </c>
      <c r="C342" s="274" t="e">
        <f>VLOOKUP(D338,주주총괄!$A$5:$J$8,7,0)</f>
        <v>#N/A</v>
      </c>
      <c r="D342" s="275" t="e">
        <f>VLOOKUP(D338,주주총괄!$A$5:$J$8,8,0)</f>
        <v>#N/A</v>
      </c>
      <c r="E342" s="620" t="str">
        <f>"(액면가액: "&amp;TEXT(주주총괄!$L$4,"###,###원)")</f>
        <v>(액면가액: 100원)</v>
      </c>
      <c r="F342" s="621"/>
    </row>
    <row r="343" spans="1:6" ht="30.95" hidden="1" customHeight="1">
      <c r="A343" s="211" t="s">
        <v>19</v>
      </c>
      <c r="B343" s="618"/>
      <c r="C343" s="618"/>
      <c r="D343" s="618"/>
      <c r="E343" s="618"/>
      <c r="F343" s="619"/>
    </row>
    <row r="344" spans="1:6" ht="30.95" hidden="1" customHeight="1">
      <c r="A344" s="612" t="s">
        <v>41</v>
      </c>
      <c r="B344" s="612"/>
      <c r="C344" s="612"/>
      <c r="D344" s="612"/>
      <c r="E344" s="612"/>
      <c r="F344" s="612"/>
    </row>
    <row r="345" spans="1:6" ht="30.95" hidden="1" customHeight="1">
      <c r="A345" s="128"/>
      <c r="B345" s="128"/>
      <c r="C345" s="128"/>
      <c r="D345" s="128"/>
      <c r="E345" s="128"/>
      <c r="F345" s="128"/>
    </row>
    <row r="346" spans="1:6" ht="30.95" hidden="1" customHeight="1">
      <c r="A346" s="622" t="s">
        <v>249</v>
      </c>
      <c r="B346" s="623"/>
      <c r="C346" s="623"/>
      <c r="D346" s="198" t="str">
        <f>표지!$O$3&amp;" "&amp;표지!$O$4</f>
        <v>20○○회합100○○○ 회생</v>
      </c>
      <c r="E346" s="160" t="s">
        <v>261</v>
      </c>
      <c r="F346" s="199" t="str">
        <f>표지!$O$5</f>
        <v>○○○○ 주식회사</v>
      </c>
    </row>
    <row r="347" spans="1:6" ht="30.95" hidden="1" customHeight="1">
      <c r="A347" s="624" t="s">
        <v>125</v>
      </c>
      <c r="B347" s="423"/>
      <c r="C347" s="423"/>
      <c r="D347" s="276">
        <v>39</v>
      </c>
      <c r="E347" s="170" t="s">
        <v>190</v>
      </c>
      <c r="F347" s="111"/>
    </row>
    <row r="348" spans="1:6" ht="30.95" hidden="1" customHeight="1">
      <c r="A348" s="625" t="s">
        <v>183</v>
      </c>
      <c r="B348" s="419" t="s">
        <v>118</v>
      </c>
      <c r="C348" s="420"/>
      <c r="D348" s="419" t="e">
        <f>VLOOKUP(D347,주주총괄!$A$5:$J$8,4,0)</f>
        <v>#N/A</v>
      </c>
      <c r="E348" s="420"/>
      <c r="F348" s="626"/>
    </row>
    <row r="349" spans="1:6" ht="30.95" hidden="1" customHeight="1">
      <c r="A349" s="625"/>
      <c r="B349" s="419" t="s">
        <v>250</v>
      </c>
      <c r="C349" s="420"/>
      <c r="D349" s="564" t="e">
        <f>VLOOKUP(D347,주주총괄!$A$5:$J$8,5,0)</f>
        <v>#N/A</v>
      </c>
      <c r="E349" s="565"/>
      <c r="F349" s="627"/>
    </row>
    <row r="350" spans="1:6" ht="30.95" hidden="1" customHeight="1">
      <c r="A350" s="625"/>
      <c r="B350" s="419" t="s">
        <v>23</v>
      </c>
      <c r="C350" s="420"/>
      <c r="D350" s="25"/>
      <c r="E350" s="62" t="s">
        <v>151</v>
      </c>
      <c r="F350" s="161"/>
    </row>
    <row r="351" spans="1:6" ht="30.95" hidden="1" customHeight="1">
      <c r="A351" s="210" t="s">
        <v>59</v>
      </c>
      <c r="B351" s="205" t="e">
        <f>VLOOKUP(D347,주주총괄!$A$5:$J$8,6,0)</f>
        <v>#N/A</v>
      </c>
      <c r="C351" s="274" t="e">
        <f>VLOOKUP(D347,주주총괄!$A$5:$J$8,7,0)</f>
        <v>#N/A</v>
      </c>
      <c r="D351" s="275" t="e">
        <f>VLOOKUP(D347,주주총괄!$A$5:$J$8,8,0)</f>
        <v>#N/A</v>
      </c>
      <c r="E351" s="620" t="str">
        <f>"(액면가액: "&amp;TEXT(주주총괄!$L$4,"###,###원)")</f>
        <v>(액면가액: 100원)</v>
      </c>
      <c r="F351" s="621"/>
    </row>
    <row r="352" spans="1:6" ht="30.95" hidden="1" customHeight="1">
      <c r="A352" s="211" t="s">
        <v>19</v>
      </c>
      <c r="B352" s="618"/>
      <c r="C352" s="618"/>
      <c r="D352" s="618"/>
      <c r="E352" s="618"/>
      <c r="F352" s="619"/>
    </row>
    <row r="353" spans="1:6" ht="30.95" hidden="1" customHeight="1">
      <c r="A353" s="612" t="s">
        <v>41</v>
      </c>
      <c r="B353" s="612"/>
      <c r="C353" s="612"/>
      <c r="D353" s="612"/>
      <c r="E353" s="612"/>
      <c r="F353" s="612"/>
    </row>
    <row r="354" spans="1:6" ht="30.95" hidden="1" customHeight="1">
      <c r="A354" s="128"/>
      <c r="B354" s="128"/>
      <c r="C354" s="128"/>
      <c r="D354" s="128"/>
      <c r="E354" s="128"/>
      <c r="F354" s="128"/>
    </row>
    <row r="355" spans="1:6" ht="30.95" hidden="1" customHeight="1">
      <c r="A355" s="622" t="s">
        <v>249</v>
      </c>
      <c r="B355" s="623"/>
      <c r="C355" s="623"/>
      <c r="D355" s="198" t="str">
        <f>표지!$O$3&amp;" "&amp;표지!$O$4</f>
        <v>20○○회합100○○○ 회생</v>
      </c>
      <c r="E355" s="160" t="s">
        <v>261</v>
      </c>
      <c r="F355" s="199" t="str">
        <f>표지!$O$5</f>
        <v>○○○○ 주식회사</v>
      </c>
    </row>
    <row r="356" spans="1:6" ht="30.95" hidden="1" customHeight="1">
      <c r="A356" s="624" t="s">
        <v>125</v>
      </c>
      <c r="B356" s="423"/>
      <c r="C356" s="423"/>
      <c r="D356" s="276">
        <v>40</v>
      </c>
      <c r="E356" s="170" t="s">
        <v>190</v>
      </c>
      <c r="F356" s="111"/>
    </row>
    <row r="357" spans="1:6" ht="30.95" hidden="1" customHeight="1">
      <c r="A357" s="625" t="s">
        <v>183</v>
      </c>
      <c r="B357" s="419" t="s">
        <v>118</v>
      </c>
      <c r="C357" s="420"/>
      <c r="D357" s="419" t="e">
        <f>VLOOKUP(D356,주주총괄!$A$5:$J$8,4,0)</f>
        <v>#N/A</v>
      </c>
      <c r="E357" s="420"/>
      <c r="F357" s="626"/>
    </row>
    <row r="358" spans="1:6" ht="30.95" hidden="1" customHeight="1">
      <c r="A358" s="625"/>
      <c r="B358" s="419" t="s">
        <v>250</v>
      </c>
      <c r="C358" s="420"/>
      <c r="D358" s="564" t="e">
        <f>VLOOKUP(D356,주주총괄!$A$5:$J$8,5,0)</f>
        <v>#N/A</v>
      </c>
      <c r="E358" s="565"/>
      <c r="F358" s="627"/>
    </row>
    <row r="359" spans="1:6" ht="30.95" hidden="1" customHeight="1">
      <c r="A359" s="625"/>
      <c r="B359" s="419" t="s">
        <v>23</v>
      </c>
      <c r="C359" s="420"/>
      <c r="D359" s="25"/>
      <c r="E359" s="62" t="s">
        <v>151</v>
      </c>
      <c r="F359" s="161"/>
    </row>
    <row r="360" spans="1:6" ht="30.95" hidden="1" customHeight="1">
      <c r="A360" s="210" t="s">
        <v>59</v>
      </c>
      <c r="B360" s="205" t="e">
        <f>VLOOKUP(D356,주주총괄!$A$5:$J$8,6,0)</f>
        <v>#N/A</v>
      </c>
      <c r="C360" s="274" t="e">
        <f>VLOOKUP(D356,주주총괄!$A$5:$J$8,7,0)</f>
        <v>#N/A</v>
      </c>
      <c r="D360" s="275" t="e">
        <f>VLOOKUP(D356,주주총괄!$A$5:$J$8,8,0)</f>
        <v>#N/A</v>
      </c>
      <c r="E360" s="620" t="str">
        <f>"(액면가액: "&amp;TEXT(주주총괄!$L$4,"###,###원)")</f>
        <v>(액면가액: 100원)</v>
      </c>
      <c r="F360" s="621"/>
    </row>
    <row r="361" spans="1:6" ht="30.95" hidden="1" customHeight="1">
      <c r="A361" s="211" t="s">
        <v>19</v>
      </c>
      <c r="B361" s="618"/>
      <c r="C361" s="618"/>
      <c r="D361" s="618"/>
      <c r="E361" s="618"/>
      <c r="F361" s="619"/>
    </row>
    <row r="362" spans="1:6" ht="30.95" hidden="1" customHeight="1">
      <c r="A362" s="612" t="s">
        <v>41</v>
      </c>
      <c r="B362" s="612"/>
      <c r="C362" s="612"/>
      <c r="D362" s="612"/>
      <c r="E362" s="612"/>
      <c r="F362" s="612"/>
    </row>
    <row r="363" spans="1:6" ht="30.95" hidden="1" customHeight="1">
      <c r="A363" s="128"/>
      <c r="B363" s="128"/>
      <c r="C363" s="128"/>
      <c r="D363" s="128"/>
      <c r="E363" s="128"/>
      <c r="F363" s="128"/>
    </row>
    <row r="364" spans="1:6" ht="30.95" hidden="1" customHeight="1">
      <c r="A364" s="622" t="s">
        <v>249</v>
      </c>
      <c r="B364" s="623"/>
      <c r="C364" s="623"/>
      <c r="D364" s="198" t="str">
        <f>표지!$O$3&amp;" "&amp;표지!$O$4</f>
        <v>20○○회합100○○○ 회생</v>
      </c>
      <c r="E364" s="160" t="s">
        <v>261</v>
      </c>
      <c r="F364" s="199" t="str">
        <f>표지!$O$5</f>
        <v>○○○○ 주식회사</v>
      </c>
    </row>
    <row r="365" spans="1:6" ht="30.95" hidden="1" customHeight="1">
      <c r="A365" s="624" t="s">
        <v>125</v>
      </c>
      <c r="B365" s="423"/>
      <c r="C365" s="423"/>
      <c r="D365" s="276">
        <v>41</v>
      </c>
      <c r="E365" s="170" t="s">
        <v>190</v>
      </c>
      <c r="F365" s="111"/>
    </row>
    <row r="366" spans="1:6" ht="30.95" hidden="1" customHeight="1">
      <c r="A366" s="625" t="s">
        <v>183</v>
      </c>
      <c r="B366" s="419" t="s">
        <v>118</v>
      </c>
      <c r="C366" s="420"/>
      <c r="D366" s="419" t="e">
        <f>VLOOKUP(D365,주주총괄!$A$5:$J$8,4,0)</f>
        <v>#N/A</v>
      </c>
      <c r="E366" s="420"/>
      <c r="F366" s="626"/>
    </row>
    <row r="367" spans="1:6" ht="30.95" hidden="1" customHeight="1">
      <c r="A367" s="625"/>
      <c r="B367" s="419" t="s">
        <v>250</v>
      </c>
      <c r="C367" s="420"/>
      <c r="D367" s="564" t="e">
        <f>VLOOKUP(D365,주주총괄!$A$5:$J$8,5,0)</f>
        <v>#N/A</v>
      </c>
      <c r="E367" s="565"/>
      <c r="F367" s="627"/>
    </row>
    <row r="368" spans="1:6" ht="30.95" hidden="1" customHeight="1">
      <c r="A368" s="625"/>
      <c r="B368" s="419" t="s">
        <v>23</v>
      </c>
      <c r="C368" s="420"/>
      <c r="D368" s="25"/>
      <c r="E368" s="62" t="s">
        <v>151</v>
      </c>
      <c r="F368" s="161"/>
    </row>
    <row r="369" spans="1:6" ht="30.95" hidden="1" customHeight="1">
      <c r="A369" s="210" t="s">
        <v>59</v>
      </c>
      <c r="B369" s="205" t="e">
        <f>VLOOKUP(D365,주주총괄!$A$5:$J$8,6,0)</f>
        <v>#N/A</v>
      </c>
      <c r="C369" s="274" t="e">
        <f>VLOOKUP(D365,주주총괄!$A$5:$J$8,7,0)</f>
        <v>#N/A</v>
      </c>
      <c r="D369" s="275" t="e">
        <f>VLOOKUP(D365,주주총괄!$A$5:$J$8,8,0)</f>
        <v>#N/A</v>
      </c>
      <c r="E369" s="620" t="str">
        <f>"(액면가액: "&amp;TEXT(주주총괄!$L$4,"###,###원)")</f>
        <v>(액면가액: 100원)</v>
      </c>
      <c r="F369" s="621"/>
    </row>
    <row r="370" spans="1:6" ht="30.95" hidden="1" customHeight="1">
      <c r="A370" s="211" t="s">
        <v>19</v>
      </c>
      <c r="B370" s="618"/>
      <c r="C370" s="618"/>
      <c r="D370" s="618"/>
      <c r="E370" s="618"/>
      <c r="F370" s="619"/>
    </row>
    <row r="371" spans="1:6" ht="30.95" hidden="1" customHeight="1">
      <c r="A371" s="612" t="s">
        <v>41</v>
      </c>
      <c r="B371" s="612"/>
      <c r="C371" s="612"/>
      <c r="D371" s="612"/>
      <c r="E371" s="612"/>
      <c r="F371" s="612"/>
    </row>
    <row r="372" spans="1:6" ht="30.95" hidden="1" customHeight="1">
      <c r="A372" s="128"/>
      <c r="B372" s="128"/>
      <c r="C372" s="128"/>
      <c r="D372" s="128"/>
      <c r="E372" s="128"/>
      <c r="F372" s="128"/>
    </row>
    <row r="373" spans="1:6" ht="30.95" hidden="1" customHeight="1">
      <c r="A373" s="622" t="s">
        <v>249</v>
      </c>
      <c r="B373" s="623"/>
      <c r="C373" s="623"/>
      <c r="D373" s="198" t="str">
        <f>표지!$O$3&amp;" "&amp;표지!$O$4</f>
        <v>20○○회합100○○○ 회생</v>
      </c>
      <c r="E373" s="160" t="s">
        <v>261</v>
      </c>
      <c r="F373" s="199" t="str">
        <f>표지!$O$5</f>
        <v>○○○○ 주식회사</v>
      </c>
    </row>
    <row r="374" spans="1:6" ht="30.95" hidden="1" customHeight="1">
      <c r="A374" s="624" t="s">
        <v>125</v>
      </c>
      <c r="B374" s="423"/>
      <c r="C374" s="423"/>
      <c r="D374" s="276">
        <v>42</v>
      </c>
      <c r="E374" s="170" t="s">
        <v>190</v>
      </c>
      <c r="F374" s="111"/>
    </row>
    <row r="375" spans="1:6" ht="30.95" hidden="1" customHeight="1">
      <c r="A375" s="625" t="s">
        <v>183</v>
      </c>
      <c r="B375" s="419" t="s">
        <v>118</v>
      </c>
      <c r="C375" s="420"/>
      <c r="D375" s="419" t="e">
        <f>VLOOKUP(D374,주주총괄!$A$5:$J$8,4,0)</f>
        <v>#N/A</v>
      </c>
      <c r="E375" s="420"/>
      <c r="F375" s="626"/>
    </row>
    <row r="376" spans="1:6" ht="30.95" hidden="1" customHeight="1">
      <c r="A376" s="625"/>
      <c r="B376" s="419" t="s">
        <v>250</v>
      </c>
      <c r="C376" s="420"/>
      <c r="D376" s="564" t="e">
        <f>VLOOKUP(D374,주주총괄!$A$5:$J$8,5,0)</f>
        <v>#N/A</v>
      </c>
      <c r="E376" s="565"/>
      <c r="F376" s="627"/>
    </row>
    <row r="377" spans="1:6" ht="30.95" hidden="1" customHeight="1">
      <c r="A377" s="625"/>
      <c r="B377" s="419" t="s">
        <v>23</v>
      </c>
      <c r="C377" s="420"/>
      <c r="D377" s="25"/>
      <c r="E377" s="62" t="s">
        <v>151</v>
      </c>
      <c r="F377" s="161"/>
    </row>
    <row r="378" spans="1:6" ht="30.95" hidden="1" customHeight="1">
      <c r="A378" s="210" t="s">
        <v>59</v>
      </c>
      <c r="B378" s="205" t="e">
        <f>VLOOKUP(D374,주주총괄!$A$5:$J$8,6,0)</f>
        <v>#N/A</v>
      </c>
      <c r="C378" s="274" t="e">
        <f>VLOOKUP(D374,주주총괄!$A$5:$J$8,7,0)</f>
        <v>#N/A</v>
      </c>
      <c r="D378" s="275" t="e">
        <f>VLOOKUP(D374,주주총괄!$A$5:$J$8,8,0)</f>
        <v>#N/A</v>
      </c>
      <c r="E378" s="620" t="str">
        <f>"(액면가액: "&amp;TEXT(주주총괄!$L$4,"###,###원)")</f>
        <v>(액면가액: 100원)</v>
      </c>
      <c r="F378" s="621"/>
    </row>
    <row r="379" spans="1:6" ht="30.95" hidden="1" customHeight="1">
      <c r="A379" s="211" t="s">
        <v>19</v>
      </c>
      <c r="B379" s="618"/>
      <c r="C379" s="618"/>
      <c r="D379" s="618"/>
      <c r="E379" s="618"/>
      <c r="F379" s="619"/>
    </row>
    <row r="380" spans="1:6" ht="30.95" hidden="1" customHeight="1">
      <c r="A380" s="612" t="s">
        <v>41</v>
      </c>
      <c r="B380" s="612"/>
      <c r="C380" s="612"/>
      <c r="D380" s="612"/>
      <c r="E380" s="612"/>
      <c r="F380" s="612"/>
    </row>
    <row r="381" spans="1:6" ht="30.95" hidden="1" customHeight="1">
      <c r="A381" s="128"/>
      <c r="B381" s="128"/>
      <c r="C381" s="128"/>
      <c r="D381" s="128"/>
      <c r="E381" s="128"/>
      <c r="F381" s="128"/>
    </row>
    <row r="382" spans="1:6" ht="30.95" hidden="1" customHeight="1">
      <c r="A382" s="622" t="s">
        <v>249</v>
      </c>
      <c r="B382" s="623"/>
      <c r="C382" s="623"/>
      <c r="D382" s="198" t="str">
        <f>표지!$O$3&amp;" "&amp;표지!$O$4</f>
        <v>20○○회합100○○○ 회생</v>
      </c>
      <c r="E382" s="160" t="s">
        <v>261</v>
      </c>
      <c r="F382" s="199" t="str">
        <f>표지!$O$5</f>
        <v>○○○○ 주식회사</v>
      </c>
    </row>
    <row r="383" spans="1:6" ht="30.95" hidden="1" customHeight="1">
      <c r="A383" s="624" t="s">
        <v>125</v>
      </c>
      <c r="B383" s="423"/>
      <c r="C383" s="423"/>
      <c r="D383" s="276">
        <v>43</v>
      </c>
      <c r="E383" s="170" t="s">
        <v>190</v>
      </c>
      <c r="F383" s="111"/>
    </row>
    <row r="384" spans="1:6" ht="30.95" hidden="1" customHeight="1">
      <c r="A384" s="625" t="s">
        <v>183</v>
      </c>
      <c r="B384" s="419" t="s">
        <v>118</v>
      </c>
      <c r="C384" s="420"/>
      <c r="D384" s="419" t="e">
        <f>VLOOKUP(D383,주주총괄!$A$5:$J$8,4,0)</f>
        <v>#N/A</v>
      </c>
      <c r="E384" s="420"/>
      <c r="F384" s="626"/>
    </row>
    <row r="385" spans="1:6" ht="30.95" hidden="1" customHeight="1">
      <c r="A385" s="625"/>
      <c r="B385" s="419" t="s">
        <v>250</v>
      </c>
      <c r="C385" s="420"/>
      <c r="D385" s="564" t="e">
        <f>VLOOKUP(D383,주주총괄!$A$5:$J$8,5,0)</f>
        <v>#N/A</v>
      </c>
      <c r="E385" s="565"/>
      <c r="F385" s="627"/>
    </row>
    <row r="386" spans="1:6" ht="30.95" hidden="1" customHeight="1">
      <c r="A386" s="625"/>
      <c r="B386" s="419" t="s">
        <v>23</v>
      </c>
      <c r="C386" s="420"/>
      <c r="D386" s="25"/>
      <c r="E386" s="62" t="s">
        <v>151</v>
      </c>
      <c r="F386" s="161"/>
    </row>
    <row r="387" spans="1:6" ht="30.95" hidden="1" customHeight="1">
      <c r="A387" s="210" t="s">
        <v>59</v>
      </c>
      <c r="B387" s="205" t="e">
        <f>VLOOKUP(D383,주주총괄!$A$5:$J$8,6,0)</f>
        <v>#N/A</v>
      </c>
      <c r="C387" s="274" t="e">
        <f>VLOOKUP(D383,주주총괄!$A$5:$J$8,7,0)</f>
        <v>#N/A</v>
      </c>
      <c r="D387" s="275" t="e">
        <f>VLOOKUP(D383,주주총괄!$A$5:$J$8,8,0)</f>
        <v>#N/A</v>
      </c>
      <c r="E387" s="620" t="str">
        <f>"(액면가액: "&amp;TEXT(주주총괄!$L$4,"###,###원)")</f>
        <v>(액면가액: 100원)</v>
      </c>
      <c r="F387" s="621"/>
    </row>
    <row r="388" spans="1:6" ht="30.95" hidden="1" customHeight="1">
      <c r="A388" s="211" t="s">
        <v>19</v>
      </c>
      <c r="B388" s="618"/>
      <c r="C388" s="618"/>
      <c r="D388" s="618"/>
      <c r="E388" s="618"/>
      <c r="F388" s="619"/>
    </row>
    <row r="389" spans="1:6" ht="30.95" hidden="1" customHeight="1">
      <c r="A389" s="612" t="s">
        <v>41</v>
      </c>
      <c r="B389" s="612"/>
      <c r="C389" s="612"/>
      <c r="D389" s="612"/>
      <c r="E389" s="612"/>
      <c r="F389" s="612"/>
    </row>
    <row r="390" spans="1:6" ht="30.95" hidden="1" customHeight="1">
      <c r="A390" s="128"/>
      <c r="B390" s="128"/>
      <c r="C390" s="128"/>
      <c r="D390" s="128"/>
      <c r="E390" s="128"/>
      <c r="F390" s="128"/>
    </row>
    <row r="391" spans="1:6" ht="30.95" hidden="1" customHeight="1">
      <c r="A391" s="622" t="s">
        <v>249</v>
      </c>
      <c r="B391" s="623"/>
      <c r="C391" s="623"/>
      <c r="D391" s="198" t="str">
        <f>표지!$O$3&amp;" "&amp;표지!$O$4</f>
        <v>20○○회합100○○○ 회생</v>
      </c>
      <c r="E391" s="160" t="s">
        <v>261</v>
      </c>
      <c r="F391" s="199" t="str">
        <f>표지!$O$5</f>
        <v>○○○○ 주식회사</v>
      </c>
    </row>
    <row r="392" spans="1:6" ht="30.95" hidden="1" customHeight="1">
      <c r="A392" s="624" t="s">
        <v>125</v>
      </c>
      <c r="B392" s="423"/>
      <c r="C392" s="423"/>
      <c r="D392" s="276">
        <v>44</v>
      </c>
      <c r="E392" s="170" t="s">
        <v>190</v>
      </c>
      <c r="F392" s="111"/>
    </row>
    <row r="393" spans="1:6" ht="30.95" hidden="1" customHeight="1">
      <c r="A393" s="625" t="s">
        <v>183</v>
      </c>
      <c r="B393" s="419" t="s">
        <v>118</v>
      </c>
      <c r="C393" s="420"/>
      <c r="D393" s="419" t="e">
        <f>VLOOKUP(D392,주주총괄!$A$5:$J$8,4,0)</f>
        <v>#N/A</v>
      </c>
      <c r="E393" s="420"/>
      <c r="F393" s="626"/>
    </row>
    <row r="394" spans="1:6" ht="30.95" hidden="1" customHeight="1">
      <c r="A394" s="625"/>
      <c r="B394" s="419" t="s">
        <v>250</v>
      </c>
      <c r="C394" s="420"/>
      <c r="D394" s="564" t="e">
        <f>VLOOKUP(D392,주주총괄!$A$5:$J$8,5,0)</f>
        <v>#N/A</v>
      </c>
      <c r="E394" s="565"/>
      <c r="F394" s="627"/>
    </row>
    <row r="395" spans="1:6" ht="30.95" hidden="1" customHeight="1">
      <c r="A395" s="625"/>
      <c r="B395" s="419" t="s">
        <v>23</v>
      </c>
      <c r="C395" s="420"/>
      <c r="D395" s="25"/>
      <c r="E395" s="62" t="s">
        <v>151</v>
      </c>
      <c r="F395" s="161"/>
    </row>
    <row r="396" spans="1:6" ht="30.95" hidden="1" customHeight="1">
      <c r="A396" s="210" t="s">
        <v>59</v>
      </c>
      <c r="B396" s="205" t="e">
        <f>VLOOKUP(D392,주주총괄!$A$5:$J$8,6,0)</f>
        <v>#N/A</v>
      </c>
      <c r="C396" s="274" t="e">
        <f>VLOOKUP(D392,주주총괄!$A$5:$J$8,7,0)</f>
        <v>#N/A</v>
      </c>
      <c r="D396" s="275" t="e">
        <f>VLOOKUP(D392,주주총괄!$A$5:$J$8,8,0)</f>
        <v>#N/A</v>
      </c>
      <c r="E396" s="620" t="str">
        <f>"(액면가액: "&amp;TEXT(주주총괄!$L$4,"###,###원)")</f>
        <v>(액면가액: 100원)</v>
      </c>
      <c r="F396" s="621"/>
    </row>
    <row r="397" spans="1:6" ht="30.95" hidden="1" customHeight="1">
      <c r="A397" s="211" t="s">
        <v>19</v>
      </c>
      <c r="B397" s="618"/>
      <c r="C397" s="618"/>
      <c r="D397" s="618"/>
      <c r="E397" s="618"/>
      <c r="F397" s="619"/>
    </row>
    <row r="398" spans="1:6" ht="30.95" hidden="1" customHeight="1">
      <c r="A398" s="612" t="s">
        <v>41</v>
      </c>
      <c r="B398" s="612"/>
      <c r="C398" s="612"/>
      <c r="D398" s="612"/>
      <c r="E398" s="612"/>
      <c r="F398" s="612"/>
    </row>
    <row r="399" spans="1:6" ht="30.95" hidden="1" customHeight="1">
      <c r="A399" s="128"/>
      <c r="B399" s="128"/>
      <c r="C399" s="128"/>
      <c r="D399" s="128"/>
      <c r="E399" s="128"/>
      <c r="F399" s="128"/>
    </row>
    <row r="400" spans="1:6" ht="30.95" hidden="1" customHeight="1">
      <c r="A400" s="622" t="s">
        <v>249</v>
      </c>
      <c r="B400" s="623"/>
      <c r="C400" s="623"/>
      <c r="D400" s="198" t="str">
        <f>표지!$O$3&amp;" "&amp;표지!$O$4</f>
        <v>20○○회합100○○○ 회생</v>
      </c>
      <c r="E400" s="160" t="s">
        <v>261</v>
      </c>
      <c r="F400" s="199" t="str">
        <f>표지!$O$5</f>
        <v>○○○○ 주식회사</v>
      </c>
    </row>
    <row r="401" spans="1:6" ht="30.95" hidden="1" customHeight="1">
      <c r="A401" s="624" t="s">
        <v>125</v>
      </c>
      <c r="B401" s="423"/>
      <c r="C401" s="423"/>
      <c r="D401" s="276">
        <v>45</v>
      </c>
      <c r="E401" s="170" t="s">
        <v>190</v>
      </c>
      <c r="F401" s="111"/>
    </row>
    <row r="402" spans="1:6" ht="30.95" hidden="1" customHeight="1">
      <c r="A402" s="625" t="s">
        <v>183</v>
      </c>
      <c r="B402" s="419" t="s">
        <v>118</v>
      </c>
      <c r="C402" s="420"/>
      <c r="D402" s="419" t="e">
        <f>VLOOKUP(D401,주주총괄!$A$5:$J$8,4,0)</f>
        <v>#N/A</v>
      </c>
      <c r="E402" s="420"/>
      <c r="F402" s="626"/>
    </row>
    <row r="403" spans="1:6" ht="30.95" hidden="1" customHeight="1">
      <c r="A403" s="625"/>
      <c r="B403" s="419" t="s">
        <v>250</v>
      </c>
      <c r="C403" s="420"/>
      <c r="D403" s="564" t="e">
        <f>VLOOKUP(D401,주주총괄!$A$5:$J$8,5,0)</f>
        <v>#N/A</v>
      </c>
      <c r="E403" s="565"/>
      <c r="F403" s="627"/>
    </row>
    <row r="404" spans="1:6" ht="30.95" hidden="1" customHeight="1">
      <c r="A404" s="625"/>
      <c r="B404" s="419" t="s">
        <v>23</v>
      </c>
      <c r="C404" s="420"/>
      <c r="D404" s="25"/>
      <c r="E404" s="62" t="s">
        <v>151</v>
      </c>
      <c r="F404" s="161"/>
    </row>
    <row r="405" spans="1:6" ht="30.95" hidden="1" customHeight="1">
      <c r="A405" s="210" t="s">
        <v>59</v>
      </c>
      <c r="B405" s="205" t="e">
        <f>VLOOKUP(D401,주주총괄!$A$5:$J$8,6,0)</f>
        <v>#N/A</v>
      </c>
      <c r="C405" s="274" t="e">
        <f>VLOOKUP(D401,주주총괄!$A$5:$J$8,7,0)</f>
        <v>#N/A</v>
      </c>
      <c r="D405" s="275" t="e">
        <f>VLOOKUP(D401,주주총괄!$A$5:$J$8,8,0)</f>
        <v>#N/A</v>
      </c>
      <c r="E405" s="620" t="str">
        <f>"(액면가액: "&amp;TEXT(주주총괄!$L$4,"###,###원)")</f>
        <v>(액면가액: 100원)</v>
      </c>
      <c r="F405" s="621"/>
    </row>
    <row r="406" spans="1:6" ht="30.95" hidden="1" customHeight="1">
      <c r="A406" s="211" t="s">
        <v>19</v>
      </c>
      <c r="B406" s="618"/>
      <c r="C406" s="618"/>
      <c r="D406" s="618"/>
      <c r="E406" s="618"/>
      <c r="F406" s="619"/>
    </row>
    <row r="407" spans="1:6" ht="30.95" hidden="1" customHeight="1">
      <c r="A407" s="612" t="s">
        <v>41</v>
      </c>
      <c r="B407" s="612"/>
      <c r="C407" s="612"/>
      <c r="D407" s="612"/>
      <c r="E407" s="612"/>
      <c r="F407" s="612"/>
    </row>
    <row r="408" spans="1:6" ht="30.95" hidden="1" customHeight="1">
      <c r="A408" s="128"/>
      <c r="B408" s="128"/>
      <c r="C408" s="128"/>
      <c r="D408" s="128"/>
      <c r="E408" s="128"/>
      <c r="F408" s="128"/>
    </row>
    <row r="409" spans="1:6" ht="30.95" hidden="1" customHeight="1">
      <c r="A409" s="622" t="s">
        <v>249</v>
      </c>
      <c r="B409" s="623"/>
      <c r="C409" s="623"/>
      <c r="D409" s="198" t="str">
        <f>표지!$O$3&amp;" "&amp;표지!$O$4</f>
        <v>20○○회합100○○○ 회생</v>
      </c>
      <c r="E409" s="160" t="s">
        <v>261</v>
      </c>
      <c r="F409" s="199" t="str">
        <f>표지!$O$5</f>
        <v>○○○○ 주식회사</v>
      </c>
    </row>
    <row r="410" spans="1:6" ht="30.95" hidden="1" customHeight="1">
      <c r="A410" s="624" t="s">
        <v>125</v>
      </c>
      <c r="B410" s="423"/>
      <c r="C410" s="423"/>
      <c r="D410" s="276">
        <v>46</v>
      </c>
      <c r="E410" s="170" t="s">
        <v>190</v>
      </c>
      <c r="F410" s="111"/>
    </row>
    <row r="411" spans="1:6" ht="30.95" hidden="1" customHeight="1">
      <c r="A411" s="625" t="s">
        <v>183</v>
      </c>
      <c r="B411" s="419" t="s">
        <v>118</v>
      </c>
      <c r="C411" s="420"/>
      <c r="D411" s="419" t="e">
        <f>VLOOKUP(D410,주주총괄!$A$5:$J$8,4,0)</f>
        <v>#N/A</v>
      </c>
      <c r="E411" s="420"/>
      <c r="F411" s="626"/>
    </row>
    <row r="412" spans="1:6" ht="30.95" hidden="1" customHeight="1">
      <c r="A412" s="625"/>
      <c r="B412" s="419" t="s">
        <v>250</v>
      </c>
      <c r="C412" s="420"/>
      <c r="D412" s="564" t="e">
        <f>VLOOKUP(D410,주주총괄!$A$5:$J$8,5,0)</f>
        <v>#N/A</v>
      </c>
      <c r="E412" s="565"/>
      <c r="F412" s="627"/>
    </row>
    <row r="413" spans="1:6" ht="30.95" hidden="1" customHeight="1">
      <c r="A413" s="625"/>
      <c r="B413" s="419" t="s">
        <v>23</v>
      </c>
      <c r="C413" s="420"/>
      <c r="D413" s="25"/>
      <c r="E413" s="62" t="s">
        <v>151</v>
      </c>
      <c r="F413" s="161"/>
    </row>
    <row r="414" spans="1:6" ht="30.95" hidden="1" customHeight="1">
      <c r="A414" s="210" t="s">
        <v>59</v>
      </c>
      <c r="B414" s="205" t="e">
        <f>VLOOKUP(D410,주주총괄!$A$5:$J$8,6,0)</f>
        <v>#N/A</v>
      </c>
      <c r="C414" s="274" t="e">
        <f>VLOOKUP(D410,주주총괄!$A$5:$J$8,7,0)</f>
        <v>#N/A</v>
      </c>
      <c r="D414" s="275" t="e">
        <f>VLOOKUP(D410,주주총괄!$A$5:$J$8,8,0)</f>
        <v>#N/A</v>
      </c>
      <c r="E414" s="620" t="str">
        <f>"(액면가액: "&amp;TEXT(주주총괄!$L$4,"###,###원)")</f>
        <v>(액면가액: 100원)</v>
      </c>
      <c r="F414" s="621"/>
    </row>
    <row r="415" spans="1:6" ht="30.95" hidden="1" customHeight="1">
      <c r="A415" s="211" t="s">
        <v>19</v>
      </c>
      <c r="B415" s="618"/>
      <c r="C415" s="618"/>
      <c r="D415" s="618"/>
      <c r="E415" s="618"/>
      <c r="F415" s="619"/>
    </row>
    <row r="416" spans="1:6" ht="30.95" hidden="1" customHeight="1">
      <c r="A416" s="612" t="s">
        <v>41</v>
      </c>
      <c r="B416" s="612"/>
      <c r="C416" s="612"/>
      <c r="D416" s="612"/>
      <c r="E416" s="612"/>
      <c r="F416" s="612"/>
    </row>
    <row r="417" spans="1:6" ht="30.95" hidden="1" customHeight="1">
      <c r="A417" s="128"/>
      <c r="B417" s="128"/>
      <c r="C417" s="128"/>
      <c r="D417" s="128"/>
      <c r="E417" s="128"/>
      <c r="F417" s="128"/>
    </row>
    <row r="418" spans="1:6" ht="30.95" hidden="1" customHeight="1">
      <c r="A418" s="622" t="s">
        <v>249</v>
      </c>
      <c r="B418" s="623"/>
      <c r="C418" s="623"/>
      <c r="D418" s="198" t="str">
        <f>표지!$O$3&amp;" "&amp;표지!$O$4</f>
        <v>20○○회합100○○○ 회생</v>
      </c>
      <c r="E418" s="160" t="s">
        <v>261</v>
      </c>
      <c r="F418" s="199" t="str">
        <f>표지!$O$5</f>
        <v>○○○○ 주식회사</v>
      </c>
    </row>
    <row r="419" spans="1:6" ht="30.95" hidden="1" customHeight="1">
      <c r="A419" s="624" t="s">
        <v>125</v>
      </c>
      <c r="B419" s="423"/>
      <c r="C419" s="423"/>
      <c r="D419" s="276">
        <v>47</v>
      </c>
      <c r="E419" s="170" t="s">
        <v>190</v>
      </c>
      <c r="F419" s="111"/>
    </row>
    <row r="420" spans="1:6" ht="30.95" hidden="1" customHeight="1">
      <c r="A420" s="625" t="s">
        <v>183</v>
      </c>
      <c r="B420" s="419" t="s">
        <v>118</v>
      </c>
      <c r="C420" s="420"/>
      <c r="D420" s="419" t="e">
        <f>VLOOKUP(D419,주주총괄!$A$5:$J$8,4,0)</f>
        <v>#N/A</v>
      </c>
      <c r="E420" s="420"/>
      <c r="F420" s="626"/>
    </row>
    <row r="421" spans="1:6" ht="30.95" hidden="1" customHeight="1">
      <c r="A421" s="625"/>
      <c r="B421" s="419" t="s">
        <v>250</v>
      </c>
      <c r="C421" s="420"/>
      <c r="D421" s="564" t="e">
        <f>VLOOKUP(D419,주주총괄!$A$5:$J$8,5,0)</f>
        <v>#N/A</v>
      </c>
      <c r="E421" s="565"/>
      <c r="F421" s="627"/>
    </row>
    <row r="422" spans="1:6" ht="30.95" hidden="1" customHeight="1">
      <c r="A422" s="625"/>
      <c r="B422" s="419" t="s">
        <v>23</v>
      </c>
      <c r="C422" s="420"/>
      <c r="D422" s="25"/>
      <c r="E422" s="62" t="s">
        <v>151</v>
      </c>
      <c r="F422" s="161"/>
    </row>
    <row r="423" spans="1:6" ht="30.95" hidden="1" customHeight="1">
      <c r="A423" s="210" t="s">
        <v>59</v>
      </c>
      <c r="B423" s="205" t="e">
        <f>VLOOKUP(D419,주주총괄!$A$5:$J$8,6,0)</f>
        <v>#N/A</v>
      </c>
      <c r="C423" s="274" t="e">
        <f>VLOOKUP(D419,주주총괄!$A$5:$J$8,7,0)</f>
        <v>#N/A</v>
      </c>
      <c r="D423" s="275" t="e">
        <f>VLOOKUP(D419,주주총괄!$A$5:$J$8,8,0)</f>
        <v>#N/A</v>
      </c>
      <c r="E423" s="620" t="str">
        <f>"(액면가액: "&amp;TEXT(주주총괄!$L$4,"###,###원)")</f>
        <v>(액면가액: 100원)</v>
      </c>
      <c r="F423" s="621"/>
    </row>
    <row r="424" spans="1:6" ht="30.95" hidden="1" customHeight="1">
      <c r="A424" s="211" t="s">
        <v>19</v>
      </c>
      <c r="B424" s="618"/>
      <c r="C424" s="618"/>
      <c r="D424" s="618"/>
      <c r="E424" s="618"/>
      <c r="F424" s="619"/>
    </row>
    <row r="425" spans="1:6" ht="30.95" hidden="1" customHeight="1">
      <c r="A425" s="612" t="s">
        <v>41</v>
      </c>
      <c r="B425" s="612"/>
      <c r="C425" s="612"/>
      <c r="D425" s="612"/>
      <c r="E425" s="612"/>
      <c r="F425" s="612"/>
    </row>
    <row r="426" spans="1:6" ht="30.95" hidden="1" customHeight="1">
      <c r="A426" s="128"/>
      <c r="B426" s="128"/>
      <c r="C426" s="128"/>
      <c r="D426" s="128"/>
      <c r="E426" s="128"/>
      <c r="F426" s="128"/>
    </row>
    <row r="427" spans="1:6" ht="30.95" hidden="1" customHeight="1">
      <c r="A427" s="622" t="s">
        <v>249</v>
      </c>
      <c r="B427" s="623"/>
      <c r="C427" s="623"/>
      <c r="D427" s="198" t="str">
        <f>표지!$O$3&amp;" "&amp;표지!$O$4</f>
        <v>20○○회합100○○○ 회생</v>
      </c>
      <c r="E427" s="160" t="s">
        <v>261</v>
      </c>
      <c r="F427" s="199" t="str">
        <f>표지!$O$5</f>
        <v>○○○○ 주식회사</v>
      </c>
    </row>
    <row r="428" spans="1:6" ht="30.95" hidden="1" customHeight="1">
      <c r="A428" s="624" t="s">
        <v>125</v>
      </c>
      <c r="B428" s="423"/>
      <c r="C428" s="423"/>
      <c r="D428" s="276">
        <v>48</v>
      </c>
      <c r="E428" s="170" t="s">
        <v>190</v>
      </c>
      <c r="F428" s="111"/>
    </row>
    <row r="429" spans="1:6" ht="30.95" hidden="1" customHeight="1">
      <c r="A429" s="625" t="s">
        <v>183</v>
      </c>
      <c r="B429" s="419" t="s">
        <v>118</v>
      </c>
      <c r="C429" s="420"/>
      <c r="D429" s="419" t="e">
        <f>VLOOKUP(D428,주주총괄!$A$5:$J$8,4,0)</f>
        <v>#N/A</v>
      </c>
      <c r="E429" s="420"/>
      <c r="F429" s="626"/>
    </row>
    <row r="430" spans="1:6" ht="30.95" hidden="1" customHeight="1">
      <c r="A430" s="625"/>
      <c r="B430" s="419" t="s">
        <v>250</v>
      </c>
      <c r="C430" s="420"/>
      <c r="D430" s="564" t="e">
        <f>VLOOKUP(D428,주주총괄!$A$5:$J$8,5,0)</f>
        <v>#N/A</v>
      </c>
      <c r="E430" s="565"/>
      <c r="F430" s="627"/>
    </row>
    <row r="431" spans="1:6" ht="30.95" hidden="1" customHeight="1">
      <c r="A431" s="625"/>
      <c r="B431" s="419" t="s">
        <v>23</v>
      </c>
      <c r="C431" s="420"/>
      <c r="D431" s="25"/>
      <c r="E431" s="62" t="s">
        <v>151</v>
      </c>
      <c r="F431" s="161"/>
    </row>
    <row r="432" spans="1:6" ht="30.95" hidden="1" customHeight="1">
      <c r="A432" s="210" t="s">
        <v>59</v>
      </c>
      <c r="B432" s="205" t="e">
        <f>VLOOKUP(D428,주주총괄!$A$5:$J$8,6,0)</f>
        <v>#N/A</v>
      </c>
      <c r="C432" s="274" t="e">
        <f>VLOOKUP(D428,주주총괄!$A$5:$J$8,7,0)</f>
        <v>#N/A</v>
      </c>
      <c r="D432" s="275" t="e">
        <f>VLOOKUP(D428,주주총괄!$A$5:$J$8,8,0)</f>
        <v>#N/A</v>
      </c>
      <c r="E432" s="620" t="str">
        <f>"(액면가액: "&amp;TEXT(주주총괄!$L$4,"###,###원)")</f>
        <v>(액면가액: 100원)</v>
      </c>
      <c r="F432" s="621"/>
    </row>
    <row r="433" spans="1:6" ht="30.95" hidden="1" customHeight="1">
      <c r="A433" s="211" t="s">
        <v>19</v>
      </c>
      <c r="B433" s="618"/>
      <c r="C433" s="618"/>
      <c r="D433" s="618"/>
      <c r="E433" s="618"/>
      <c r="F433" s="619"/>
    </row>
    <row r="434" spans="1:6" ht="30.95" hidden="1" customHeight="1">
      <c r="A434" s="612" t="s">
        <v>41</v>
      </c>
      <c r="B434" s="612"/>
      <c r="C434" s="612"/>
      <c r="D434" s="612"/>
      <c r="E434" s="612"/>
      <c r="F434" s="612"/>
    </row>
    <row r="435" spans="1:6" ht="30.95" hidden="1" customHeight="1">
      <c r="A435" s="128"/>
      <c r="B435" s="128"/>
      <c r="C435" s="128"/>
      <c r="D435" s="128"/>
      <c r="E435" s="128"/>
      <c r="F435" s="128"/>
    </row>
    <row r="436" spans="1:6" ht="30.95" hidden="1" customHeight="1">
      <c r="A436" s="622" t="s">
        <v>249</v>
      </c>
      <c r="B436" s="623"/>
      <c r="C436" s="623"/>
      <c r="D436" s="198" t="str">
        <f>표지!$O$3&amp;" "&amp;표지!$O$4</f>
        <v>20○○회합100○○○ 회생</v>
      </c>
      <c r="E436" s="160" t="s">
        <v>261</v>
      </c>
      <c r="F436" s="199" t="str">
        <f>표지!$O$5</f>
        <v>○○○○ 주식회사</v>
      </c>
    </row>
    <row r="437" spans="1:6" ht="30.95" hidden="1" customHeight="1">
      <c r="A437" s="624" t="s">
        <v>125</v>
      </c>
      <c r="B437" s="423"/>
      <c r="C437" s="423"/>
      <c r="D437" s="276">
        <v>49</v>
      </c>
      <c r="E437" s="170" t="s">
        <v>190</v>
      </c>
      <c r="F437" s="111"/>
    </row>
    <row r="438" spans="1:6" ht="30.95" hidden="1" customHeight="1">
      <c r="A438" s="625" t="s">
        <v>183</v>
      </c>
      <c r="B438" s="419" t="s">
        <v>118</v>
      </c>
      <c r="C438" s="420"/>
      <c r="D438" s="419" t="e">
        <f>VLOOKUP(D437,주주총괄!$A$5:$J$8,4,0)</f>
        <v>#N/A</v>
      </c>
      <c r="E438" s="420"/>
      <c r="F438" s="626"/>
    </row>
    <row r="439" spans="1:6" ht="30.95" hidden="1" customHeight="1">
      <c r="A439" s="625"/>
      <c r="B439" s="419" t="s">
        <v>250</v>
      </c>
      <c r="C439" s="420"/>
      <c r="D439" s="564" t="e">
        <f>VLOOKUP(D437,주주총괄!$A$5:$J$8,5,0)</f>
        <v>#N/A</v>
      </c>
      <c r="E439" s="565"/>
      <c r="F439" s="627"/>
    </row>
    <row r="440" spans="1:6" ht="30.95" hidden="1" customHeight="1">
      <c r="A440" s="625"/>
      <c r="B440" s="419" t="s">
        <v>23</v>
      </c>
      <c r="C440" s="420"/>
      <c r="D440" s="25"/>
      <c r="E440" s="62" t="s">
        <v>151</v>
      </c>
      <c r="F440" s="161"/>
    </row>
    <row r="441" spans="1:6" ht="30.95" hidden="1" customHeight="1">
      <c r="A441" s="210" t="s">
        <v>59</v>
      </c>
      <c r="B441" s="205" t="e">
        <f>VLOOKUP(D437,주주총괄!$A$5:$J$8,6,0)</f>
        <v>#N/A</v>
      </c>
      <c r="C441" s="274" t="e">
        <f>VLOOKUP(D437,주주총괄!$A$5:$J$8,7,0)</f>
        <v>#N/A</v>
      </c>
      <c r="D441" s="275" t="e">
        <f>VLOOKUP(D437,주주총괄!$A$5:$J$8,8,0)</f>
        <v>#N/A</v>
      </c>
      <c r="E441" s="620" t="str">
        <f>"(액면가액: "&amp;TEXT(주주총괄!$L$4,"###,###원)")</f>
        <v>(액면가액: 100원)</v>
      </c>
      <c r="F441" s="621"/>
    </row>
    <row r="442" spans="1:6" ht="30.95" hidden="1" customHeight="1">
      <c r="A442" s="211" t="s">
        <v>19</v>
      </c>
      <c r="B442" s="618"/>
      <c r="C442" s="618"/>
      <c r="D442" s="618"/>
      <c r="E442" s="618"/>
      <c r="F442" s="619"/>
    </row>
    <row r="443" spans="1:6" ht="30.95" hidden="1" customHeight="1">
      <c r="A443" s="612" t="s">
        <v>41</v>
      </c>
      <c r="B443" s="612"/>
      <c r="C443" s="612"/>
      <c r="D443" s="612"/>
      <c r="E443" s="612"/>
      <c r="F443" s="612"/>
    </row>
    <row r="444" spans="1:6" ht="30.95" hidden="1" customHeight="1">
      <c r="A444" s="128"/>
      <c r="B444" s="128"/>
      <c r="C444" s="128"/>
      <c r="D444" s="128"/>
      <c r="E444" s="128"/>
      <c r="F444" s="128"/>
    </row>
    <row r="445" spans="1:6" ht="30.95" hidden="1" customHeight="1">
      <c r="A445" s="622" t="s">
        <v>249</v>
      </c>
      <c r="B445" s="623"/>
      <c r="C445" s="623"/>
      <c r="D445" s="198" t="str">
        <f>표지!$O$3&amp;" "&amp;표지!$O$4</f>
        <v>20○○회합100○○○ 회생</v>
      </c>
      <c r="E445" s="160" t="s">
        <v>261</v>
      </c>
      <c r="F445" s="199" t="str">
        <f>표지!$O$5</f>
        <v>○○○○ 주식회사</v>
      </c>
    </row>
    <row r="446" spans="1:6" ht="30.95" hidden="1" customHeight="1">
      <c r="A446" s="624" t="s">
        <v>125</v>
      </c>
      <c r="B446" s="423"/>
      <c r="C446" s="423"/>
      <c r="D446" s="276">
        <v>50</v>
      </c>
      <c r="E446" s="170" t="s">
        <v>190</v>
      </c>
      <c r="F446" s="111"/>
    </row>
    <row r="447" spans="1:6" ht="30.95" hidden="1" customHeight="1">
      <c r="A447" s="625" t="s">
        <v>183</v>
      </c>
      <c r="B447" s="419" t="s">
        <v>118</v>
      </c>
      <c r="C447" s="420"/>
      <c r="D447" s="419" t="e">
        <f>VLOOKUP(D446,주주총괄!$A$5:$J$8,4,0)</f>
        <v>#N/A</v>
      </c>
      <c r="E447" s="420"/>
      <c r="F447" s="626"/>
    </row>
    <row r="448" spans="1:6" ht="30.95" hidden="1" customHeight="1">
      <c r="A448" s="625"/>
      <c r="B448" s="419" t="s">
        <v>250</v>
      </c>
      <c r="C448" s="420"/>
      <c r="D448" s="564" t="e">
        <f>VLOOKUP(D446,주주총괄!$A$5:$J$8,5,0)</f>
        <v>#N/A</v>
      </c>
      <c r="E448" s="565"/>
      <c r="F448" s="627"/>
    </row>
    <row r="449" spans="1:6" ht="30.95" hidden="1" customHeight="1">
      <c r="A449" s="625"/>
      <c r="B449" s="419" t="s">
        <v>23</v>
      </c>
      <c r="C449" s="420"/>
      <c r="D449" s="25"/>
      <c r="E449" s="62" t="s">
        <v>151</v>
      </c>
      <c r="F449" s="161"/>
    </row>
    <row r="450" spans="1:6" ht="30.95" hidden="1" customHeight="1">
      <c r="A450" s="210" t="s">
        <v>59</v>
      </c>
      <c r="B450" s="205" t="e">
        <f>VLOOKUP(D446,주주총괄!$A$5:$J$8,6,0)</f>
        <v>#N/A</v>
      </c>
      <c r="C450" s="274" t="e">
        <f>VLOOKUP(D446,주주총괄!$A$5:$J$8,7,0)</f>
        <v>#N/A</v>
      </c>
      <c r="D450" s="275" t="e">
        <f>VLOOKUP(D446,주주총괄!$A$5:$J$8,8,0)</f>
        <v>#N/A</v>
      </c>
      <c r="E450" s="620" t="str">
        <f>"(액면가액: "&amp;TEXT(주주총괄!$L$4,"###,###원)")</f>
        <v>(액면가액: 100원)</v>
      </c>
      <c r="F450" s="621"/>
    </row>
    <row r="451" spans="1:6" ht="30.95" hidden="1" customHeight="1">
      <c r="A451" s="211" t="s">
        <v>19</v>
      </c>
      <c r="B451" s="618"/>
      <c r="C451" s="618"/>
      <c r="D451" s="618"/>
      <c r="E451" s="618"/>
      <c r="F451" s="619"/>
    </row>
    <row r="452" spans="1:6" ht="30.95" hidden="1" customHeight="1">
      <c r="A452" s="612" t="s">
        <v>41</v>
      </c>
      <c r="B452" s="612"/>
      <c r="C452" s="612"/>
      <c r="D452" s="612"/>
      <c r="E452" s="612"/>
      <c r="F452" s="612"/>
    </row>
    <row r="453" spans="1:6" ht="30.95" hidden="1" customHeight="1">
      <c r="A453" s="128"/>
      <c r="B453" s="128"/>
      <c r="C453" s="128"/>
      <c r="D453" s="128"/>
      <c r="E453" s="128"/>
      <c r="F453" s="128"/>
    </row>
    <row r="454" spans="1:6" ht="30.95" hidden="1" customHeight="1">
      <c r="A454" s="622" t="s">
        <v>249</v>
      </c>
      <c r="B454" s="623"/>
      <c r="C454" s="623"/>
      <c r="D454" s="198" t="str">
        <f>표지!$O$3&amp;" "&amp;표지!$O$4</f>
        <v>20○○회합100○○○ 회생</v>
      </c>
      <c r="E454" s="160" t="s">
        <v>261</v>
      </c>
      <c r="F454" s="199" t="str">
        <f>표지!$O$5</f>
        <v>○○○○ 주식회사</v>
      </c>
    </row>
    <row r="455" spans="1:6" ht="30.95" hidden="1" customHeight="1">
      <c r="A455" s="624" t="s">
        <v>125</v>
      </c>
      <c r="B455" s="423"/>
      <c r="C455" s="423"/>
      <c r="D455" s="276">
        <v>51</v>
      </c>
      <c r="E455" s="170" t="s">
        <v>190</v>
      </c>
      <c r="F455" s="111"/>
    </row>
    <row r="456" spans="1:6" ht="30.95" hidden="1" customHeight="1">
      <c r="A456" s="625" t="s">
        <v>183</v>
      </c>
      <c r="B456" s="419" t="s">
        <v>118</v>
      </c>
      <c r="C456" s="420"/>
      <c r="D456" s="419" t="e">
        <f>VLOOKUP(D455,주주총괄!$A$5:$J$8,4,0)</f>
        <v>#N/A</v>
      </c>
      <c r="E456" s="420"/>
      <c r="F456" s="626"/>
    </row>
    <row r="457" spans="1:6" ht="30.95" hidden="1" customHeight="1">
      <c r="A457" s="625"/>
      <c r="B457" s="419" t="s">
        <v>250</v>
      </c>
      <c r="C457" s="420"/>
      <c r="D457" s="564" t="e">
        <f>VLOOKUP(D455,주주총괄!$A$5:$J$8,5,0)</f>
        <v>#N/A</v>
      </c>
      <c r="E457" s="565"/>
      <c r="F457" s="627"/>
    </row>
    <row r="458" spans="1:6" ht="30.95" hidden="1" customHeight="1">
      <c r="A458" s="625"/>
      <c r="B458" s="419" t="s">
        <v>23</v>
      </c>
      <c r="C458" s="420"/>
      <c r="D458" s="25"/>
      <c r="E458" s="62" t="s">
        <v>151</v>
      </c>
      <c r="F458" s="161"/>
    </row>
    <row r="459" spans="1:6" ht="30.95" hidden="1" customHeight="1">
      <c r="A459" s="210" t="s">
        <v>59</v>
      </c>
      <c r="B459" s="205" t="e">
        <f>VLOOKUP(D455,주주총괄!$A$5:$J$8,6,0)</f>
        <v>#N/A</v>
      </c>
      <c r="C459" s="274" t="e">
        <f>VLOOKUP(D455,주주총괄!$A$5:$J$8,7,0)</f>
        <v>#N/A</v>
      </c>
      <c r="D459" s="275" t="e">
        <f>VLOOKUP(D455,주주총괄!$A$5:$J$8,8,0)</f>
        <v>#N/A</v>
      </c>
      <c r="E459" s="620" t="str">
        <f>"(액면가액: "&amp;TEXT(주주총괄!$L$4,"###,###원)")</f>
        <v>(액면가액: 100원)</v>
      </c>
      <c r="F459" s="621"/>
    </row>
    <row r="460" spans="1:6" ht="30.95" hidden="1" customHeight="1">
      <c r="A460" s="211" t="s">
        <v>19</v>
      </c>
      <c r="B460" s="618"/>
      <c r="C460" s="618"/>
      <c r="D460" s="618"/>
      <c r="E460" s="618"/>
      <c r="F460" s="619"/>
    </row>
    <row r="461" spans="1:6" ht="30.95" hidden="1" customHeight="1">
      <c r="A461" s="612" t="s">
        <v>41</v>
      </c>
      <c r="B461" s="612"/>
      <c r="C461" s="612"/>
      <c r="D461" s="612"/>
      <c r="E461" s="612"/>
      <c r="F461" s="612"/>
    </row>
    <row r="462" spans="1:6" ht="30.95" hidden="1" customHeight="1">
      <c r="A462" s="128"/>
      <c r="B462" s="128"/>
      <c r="C462" s="128"/>
      <c r="D462" s="128"/>
      <c r="E462" s="128"/>
      <c r="F462" s="128"/>
    </row>
    <row r="463" spans="1:6" ht="30.95" hidden="1" customHeight="1">
      <c r="A463" s="622" t="s">
        <v>249</v>
      </c>
      <c r="B463" s="623"/>
      <c r="C463" s="623"/>
      <c r="D463" s="198" t="str">
        <f>표지!$O$3&amp;" "&amp;표지!$O$4</f>
        <v>20○○회합100○○○ 회생</v>
      </c>
      <c r="E463" s="160" t="s">
        <v>261</v>
      </c>
      <c r="F463" s="199" t="str">
        <f>표지!$O$5</f>
        <v>○○○○ 주식회사</v>
      </c>
    </row>
    <row r="464" spans="1:6" ht="30.95" hidden="1" customHeight="1">
      <c r="A464" s="624" t="s">
        <v>125</v>
      </c>
      <c r="B464" s="423"/>
      <c r="C464" s="423"/>
      <c r="D464" s="276">
        <v>52</v>
      </c>
      <c r="E464" s="170" t="s">
        <v>190</v>
      </c>
      <c r="F464" s="111"/>
    </row>
    <row r="465" spans="1:6" ht="30.95" hidden="1" customHeight="1">
      <c r="A465" s="625" t="s">
        <v>183</v>
      </c>
      <c r="B465" s="419" t="s">
        <v>118</v>
      </c>
      <c r="C465" s="420"/>
      <c r="D465" s="419" t="e">
        <f>VLOOKUP(D464,주주총괄!$A$5:$J$8,4,0)</f>
        <v>#N/A</v>
      </c>
      <c r="E465" s="420"/>
      <c r="F465" s="626"/>
    </row>
    <row r="466" spans="1:6" ht="30.95" hidden="1" customHeight="1">
      <c r="A466" s="625"/>
      <c r="B466" s="419" t="s">
        <v>250</v>
      </c>
      <c r="C466" s="420"/>
      <c r="D466" s="564" t="e">
        <f>VLOOKUP(D464,주주총괄!$A$5:$J$8,5,0)</f>
        <v>#N/A</v>
      </c>
      <c r="E466" s="565"/>
      <c r="F466" s="627"/>
    </row>
    <row r="467" spans="1:6" ht="30.95" hidden="1" customHeight="1">
      <c r="A467" s="625"/>
      <c r="B467" s="419" t="s">
        <v>23</v>
      </c>
      <c r="C467" s="420"/>
      <c r="D467" s="25"/>
      <c r="E467" s="62" t="s">
        <v>151</v>
      </c>
      <c r="F467" s="161"/>
    </row>
    <row r="468" spans="1:6" ht="30.95" hidden="1" customHeight="1">
      <c r="A468" s="210" t="s">
        <v>59</v>
      </c>
      <c r="B468" s="205" t="e">
        <f>VLOOKUP(D464,주주총괄!$A$5:$J$8,6,0)</f>
        <v>#N/A</v>
      </c>
      <c r="C468" s="274" t="e">
        <f>VLOOKUP(D464,주주총괄!$A$5:$J$8,7,0)</f>
        <v>#N/A</v>
      </c>
      <c r="D468" s="275" t="e">
        <f>VLOOKUP(D464,주주총괄!$A$5:$J$8,8,0)</f>
        <v>#N/A</v>
      </c>
      <c r="E468" s="620" t="str">
        <f>"(액면가액: "&amp;TEXT(주주총괄!$L$4,"###,###원)")</f>
        <v>(액면가액: 100원)</v>
      </c>
      <c r="F468" s="621"/>
    </row>
    <row r="469" spans="1:6" ht="30.95" hidden="1" customHeight="1">
      <c r="A469" s="211" t="s">
        <v>19</v>
      </c>
      <c r="B469" s="618"/>
      <c r="C469" s="618"/>
      <c r="D469" s="618"/>
      <c r="E469" s="618"/>
      <c r="F469" s="619"/>
    </row>
    <row r="470" spans="1:6" ht="30.95" hidden="1" customHeight="1">
      <c r="A470" s="612" t="s">
        <v>41</v>
      </c>
      <c r="B470" s="612"/>
      <c r="C470" s="612"/>
      <c r="D470" s="612"/>
      <c r="E470" s="612"/>
      <c r="F470" s="612"/>
    </row>
    <row r="471" spans="1:6" ht="30.95" hidden="1" customHeight="1">
      <c r="A471" s="128"/>
      <c r="B471" s="128"/>
      <c r="C471" s="128"/>
      <c r="D471" s="128"/>
      <c r="E471" s="128"/>
      <c r="F471" s="128"/>
    </row>
    <row r="472" spans="1:6" ht="30.95" hidden="1" customHeight="1">
      <c r="A472" s="622" t="s">
        <v>249</v>
      </c>
      <c r="B472" s="623"/>
      <c r="C472" s="623"/>
      <c r="D472" s="198" t="str">
        <f>표지!$O$3&amp;" "&amp;표지!$O$4</f>
        <v>20○○회합100○○○ 회생</v>
      </c>
      <c r="E472" s="160" t="s">
        <v>261</v>
      </c>
      <c r="F472" s="199" t="str">
        <f>표지!$O$5</f>
        <v>○○○○ 주식회사</v>
      </c>
    </row>
    <row r="473" spans="1:6" ht="30.95" hidden="1" customHeight="1">
      <c r="A473" s="624" t="s">
        <v>125</v>
      </c>
      <c r="B473" s="423"/>
      <c r="C473" s="423"/>
      <c r="D473" s="276">
        <v>53</v>
      </c>
      <c r="E473" s="170" t="s">
        <v>190</v>
      </c>
      <c r="F473" s="111"/>
    </row>
    <row r="474" spans="1:6" ht="30.95" hidden="1" customHeight="1">
      <c r="A474" s="625" t="s">
        <v>183</v>
      </c>
      <c r="B474" s="419" t="s">
        <v>118</v>
      </c>
      <c r="C474" s="420"/>
      <c r="D474" s="419" t="e">
        <f>VLOOKUP(D473,주주총괄!$A$5:$J$8,4,0)</f>
        <v>#N/A</v>
      </c>
      <c r="E474" s="420"/>
      <c r="F474" s="626"/>
    </row>
    <row r="475" spans="1:6" ht="30.95" hidden="1" customHeight="1">
      <c r="A475" s="625"/>
      <c r="B475" s="419" t="s">
        <v>250</v>
      </c>
      <c r="C475" s="420"/>
      <c r="D475" s="564" t="e">
        <f>VLOOKUP(D473,주주총괄!$A$5:$J$8,5,0)</f>
        <v>#N/A</v>
      </c>
      <c r="E475" s="565"/>
      <c r="F475" s="627"/>
    </row>
    <row r="476" spans="1:6" ht="30.95" hidden="1" customHeight="1">
      <c r="A476" s="625"/>
      <c r="B476" s="419" t="s">
        <v>23</v>
      </c>
      <c r="C476" s="420"/>
      <c r="D476" s="25"/>
      <c r="E476" s="62" t="s">
        <v>151</v>
      </c>
      <c r="F476" s="161"/>
    </row>
    <row r="477" spans="1:6" ht="30.95" hidden="1" customHeight="1">
      <c r="A477" s="210" t="s">
        <v>59</v>
      </c>
      <c r="B477" s="205" t="e">
        <f>VLOOKUP(D473,주주총괄!$A$5:$J$8,6,0)</f>
        <v>#N/A</v>
      </c>
      <c r="C477" s="274" t="e">
        <f>VLOOKUP(D473,주주총괄!$A$5:$J$8,7,0)</f>
        <v>#N/A</v>
      </c>
      <c r="D477" s="275" t="e">
        <f>VLOOKUP(D473,주주총괄!$A$5:$J$8,8,0)</f>
        <v>#N/A</v>
      </c>
      <c r="E477" s="620" t="str">
        <f>"(액면가액: "&amp;TEXT(주주총괄!$L$4,"###,###원)")</f>
        <v>(액면가액: 100원)</v>
      </c>
      <c r="F477" s="621"/>
    </row>
    <row r="478" spans="1:6" ht="30.95" hidden="1" customHeight="1">
      <c r="A478" s="211" t="s">
        <v>19</v>
      </c>
      <c r="B478" s="618"/>
      <c r="C478" s="618"/>
      <c r="D478" s="618"/>
      <c r="E478" s="618"/>
      <c r="F478" s="619"/>
    </row>
    <row r="479" spans="1:6" ht="30.95" hidden="1" customHeight="1">
      <c r="A479" s="612" t="s">
        <v>41</v>
      </c>
      <c r="B479" s="612"/>
      <c r="C479" s="612"/>
      <c r="D479" s="612"/>
      <c r="E479" s="612"/>
      <c r="F479" s="612"/>
    </row>
    <row r="480" spans="1:6" ht="30.95" hidden="1" customHeight="1">
      <c r="A480" s="128"/>
      <c r="B480" s="128"/>
      <c r="C480" s="128"/>
      <c r="D480" s="128"/>
      <c r="E480" s="128"/>
      <c r="F480" s="128"/>
    </row>
    <row r="481" spans="1:6" ht="30.95" hidden="1" customHeight="1">
      <c r="A481" s="622" t="s">
        <v>249</v>
      </c>
      <c r="B481" s="623"/>
      <c r="C481" s="623"/>
      <c r="D481" s="198" t="str">
        <f>표지!$O$3&amp;" "&amp;표지!$O$4</f>
        <v>20○○회합100○○○ 회생</v>
      </c>
      <c r="E481" s="160" t="s">
        <v>261</v>
      </c>
      <c r="F481" s="199" t="str">
        <f>표지!$O$5</f>
        <v>○○○○ 주식회사</v>
      </c>
    </row>
    <row r="482" spans="1:6" ht="30.95" hidden="1" customHeight="1">
      <c r="A482" s="624" t="s">
        <v>125</v>
      </c>
      <c r="B482" s="423"/>
      <c r="C482" s="423"/>
      <c r="D482" s="276">
        <v>54</v>
      </c>
      <c r="E482" s="170" t="s">
        <v>190</v>
      </c>
      <c r="F482" s="111"/>
    </row>
    <row r="483" spans="1:6" ht="30.95" hidden="1" customHeight="1">
      <c r="A483" s="625" t="s">
        <v>183</v>
      </c>
      <c r="B483" s="419" t="s">
        <v>118</v>
      </c>
      <c r="C483" s="420"/>
      <c r="D483" s="419" t="e">
        <f>VLOOKUP(D482,주주총괄!$A$5:$J$8,4,0)</f>
        <v>#N/A</v>
      </c>
      <c r="E483" s="420"/>
      <c r="F483" s="626"/>
    </row>
    <row r="484" spans="1:6" ht="30.95" hidden="1" customHeight="1">
      <c r="A484" s="625"/>
      <c r="B484" s="419" t="s">
        <v>250</v>
      </c>
      <c r="C484" s="420"/>
      <c r="D484" s="564" t="e">
        <f>VLOOKUP(D482,주주총괄!$A$5:$J$8,5,0)</f>
        <v>#N/A</v>
      </c>
      <c r="E484" s="565"/>
      <c r="F484" s="627"/>
    </row>
    <row r="485" spans="1:6" ht="30.95" hidden="1" customHeight="1">
      <c r="A485" s="625"/>
      <c r="B485" s="419" t="s">
        <v>23</v>
      </c>
      <c r="C485" s="420"/>
      <c r="D485" s="25"/>
      <c r="E485" s="62" t="s">
        <v>151</v>
      </c>
      <c r="F485" s="161"/>
    </row>
    <row r="486" spans="1:6" ht="30.95" hidden="1" customHeight="1">
      <c r="A486" s="210" t="s">
        <v>59</v>
      </c>
      <c r="B486" s="205" t="e">
        <f>VLOOKUP(D482,주주총괄!$A$5:$J$8,6,0)</f>
        <v>#N/A</v>
      </c>
      <c r="C486" s="274" t="e">
        <f>VLOOKUP(D482,주주총괄!$A$5:$J$8,7,0)</f>
        <v>#N/A</v>
      </c>
      <c r="D486" s="275" t="e">
        <f>VLOOKUP(D482,주주총괄!$A$5:$J$8,8,0)</f>
        <v>#N/A</v>
      </c>
      <c r="E486" s="620" t="str">
        <f>"(액면가액: "&amp;TEXT(주주총괄!$L$4,"###,###원)")</f>
        <v>(액면가액: 100원)</v>
      </c>
      <c r="F486" s="621"/>
    </row>
    <row r="487" spans="1:6" ht="30.95" hidden="1" customHeight="1">
      <c r="A487" s="211" t="s">
        <v>19</v>
      </c>
      <c r="B487" s="618"/>
      <c r="C487" s="618"/>
      <c r="D487" s="618"/>
      <c r="E487" s="618"/>
      <c r="F487" s="619"/>
    </row>
    <row r="488" spans="1:6" ht="30.95" hidden="1" customHeight="1">
      <c r="A488" s="612" t="s">
        <v>41</v>
      </c>
      <c r="B488" s="612"/>
      <c r="C488" s="612"/>
      <c r="D488" s="612"/>
      <c r="E488" s="612"/>
      <c r="F488" s="612"/>
    </row>
    <row r="489" spans="1:6" ht="30.95" hidden="1" customHeight="1">
      <c r="A489" s="128"/>
      <c r="B489" s="128"/>
      <c r="C489" s="128"/>
      <c r="D489" s="128"/>
      <c r="E489" s="128"/>
      <c r="F489" s="128"/>
    </row>
    <row r="490" spans="1:6" ht="30.95" hidden="1" customHeight="1">
      <c r="A490" s="622" t="s">
        <v>249</v>
      </c>
      <c r="B490" s="623"/>
      <c r="C490" s="623"/>
      <c r="D490" s="198" t="str">
        <f>표지!$O$3&amp;" "&amp;표지!$O$4</f>
        <v>20○○회합100○○○ 회생</v>
      </c>
      <c r="E490" s="160" t="s">
        <v>261</v>
      </c>
      <c r="F490" s="199" t="str">
        <f>표지!$O$5</f>
        <v>○○○○ 주식회사</v>
      </c>
    </row>
    <row r="491" spans="1:6" ht="30.95" hidden="1" customHeight="1">
      <c r="A491" s="624" t="s">
        <v>125</v>
      </c>
      <c r="B491" s="423"/>
      <c r="C491" s="423"/>
      <c r="D491" s="276">
        <v>55</v>
      </c>
      <c r="E491" s="170" t="s">
        <v>190</v>
      </c>
      <c r="F491" s="111"/>
    </row>
    <row r="492" spans="1:6" ht="30.95" hidden="1" customHeight="1">
      <c r="A492" s="625" t="s">
        <v>183</v>
      </c>
      <c r="B492" s="419" t="s">
        <v>118</v>
      </c>
      <c r="C492" s="420"/>
      <c r="D492" s="419" t="e">
        <f>VLOOKUP(D491,주주총괄!$A$5:$J$8,4,0)</f>
        <v>#N/A</v>
      </c>
      <c r="E492" s="420"/>
      <c r="F492" s="626"/>
    </row>
    <row r="493" spans="1:6" ht="30.95" hidden="1" customHeight="1">
      <c r="A493" s="625"/>
      <c r="B493" s="419" t="s">
        <v>250</v>
      </c>
      <c r="C493" s="420"/>
      <c r="D493" s="564" t="e">
        <f>VLOOKUP(D491,주주총괄!$A$5:$J$8,5,0)</f>
        <v>#N/A</v>
      </c>
      <c r="E493" s="565"/>
      <c r="F493" s="627"/>
    </row>
    <row r="494" spans="1:6" ht="30.95" hidden="1" customHeight="1">
      <c r="A494" s="625"/>
      <c r="B494" s="419" t="s">
        <v>23</v>
      </c>
      <c r="C494" s="420"/>
      <c r="D494" s="25"/>
      <c r="E494" s="62" t="s">
        <v>151</v>
      </c>
      <c r="F494" s="161"/>
    </row>
    <row r="495" spans="1:6" ht="30.95" hidden="1" customHeight="1">
      <c r="A495" s="210" t="s">
        <v>59</v>
      </c>
      <c r="B495" s="205" t="e">
        <f>VLOOKUP(D491,주주총괄!$A$5:$J$8,6,0)</f>
        <v>#N/A</v>
      </c>
      <c r="C495" s="274" t="e">
        <f>VLOOKUP(D491,주주총괄!$A$5:$J$8,7,0)</f>
        <v>#N/A</v>
      </c>
      <c r="D495" s="275" t="e">
        <f>VLOOKUP(D491,주주총괄!$A$5:$J$8,8,0)</f>
        <v>#N/A</v>
      </c>
      <c r="E495" s="620" t="str">
        <f>"(액면가액: "&amp;TEXT(주주총괄!$L$4,"###,###원)")</f>
        <v>(액면가액: 100원)</v>
      </c>
      <c r="F495" s="621"/>
    </row>
    <row r="496" spans="1:6" ht="30.95" hidden="1" customHeight="1">
      <c r="A496" s="211" t="s">
        <v>19</v>
      </c>
      <c r="B496" s="618"/>
      <c r="C496" s="618"/>
      <c r="D496" s="618"/>
      <c r="E496" s="618"/>
      <c r="F496" s="619"/>
    </row>
    <row r="497" spans="1:6" ht="30.95" hidden="1" customHeight="1">
      <c r="A497" s="612" t="s">
        <v>41</v>
      </c>
      <c r="B497" s="612"/>
      <c r="C497" s="612"/>
      <c r="D497" s="612"/>
      <c r="E497" s="612"/>
      <c r="F497" s="612"/>
    </row>
    <row r="498" spans="1:6" ht="30.95" hidden="1" customHeight="1">
      <c r="A498" s="128"/>
      <c r="B498" s="128"/>
      <c r="C498" s="128"/>
      <c r="D498" s="128"/>
      <c r="E498" s="128"/>
      <c r="F498" s="128"/>
    </row>
    <row r="499" spans="1:6" ht="30.95" hidden="1" customHeight="1">
      <c r="A499" s="622" t="s">
        <v>249</v>
      </c>
      <c r="B499" s="623"/>
      <c r="C499" s="623"/>
      <c r="D499" s="198" t="str">
        <f>표지!$O$3&amp;" "&amp;표지!$O$4</f>
        <v>20○○회합100○○○ 회생</v>
      </c>
      <c r="E499" s="160" t="s">
        <v>261</v>
      </c>
      <c r="F499" s="199" t="str">
        <f>표지!$O$5</f>
        <v>○○○○ 주식회사</v>
      </c>
    </row>
    <row r="500" spans="1:6" ht="30.95" hidden="1" customHeight="1">
      <c r="A500" s="624" t="s">
        <v>125</v>
      </c>
      <c r="B500" s="423"/>
      <c r="C500" s="423"/>
      <c r="D500" s="276">
        <v>56</v>
      </c>
      <c r="E500" s="170" t="s">
        <v>190</v>
      </c>
      <c r="F500" s="111"/>
    </row>
    <row r="501" spans="1:6" ht="30.95" hidden="1" customHeight="1">
      <c r="A501" s="625" t="s">
        <v>183</v>
      </c>
      <c r="B501" s="419" t="s">
        <v>118</v>
      </c>
      <c r="C501" s="420"/>
      <c r="D501" s="419" t="e">
        <f>VLOOKUP(D500,주주총괄!$A$5:$J$8,4,0)</f>
        <v>#N/A</v>
      </c>
      <c r="E501" s="420"/>
      <c r="F501" s="626"/>
    </row>
    <row r="502" spans="1:6" ht="30.95" hidden="1" customHeight="1">
      <c r="A502" s="625"/>
      <c r="B502" s="419" t="s">
        <v>250</v>
      </c>
      <c r="C502" s="420"/>
      <c r="D502" s="564" t="e">
        <f>VLOOKUP(D500,주주총괄!$A$5:$J$8,5,0)</f>
        <v>#N/A</v>
      </c>
      <c r="E502" s="565"/>
      <c r="F502" s="627"/>
    </row>
    <row r="503" spans="1:6" ht="30.95" hidden="1" customHeight="1">
      <c r="A503" s="625"/>
      <c r="B503" s="419" t="s">
        <v>23</v>
      </c>
      <c r="C503" s="420"/>
      <c r="D503" s="25"/>
      <c r="E503" s="62" t="s">
        <v>151</v>
      </c>
      <c r="F503" s="161"/>
    </row>
    <row r="504" spans="1:6" ht="30.95" hidden="1" customHeight="1">
      <c r="A504" s="210" t="s">
        <v>59</v>
      </c>
      <c r="B504" s="205" t="e">
        <f>VLOOKUP(D500,주주총괄!$A$5:$J$8,6,0)</f>
        <v>#N/A</v>
      </c>
      <c r="C504" s="274" t="e">
        <f>VLOOKUP(D500,주주총괄!$A$5:$J$8,7,0)</f>
        <v>#N/A</v>
      </c>
      <c r="D504" s="275" t="e">
        <f>VLOOKUP(D500,주주총괄!$A$5:$J$8,8,0)</f>
        <v>#N/A</v>
      </c>
      <c r="E504" s="620" t="str">
        <f>"(액면가액: "&amp;TEXT(주주총괄!$L$4,"###,###원)")</f>
        <v>(액면가액: 100원)</v>
      </c>
      <c r="F504" s="621"/>
    </row>
    <row r="505" spans="1:6" ht="30.95" hidden="1" customHeight="1">
      <c r="A505" s="211" t="s">
        <v>19</v>
      </c>
      <c r="B505" s="618"/>
      <c r="C505" s="618"/>
      <c r="D505" s="618"/>
      <c r="E505" s="618"/>
      <c r="F505" s="619"/>
    </row>
    <row r="506" spans="1:6" ht="30.95" hidden="1" customHeight="1">
      <c r="A506" s="612" t="s">
        <v>41</v>
      </c>
      <c r="B506" s="612"/>
      <c r="C506" s="612"/>
      <c r="D506" s="612"/>
      <c r="E506" s="612"/>
      <c r="F506" s="612"/>
    </row>
    <row r="507" spans="1:6" ht="30.95" hidden="1" customHeight="1">
      <c r="A507" s="128"/>
      <c r="B507" s="128"/>
      <c r="C507" s="128"/>
      <c r="D507" s="128"/>
      <c r="E507" s="128"/>
      <c r="F507" s="128"/>
    </row>
    <row r="508" spans="1:6" ht="30.95" hidden="1" customHeight="1">
      <c r="A508" s="622" t="s">
        <v>249</v>
      </c>
      <c r="B508" s="623"/>
      <c r="C508" s="623"/>
      <c r="D508" s="198" t="str">
        <f>표지!$O$3&amp;" "&amp;표지!$O$4</f>
        <v>20○○회합100○○○ 회생</v>
      </c>
      <c r="E508" s="160" t="s">
        <v>261</v>
      </c>
      <c r="F508" s="199" t="str">
        <f>표지!$O$5</f>
        <v>○○○○ 주식회사</v>
      </c>
    </row>
    <row r="509" spans="1:6" ht="30.95" hidden="1" customHeight="1">
      <c r="A509" s="624" t="s">
        <v>125</v>
      </c>
      <c r="B509" s="423"/>
      <c r="C509" s="423"/>
      <c r="D509" s="276">
        <v>57</v>
      </c>
      <c r="E509" s="170" t="s">
        <v>190</v>
      </c>
      <c r="F509" s="111"/>
    </row>
    <row r="510" spans="1:6" ht="30.95" hidden="1" customHeight="1">
      <c r="A510" s="625" t="s">
        <v>183</v>
      </c>
      <c r="B510" s="419" t="s">
        <v>118</v>
      </c>
      <c r="C510" s="420"/>
      <c r="D510" s="419" t="e">
        <f>VLOOKUP(D509,주주총괄!$A$5:$J$8,4,0)</f>
        <v>#N/A</v>
      </c>
      <c r="E510" s="420"/>
      <c r="F510" s="626"/>
    </row>
    <row r="511" spans="1:6" ht="30.95" hidden="1" customHeight="1">
      <c r="A511" s="625"/>
      <c r="B511" s="419" t="s">
        <v>250</v>
      </c>
      <c r="C511" s="420"/>
      <c r="D511" s="564" t="e">
        <f>VLOOKUP(D509,주주총괄!$A$5:$J$8,5,0)</f>
        <v>#N/A</v>
      </c>
      <c r="E511" s="565"/>
      <c r="F511" s="627"/>
    </row>
    <row r="512" spans="1:6" ht="30.95" hidden="1" customHeight="1">
      <c r="A512" s="625"/>
      <c r="B512" s="419" t="s">
        <v>23</v>
      </c>
      <c r="C512" s="420"/>
      <c r="D512" s="25"/>
      <c r="E512" s="62" t="s">
        <v>151</v>
      </c>
      <c r="F512" s="161"/>
    </row>
    <row r="513" spans="1:6" ht="30.95" hidden="1" customHeight="1">
      <c r="A513" s="210" t="s">
        <v>59</v>
      </c>
      <c r="B513" s="205" t="e">
        <f>VLOOKUP(D509,주주총괄!$A$5:$J$8,6,0)</f>
        <v>#N/A</v>
      </c>
      <c r="C513" s="274" t="e">
        <f>VLOOKUP(D509,주주총괄!$A$5:$J$8,7,0)</f>
        <v>#N/A</v>
      </c>
      <c r="D513" s="275" t="e">
        <f>VLOOKUP(D509,주주총괄!$A$5:$J$8,8,0)</f>
        <v>#N/A</v>
      </c>
      <c r="E513" s="620" t="str">
        <f>"(액면가액: "&amp;TEXT(주주총괄!$L$4,"###,###원)")</f>
        <v>(액면가액: 100원)</v>
      </c>
      <c r="F513" s="621"/>
    </row>
    <row r="514" spans="1:6" ht="30.95" hidden="1" customHeight="1">
      <c r="A514" s="211" t="s">
        <v>19</v>
      </c>
      <c r="B514" s="618"/>
      <c r="C514" s="618"/>
      <c r="D514" s="618"/>
      <c r="E514" s="618"/>
      <c r="F514" s="619"/>
    </row>
    <row r="515" spans="1:6" ht="30.95" hidden="1" customHeight="1">
      <c r="A515" s="612" t="s">
        <v>41</v>
      </c>
      <c r="B515" s="612"/>
      <c r="C515" s="612"/>
      <c r="D515" s="612"/>
      <c r="E515" s="612"/>
      <c r="F515" s="612"/>
    </row>
    <row r="516" spans="1:6" ht="30.95" hidden="1" customHeight="1">
      <c r="A516" s="128"/>
      <c r="B516" s="128"/>
      <c r="C516" s="128"/>
      <c r="D516" s="128"/>
      <c r="E516" s="128"/>
      <c r="F516" s="128"/>
    </row>
    <row r="517" spans="1:6" ht="30.95" hidden="1" customHeight="1">
      <c r="A517" s="622" t="s">
        <v>249</v>
      </c>
      <c r="B517" s="623"/>
      <c r="C517" s="623"/>
      <c r="D517" s="198" t="str">
        <f>표지!$O$3&amp;" "&amp;표지!$O$4</f>
        <v>20○○회합100○○○ 회생</v>
      </c>
      <c r="E517" s="160" t="s">
        <v>261</v>
      </c>
      <c r="F517" s="199" t="str">
        <f>표지!$O$5</f>
        <v>○○○○ 주식회사</v>
      </c>
    </row>
    <row r="518" spans="1:6" ht="30.95" hidden="1" customHeight="1">
      <c r="A518" s="624" t="s">
        <v>125</v>
      </c>
      <c r="B518" s="423"/>
      <c r="C518" s="423"/>
      <c r="D518" s="276">
        <v>58</v>
      </c>
      <c r="E518" s="170" t="s">
        <v>190</v>
      </c>
      <c r="F518" s="111"/>
    </row>
    <row r="519" spans="1:6" ht="30.95" hidden="1" customHeight="1">
      <c r="A519" s="625" t="s">
        <v>183</v>
      </c>
      <c r="B519" s="419" t="s">
        <v>118</v>
      </c>
      <c r="C519" s="420"/>
      <c r="D519" s="419" t="e">
        <f>VLOOKUP(D518,주주총괄!$A$5:$J$8,4,0)</f>
        <v>#N/A</v>
      </c>
      <c r="E519" s="420"/>
      <c r="F519" s="626"/>
    </row>
    <row r="520" spans="1:6" ht="30.95" hidden="1" customHeight="1">
      <c r="A520" s="625"/>
      <c r="B520" s="419" t="s">
        <v>250</v>
      </c>
      <c r="C520" s="420"/>
      <c r="D520" s="564" t="e">
        <f>VLOOKUP(D518,주주총괄!$A$5:$J$8,5,0)</f>
        <v>#N/A</v>
      </c>
      <c r="E520" s="565"/>
      <c r="F520" s="627"/>
    </row>
    <row r="521" spans="1:6" ht="30.95" hidden="1" customHeight="1">
      <c r="A521" s="625"/>
      <c r="B521" s="419" t="s">
        <v>23</v>
      </c>
      <c r="C521" s="420"/>
      <c r="D521" s="25"/>
      <c r="E521" s="62" t="s">
        <v>151</v>
      </c>
      <c r="F521" s="161"/>
    </row>
    <row r="522" spans="1:6" ht="30.95" hidden="1" customHeight="1">
      <c r="A522" s="210" t="s">
        <v>59</v>
      </c>
      <c r="B522" s="205" t="e">
        <f>VLOOKUP(D518,주주총괄!$A$5:$J$8,6,0)</f>
        <v>#N/A</v>
      </c>
      <c r="C522" s="274" t="e">
        <f>VLOOKUP(D518,주주총괄!$A$5:$J$8,7,0)</f>
        <v>#N/A</v>
      </c>
      <c r="D522" s="275" t="e">
        <f>VLOOKUP(D518,주주총괄!$A$5:$J$8,8,0)</f>
        <v>#N/A</v>
      </c>
      <c r="E522" s="620" t="str">
        <f>"(액면가액: "&amp;TEXT(주주총괄!$L$4,"###,###원)")</f>
        <v>(액면가액: 100원)</v>
      </c>
      <c r="F522" s="621"/>
    </row>
    <row r="523" spans="1:6" ht="30.95" hidden="1" customHeight="1">
      <c r="A523" s="211" t="s">
        <v>19</v>
      </c>
      <c r="B523" s="618"/>
      <c r="C523" s="618"/>
      <c r="D523" s="618"/>
      <c r="E523" s="618"/>
      <c r="F523" s="619"/>
    </row>
    <row r="524" spans="1:6" ht="30.95" hidden="1" customHeight="1">
      <c r="A524" s="612" t="s">
        <v>41</v>
      </c>
      <c r="B524" s="612"/>
      <c r="C524" s="612"/>
      <c r="D524" s="612"/>
      <c r="E524" s="612"/>
      <c r="F524" s="612"/>
    </row>
    <row r="525" spans="1:6" ht="30.95" hidden="1" customHeight="1">
      <c r="A525" s="128"/>
      <c r="B525" s="128"/>
      <c r="C525" s="128"/>
      <c r="D525" s="128"/>
      <c r="E525" s="128"/>
      <c r="F525" s="128"/>
    </row>
    <row r="526" spans="1:6" ht="30.95" hidden="1" customHeight="1">
      <c r="A526" s="622" t="s">
        <v>249</v>
      </c>
      <c r="B526" s="623"/>
      <c r="C526" s="623"/>
      <c r="D526" s="198" t="str">
        <f>표지!$O$3&amp;" "&amp;표지!$O$4</f>
        <v>20○○회합100○○○ 회생</v>
      </c>
      <c r="E526" s="160" t="s">
        <v>261</v>
      </c>
      <c r="F526" s="199" t="str">
        <f>표지!$O$5</f>
        <v>○○○○ 주식회사</v>
      </c>
    </row>
    <row r="527" spans="1:6" ht="30.95" hidden="1" customHeight="1">
      <c r="A527" s="624" t="s">
        <v>125</v>
      </c>
      <c r="B527" s="423"/>
      <c r="C527" s="423"/>
      <c r="D527" s="276">
        <v>59</v>
      </c>
      <c r="E527" s="170" t="s">
        <v>190</v>
      </c>
      <c r="F527" s="111"/>
    </row>
    <row r="528" spans="1:6" ht="30.95" hidden="1" customHeight="1">
      <c r="A528" s="625" t="s">
        <v>183</v>
      </c>
      <c r="B528" s="419" t="s">
        <v>118</v>
      </c>
      <c r="C528" s="420"/>
      <c r="D528" s="419" t="e">
        <f>VLOOKUP(D527,주주총괄!$A$5:$J$8,4,0)</f>
        <v>#N/A</v>
      </c>
      <c r="E528" s="420"/>
      <c r="F528" s="626"/>
    </row>
    <row r="529" spans="1:6" ht="30.95" hidden="1" customHeight="1">
      <c r="A529" s="625"/>
      <c r="B529" s="419" t="s">
        <v>250</v>
      </c>
      <c r="C529" s="420"/>
      <c r="D529" s="564" t="e">
        <f>VLOOKUP(D527,주주총괄!$A$5:$J$8,5,0)</f>
        <v>#N/A</v>
      </c>
      <c r="E529" s="565"/>
      <c r="F529" s="627"/>
    </row>
    <row r="530" spans="1:6" ht="30.95" hidden="1" customHeight="1">
      <c r="A530" s="625"/>
      <c r="B530" s="419" t="s">
        <v>23</v>
      </c>
      <c r="C530" s="420"/>
      <c r="D530" s="25"/>
      <c r="E530" s="62" t="s">
        <v>151</v>
      </c>
      <c r="F530" s="161"/>
    </row>
    <row r="531" spans="1:6" ht="30.95" hidden="1" customHeight="1">
      <c r="A531" s="210" t="s">
        <v>59</v>
      </c>
      <c r="B531" s="205" t="e">
        <f>VLOOKUP(D527,주주총괄!$A$5:$J$8,6,0)</f>
        <v>#N/A</v>
      </c>
      <c r="C531" s="274" t="e">
        <f>VLOOKUP(D527,주주총괄!$A$5:$J$8,7,0)</f>
        <v>#N/A</v>
      </c>
      <c r="D531" s="275" t="e">
        <f>VLOOKUP(D527,주주총괄!$A$5:$J$8,8,0)</f>
        <v>#N/A</v>
      </c>
      <c r="E531" s="620" t="str">
        <f>"(액면가액: "&amp;TEXT(주주총괄!$L$4,"###,###원)")</f>
        <v>(액면가액: 100원)</v>
      </c>
      <c r="F531" s="621"/>
    </row>
    <row r="532" spans="1:6" ht="30.95" hidden="1" customHeight="1">
      <c r="A532" s="211" t="s">
        <v>19</v>
      </c>
      <c r="B532" s="618"/>
      <c r="C532" s="618"/>
      <c r="D532" s="618"/>
      <c r="E532" s="618"/>
      <c r="F532" s="619"/>
    </row>
    <row r="533" spans="1:6" ht="30.95" hidden="1" customHeight="1">
      <c r="A533" s="612" t="s">
        <v>41</v>
      </c>
      <c r="B533" s="612"/>
      <c r="C533" s="612"/>
      <c r="D533" s="612"/>
      <c r="E533" s="612"/>
      <c r="F533" s="612"/>
    </row>
    <row r="534" spans="1:6" ht="30.95" hidden="1" customHeight="1">
      <c r="A534" s="128"/>
      <c r="B534" s="128"/>
      <c r="C534" s="128"/>
      <c r="D534" s="128"/>
      <c r="E534" s="128"/>
      <c r="F534" s="128"/>
    </row>
    <row r="535" spans="1:6" ht="30.95" hidden="1" customHeight="1">
      <c r="A535" s="622" t="s">
        <v>249</v>
      </c>
      <c r="B535" s="623"/>
      <c r="C535" s="623"/>
      <c r="D535" s="198" t="str">
        <f>표지!$O$3&amp;" "&amp;표지!$O$4</f>
        <v>20○○회합100○○○ 회생</v>
      </c>
      <c r="E535" s="160" t="s">
        <v>261</v>
      </c>
      <c r="F535" s="199" t="str">
        <f>표지!$O$5</f>
        <v>○○○○ 주식회사</v>
      </c>
    </row>
    <row r="536" spans="1:6" ht="30.95" hidden="1" customHeight="1">
      <c r="A536" s="624" t="s">
        <v>125</v>
      </c>
      <c r="B536" s="423"/>
      <c r="C536" s="423"/>
      <c r="D536" s="276">
        <v>60</v>
      </c>
      <c r="E536" s="170" t="s">
        <v>190</v>
      </c>
      <c r="F536" s="111"/>
    </row>
    <row r="537" spans="1:6" ht="30.95" hidden="1" customHeight="1">
      <c r="A537" s="625" t="s">
        <v>183</v>
      </c>
      <c r="B537" s="419" t="s">
        <v>118</v>
      </c>
      <c r="C537" s="420"/>
      <c r="D537" s="419" t="e">
        <f>VLOOKUP(D536,주주총괄!$A$5:$J$8,4,0)</f>
        <v>#N/A</v>
      </c>
      <c r="E537" s="420"/>
      <c r="F537" s="626"/>
    </row>
    <row r="538" spans="1:6" ht="30.95" hidden="1" customHeight="1">
      <c r="A538" s="625"/>
      <c r="B538" s="419" t="s">
        <v>250</v>
      </c>
      <c r="C538" s="420"/>
      <c r="D538" s="564" t="e">
        <f>VLOOKUP(D536,주주총괄!$A$5:$J$8,5,0)</f>
        <v>#N/A</v>
      </c>
      <c r="E538" s="565"/>
      <c r="F538" s="627"/>
    </row>
    <row r="539" spans="1:6" ht="30.95" hidden="1" customHeight="1">
      <c r="A539" s="625"/>
      <c r="B539" s="419" t="s">
        <v>23</v>
      </c>
      <c r="C539" s="420"/>
      <c r="D539" s="25"/>
      <c r="E539" s="62" t="s">
        <v>151</v>
      </c>
      <c r="F539" s="161"/>
    </row>
    <row r="540" spans="1:6" ht="30.95" hidden="1" customHeight="1">
      <c r="A540" s="210" t="s">
        <v>59</v>
      </c>
      <c r="B540" s="205" t="e">
        <f>VLOOKUP(D536,주주총괄!$A$5:$J$8,6,0)</f>
        <v>#N/A</v>
      </c>
      <c r="C540" s="274" t="e">
        <f>VLOOKUP(D536,주주총괄!$A$5:$J$8,7,0)</f>
        <v>#N/A</v>
      </c>
      <c r="D540" s="275" t="e">
        <f>VLOOKUP(D536,주주총괄!$A$5:$J$8,8,0)</f>
        <v>#N/A</v>
      </c>
      <c r="E540" s="620" t="str">
        <f>"(액면가액: "&amp;TEXT(주주총괄!$L$4,"###,###원)")</f>
        <v>(액면가액: 100원)</v>
      </c>
      <c r="F540" s="621"/>
    </row>
    <row r="541" spans="1:6" ht="30.95" hidden="1" customHeight="1">
      <c r="A541" s="211" t="s">
        <v>19</v>
      </c>
      <c r="B541" s="618"/>
      <c r="C541" s="618"/>
      <c r="D541" s="618"/>
      <c r="E541" s="618"/>
      <c r="F541" s="619"/>
    </row>
    <row r="542" spans="1:6" ht="30.95" hidden="1" customHeight="1">
      <c r="A542" s="612" t="s">
        <v>41</v>
      </c>
      <c r="B542" s="612"/>
      <c r="C542" s="612"/>
      <c r="D542" s="612"/>
      <c r="E542" s="612"/>
      <c r="F542" s="612"/>
    </row>
    <row r="543" spans="1:6" ht="30.95" hidden="1" customHeight="1">
      <c r="A543" s="128"/>
      <c r="B543" s="128"/>
      <c r="C543" s="128"/>
      <c r="D543" s="128"/>
      <c r="E543" s="128"/>
      <c r="F543" s="128"/>
    </row>
    <row r="544" spans="1:6" ht="30.95" hidden="1" customHeight="1">
      <c r="A544" s="622" t="s">
        <v>249</v>
      </c>
      <c r="B544" s="623"/>
      <c r="C544" s="623"/>
      <c r="D544" s="198" t="str">
        <f>표지!$O$3&amp;" "&amp;표지!$O$4</f>
        <v>20○○회합100○○○ 회생</v>
      </c>
      <c r="E544" s="160" t="s">
        <v>261</v>
      </c>
      <c r="F544" s="199" t="str">
        <f>표지!$O$5</f>
        <v>○○○○ 주식회사</v>
      </c>
    </row>
    <row r="545" spans="1:6" ht="30.95" hidden="1" customHeight="1">
      <c r="A545" s="624" t="s">
        <v>125</v>
      </c>
      <c r="B545" s="423"/>
      <c r="C545" s="423"/>
      <c r="D545" s="276">
        <v>61</v>
      </c>
      <c r="E545" s="170" t="s">
        <v>190</v>
      </c>
      <c r="F545" s="111"/>
    </row>
    <row r="546" spans="1:6" ht="30.95" hidden="1" customHeight="1">
      <c r="A546" s="625" t="s">
        <v>183</v>
      </c>
      <c r="B546" s="419" t="s">
        <v>118</v>
      </c>
      <c r="C546" s="420"/>
      <c r="D546" s="419" t="e">
        <f>VLOOKUP(D545,주주총괄!$A$5:$J$8,4,0)</f>
        <v>#N/A</v>
      </c>
      <c r="E546" s="420"/>
      <c r="F546" s="626"/>
    </row>
    <row r="547" spans="1:6" ht="30.95" hidden="1" customHeight="1">
      <c r="A547" s="625"/>
      <c r="B547" s="419" t="s">
        <v>250</v>
      </c>
      <c r="C547" s="420"/>
      <c r="D547" s="564" t="e">
        <f>VLOOKUP(D545,주주총괄!$A$5:$J$8,5,0)</f>
        <v>#N/A</v>
      </c>
      <c r="E547" s="565"/>
      <c r="F547" s="627"/>
    </row>
    <row r="548" spans="1:6" ht="30.95" hidden="1" customHeight="1">
      <c r="A548" s="625"/>
      <c r="B548" s="419" t="s">
        <v>23</v>
      </c>
      <c r="C548" s="420"/>
      <c r="D548" s="25"/>
      <c r="E548" s="62" t="s">
        <v>151</v>
      </c>
      <c r="F548" s="161"/>
    </row>
    <row r="549" spans="1:6" ht="30.95" hidden="1" customHeight="1">
      <c r="A549" s="210" t="s">
        <v>59</v>
      </c>
      <c r="B549" s="205" t="e">
        <f>VLOOKUP(D545,주주총괄!$A$5:$J$8,6,0)</f>
        <v>#N/A</v>
      </c>
      <c r="C549" s="274" t="e">
        <f>VLOOKUP(D545,주주총괄!$A$5:$J$8,7,0)</f>
        <v>#N/A</v>
      </c>
      <c r="D549" s="275" t="e">
        <f>VLOOKUP(D545,주주총괄!$A$5:$J$8,8,0)</f>
        <v>#N/A</v>
      </c>
      <c r="E549" s="620" t="str">
        <f>"(액면가액: "&amp;TEXT(주주총괄!$L$4,"###,###원)")</f>
        <v>(액면가액: 100원)</v>
      </c>
      <c r="F549" s="621"/>
    </row>
    <row r="550" spans="1:6" ht="30.95" hidden="1" customHeight="1">
      <c r="A550" s="211" t="s">
        <v>19</v>
      </c>
      <c r="B550" s="618"/>
      <c r="C550" s="618"/>
      <c r="D550" s="618"/>
      <c r="E550" s="618"/>
      <c r="F550" s="619"/>
    </row>
    <row r="551" spans="1:6" ht="30.95" hidden="1" customHeight="1">
      <c r="A551" s="612" t="s">
        <v>41</v>
      </c>
      <c r="B551" s="612"/>
      <c r="C551" s="612"/>
      <c r="D551" s="612"/>
      <c r="E551" s="612"/>
      <c r="F551" s="612"/>
    </row>
    <row r="552" spans="1:6" ht="30.95" hidden="1" customHeight="1">
      <c r="A552" s="128"/>
      <c r="B552" s="128"/>
      <c r="C552" s="128"/>
      <c r="D552" s="128"/>
      <c r="E552" s="128"/>
      <c r="F552" s="128"/>
    </row>
    <row r="553" spans="1:6" ht="30.95" hidden="1" customHeight="1">
      <c r="A553" s="622" t="s">
        <v>249</v>
      </c>
      <c r="B553" s="623"/>
      <c r="C553" s="623"/>
      <c r="D553" s="198" t="str">
        <f>표지!$O$3&amp;" "&amp;표지!$O$4</f>
        <v>20○○회합100○○○ 회생</v>
      </c>
      <c r="E553" s="160" t="s">
        <v>261</v>
      </c>
      <c r="F553" s="199" t="str">
        <f>표지!$O$5</f>
        <v>○○○○ 주식회사</v>
      </c>
    </row>
    <row r="554" spans="1:6" ht="30.95" hidden="1" customHeight="1">
      <c r="A554" s="624" t="s">
        <v>125</v>
      </c>
      <c r="B554" s="423"/>
      <c r="C554" s="423"/>
      <c r="D554" s="276">
        <v>62</v>
      </c>
      <c r="E554" s="170" t="s">
        <v>190</v>
      </c>
      <c r="F554" s="111"/>
    </row>
    <row r="555" spans="1:6" ht="30.95" hidden="1" customHeight="1">
      <c r="A555" s="625" t="s">
        <v>183</v>
      </c>
      <c r="B555" s="419" t="s">
        <v>118</v>
      </c>
      <c r="C555" s="420"/>
      <c r="D555" s="419" t="e">
        <f>VLOOKUP(D554,주주총괄!$A$5:$J$8,4,0)</f>
        <v>#N/A</v>
      </c>
      <c r="E555" s="420"/>
      <c r="F555" s="626"/>
    </row>
    <row r="556" spans="1:6" ht="30.95" hidden="1" customHeight="1">
      <c r="A556" s="625"/>
      <c r="B556" s="419" t="s">
        <v>250</v>
      </c>
      <c r="C556" s="420"/>
      <c r="D556" s="564" t="e">
        <f>VLOOKUP(D554,주주총괄!$A$5:$J$8,5,0)</f>
        <v>#N/A</v>
      </c>
      <c r="E556" s="565"/>
      <c r="F556" s="627"/>
    </row>
    <row r="557" spans="1:6" ht="30.95" hidden="1" customHeight="1">
      <c r="A557" s="625"/>
      <c r="B557" s="419" t="s">
        <v>23</v>
      </c>
      <c r="C557" s="420"/>
      <c r="D557" s="25"/>
      <c r="E557" s="62" t="s">
        <v>151</v>
      </c>
      <c r="F557" s="161"/>
    </row>
    <row r="558" spans="1:6" ht="30.95" hidden="1" customHeight="1">
      <c r="A558" s="210" t="s">
        <v>59</v>
      </c>
      <c r="B558" s="205" t="e">
        <f>VLOOKUP(D554,주주총괄!$A$5:$J$8,6,0)</f>
        <v>#N/A</v>
      </c>
      <c r="C558" s="274" t="e">
        <f>VLOOKUP(D554,주주총괄!$A$5:$J$8,7,0)</f>
        <v>#N/A</v>
      </c>
      <c r="D558" s="275" t="e">
        <f>VLOOKUP(D554,주주총괄!$A$5:$J$8,8,0)</f>
        <v>#N/A</v>
      </c>
      <c r="E558" s="620" t="str">
        <f>"(액면가액: "&amp;TEXT(주주총괄!$L$4,"###,###원)")</f>
        <v>(액면가액: 100원)</v>
      </c>
      <c r="F558" s="621"/>
    </row>
    <row r="559" spans="1:6" ht="30.95" hidden="1" customHeight="1">
      <c r="A559" s="211" t="s">
        <v>19</v>
      </c>
      <c r="B559" s="618"/>
      <c r="C559" s="618"/>
      <c r="D559" s="618"/>
      <c r="E559" s="618"/>
      <c r="F559" s="619"/>
    </row>
    <row r="560" spans="1:6" ht="30.95" hidden="1" customHeight="1">
      <c r="A560" s="612" t="s">
        <v>41</v>
      </c>
      <c r="B560" s="612"/>
      <c r="C560" s="612"/>
      <c r="D560" s="612"/>
      <c r="E560" s="612"/>
      <c r="F560" s="612"/>
    </row>
    <row r="561" spans="1:6" ht="30.95" hidden="1" customHeight="1">
      <c r="A561" s="128"/>
      <c r="B561" s="128"/>
      <c r="C561" s="128"/>
      <c r="D561" s="128"/>
      <c r="E561" s="128"/>
      <c r="F561" s="128"/>
    </row>
    <row r="562" spans="1:6" ht="30.95" hidden="1" customHeight="1">
      <c r="A562" s="622" t="s">
        <v>249</v>
      </c>
      <c r="B562" s="623"/>
      <c r="C562" s="623"/>
      <c r="D562" s="198" t="str">
        <f>표지!$O$3&amp;" "&amp;표지!$O$4</f>
        <v>20○○회합100○○○ 회생</v>
      </c>
      <c r="E562" s="160" t="s">
        <v>261</v>
      </c>
      <c r="F562" s="199" t="str">
        <f>표지!$O$5</f>
        <v>○○○○ 주식회사</v>
      </c>
    </row>
    <row r="563" spans="1:6" ht="30.95" hidden="1" customHeight="1">
      <c r="A563" s="624" t="s">
        <v>125</v>
      </c>
      <c r="B563" s="423"/>
      <c r="C563" s="423"/>
      <c r="D563" s="276">
        <v>63</v>
      </c>
      <c r="E563" s="170" t="s">
        <v>190</v>
      </c>
      <c r="F563" s="111"/>
    </row>
    <row r="564" spans="1:6" ht="30.95" hidden="1" customHeight="1">
      <c r="A564" s="625" t="s">
        <v>183</v>
      </c>
      <c r="B564" s="419" t="s">
        <v>118</v>
      </c>
      <c r="C564" s="420"/>
      <c r="D564" s="419" t="e">
        <f>VLOOKUP(D563,주주총괄!$A$5:$J$8,4,0)</f>
        <v>#N/A</v>
      </c>
      <c r="E564" s="420"/>
      <c r="F564" s="626"/>
    </row>
    <row r="565" spans="1:6" ht="30.95" hidden="1" customHeight="1">
      <c r="A565" s="625"/>
      <c r="B565" s="419" t="s">
        <v>250</v>
      </c>
      <c r="C565" s="420"/>
      <c r="D565" s="564" t="e">
        <f>VLOOKUP(D563,주주총괄!$A$5:$J$8,5,0)</f>
        <v>#N/A</v>
      </c>
      <c r="E565" s="565"/>
      <c r="F565" s="627"/>
    </row>
    <row r="566" spans="1:6" ht="30.95" hidden="1" customHeight="1">
      <c r="A566" s="625"/>
      <c r="B566" s="419" t="s">
        <v>23</v>
      </c>
      <c r="C566" s="420"/>
      <c r="D566" s="25"/>
      <c r="E566" s="62" t="s">
        <v>151</v>
      </c>
      <c r="F566" s="161"/>
    </row>
    <row r="567" spans="1:6" ht="30.95" hidden="1" customHeight="1">
      <c r="A567" s="210" t="s">
        <v>59</v>
      </c>
      <c r="B567" s="205" t="e">
        <f>VLOOKUP(D563,주주총괄!$A$5:$J$8,6,0)</f>
        <v>#N/A</v>
      </c>
      <c r="C567" s="274" t="e">
        <f>VLOOKUP(D563,주주총괄!$A$5:$J$8,7,0)</f>
        <v>#N/A</v>
      </c>
      <c r="D567" s="275" t="e">
        <f>VLOOKUP(D563,주주총괄!$A$5:$J$8,8,0)</f>
        <v>#N/A</v>
      </c>
      <c r="E567" s="620" t="str">
        <f>"(액면가액: "&amp;TEXT(주주총괄!$L$4,"###,###원)")</f>
        <v>(액면가액: 100원)</v>
      </c>
      <c r="F567" s="621"/>
    </row>
    <row r="568" spans="1:6" ht="30.95" hidden="1" customHeight="1">
      <c r="A568" s="211" t="s">
        <v>19</v>
      </c>
      <c r="B568" s="618"/>
      <c r="C568" s="618"/>
      <c r="D568" s="618"/>
      <c r="E568" s="618"/>
      <c r="F568" s="619"/>
    </row>
    <row r="569" spans="1:6" ht="30.95" hidden="1" customHeight="1">
      <c r="A569" s="612" t="s">
        <v>41</v>
      </c>
      <c r="B569" s="612"/>
      <c r="C569" s="612"/>
      <c r="D569" s="612"/>
      <c r="E569" s="612"/>
      <c r="F569" s="612"/>
    </row>
    <row r="570" spans="1:6" ht="30.95" hidden="1" customHeight="1">
      <c r="A570" s="128"/>
      <c r="B570" s="128"/>
      <c r="C570" s="128"/>
      <c r="D570" s="128"/>
      <c r="E570" s="128"/>
      <c r="F570" s="128"/>
    </row>
    <row r="571" spans="1:6" ht="30.95" hidden="1" customHeight="1">
      <c r="A571" s="622" t="s">
        <v>249</v>
      </c>
      <c r="B571" s="623"/>
      <c r="C571" s="623"/>
      <c r="D571" s="198" t="str">
        <f>표지!$O$3&amp;" "&amp;표지!$O$4</f>
        <v>20○○회합100○○○ 회생</v>
      </c>
      <c r="E571" s="160" t="s">
        <v>261</v>
      </c>
      <c r="F571" s="199" t="str">
        <f>표지!$O$5</f>
        <v>○○○○ 주식회사</v>
      </c>
    </row>
    <row r="572" spans="1:6" ht="30.95" hidden="1" customHeight="1">
      <c r="A572" s="624" t="s">
        <v>125</v>
      </c>
      <c r="B572" s="423"/>
      <c r="C572" s="423"/>
      <c r="D572" s="276">
        <v>64</v>
      </c>
      <c r="E572" s="170" t="s">
        <v>190</v>
      </c>
      <c r="F572" s="111"/>
    </row>
    <row r="573" spans="1:6" ht="30.95" hidden="1" customHeight="1">
      <c r="A573" s="625" t="s">
        <v>183</v>
      </c>
      <c r="B573" s="419" t="s">
        <v>118</v>
      </c>
      <c r="C573" s="420"/>
      <c r="D573" s="419" t="e">
        <f>VLOOKUP(D572,주주총괄!$A$5:$J$8,4,0)</f>
        <v>#N/A</v>
      </c>
      <c r="E573" s="420"/>
      <c r="F573" s="626"/>
    </row>
    <row r="574" spans="1:6" ht="30.95" hidden="1" customHeight="1">
      <c r="A574" s="625"/>
      <c r="B574" s="419" t="s">
        <v>250</v>
      </c>
      <c r="C574" s="420"/>
      <c r="D574" s="564" t="e">
        <f>VLOOKUP(D572,주주총괄!$A$5:$J$8,5,0)</f>
        <v>#N/A</v>
      </c>
      <c r="E574" s="565"/>
      <c r="F574" s="627"/>
    </row>
    <row r="575" spans="1:6" ht="30.95" hidden="1" customHeight="1">
      <c r="A575" s="625"/>
      <c r="B575" s="419" t="s">
        <v>23</v>
      </c>
      <c r="C575" s="420"/>
      <c r="D575" s="25"/>
      <c r="E575" s="62" t="s">
        <v>151</v>
      </c>
      <c r="F575" s="161"/>
    </row>
    <row r="576" spans="1:6" ht="30.95" hidden="1" customHeight="1">
      <c r="A576" s="210" t="s">
        <v>59</v>
      </c>
      <c r="B576" s="205" t="e">
        <f>VLOOKUP(D572,주주총괄!$A$5:$J$8,6,0)</f>
        <v>#N/A</v>
      </c>
      <c r="C576" s="274" t="e">
        <f>VLOOKUP(D572,주주총괄!$A$5:$J$8,7,0)</f>
        <v>#N/A</v>
      </c>
      <c r="D576" s="275" t="e">
        <f>VLOOKUP(D572,주주총괄!$A$5:$J$8,8,0)</f>
        <v>#N/A</v>
      </c>
      <c r="E576" s="620" t="str">
        <f>"(액면가액: "&amp;TEXT(주주총괄!$L$4,"###,###원)")</f>
        <v>(액면가액: 100원)</v>
      </c>
      <c r="F576" s="621"/>
    </row>
    <row r="577" spans="1:6" ht="30.95" hidden="1" customHeight="1">
      <c r="A577" s="211" t="s">
        <v>19</v>
      </c>
      <c r="B577" s="618"/>
      <c r="C577" s="618"/>
      <c r="D577" s="618"/>
      <c r="E577" s="618"/>
      <c r="F577" s="619"/>
    </row>
    <row r="578" spans="1:6" ht="30.95" hidden="1" customHeight="1">
      <c r="A578" s="612" t="s">
        <v>41</v>
      </c>
      <c r="B578" s="612"/>
      <c r="C578" s="612"/>
      <c r="D578" s="612"/>
      <c r="E578" s="612"/>
      <c r="F578" s="612"/>
    </row>
    <row r="579" spans="1:6" ht="30.95" hidden="1" customHeight="1">
      <c r="A579" s="128"/>
      <c r="B579" s="128"/>
      <c r="C579" s="128"/>
      <c r="D579" s="128"/>
      <c r="E579" s="128"/>
      <c r="F579" s="128"/>
    </row>
    <row r="580" spans="1:6" ht="30.95" hidden="1" customHeight="1">
      <c r="A580" s="622" t="s">
        <v>249</v>
      </c>
      <c r="B580" s="623"/>
      <c r="C580" s="623"/>
      <c r="D580" s="198" t="str">
        <f>표지!$O$3&amp;" "&amp;표지!$O$4</f>
        <v>20○○회합100○○○ 회생</v>
      </c>
      <c r="E580" s="160" t="s">
        <v>261</v>
      </c>
      <c r="F580" s="199" t="str">
        <f>표지!$O$5</f>
        <v>○○○○ 주식회사</v>
      </c>
    </row>
    <row r="581" spans="1:6" ht="30.95" hidden="1" customHeight="1">
      <c r="A581" s="624" t="s">
        <v>125</v>
      </c>
      <c r="B581" s="423"/>
      <c r="C581" s="423"/>
      <c r="D581" s="276">
        <v>65</v>
      </c>
      <c r="E581" s="170" t="s">
        <v>190</v>
      </c>
      <c r="F581" s="111"/>
    </row>
    <row r="582" spans="1:6" ht="30.95" hidden="1" customHeight="1">
      <c r="A582" s="625" t="s">
        <v>183</v>
      </c>
      <c r="B582" s="419" t="s">
        <v>118</v>
      </c>
      <c r="C582" s="420"/>
      <c r="D582" s="419" t="e">
        <f>VLOOKUP(D581,주주총괄!$A$5:$J$8,4,0)</f>
        <v>#N/A</v>
      </c>
      <c r="E582" s="420"/>
      <c r="F582" s="626"/>
    </row>
    <row r="583" spans="1:6" ht="30.95" hidden="1" customHeight="1">
      <c r="A583" s="625"/>
      <c r="B583" s="419" t="s">
        <v>250</v>
      </c>
      <c r="C583" s="420"/>
      <c r="D583" s="564" t="e">
        <f>VLOOKUP(D581,주주총괄!$A$5:$J$8,5,0)</f>
        <v>#N/A</v>
      </c>
      <c r="E583" s="565"/>
      <c r="F583" s="627"/>
    </row>
    <row r="584" spans="1:6" ht="30.95" hidden="1" customHeight="1">
      <c r="A584" s="625"/>
      <c r="B584" s="419" t="s">
        <v>23</v>
      </c>
      <c r="C584" s="420"/>
      <c r="D584" s="25"/>
      <c r="E584" s="62" t="s">
        <v>151</v>
      </c>
      <c r="F584" s="161"/>
    </row>
    <row r="585" spans="1:6" ht="30.95" hidden="1" customHeight="1">
      <c r="A585" s="210" t="s">
        <v>59</v>
      </c>
      <c r="B585" s="205" t="e">
        <f>VLOOKUP(D581,주주총괄!$A$5:$J$8,6,0)</f>
        <v>#N/A</v>
      </c>
      <c r="C585" s="274" t="e">
        <f>VLOOKUP(D581,주주총괄!$A$5:$J$8,7,0)</f>
        <v>#N/A</v>
      </c>
      <c r="D585" s="275" t="e">
        <f>VLOOKUP(D581,주주총괄!$A$5:$J$8,8,0)</f>
        <v>#N/A</v>
      </c>
      <c r="E585" s="620" t="str">
        <f>"(액면가액: "&amp;TEXT(주주총괄!$L$4,"###,###원)")</f>
        <v>(액면가액: 100원)</v>
      </c>
      <c r="F585" s="621"/>
    </row>
    <row r="586" spans="1:6" ht="30.95" hidden="1" customHeight="1">
      <c r="A586" s="211" t="s">
        <v>19</v>
      </c>
      <c r="B586" s="618"/>
      <c r="C586" s="618"/>
      <c r="D586" s="618"/>
      <c r="E586" s="618"/>
      <c r="F586" s="619"/>
    </row>
    <row r="587" spans="1:6" ht="30.95" hidden="1" customHeight="1">
      <c r="A587" s="612" t="s">
        <v>41</v>
      </c>
      <c r="B587" s="612"/>
      <c r="C587" s="612"/>
      <c r="D587" s="612"/>
      <c r="E587" s="612"/>
      <c r="F587" s="612"/>
    </row>
    <row r="588" spans="1:6" ht="30.95" hidden="1" customHeight="1">
      <c r="A588" s="128"/>
      <c r="B588" s="128"/>
      <c r="C588" s="128"/>
      <c r="D588" s="128"/>
      <c r="E588" s="128"/>
      <c r="F588" s="128"/>
    </row>
    <row r="589" spans="1:6" ht="30.95" hidden="1" customHeight="1">
      <c r="A589" s="622" t="s">
        <v>249</v>
      </c>
      <c r="B589" s="623"/>
      <c r="C589" s="623"/>
      <c r="D589" s="198" t="str">
        <f>표지!$O$3&amp;" "&amp;표지!$O$4</f>
        <v>20○○회합100○○○ 회생</v>
      </c>
      <c r="E589" s="160" t="s">
        <v>261</v>
      </c>
      <c r="F589" s="199" t="str">
        <f>표지!$O$5</f>
        <v>○○○○ 주식회사</v>
      </c>
    </row>
    <row r="590" spans="1:6" ht="30.95" hidden="1" customHeight="1">
      <c r="A590" s="624" t="s">
        <v>125</v>
      </c>
      <c r="B590" s="423"/>
      <c r="C590" s="423"/>
      <c r="D590" s="276">
        <v>66</v>
      </c>
      <c r="E590" s="170" t="s">
        <v>190</v>
      </c>
      <c r="F590" s="111"/>
    </row>
    <row r="591" spans="1:6" ht="30.95" hidden="1" customHeight="1">
      <c r="A591" s="625" t="s">
        <v>183</v>
      </c>
      <c r="B591" s="419" t="s">
        <v>118</v>
      </c>
      <c r="C591" s="420"/>
      <c r="D591" s="419" t="e">
        <f>VLOOKUP(D590,주주총괄!$A$5:$J$8,4,0)</f>
        <v>#N/A</v>
      </c>
      <c r="E591" s="420"/>
      <c r="F591" s="626"/>
    </row>
    <row r="592" spans="1:6" ht="30.95" hidden="1" customHeight="1">
      <c r="A592" s="625"/>
      <c r="B592" s="419" t="s">
        <v>250</v>
      </c>
      <c r="C592" s="420"/>
      <c r="D592" s="564" t="e">
        <f>VLOOKUP(D590,주주총괄!$A$5:$J$8,5,0)</f>
        <v>#N/A</v>
      </c>
      <c r="E592" s="565"/>
      <c r="F592" s="627"/>
    </row>
    <row r="593" spans="1:6" ht="30.95" hidden="1" customHeight="1">
      <c r="A593" s="625"/>
      <c r="B593" s="419" t="s">
        <v>23</v>
      </c>
      <c r="C593" s="420"/>
      <c r="D593" s="25"/>
      <c r="E593" s="62" t="s">
        <v>151</v>
      </c>
      <c r="F593" s="161"/>
    </row>
    <row r="594" spans="1:6" ht="30.95" hidden="1" customHeight="1">
      <c r="A594" s="210" t="s">
        <v>59</v>
      </c>
      <c r="B594" s="205" t="e">
        <f>VLOOKUP(D590,주주총괄!$A$5:$J$8,6,0)</f>
        <v>#N/A</v>
      </c>
      <c r="C594" s="274" t="e">
        <f>VLOOKUP(D590,주주총괄!$A$5:$J$8,7,0)</f>
        <v>#N/A</v>
      </c>
      <c r="D594" s="275" t="e">
        <f>VLOOKUP(D590,주주총괄!$A$5:$J$8,8,0)</f>
        <v>#N/A</v>
      </c>
      <c r="E594" s="620" t="str">
        <f>"(액면가액: "&amp;TEXT(주주총괄!$L$4,"###,###원)")</f>
        <v>(액면가액: 100원)</v>
      </c>
      <c r="F594" s="621"/>
    </row>
    <row r="595" spans="1:6" ht="30.95" hidden="1" customHeight="1">
      <c r="A595" s="211" t="s">
        <v>19</v>
      </c>
      <c r="B595" s="618"/>
      <c r="C595" s="618"/>
      <c r="D595" s="618"/>
      <c r="E595" s="618"/>
      <c r="F595" s="619"/>
    </row>
    <row r="596" spans="1:6" ht="30.95" hidden="1" customHeight="1">
      <c r="A596" s="612" t="s">
        <v>41</v>
      </c>
      <c r="B596" s="612"/>
      <c r="C596" s="612"/>
      <c r="D596" s="612"/>
      <c r="E596" s="612"/>
      <c r="F596" s="612"/>
    </row>
    <row r="597" spans="1:6" ht="30.95" hidden="1" customHeight="1">
      <c r="A597" s="128"/>
      <c r="B597" s="128"/>
      <c r="C597" s="128"/>
      <c r="D597" s="128"/>
      <c r="E597" s="128"/>
      <c r="F597" s="128"/>
    </row>
    <row r="598" spans="1:6" ht="30.95" hidden="1" customHeight="1">
      <c r="A598" s="622" t="s">
        <v>249</v>
      </c>
      <c r="B598" s="623"/>
      <c r="C598" s="623"/>
      <c r="D598" s="198" t="str">
        <f>표지!$O$3&amp;" "&amp;표지!$O$4</f>
        <v>20○○회합100○○○ 회생</v>
      </c>
      <c r="E598" s="160" t="s">
        <v>261</v>
      </c>
      <c r="F598" s="199" t="str">
        <f>표지!$O$5</f>
        <v>○○○○ 주식회사</v>
      </c>
    </row>
    <row r="599" spans="1:6" ht="30.95" hidden="1" customHeight="1">
      <c r="A599" s="624" t="s">
        <v>125</v>
      </c>
      <c r="B599" s="423"/>
      <c r="C599" s="423"/>
      <c r="D599" s="276">
        <v>67</v>
      </c>
      <c r="E599" s="170" t="s">
        <v>190</v>
      </c>
      <c r="F599" s="111"/>
    </row>
    <row r="600" spans="1:6" ht="30.95" hidden="1" customHeight="1">
      <c r="A600" s="625" t="s">
        <v>183</v>
      </c>
      <c r="B600" s="419" t="s">
        <v>118</v>
      </c>
      <c r="C600" s="420"/>
      <c r="D600" s="419" t="e">
        <f>VLOOKUP(D599,주주총괄!$A$5:$J$8,4,0)</f>
        <v>#N/A</v>
      </c>
      <c r="E600" s="420"/>
      <c r="F600" s="626"/>
    </row>
    <row r="601" spans="1:6" ht="30.95" hidden="1" customHeight="1">
      <c r="A601" s="625"/>
      <c r="B601" s="419" t="s">
        <v>250</v>
      </c>
      <c r="C601" s="420"/>
      <c r="D601" s="564" t="e">
        <f>VLOOKUP(D599,주주총괄!$A$5:$J$8,5,0)</f>
        <v>#N/A</v>
      </c>
      <c r="E601" s="565"/>
      <c r="F601" s="627"/>
    </row>
    <row r="602" spans="1:6" ht="30.95" hidden="1" customHeight="1">
      <c r="A602" s="625"/>
      <c r="B602" s="419" t="s">
        <v>23</v>
      </c>
      <c r="C602" s="420"/>
      <c r="D602" s="25"/>
      <c r="E602" s="62" t="s">
        <v>151</v>
      </c>
      <c r="F602" s="161"/>
    </row>
    <row r="603" spans="1:6" ht="30.95" hidden="1" customHeight="1">
      <c r="A603" s="210" t="s">
        <v>59</v>
      </c>
      <c r="B603" s="205" t="e">
        <f>VLOOKUP(D599,주주총괄!$A$5:$J$8,6,0)</f>
        <v>#N/A</v>
      </c>
      <c r="C603" s="274" t="e">
        <f>VLOOKUP(D599,주주총괄!$A$5:$J$8,7,0)</f>
        <v>#N/A</v>
      </c>
      <c r="D603" s="275" t="e">
        <f>VLOOKUP(D599,주주총괄!$A$5:$J$8,8,0)</f>
        <v>#N/A</v>
      </c>
      <c r="E603" s="620" t="str">
        <f>"(액면가액: "&amp;TEXT(주주총괄!$L$4,"###,###원)")</f>
        <v>(액면가액: 100원)</v>
      </c>
      <c r="F603" s="621"/>
    </row>
    <row r="604" spans="1:6" ht="30.95" hidden="1" customHeight="1">
      <c r="A604" s="211" t="s">
        <v>19</v>
      </c>
      <c r="B604" s="618"/>
      <c r="C604" s="618"/>
      <c r="D604" s="618"/>
      <c r="E604" s="618"/>
      <c r="F604" s="619"/>
    </row>
    <row r="605" spans="1:6" ht="30.95" hidden="1" customHeight="1">
      <c r="A605" s="612" t="s">
        <v>41</v>
      </c>
      <c r="B605" s="612"/>
      <c r="C605" s="612"/>
      <c r="D605" s="612"/>
      <c r="E605" s="612"/>
      <c r="F605" s="612"/>
    </row>
    <row r="606" spans="1:6" ht="30.95" hidden="1" customHeight="1">
      <c r="A606" s="128"/>
      <c r="B606" s="128"/>
      <c r="C606" s="128"/>
      <c r="D606" s="128"/>
      <c r="E606" s="128"/>
      <c r="F606" s="128"/>
    </row>
    <row r="607" spans="1:6" ht="30.95" hidden="1" customHeight="1">
      <c r="A607" s="622" t="s">
        <v>249</v>
      </c>
      <c r="B607" s="623"/>
      <c r="C607" s="623"/>
      <c r="D607" s="198" t="str">
        <f>표지!$O$3&amp;" "&amp;표지!$O$4</f>
        <v>20○○회합100○○○ 회생</v>
      </c>
      <c r="E607" s="160" t="s">
        <v>261</v>
      </c>
      <c r="F607" s="199" t="str">
        <f>표지!$O$5</f>
        <v>○○○○ 주식회사</v>
      </c>
    </row>
    <row r="608" spans="1:6" ht="30.95" hidden="1" customHeight="1">
      <c r="A608" s="624" t="s">
        <v>125</v>
      </c>
      <c r="B608" s="423"/>
      <c r="C608" s="423"/>
      <c r="D608" s="276">
        <v>68</v>
      </c>
      <c r="E608" s="170" t="s">
        <v>190</v>
      </c>
      <c r="F608" s="111"/>
    </row>
    <row r="609" spans="1:6" ht="30.95" hidden="1" customHeight="1">
      <c r="A609" s="625" t="s">
        <v>183</v>
      </c>
      <c r="B609" s="419" t="s">
        <v>118</v>
      </c>
      <c r="C609" s="420"/>
      <c r="D609" s="419" t="e">
        <f>VLOOKUP(D608,주주총괄!$A$5:$J$8,4,0)</f>
        <v>#N/A</v>
      </c>
      <c r="E609" s="420"/>
      <c r="F609" s="626"/>
    </row>
    <row r="610" spans="1:6" ht="30.95" hidden="1" customHeight="1">
      <c r="A610" s="625"/>
      <c r="B610" s="419" t="s">
        <v>250</v>
      </c>
      <c r="C610" s="420"/>
      <c r="D610" s="564" t="e">
        <f>VLOOKUP(D608,주주총괄!$A$5:$J$8,5,0)</f>
        <v>#N/A</v>
      </c>
      <c r="E610" s="565"/>
      <c r="F610" s="627"/>
    </row>
    <row r="611" spans="1:6" ht="30.95" hidden="1" customHeight="1">
      <c r="A611" s="625"/>
      <c r="B611" s="419" t="s">
        <v>23</v>
      </c>
      <c r="C611" s="420"/>
      <c r="D611" s="25"/>
      <c r="E611" s="62" t="s">
        <v>151</v>
      </c>
      <c r="F611" s="161"/>
    </row>
    <row r="612" spans="1:6" ht="30.95" hidden="1" customHeight="1">
      <c r="A612" s="210" t="s">
        <v>59</v>
      </c>
      <c r="B612" s="205" t="e">
        <f>VLOOKUP(D608,주주총괄!$A$5:$J$8,6,0)</f>
        <v>#N/A</v>
      </c>
      <c r="C612" s="274" t="e">
        <f>VLOOKUP(D608,주주총괄!$A$5:$J$8,7,0)</f>
        <v>#N/A</v>
      </c>
      <c r="D612" s="275" t="e">
        <f>VLOOKUP(D608,주주총괄!$A$5:$J$8,8,0)</f>
        <v>#N/A</v>
      </c>
      <c r="E612" s="620" t="str">
        <f>"(액면가액: "&amp;TEXT(주주총괄!$L$4,"###,###원)")</f>
        <v>(액면가액: 100원)</v>
      </c>
      <c r="F612" s="621"/>
    </row>
    <row r="613" spans="1:6" ht="30.95" hidden="1" customHeight="1">
      <c r="A613" s="211" t="s">
        <v>19</v>
      </c>
      <c r="B613" s="618"/>
      <c r="C613" s="618"/>
      <c r="D613" s="618"/>
      <c r="E613" s="618"/>
      <c r="F613" s="619"/>
    </row>
    <row r="614" spans="1:6" ht="30.95" hidden="1" customHeight="1">
      <c r="A614" s="612" t="s">
        <v>41</v>
      </c>
      <c r="B614" s="612"/>
      <c r="C614" s="612"/>
      <c r="D614" s="612"/>
      <c r="E614" s="612"/>
      <c r="F614" s="612"/>
    </row>
    <row r="615" spans="1:6" ht="30.95" hidden="1" customHeight="1">
      <c r="A615" s="128"/>
      <c r="B615" s="128"/>
      <c r="C615" s="128"/>
      <c r="D615" s="128"/>
      <c r="E615" s="128"/>
      <c r="F615" s="128"/>
    </row>
    <row r="616" spans="1:6" ht="30.95" hidden="1" customHeight="1">
      <c r="A616" s="622" t="s">
        <v>249</v>
      </c>
      <c r="B616" s="623"/>
      <c r="C616" s="623"/>
      <c r="D616" s="198" t="str">
        <f>표지!$O$3&amp;" "&amp;표지!$O$4</f>
        <v>20○○회합100○○○ 회생</v>
      </c>
      <c r="E616" s="160" t="s">
        <v>261</v>
      </c>
      <c r="F616" s="199" t="str">
        <f>표지!$O$5</f>
        <v>○○○○ 주식회사</v>
      </c>
    </row>
    <row r="617" spans="1:6" ht="30.95" hidden="1" customHeight="1">
      <c r="A617" s="624" t="s">
        <v>125</v>
      </c>
      <c r="B617" s="423"/>
      <c r="C617" s="423"/>
      <c r="D617" s="276">
        <v>69</v>
      </c>
      <c r="E617" s="170" t="s">
        <v>190</v>
      </c>
      <c r="F617" s="111"/>
    </row>
    <row r="618" spans="1:6" ht="30.95" hidden="1" customHeight="1">
      <c r="A618" s="625" t="s">
        <v>183</v>
      </c>
      <c r="B618" s="419" t="s">
        <v>118</v>
      </c>
      <c r="C618" s="420"/>
      <c r="D618" s="419" t="e">
        <f>VLOOKUP(D617,주주총괄!$A$5:$J$8,4,0)</f>
        <v>#N/A</v>
      </c>
      <c r="E618" s="420"/>
      <c r="F618" s="626"/>
    </row>
    <row r="619" spans="1:6" ht="30.95" hidden="1" customHeight="1">
      <c r="A619" s="625"/>
      <c r="B619" s="419" t="s">
        <v>250</v>
      </c>
      <c r="C619" s="420"/>
      <c r="D619" s="564" t="e">
        <f>VLOOKUP(D617,주주총괄!$A$5:$J$8,5,0)</f>
        <v>#N/A</v>
      </c>
      <c r="E619" s="565"/>
      <c r="F619" s="627"/>
    </row>
    <row r="620" spans="1:6" ht="30.95" hidden="1" customHeight="1">
      <c r="A620" s="625"/>
      <c r="B620" s="419" t="s">
        <v>23</v>
      </c>
      <c r="C620" s="420"/>
      <c r="D620" s="25"/>
      <c r="E620" s="62" t="s">
        <v>151</v>
      </c>
      <c r="F620" s="161"/>
    </row>
    <row r="621" spans="1:6" ht="30.95" hidden="1" customHeight="1">
      <c r="A621" s="210" t="s">
        <v>59</v>
      </c>
      <c r="B621" s="205" t="e">
        <f>VLOOKUP(D617,주주총괄!$A$5:$J$8,6,0)</f>
        <v>#N/A</v>
      </c>
      <c r="C621" s="274" t="e">
        <f>VLOOKUP(D617,주주총괄!$A$5:$J$8,7,0)</f>
        <v>#N/A</v>
      </c>
      <c r="D621" s="275" t="e">
        <f>VLOOKUP(D617,주주총괄!$A$5:$J$8,8,0)</f>
        <v>#N/A</v>
      </c>
      <c r="E621" s="620" t="str">
        <f>"(액면가액: "&amp;TEXT(주주총괄!$L$4,"###,###원)")</f>
        <v>(액면가액: 100원)</v>
      </c>
      <c r="F621" s="621"/>
    </row>
    <row r="622" spans="1:6" ht="30.95" hidden="1" customHeight="1">
      <c r="A622" s="211" t="s">
        <v>19</v>
      </c>
      <c r="B622" s="618"/>
      <c r="C622" s="618"/>
      <c r="D622" s="618"/>
      <c r="E622" s="618"/>
      <c r="F622" s="619"/>
    </row>
    <row r="623" spans="1:6" ht="30.95" hidden="1" customHeight="1">
      <c r="A623" s="612" t="s">
        <v>41</v>
      </c>
      <c r="B623" s="612"/>
      <c r="C623" s="612"/>
      <c r="D623" s="612"/>
      <c r="E623" s="612"/>
      <c r="F623" s="612"/>
    </row>
    <row r="624" spans="1:6" ht="30.95" hidden="1" customHeight="1">
      <c r="A624" s="128"/>
      <c r="B624" s="128"/>
      <c r="C624" s="128"/>
      <c r="D624" s="128"/>
      <c r="E624" s="128"/>
      <c r="F624" s="128"/>
    </row>
    <row r="625" spans="1:6" ht="30.95" hidden="1" customHeight="1">
      <c r="A625" s="622" t="s">
        <v>249</v>
      </c>
      <c r="B625" s="623"/>
      <c r="C625" s="623"/>
      <c r="D625" s="198" t="str">
        <f>표지!$O$3&amp;" "&amp;표지!$O$4</f>
        <v>20○○회합100○○○ 회생</v>
      </c>
      <c r="E625" s="160" t="s">
        <v>261</v>
      </c>
      <c r="F625" s="199" t="str">
        <f>표지!$O$5</f>
        <v>○○○○ 주식회사</v>
      </c>
    </row>
    <row r="626" spans="1:6" ht="30.95" hidden="1" customHeight="1">
      <c r="A626" s="624" t="s">
        <v>125</v>
      </c>
      <c r="B626" s="423"/>
      <c r="C626" s="423"/>
      <c r="D626" s="276">
        <v>70</v>
      </c>
      <c r="E626" s="170" t="s">
        <v>190</v>
      </c>
      <c r="F626" s="111"/>
    </row>
    <row r="627" spans="1:6" ht="30.95" hidden="1" customHeight="1">
      <c r="A627" s="625" t="s">
        <v>183</v>
      </c>
      <c r="B627" s="419" t="s">
        <v>118</v>
      </c>
      <c r="C627" s="420"/>
      <c r="D627" s="419" t="e">
        <f>VLOOKUP(D626,주주총괄!$A$5:$J$8,4,0)</f>
        <v>#N/A</v>
      </c>
      <c r="E627" s="420"/>
      <c r="F627" s="626"/>
    </row>
    <row r="628" spans="1:6" ht="30.95" hidden="1" customHeight="1">
      <c r="A628" s="625"/>
      <c r="B628" s="419" t="s">
        <v>250</v>
      </c>
      <c r="C628" s="420"/>
      <c r="D628" s="564" t="e">
        <f>VLOOKUP(D626,주주총괄!$A$5:$J$8,5,0)</f>
        <v>#N/A</v>
      </c>
      <c r="E628" s="565"/>
      <c r="F628" s="627"/>
    </row>
    <row r="629" spans="1:6" ht="30.95" hidden="1" customHeight="1">
      <c r="A629" s="625"/>
      <c r="B629" s="419" t="s">
        <v>23</v>
      </c>
      <c r="C629" s="420"/>
      <c r="D629" s="25"/>
      <c r="E629" s="62" t="s">
        <v>151</v>
      </c>
      <c r="F629" s="161"/>
    </row>
    <row r="630" spans="1:6" ht="30.95" hidden="1" customHeight="1">
      <c r="A630" s="210" t="s">
        <v>59</v>
      </c>
      <c r="B630" s="205" t="e">
        <f>VLOOKUP(D626,주주총괄!$A$5:$J$8,6,0)</f>
        <v>#N/A</v>
      </c>
      <c r="C630" s="274" t="e">
        <f>VLOOKUP(D626,주주총괄!$A$5:$J$8,7,0)</f>
        <v>#N/A</v>
      </c>
      <c r="D630" s="275" t="e">
        <f>VLOOKUP(D626,주주총괄!$A$5:$J$8,8,0)</f>
        <v>#N/A</v>
      </c>
      <c r="E630" s="620" t="str">
        <f>"(액면가액: "&amp;TEXT(주주총괄!$L$4,"###,###원)")</f>
        <v>(액면가액: 100원)</v>
      </c>
      <c r="F630" s="621"/>
    </row>
    <row r="631" spans="1:6" ht="30.95" hidden="1" customHeight="1">
      <c r="A631" s="211" t="s">
        <v>19</v>
      </c>
      <c r="B631" s="618"/>
      <c r="C631" s="618"/>
      <c r="D631" s="618"/>
      <c r="E631" s="618"/>
      <c r="F631" s="619"/>
    </row>
    <row r="632" spans="1:6" ht="30.95" hidden="1" customHeight="1">
      <c r="A632" s="612" t="s">
        <v>41</v>
      </c>
      <c r="B632" s="612"/>
      <c r="C632" s="612"/>
      <c r="D632" s="612"/>
      <c r="E632" s="612"/>
      <c r="F632" s="612"/>
    </row>
    <row r="633" spans="1:6" ht="30.95" hidden="1" customHeight="1">
      <c r="A633" s="128"/>
      <c r="B633" s="128"/>
      <c r="C633" s="128"/>
      <c r="D633" s="128"/>
      <c r="E633" s="128"/>
      <c r="F633" s="128"/>
    </row>
    <row r="634" spans="1:6" ht="30.95" hidden="1" customHeight="1">
      <c r="A634" s="622" t="s">
        <v>249</v>
      </c>
      <c r="B634" s="623"/>
      <c r="C634" s="623"/>
      <c r="D634" s="198" t="str">
        <f>표지!$O$3&amp;" "&amp;표지!$O$4</f>
        <v>20○○회합100○○○ 회생</v>
      </c>
      <c r="E634" s="160" t="s">
        <v>261</v>
      </c>
      <c r="F634" s="199" t="str">
        <f>표지!$O$5</f>
        <v>○○○○ 주식회사</v>
      </c>
    </row>
    <row r="635" spans="1:6" ht="30.95" hidden="1" customHeight="1">
      <c r="A635" s="624" t="s">
        <v>125</v>
      </c>
      <c r="B635" s="423"/>
      <c r="C635" s="423"/>
      <c r="D635" s="276">
        <v>71</v>
      </c>
      <c r="E635" s="170" t="s">
        <v>190</v>
      </c>
      <c r="F635" s="111"/>
    </row>
    <row r="636" spans="1:6" ht="30.95" hidden="1" customHeight="1">
      <c r="A636" s="625" t="s">
        <v>183</v>
      </c>
      <c r="B636" s="419" t="s">
        <v>118</v>
      </c>
      <c r="C636" s="420"/>
      <c r="D636" s="419" t="e">
        <f>VLOOKUP(D635,주주총괄!$A$5:$J$8,4,0)</f>
        <v>#N/A</v>
      </c>
      <c r="E636" s="420"/>
      <c r="F636" s="626"/>
    </row>
    <row r="637" spans="1:6" ht="30.95" hidden="1" customHeight="1">
      <c r="A637" s="625"/>
      <c r="B637" s="419" t="s">
        <v>250</v>
      </c>
      <c r="C637" s="420"/>
      <c r="D637" s="564" t="e">
        <f>VLOOKUP(D635,주주총괄!$A$5:$J$8,5,0)</f>
        <v>#N/A</v>
      </c>
      <c r="E637" s="565"/>
      <c r="F637" s="627"/>
    </row>
    <row r="638" spans="1:6" ht="30.95" hidden="1" customHeight="1">
      <c r="A638" s="625"/>
      <c r="B638" s="419" t="s">
        <v>23</v>
      </c>
      <c r="C638" s="420"/>
      <c r="D638" s="25"/>
      <c r="E638" s="62" t="s">
        <v>151</v>
      </c>
      <c r="F638" s="161"/>
    </row>
    <row r="639" spans="1:6" ht="30.95" hidden="1" customHeight="1">
      <c r="A639" s="210" t="s">
        <v>59</v>
      </c>
      <c r="B639" s="205" t="e">
        <f>VLOOKUP(D635,주주총괄!$A$5:$J$8,6,0)</f>
        <v>#N/A</v>
      </c>
      <c r="C639" s="274" t="e">
        <f>VLOOKUP(D635,주주총괄!$A$5:$J$8,7,0)</f>
        <v>#N/A</v>
      </c>
      <c r="D639" s="275" t="e">
        <f>VLOOKUP(D635,주주총괄!$A$5:$J$8,8,0)</f>
        <v>#N/A</v>
      </c>
      <c r="E639" s="620" t="str">
        <f>"(액면가액: "&amp;TEXT(주주총괄!$L$4,"###,###원)")</f>
        <v>(액면가액: 100원)</v>
      </c>
      <c r="F639" s="621"/>
    </row>
    <row r="640" spans="1:6" ht="30.95" hidden="1" customHeight="1">
      <c r="A640" s="211" t="s">
        <v>19</v>
      </c>
      <c r="B640" s="618"/>
      <c r="C640" s="618"/>
      <c r="D640" s="618"/>
      <c r="E640" s="618"/>
      <c r="F640" s="619"/>
    </row>
    <row r="641" spans="1:6" ht="30.95" hidden="1" customHeight="1">
      <c r="A641" s="612" t="s">
        <v>41</v>
      </c>
      <c r="B641" s="612"/>
      <c r="C641" s="612"/>
      <c r="D641" s="612"/>
      <c r="E641" s="612"/>
      <c r="F641" s="612"/>
    </row>
    <row r="642" spans="1:6" ht="30.95" hidden="1" customHeight="1">
      <c r="A642" s="128"/>
      <c r="B642" s="128"/>
      <c r="C642" s="128"/>
      <c r="D642" s="128"/>
      <c r="E642" s="128"/>
      <c r="F642" s="128"/>
    </row>
    <row r="643" spans="1:6" ht="30.95" hidden="1" customHeight="1">
      <c r="A643" s="622" t="s">
        <v>249</v>
      </c>
      <c r="B643" s="623"/>
      <c r="C643" s="623"/>
      <c r="D643" s="198" t="str">
        <f>표지!$O$3&amp;" "&amp;표지!$O$4</f>
        <v>20○○회합100○○○ 회생</v>
      </c>
      <c r="E643" s="160" t="s">
        <v>261</v>
      </c>
      <c r="F643" s="199" t="str">
        <f>표지!$O$5</f>
        <v>○○○○ 주식회사</v>
      </c>
    </row>
    <row r="644" spans="1:6" ht="30.95" hidden="1" customHeight="1">
      <c r="A644" s="624" t="s">
        <v>125</v>
      </c>
      <c r="B644" s="423"/>
      <c r="C644" s="423"/>
      <c r="D644" s="276">
        <v>72</v>
      </c>
      <c r="E644" s="170" t="s">
        <v>190</v>
      </c>
      <c r="F644" s="111"/>
    </row>
    <row r="645" spans="1:6" ht="30.95" hidden="1" customHeight="1">
      <c r="A645" s="625" t="s">
        <v>183</v>
      </c>
      <c r="B645" s="419" t="s">
        <v>118</v>
      </c>
      <c r="C645" s="420"/>
      <c r="D645" s="419" t="e">
        <f>VLOOKUP(D644,주주총괄!$A$5:$J$8,4,0)</f>
        <v>#N/A</v>
      </c>
      <c r="E645" s="420"/>
      <c r="F645" s="626"/>
    </row>
    <row r="646" spans="1:6" ht="30.95" hidden="1" customHeight="1">
      <c r="A646" s="625"/>
      <c r="B646" s="419" t="s">
        <v>250</v>
      </c>
      <c r="C646" s="420"/>
      <c r="D646" s="564" t="e">
        <f>VLOOKUP(D644,주주총괄!$A$5:$J$8,5,0)</f>
        <v>#N/A</v>
      </c>
      <c r="E646" s="565"/>
      <c r="F646" s="627"/>
    </row>
    <row r="647" spans="1:6" ht="30.95" hidden="1" customHeight="1">
      <c r="A647" s="625"/>
      <c r="B647" s="419" t="s">
        <v>23</v>
      </c>
      <c r="C647" s="420"/>
      <c r="D647" s="25"/>
      <c r="E647" s="62" t="s">
        <v>151</v>
      </c>
      <c r="F647" s="161"/>
    </row>
    <row r="648" spans="1:6" ht="30.95" hidden="1" customHeight="1">
      <c r="A648" s="210" t="s">
        <v>59</v>
      </c>
      <c r="B648" s="205" t="e">
        <f>VLOOKUP(D644,주주총괄!$A$5:$J$8,6,0)</f>
        <v>#N/A</v>
      </c>
      <c r="C648" s="274" t="e">
        <f>VLOOKUP(D644,주주총괄!$A$5:$J$8,7,0)</f>
        <v>#N/A</v>
      </c>
      <c r="D648" s="275" t="e">
        <f>VLOOKUP(D644,주주총괄!$A$5:$J$8,8,0)</f>
        <v>#N/A</v>
      </c>
      <c r="E648" s="620" t="str">
        <f>"(액면가액: "&amp;TEXT(주주총괄!$L$4,"###,###원)")</f>
        <v>(액면가액: 100원)</v>
      </c>
      <c r="F648" s="621"/>
    </row>
    <row r="649" spans="1:6" ht="30.95" hidden="1" customHeight="1">
      <c r="A649" s="211" t="s">
        <v>19</v>
      </c>
      <c r="B649" s="618"/>
      <c r="C649" s="618"/>
      <c r="D649" s="618"/>
      <c r="E649" s="618"/>
      <c r="F649" s="619"/>
    </row>
    <row r="650" spans="1:6" ht="30.95" hidden="1" customHeight="1">
      <c r="A650" s="612" t="s">
        <v>41</v>
      </c>
      <c r="B650" s="612"/>
      <c r="C650" s="612"/>
      <c r="D650" s="612"/>
      <c r="E650" s="612"/>
      <c r="F650" s="612"/>
    </row>
    <row r="651" spans="1:6" ht="30.95" hidden="1" customHeight="1">
      <c r="A651" s="128"/>
      <c r="B651" s="128"/>
      <c r="C651" s="128"/>
      <c r="D651" s="128"/>
      <c r="E651" s="128"/>
      <c r="F651" s="128"/>
    </row>
    <row r="652" spans="1:6" ht="30.95" hidden="1" customHeight="1">
      <c r="A652" s="622" t="s">
        <v>249</v>
      </c>
      <c r="B652" s="623"/>
      <c r="C652" s="623"/>
      <c r="D652" s="198" t="str">
        <f>표지!$O$3&amp;" "&amp;표지!$O$4</f>
        <v>20○○회합100○○○ 회생</v>
      </c>
      <c r="E652" s="160" t="s">
        <v>261</v>
      </c>
      <c r="F652" s="199" t="str">
        <f>표지!$O$5</f>
        <v>○○○○ 주식회사</v>
      </c>
    </row>
    <row r="653" spans="1:6" ht="30.95" hidden="1" customHeight="1">
      <c r="A653" s="624" t="s">
        <v>125</v>
      </c>
      <c r="B653" s="423"/>
      <c r="C653" s="423"/>
      <c r="D653" s="276">
        <v>73</v>
      </c>
      <c r="E653" s="170" t="s">
        <v>190</v>
      </c>
      <c r="F653" s="111"/>
    </row>
    <row r="654" spans="1:6" ht="30.95" hidden="1" customHeight="1">
      <c r="A654" s="625" t="s">
        <v>183</v>
      </c>
      <c r="B654" s="419" t="s">
        <v>118</v>
      </c>
      <c r="C654" s="420"/>
      <c r="D654" s="419" t="e">
        <f>VLOOKUP(D653,주주총괄!$A$5:$J$8,4,0)</f>
        <v>#N/A</v>
      </c>
      <c r="E654" s="420"/>
      <c r="F654" s="626"/>
    </row>
    <row r="655" spans="1:6" ht="30.95" hidden="1" customHeight="1">
      <c r="A655" s="625"/>
      <c r="B655" s="419" t="s">
        <v>250</v>
      </c>
      <c r="C655" s="420"/>
      <c r="D655" s="564" t="e">
        <f>VLOOKUP(D653,주주총괄!$A$5:$J$8,5,0)</f>
        <v>#N/A</v>
      </c>
      <c r="E655" s="565"/>
      <c r="F655" s="627"/>
    </row>
    <row r="656" spans="1:6" ht="30.95" hidden="1" customHeight="1">
      <c r="A656" s="625"/>
      <c r="B656" s="419" t="s">
        <v>23</v>
      </c>
      <c r="C656" s="420"/>
      <c r="D656" s="25"/>
      <c r="E656" s="62" t="s">
        <v>151</v>
      </c>
      <c r="F656" s="161"/>
    </row>
    <row r="657" spans="1:6" ht="30.95" hidden="1" customHeight="1">
      <c r="A657" s="210" t="s">
        <v>59</v>
      </c>
      <c r="B657" s="205" t="e">
        <f>VLOOKUP(D653,주주총괄!$A$5:$J$8,6,0)</f>
        <v>#N/A</v>
      </c>
      <c r="C657" s="274" t="e">
        <f>VLOOKUP(D653,주주총괄!$A$5:$J$8,7,0)</f>
        <v>#N/A</v>
      </c>
      <c r="D657" s="275" t="e">
        <f>VLOOKUP(D653,주주총괄!$A$5:$J$8,8,0)</f>
        <v>#N/A</v>
      </c>
      <c r="E657" s="620" t="str">
        <f>"(액면가액: "&amp;TEXT(주주총괄!$L$4,"###,###원)")</f>
        <v>(액면가액: 100원)</v>
      </c>
      <c r="F657" s="621"/>
    </row>
    <row r="658" spans="1:6" ht="30.95" hidden="1" customHeight="1">
      <c r="A658" s="211" t="s">
        <v>19</v>
      </c>
      <c r="B658" s="618"/>
      <c r="C658" s="618"/>
      <c r="D658" s="618"/>
      <c r="E658" s="618"/>
      <c r="F658" s="619"/>
    </row>
    <row r="659" spans="1:6" ht="30.95" hidden="1" customHeight="1">
      <c r="A659" s="612" t="s">
        <v>41</v>
      </c>
      <c r="B659" s="612"/>
      <c r="C659" s="612"/>
      <c r="D659" s="612"/>
      <c r="E659" s="612"/>
      <c r="F659" s="612"/>
    </row>
    <row r="660" spans="1:6" ht="30.95" hidden="1" customHeight="1">
      <c r="A660" s="128"/>
      <c r="B660" s="128"/>
      <c r="C660" s="128"/>
      <c r="D660" s="128"/>
      <c r="E660" s="128"/>
      <c r="F660" s="128"/>
    </row>
    <row r="661" spans="1:6" ht="30.95" hidden="1" customHeight="1">
      <c r="A661" s="622" t="s">
        <v>249</v>
      </c>
      <c r="B661" s="623"/>
      <c r="C661" s="623"/>
      <c r="D661" s="198" t="str">
        <f>표지!$O$3&amp;" "&amp;표지!$O$4</f>
        <v>20○○회합100○○○ 회생</v>
      </c>
      <c r="E661" s="160" t="s">
        <v>261</v>
      </c>
      <c r="F661" s="199" t="str">
        <f>표지!$O$5</f>
        <v>○○○○ 주식회사</v>
      </c>
    </row>
    <row r="662" spans="1:6" ht="30.95" hidden="1" customHeight="1">
      <c r="A662" s="624" t="s">
        <v>125</v>
      </c>
      <c r="B662" s="423"/>
      <c r="C662" s="423"/>
      <c r="D662" s="276">
        <v>74</v>
      </c>
      <c r="E662" s="170" t="s">
        <v>190</v>
      </c>
      <c r="F662" s="111"/>
    </row>
    <row r="663" spans="1:6" ht="30.95" hidden="1" customHeight="1">
      <c r="A663" s="625" t="s">
        <v>183</v>
      </c>
      <c r="B663" s="419" t="s">
        <v>118</v>
      </c>
      <c r="C663" s="420"/>
      <c r="D663" s="419" t="e">
        <f>VLOOKUP(D662,주주총괄!$A$5:$J$8,4,0)</f>
        <v>#N/A</v>
      </c>
      <c r="E663" s="420"/>
      <c r="F663" s="626"/>
    </row>
    <row r="664" spans="1:6" ht="30.95" hidden="1" customHeight="1">
      <c r="A664" s="625"/>
      <c r="B664" s="419" t="s">
        <v>250</v>
      </c>
      <c r="C664" s="420"/>
      <c r="D664" s="564" t="e">
        <f>VLOOKUP(D662,주주총괄!$A$5:$J$8,5,0)</f>
        <v>#N/A</v>
      </c>
      <c r="E664" s="565"/>
      <c r="F664" s="627"/>
    </row>
    <row r="665" spans="1:6" ht="30.95" hidden="1" customHeight="1">
      <c r="A665" s="625"/>
      <c r="B665" s="419" t="s">
        <v>23</v>
      </c>
      <c r="C665" s="420"/>
      <c r="D665" s="25"/>
      <c r="E665" s="62" t="s">
        <v>151</v>
      </c>
      <c r="F665" s="161"/>
    </row>
    <row r="666" spans="1:6" ht="30.95" hidden="1" customHeight="1">
      <c r="A666" s="210" t="s">
        <v>59</v>
      </c>
      <c r="B666" s="205" t="e">
        <f>VLOOKUP(D662,주주총괄!$A$5:$J$8,6,0)</f>
        <v>#N/A</v>
      </c>
      <c r="C666" s="274" t="e">
        <f>VLOOKUP(D662,주주총괄!$A$5:$J$8,7,0)</f>
        <v>#N/A</v>
      </c>
      <c r="D666" s="275" t="e">
        <f>VLOOKUP(D662,주주총괄!$A$5:$J$8,8,0)</f>
        <v>#N/A</v>
      </c>
      <c r="E666" s="620" t="str">
        <f>"(액면가액: "&amp;TEXT(주주총괄!$L$4,"###,###원)")</f>
        <v>(액면가액: 100원)</v>
      </c>
      <c r="F666" s="621"/>
    </row>
    <row r="667" spans="1:6" ht="30.95" hidden="1" customHeight="1">
      <c r="A667" s="211" t="s">
        <v>19</v>
      </c>
      <c r="B667" s="618"/>
      <c r="C667" s="618"/>
      <c r="D667" s="618"/>
      <c r="E667" s="618"/>
      <c r="F667" s="619"/>
    </row>
    <row r="668" spans="1:6" ht="30.95" hidden="1" customHeight="1">
      <c r="A668" s="612" t="s">
        <v>41</v>
      </c>
      <c r="B668" s="612"/>
      <c r="C668" s="612"/>
      <c r="D668" s="612"/>
      <c r="E668" s="612"/>
      <c r="F668" s="612"/>
    </row>
    <row r="669" spans="1:6" ht="30.95" hidden="1" customHeight="1">
      <c r="A669" s="128"/>
      <c r="B669" s="128"/>
      <c r="C669" s="128"/>
      <c r="D669" s="128"/>
      <c r="E669" s="128"/>
      <c r="F669" s="128"/>
    </row>
    <row r="670" spans="1:6" ht="30.95" hidden="1" customHeight="1">
      <c r="A670" s="622" t="s">
        <v>249</v>
      </c>
      <c r="B670" s="623"/>
      <c r="C670" s="623"/>
      <c r="D670" s="198" t="str">
        <f>표지!$O$3&amp;" "&amp;표지!$O$4</f>
        <v>20○○회합100○○○ 회생</v>
      </c>
      <c r="E670" s="160" t="s">
        <v>261</v>
      </c>
      <c r="F670" s="199" t="str">
        <f>표지!$O$5</f>
        <v>○○○○ 주식회사</v>
      </c>
    </row>
    <row r="671" spans="1:6" ht="30.95" hidden="1" customHeight="1">
      <c r="A671" s="624" t="s">
        <v>125</v>
      </c>
      <c r="B671" s="423"/>
      <c r="C671" s="423"/>
      <c r="D671" s="276">
        <v>75</v>
      </c>
      <c r="E671" s="170" t="s">
        <v>190</v>
      </c>
      <c r="F671" s="111"/>
    </row>
    <row r="672" spans="1:6" ht="30.95" hidden="1" customHeight="1">
      <c r="A672" s="625" t="s">
        <v>183</v>
      </c>
      <c r="B672" s="419" t="s">
        <v>118</v>
      </c>
      <c r="C672" s="420"/>
      <c r="D672" s="419" t="e">
        <f>VLOOKUP(D671,주주총괄!$A$5:$J$8,4,0)</f>
        <v>#N/A</v>
      </c>
      <c r="E672" s="420"/>
      <c r="F672" s="626"/>
    </row>
    <row r="673" spans="1:6" ht="30.95" hidden="1" customHeight="1">
      <c r="A673" s="625"/>
      <c r="B673" s="419" t="s">
        <v>250</v>
      </c>
      <c r="C673" s="420"/>
      <c r="D673" s="564" t="e">
        <f>VLOOKUP(D671,주주총괄!$A$5:$J$8,5,0)</f>
        <v>#N/A</v>
      </c>
      <c r="E673" s="565"/>
      <c r="F673" s="627"/>
    </row>
    <row r="674" spans="1:6" ht="30.95" hidden="1" customHeight="1">
      <c r="A674" s="625"/>
      <c r="B674" s="419" t="s">
        <v>23</v>
      </c>
      <c r="C674" s="420"/>
      <c r="D674" s="25"/>
      <c r="E674" s="62" t="s">
        <v>151</v>
      </c>
      <c r="F674" s="161"/>
    </row>
    <row r="675" spans="1:6" ht="30.95" hidden="1" customHeight="1">
      <c r="A675" s="210" t="s">
        <v>59</v>
      </c>
      <c r="B675" s="205" t="e">
        <f>VLOOKUP(D671,주주총괄!$A$5:$J$8,6,0)</f>
        <v>#N/A</v>
      </c>
      <c r="C675" s="274" t="e">
        <f>VLOOKUP(D671,주주총괄!$A$5:$J$8,7,0)</f>
        <v>#N/A</v>
      </c>
      <c r="D675" s="275" t="e">
        <f>VLOOKUP(D671,주주총괄!$A$5:$J$8,8,0)</f>
        <v>#N/A</v>
      </c>
      <c r="E675" s="620" t="str">
        <f>"(액면가액: "&amp;TEXT(주주총괄!$L$4,"###,###원)")</f>
        <v>(액면가액: 100원)</v>
      </c>
      <c r="F675" s="621"/>
    </row>
    <row r="676" spans="1:6" ht="30.95" hidden="1" customHeight="1">
      <c r="A676" s="211" t="s">
        <v>19</v>
      </c>
      <c r="B676" s="618"/>
      <c r="C676" s="618"/>
      <c r="D676" s="618"/>
      <c r="E676" s="618"/>
      <c r="F676" s="619"/>
    </row>
    <row r="677" spans="1:6" ht="30.95" hidden="1" customHeight="1">
      <c r="A677" s="612" t="s">
        <v>41</v>
      </c>
      <c r="B677" s="612"/>
      <c r="C677" s="612"/>
      <c r="D677" s="612"/>
      <c r="E677" s="612"/>
      <c r="F677" s="612"/>
    </row>
    <row r="678" spans="1:6" ht="30.95" hidden="1" customHeight="1">
      <c r="A678" s="128"/>
      <c r="B678" s="128"/>
      <c r="C678" s="128"/>
      <c r="D678" s="128"/>
      <c r="E678" s="128"/>
      <c r="F678" s="128"/>
    </row>
    <row r="679" spans="1:6" ht="30.95" hidden="1" customHeight="1">
      <c r="A679" s="622" t="s">
        <v>249</v>
      </c>
      <c r="B679" s="623"/>
      <c r="C679" s="623"/>
      <c r="D679" s="198" t="str">
        <f>표지!$O$3&amp;" "&amp;표지!$O$4</f>
        <v>20○○회합100○○○ 회생</v>
      </c>
      <c r="E679" s="160" t="s">
        <v>261</v>
      </c>
      <c r="F679" s="199" t="str">
        <f>표지!$O$5</f>
        <v>○○○○ 주식회사</v>
      </c>
    </row>
    <row r="680" spans="1:6" ht="30.95" hidden="1" customHeight="1">
      <c r="A680" s="624" t="s">
        <v>125</v>
      </c>
      <c r="B680" s="423"/>
      <c r="C680" s="423"/>
      <c r="D680" s="276">
        <v>76</v>
      </c>
      <c r="E680" s="170" t="s">
        <v>190</v>
      </c>
      <c r="F680" s="111"/>
    </row>
    <row r="681" spans="1:6" ht="30.95" hidden="1" customHeight="1">
      <c r="A681" s="625" t="s">
        <v>183</v>
      </c>
      <c r="B681" s="419" t="s">
        <v>118</v>
      </c>
      <c r="C681" s="420"/>
      <c r="D681" s="419" t="e">
        <f>VLOOKUP(D680,주주총괄!$A$5:$J$8,4,0)</f>
        <v>#N/A</v>
      </c>
      <c r="E681" s="420"/>
      <c r="F681" s="626"/>
    </row>
    <row r="682" spans="1:6" ht="30.95" hidden="1" customHeight="1">
      <c r="A682" s="625"/>
      <c r="B682" s="419" t="s">
        <v>250</v>
      </c>
      <c r="C682" s="420"/>
      <c r="D682" s="564" t="e">
        <f>VLOOKUP(D680,주주총괄!$A$5:$J$8,5,0)</f>
        <v>#N/A</v>
      </c>
      <c r="E682" s="565"/>
      <c r="F682" s="627"/>
    </row>
    <row r="683" spans="1:6" ht="30.95" hidden="1" customHeight="1">
      <c r="A683" s="625"/>
      <c r="B683" s="419" t="s">
        <v>23</v>
      </c>
      <c r="C683" s="420"/>
      <c r="D683" s="25"/>
      <c r="E683" s="62" t="s">
        <v>151</v>
      </c>
      <c r="F683" s="161"/>
    </row>
    <row r="684" spans="1:6" ht="30.95" hidden="1" customHeight="1">
      <c r="A684" s="210" t="s">
        <v>59</v>
      </c>
      <c r="B684" s="205" t="e">
        <f>VLOOKUP(D680,주주총괄!$A$5:$J$8,6,0)</f>
        <v>#N/A</v>
      </c>
      <c r="C684" s="274" t="e">
        <f>VLOOKUP(D680,주주총괄!$A$5:$J$8,7,0)</f>
        <v>#N/A</v>
      </c>
      <c r="D684" s="275" t="e">
        <f>VLOOKUP(D680,주주총괄!$A$5:$J$8,8,0)</f>
        <v>#N/A</v>
      </c>
      <c r="E684" s="620" t="str">
        <f>"(액면가액: "&amp;TEXT(주주총괄!$L$4,"###,###원)")</f>
        <v>(액면가액: 100원)</v>
      </c>
      <c r="F684" s="621"/>
    </row>
    <row r="685" spans="1:6" ht="30.95" hidden="1" customHeight="1">
      <c r="A685" s="211" t="s">
        <v>19</v>
      </c>
      <c r="B685" s="618"/>
      <c r="C685" s="618"/>
      <c r="D685" s="618"/>
      <c r="E685" s="618"/>
      <c r="F685" s="619"/>
    </row>
    <row r="686" spans="1:6" ht="30.95" hidden="1" customHeight="1">
      <c r="A686" s="612" t="s">
        <v>41</v>
      </c>
      <c r="B686" s="612"/>
      <c r="C686" s="612"/>
      <c r="D686" s="612"/>
      <c r="E686" s="612"/>
      <c r="F686" s="612"/>
    </row>
    <row r="687" spans="1:6" ht="30.95" hidden="1" customHeight="1">
      <c r="A687" s="128"/>
      <c r="B687" s="128"/>
      <c r="C687" s="128"/>
      <c r="D687" s="128"/>
      <c r="E687" s="128"/>
      <c r="F687" s="128"/>
    </row>
    <row r="688" spans="1:6" ht="30.95" hidden="1" customHeight="1">
      <c r="A688" s="622" t="s">
        <v>249</v>
      </c>
      <c r="B688" s="623"/>
      <c r="C688" s="623"/>
      <c r="D688" s="198" t="str">
        <f>표지!$O$3&amp;" "&amp;표지!$O$4</f>
        <v>20○○회합100○○○ 회생</v>
      </c>
      <c r="E688" s="160" t="s">
        <v>261</v>
      </c>
      <c r="F688" s="199" t="str">
        <f>표지!$O$5</f>
        <v>○○○○ 주식회사</v>
      </c>
    </row>
    <row r="689" spans="1:6" ht="30.95" hidden="1" customHeight="1">
      <c r="A689" s="624" t="s">
        <v>125</v>
      </c>
      <c r="B689" s="423"/>
      <c r="C689" s="423"/>
      <c r="D689" s="276">
        <v>77</v>
      </c>
      <c r="E689" s="170" t="s">
        <v>190</v>
      </c>
      <c r="F689" s="111"/>
    </row>
    <row r="690" spans="1:6" ht="30.95" hidden="1" customHeight="1">
      <c r="A690" s="625" t="s">
        <v>183</v>
      </c>
      <c r="B690" s="419" t="s">
        <v>118</v>
      </c>
      <c r="C690" s="420"/>
      <c r="D690" s="419" t="e">
        <f>VLOOKUP(D689,주주총괄!$A$5:$J$8,4,0)</f>
        <v>#N/A</v>
      </c>
      <c r="E690" s="420"/>
      <c r="F690" s="626"/>
    </row>
    <row r="691" spans="1:6" ht="30.95" hidden="1" customHeight="1">
      <c r="A691" s="625"/>
      <c r="B691" s="419" t="s">
        <v>250</v>
      </c>
      <c r="C691" s="420"/>
      <c r="D691" s="564" t="e">
        <f>VLOOKUP(D689,주주총괄!$A$5:$J$8,5,0)</f>
        <v>#N/A</v>
      </c>
      <c r="E691" s="565"/>
      <c r="F691" s="627"/>
    </row>
    <row r="692" spans="1:6" ht="30.95" hidden="1" customHeight="1">
      <c r="A692" s="625"/>
      <c r="B692" s="419" t="s">
        <v>23</v>
      </c>
      <c r="C692" s="420"/>
      <c r="D692" s="25"/>
      <c r="E692" s="62" t="s">
        <v>151</v>
      </c>
      <c r="F692" s="161"/>
    </row>
    <row r="693" spans="1:6" ht="30.95" hidden="1" customHeight="1">
      <c r="A693" s="210" t="s">
        <v>59</v>
      </c>
      <c r="B693" s="205" t="e">
        <f>VLOOKUP(D689,주주총괄!$A$5:$J$8,6,0)</f>
        <v>#N/A</v>
      </c>
      <c r="C693" s="274" t="e">
        <f>VLOOKUP(D689,주주총괄!$A$5:$J$8,7,0)</f>
        <v>#N/A</v>
      </c>
      <c r="D693" s="275" t="e">
        <f>VLOOKUP(D689,주주총괄!$A$5:$J$8,8,0)</f>
        <v>#N/A</v>
      </c>
      <c r="E693" s="620" t="str">
        <f>"(액면가액: "&amp;TEXT(주주총괄!$L$4,"###,###원)")</f>
        <v>(액면가액: 100원)</v>
      </c>
      <c r="F693" s="621"/>
    </row>
    <row r="694" spans="1:6" ht="30.95" hidden="1" customHeight="1">
      <c r="A694" s="211" t="s">
        <v>19</v>
      </c>
      <c r="B694" s="618"/>
      <c r="C694" s="618"/>
      <c r="D694" s="618"/>
      <c r="E694" s="618"/>
      <c r="F694" s="619"/>
    </row>
    <row r="695" spans="1:6" ht="30.95" hidden="1" customHeight="1">
      <c r="A695" s="612" t="s">
        <v>41</v>
      </c>
      <c r="B695" s="612"/>
      <c r="C695" s="612"/>
      <c r="D695" s="612"/>
      <c r="E695" s="612"/>
      <c r="F695" s="612"/>
    </row>
    <row r="696" spans="1:6" ht="30.95" hidden="1" customHeight="1">
      <c r="A696" s="128"/>
      <c r="B696" s="128"/>
      <c r="C696" s="128"/>
      <c r="D696" s="128"/>
      <c r="E696" s="128"/>
      <c r="F696" s="128"/>
    </row>
    <row r="697" spans="1:6" ht="30.95" hidden="1" customHeight="1">
      <c r="A697" s="622" t="s">
        <v>249</v>
      </c>
      <c r="B697" s="623"/>
      <c r="C697" s="623"/>
      <c r="D697" s="198" t="str">
        <f>표지!$O$3&amp;" "&amp;표지!$O$4</f>
        <v>20○○회합100○○○ 회생</v>
      </c>
      <c r="E697" s="160" t="s">
        <v>261</v>
      </c>
      <c r="F697" s="199" t="str">
        <f>표지!$O$5</f>
        <v>○○○○ 주식회사</v>
      </c>
    </row>
    <row r="698" spans="1:6" ht="30.95" hidden="1" customHeight="1">
      <c r="A698" s="624" t="s">
        <v>125</v>
      </c>
      <c r="B698" s="423"/>
      <c r="C698" s="423"/>
      <c r="D698" s="276">
        <v>78</v>
      </c>
      <c r="E698" s="170" t="s">
        <v>190</v>
      </c>
      <c r="F698" s="111"/>
    </row>
    <row r="699" spans="1:6" ht="30.95" hidden="1" customHeight="1">
      <c r="A699" s="625" t="s">
        <v>183</v>
      </c>
      <c r="B699" s="419" t="s">
        <v>118</v>
      </c>
      <c r="C699" s="420"/>
      <c r="D699" s="419" t="e">
        <f>VLOOKUP(D698,주주총괄!$A$5:$J$8,4,0)</f>
        <v>#N/A</v>
      </c>
      <c r="E699" s="420"/>
      <c r="F699" s="626"/>
    </row>
    <row r="700" spans="1:6" ht="30.95" hidden="1" customHeight="1">
      <c r="A700" s="625"/>
      <c r="B700" s="419" t="s">
        <v>250</v>
      </c>
      <c r="C700" s="420"/>
      <c r="D700" s="564" t="e">
        <f>VLOOKUP(D698,주주총괄!$A$5:$J$8,5,0)</f>
        <v>#N/A</v>
      </c>
      <c r="E700" s="565"/>
      <c r="F700" s="627"/>
    </row>
    <row r="701" spans="1:6" ht="30.95" hidden="1" customHeight="1">
      <c r="A701" s="625"/>
      <c r="B701" s="419" t="s">
        <v>23</v>
      </c>
      <c r="C701" s="420"/>
      <c r="D701" s="25"/>
      <c r="E701" s="62" t="s">
        <v>151</v>
      </c>
      <c r="F701" s="161"/>
    </row>
    <row r="702" spans="1:6" ht="30.95" hidden="1" customHeight="1">
      <c r="A702" s="210" t="s">
        <v>59</v>
      </c>
      <c r="B702" s="205" t="e">
        <f>VLOOKUP(D698,주주총괄!$A$5:$J$8,6,0)</f>
        <v>#N/A</v>
      </c>
      <c r="C702" s="274" t="e">
        <f>VLOOKUP(D698,주주총괄!$A$5:$J$8,7,0)</f>
        <v>#N/A</v>
      </c>
      <c r="D702" s="275" t="e">
        <f>VLOOKUP(D698,주주총괄!$A$5:$J$8,8,0)</f>
        <v>#N/A</v>
      </c>
      <c r="E702" s="620" t="str">
        <f>"(액면가액: "&amp;TEXT(주주총괄!$L$4,"###,###원)")</f>
        <v>(액면가액: 100원)</v>
      </c>
      <c r="F702" s="621"/>
    </row>
    <row r="703" spans="1:6" ht="30.95" hidden="1" customHeight="1">
      <c r="A703" s="211" t="s">
        <v>19</v>
      </c>
      <c r="B703" s="618"/>
      <c r="C703" s="618"/>
      <c r="D703" s="618"/>
      <c r="E703" s="618"/>
      <c r="F703" s="619"/>
    </row>
    <row r="704" spans="1:6" ht="30.95" hidden="1" customHeight="1">
      <c r="A704" s="612" t="s">
        <v>41</v>
      </c>
      <c r="B704" s="612"/>
      <c r="C704" s="612"/>
      <c r="D704" s="612"/>
      <c r="E704" s="612"/>
      <c r="F704" s="612"/>
    </row>
    <row r="705" spans="1:6" ht="30.95" hidden="1" customHeight="1">
      <c r="A705" s="128"/>
      <c r="B705" s="128"/>
      <c r="C705" s="128"/>
      <c r="D705" s="128"/>
      <c r="E705" s="128"/>
      <c r="F705" s="128"/>
    </row>
    <row r="706" spans="1:6" ht="30.95" hidden="1" customHeight="1">
      <c r="A706" s="622" t="s">
        <v>249</v>
      </c>
      <c r="B706" s="623"/>
      <c r="C706" s="623"/>
      <c r="D706" s="198" t="str">
        <f>표지!$O$3&amp;" "&amp;표지!$O$4</f>
        <v>20○○회합100○○○ 회생</v>
      </c>
      <c r="E706" s="160" t="s">
        <v>261</v>
      </c>
      <c r="F706" s="199" t="str">
        <f>표지!$O$5</f>
        <v>○○○○ 주식회사</v>
      </c>
    </row>
    <row r="707" spans="1:6" ht="30.95" hidden="1" customHeight="1">
      <c r="A707" s="624" t="s">
        <v>125</v>
      </c>
      <c r="B707" s="423"/>
      <c r="C707" s="423"/>
      <c r="D707" s="276">
        <v>79</v>
      </c>
      <c r="E707" s="170" t="s">
        <v>190</v>
      </c>
      <c r="F707" s="111"/>
    </row>
    <row r="708" spans="1:6" ht="30.95" hidden="1" customHeight="1">
      <c r="A708" s="625" t="s">
        <v>183</v>
      </c>
      <c r="B708" s="419" t="s">
        <v>118</v>
      </c>
      <c r="C708" s="420"/>
      <c r="D708" s="419" t="e">
        <f>VLOOKUP(D707,주주총괄!$A$5:$J$8,4,0)</f>
        <v>#N/A</v>
      </c>
      <c r="E708" s="420"/>
      <c r="F708" s="626"/>
    </row>
    <row r="709" spans="1:6" ht="30.95" hidden="1" customHeight="1">
      <c r="A709" s="625"/>
      <c r="B709" s="419" t="s">
        <v>250</v>
      </c>
      <c r="C709" s="420"/>
      <c r="D709" s="564" t="e">
        <f>VLOOKUP(D707,주주총괄!$A$5:$J$8,5,0)</f>
        <v>#N/A</v>
      </c>
      <c r="E709" s="565"/>
      <c r="F709" s="627"/>
    </row>
    <row r="710" spans="1:6" ht="30.95" hidden="1" customHeight="1">
      <c r="A710" s="625"/>
      <c r="B710" s="419" t="s">
        <v>23</v>
      </c>
      <c r="C710" s="420"/>
      <c r="D710" s="25"/>
      <c r="E710" s="62" t="s">
        <v>151</v>
      </c>
      <c r="F710" s="161"/>
    </row>
    <row r="711" spans="1:6" ht="30.95" hidden="1" customHeight="1">
      <c r="A711" s="210" t="s">
        <v>59</v>
      </c>
      <c r="B711" s="205" t="e">
        <f>VLOOKUP(D707,주주총괄!$A$5:$J$8,6,0)</f>
        <v>#N/A</v>
      </c>
      <c r="C711" s="274" t="e">
        <f>VLOOKUP(D707,주주총괄!$A$5:$J$8,7,0)</f>
        <v>#N/A</v>
      </c>
      <c r="D711" s="275" t="e">
        <f>VLOOKUP(D707,주주총괄!$A$5:$J$8,8,0)</f>
        <v>#N/A</v>
      </c>
      <c r="E711" s="620" t="str">
        <f>"(액면가액: "&amp;TEXT(주주총괄!$L$4,"###,###원)")</f>
        <v>(액면가액: 100원)</v>
      </c>
      <c r="F711" s="621"/>
    </row>
    <row r="712" spans="1:6" ht="30.95" hidden="1" customHeight="1">
      <c r="A712" s="211" t="s">
        <v>19</v>
      </c>
      <c r="B712" s="618"/>
      <c r="C712" s="618"/>
      <c r="D712" s="618"/>
      <c r="E712" s="618"/>
      <c r="F712" s="619"/>
    </row>
    <row r="713" spans="1:6" ht="30.95" hidden="1" customHeight="1">
      <c r="A713" s="612" t="s">
        <v>41</v>
      </c>
      <c r="B713" s="612"/>
      <c r="C713" s="612"/>
      <c r="D713" s="612"/>
      <c r="E713" s="612"/>
      <c r="F713" s="612"/>
    </row>
    <row r="714" spans="1:6" ht="30.95" hidden="1" customHeight="1">
      <c r="A714" s="128"/>
      <c r="B714" s="128"/>
      <c r="C714" s="128"/>
      <c r="D714" s="128"/>
      <c r="E714" s="128"/>
      <c r="F714" s="128"/>
    </row>
    <row r="715" spans="1:6" ht="30.95" hidden="1" customHeight="1">
      <c r="A715" s="622" t="s">
        <v>249</v>
      </c>
      <c r="B715" s="623"/>
      <c r="C715" s="623"/>
      <c r="D715" s="198" t="str">
        <f>표지!$O$3&amp;" "&amp;표지!$O$4</f>
        <v>20○○회합100○○○ 회생</v>
      </c>
      <c r="E715" s="160" t="s">
        <v>261</v>
      </c>
      <c r="F715" s="199" t="str">
        <f>표지!$O$5</f>
        <v>○○○○ 주식회사</v>
      </c>
    </row>
    <row r="716" spans="1:6" ht="30.95" hidden="1" customHeight="1">
      <c r="A716" s="624" t="s">
        <v>125</v>
      </c>
      <c r="B716" s="423"/>
      <c r="C716" s="423"/>
      <c r="D716" s="276">
        <v>80</v>
      </c>
      <c r="E716" s="170" t="s">
        <v>190</v>
      </c>
      <c r="F716" s="111"/>
    </row>
    <row r="717" spans="1:6" ht="30.95" hidden="1" customHeight="1">
      <c r="A717" s="625" t="s">
        <v>183</v>
      </c>
      <c r="B717" s="419" t="s">
        <v>118</v>
      </c>
      <c r="C717" s="420"/>
      <c r="D717" s="419" t="e">
        <f>VLOOKUP(D716,주주총괄!$A$5:$J$8,4,0)</f>
        <v>#N/A</v>
      </c>
      <c r="E717" s="420"/>
      <c r="F717" s="626"/>
    </row>
    <row r="718" spans="1:6" ht="30.95" hidden="1" customHeight="1">
      <c r="A718" s="625"/>
      <c r="B718" s="419" t="s">
        <v>250</v>
      </c>
      <c r="C718" s="420"/>
      <c r="D718" s="564" t="e">
        <f>VLOOKUP(D716,주주총괄!$A$5:$J$8,5,0)</f>
        <v>#N/A</v>
      </c>
      <c r="E718" s="565"/>
      <c r="F718" s="627"/>
    </row>
    <row r="719" spans="1:6" ht="30.95" hidden="1" customHeight="1">
      <c r="A719" s="625"/>
      <c r="B719" s="419" t="s">
        <v>23</v>
      </c>
      <c r="C719" s="420"/>
      <c r="D719" s="25"/>
      <c r="E719" s="62" t="s">
        <v>151</v>
      </c>
      <c r="F719" s="161"/>
    </row>
    <row r="720" spans="1:6" ht="30.95" hidden="1" customHeight="1">
      <c r="A720" s="210" t="s">
        <v>59</v>
      </c>
      <c r="B720" s="205" t="e">
        <f>VLOOKUP(D716,주주총괄!$A$5:$J$8,6,0)</f>
        <v>#N/A</v>
      </c>
      <c r="C720" s="274" t="e">
        <f>VLOOKUP(D716,주주총괄!$A$5:$J$8,7,0)</f>
        <v>#N/A</v>
      </c>
      <c r="D720" s="275" t="e">
        <f>VLOOKUP(D716,주주총괄!$A$5:$J$8,8,0)</f>
        <v>#N/A</v>
      </c>
      <c r="E720" s="620" t="str">
        <f>"(액면가액: "&amp;TEXT(주주총괄!$L$4,"###,###원)")</f>
        <v>(액면가액: 100원)</v>
      </c>
      <c r="F720" s="621"/>
    </row>
    <row r="721" spans="1:6" ht="30.95" hidden="1" customHeight="1">
      <c r="A721" s="211" t="s">
        <v>19</v>
      </c>
      <c r="B721" s="618"/>
      <c r="C721" s="618"/>
      <c r="D721" s="618"/>
      <c r="E721" s="618"/>
      <c r="F721" s="619"/>
    </row>
    <row r="722" spans="1:6" ht="30.95" hidden="1" customHeight="1">
      <c r="A722" s="612" t="s">
        <v>41</v>
      </c>
      <c r="B722" s="612"/>
      <c r="C722" s="612"/>
      <c r="D722" s="612"/>
      <c r="E722" s="612"/>
      <c r="F722" s="612"/>
    </row>
    <row r="723" spans="1:6" ht="30.95" hidden="1" customHeight="1">
      <c r="A723" s="128"/>
      <c r="B723" s="128"/>
      <c r="C723" s="128"/>
      <c r="D723" s="128"/>
      <c r="E723" s="128"/>
      <c r="F723" s="128"/>
    </row>
    <row r="724" spans="1:6" ht="30.95" hidden="1" customHeight="1">
      <c r="A724" s="622" t="s">
        <v>249</v>
      </c>
      <c r="B724" s="623"/>
      <c r="C724" s="623"/>
      <c r="D724" s="198" t="str">
        <f>표지!$O$3&amp;" "&amp;표지!$O$4</f>
        <v>20○○회합100○○○ 회생</v>
      </c>
      <c r="E724" s="160" t="s">
        <v>261</v>
      </c>
      <c r="F724" s="199" t="str">
        <f>표지!$O$5</f>
        <v>○○○○ 주식회사</v>
      </c>
    </row>
    <row r="725" spans="1:6" ht="30.95" hidden="1" customHeight="1">
      <c r="A725" s="624" t="s">
        <v>125</v>
      </c>
      <c r="B725" s="423"/>
      <c r="C725" s="423"/>
      <c r="D725" s="276">
        <v>81</v>
      </c>
      <c r="E725" s="170" t="s">
        <v>190</v>
      </c>
      <c r="F725" s="111"/>
    </row>
    <row r="726" spans="1:6" ht="30.95" hidden="1" customHeight="1">
      <c r="A726" s="625" t="s">
        <v>183</v>
      </c>
      <c r="B726" s="419" t="s">
        <v>118</v>
      </c>
      <c r="C726" s="420"/>
      <c r="D726" s="419" t="e">
        <f>VLOOKUP(D725,주주총괄!$A$5:$J$8,4,0)</f>
        <v>#N/A</v>
      </c>
      <c r="E726" s="420"/>
      <c r="F726" s="626"/>
    </row>
    <row r="727" spans="1:6" ht="30.95" hidden="1" customHeight="1">
      <c r="A727" s="625"/>
      <c r="B727" s="419" t="s">
        <v>250</v>
      </c>
      <c r="C727" s="420"/>
      <c r="D727" s="564" t="e">
        <f>VLOOKUP(D725,주주총괄!$A$5:$J$8,5,0)</f>
        <v>#N/A</v>
      </c>
      <c r="E727" s="565"/>
      <c r="F727" s="627"/>
    </row>
    <row r="728" spans="1:6" ht="30.95" hidden="1" customHeight="1">
      <c r="A728" s="625"/>
      <c r="B728" s="419" t="s">
        <v>23</v>
      </c>
      <c r="C728" s="420"/>
      <c r="D728" s="25"/>
      <c r="E728" s="62" t="s">
        <v>151</v>
      </c>
      <c r="F728" s="161"/>
    </row>
    <row r="729" spans="1:6" ht="30.95" hidden="1" customHeight="1">
      <c r="A729" s="210" t="s">
        <v>59</v>
      </c>
      <c r="B729" s="205" t="e">
        <f>VLOOKUP(D725,주주총괄!$A$5:$J$8,6,0)</f>
        <v>#N/A</v>
      </c>
      <c r="C729" s="274" t="e">
        <f>VLOOKUP(D725,주주총괄!$A$5:$J$8,7,0)</f>
        <v>#N/A</v>
      </c>
      <c r="D729" s="275" t="e">
        <f>VLOOKUP(D725,주주총괄!$A$5:$J$8,8,0)</f>
        <v>#N/A</v>
      </c>
      <c r="E729" s="620" t="str">
        <f>"(액면가액: "&amp;TEXT(주주총괄!$L$4,"###,###원)")</f>
        <v>(액면가액: 100원)</v>
      </c>
      <c r="F729" s="621"/>
    </row>
    <row r="730" spans="1:6" ht="30.95" hidden="1" customHeight="1">
      <c r="A730" s="211" t="s">
        <v>19</v>
      </c>
      <c r="B730" s="618"/>
      <c r="C730" s="618"/>
      <c r="D730" s="618"/>
      <c r="E730" s="618"/>
      <c r="F730" s="619"/>
    </row>
    <row r="731" spans="1:6" ht="30.95" hidden="1" customHeight="1">
      <c r="A731" s="612" t="s">
        <v>41</v>
      </c>
      <c r="B731" s="612"/>
      <c r="C731" s="612"/>
      <c r="D731" s="612"/>
      <c r="E731" s="612"/>
      <c r="F731" s="612"/>
    </row>
    <row r="732" spans="1:6" ht="30.95" hidden="1" customHeight="1">
      <c r="A732" s="128"/>
      <c r="B732" s="128"/>
      <c r="C732" s="128"/>
      <c r="D732" s="128"/>
      <c r="E732" s="128"/>
      <c r="F732" s="128"/>
    </row>
    <row r="733" spans="1:6" ht="30.95" hidden="1" customHeight="1">
      <c r="A733" s="622" t="s">
        <v>249</v>
      </c>
      <c r="B733" s="623"/>
      <c r="C733" s="623"/>
      <c r="D733" s="198" t="str">
        <f>표지!$O$3&amp;" "&amp;표지!$O$4</f>
        <v>20○○회합100○○○ 회생</v>
      </c>
      <c r="E733" s="160" t="s">
        <v>261</v>
      </c>
      <c r="F733" s="199" t="str">
        <f>표지!$O$5</f>
        <v>○○○○ 주식회사</v>
      </c>
    </row>
    <row r="734" spans="1:6" ht="30.95" hidden="1" customHeight="1">
      <c r="A734" s="624" t="s">
        <v>125</v>
      </c>
      <c r="B734" s="423"/>
      <c r="C734" s="423"/>
      <c r="D734" s="276">
        <v>82</v>
      </c>
      <c r="E734" s="170" t="s">
        <v>190</v>
      </c>
      <c r="F734" s="111"/>
    </row>
    <row r="735" spans="1:6" ht="30.95" hidden="1" customHeight="1">
      <c r="A735" s="625" t="s">
        <v>183</v>
      </c>
      <c r="B735" s="419" t="s">
        <v>118</v>
      </c>
      <c r="C735" s="420"/>
      <c r="D735" s="419" t="e">
        <f>VLOOKUP(D734,주주총괄!$A$5:$J$8,4,0)</f>
        <v>#N/A</v>
      </c>
      <c r="E735" s="420"/>
      <c r="F735" s="626"/>
    </row>
    <row r="736" spans="1:6" ht="30.95" hidden="1" customHeight="1">
      <c r="A736" s="625"/>
      <c r="B736" s="419" t="s">
        <v>250</v>
      </c>
      <c r="C736" s="420"/>
      <c r="D736" s="564" t="e">
        <f>VLOOKUP(D734,주주총괄!$A$5:$J$8,5,0)</f>
        <v>#N/A</v>
      </c>
      <c r="E736" s="565"/>
      <c r="F736" s="627"/>
    </row>
    <row r="737" spans="1:6" ht="30.95" hidden="1" customHeight="1">
      <c r="A737" s="625"/>
      <c r="B737" s="419" t="s">
        <v>23</v>
      </c>
      <c r="C737" s="420"/>
      <c r="D737" s="25"/>
      <c r="E737" s="62" t="s">
        <v>151</v>
      </c>
      <c r="F737" s="161"/>
    </row>
    <row r="738" spans="1:6" ht="30.95" hidden="1" customHeight="1">
      <c r="A738" s="210" t="s">
        <v>59</v>
      </c>
      <c r="B738" s="205" t="e">
        <f>VLOOKUP(D734,주주총괄!$A$5:$J$8,6,0)</f>
        <v>#N/A</v>
      </c>
      <c r="C738" s="274" t="e">
        <f>VLOOKUP(D734,주주총괄!$A$5:$J$8,7,0)</f>
        <v>#N/A</v>
      </c>
      <c r="D738" s="275" t="e">
        <f>VLOOKUP(D734,주주총괄!$A$5:$J$8,8,0)</f>
        <v>#N/A</v>
      </c>
      <c r="E738" s="620" t="str">
        <f>"(액면가액: "&amp;TEXT(주주총괄!$L$4,"###,###원)")</f>
        <v>(액면가액: 100원)</v>
      </c>
      <c r="F738" s="621"/>
    </row>
    <row r="739" spans="1:6" ht="30.95" hidden="1" customHeight="1">
      <c r="A739" s="211" t="s">
        <v>19</v>
      </c>
      <c r="B739" s="618"/>
      <c r="C739" s="618"/>
      <c r="D739" s="618"/>
      <c r="E739" s="618"/>
      <c r="F739" s="619"/>
    </row>
    <row r="740" spans="1:6" ht="30.95" hidden="1" customHeight="1">
      <c r="A740" s="612" t="s">
        <v>41</v>
      </c>
      <c r="B740" s="612"/>
      <c r="C740" s="612"/>
      <c r="D740" s="612"/>
      <c r="E740" s="612"/>
      <c r="F740" s="612"/>
    </row>
    <row r="741" spans="1:6" ht="30.95" hidden="1" customHeight="1">
      <c r="A741" s="128"/>
      <c r="B741" s="128"/>
      <c r="C741" s="128"/>
      <c r="D741" s="128"/>
      <c r="E741" s="128"/>
      <c r="F741" s="128"/>
    </row>
    <row r="742" spans="1:6" ht="30.95" hidden="1" customHeight="1">
      <c r="A742" s="622" t="s">
        <v>249</v>
      </c>
      <c r="B742" s="623"/>
      <c r="C742" s="623"/>
      <c r="D742" s="198" t="str">
        <f>표지!$O$3&amp;" "&amp;표지!$O$4</f>
        <v>20○○회합100○○○ 회생</v>
      </c>
      <c r="E742" s="160" t="s">
        <v>261</v>
      </c>
      <c r="F742" s="199" t="str">
        <f>표지!$O$5</f>
        <v>○○○○ 주식회사</v>
      </c>
    </row>
    <row r="743" spans="1:6" ht="30.95" hidden="1" customHeight="1">
      <c r="A743" s="624" t="s">
        <v>125</v>
      </c>
      <c r="B743" s="423"/>
      <c r="C743" s="423"/>
      <c r="D743" s="276">
        <v>83</v>
      </c>
      <c r="E743" s="170" t="s">
        <v>190</v>
      </c>
      <c r="F743" s="111"/>
    </row>
    <row r="744" spans="1:6" ht="30.95" hidden="1" customHeight="1">
      <c r="A744" s="625" t="s">
        <v>183</v>
      </c>
      <c r="B744" s="419" t="s">
        <v>118</v>
      </c>
      <c r="C744" s="420"/>
      <c r="D744" s="419" t="e">
        <f>VLOOKUP(D743,주주총괄!$A$5:$J$8,4,0)</f>
        <v>#N/A</v>
      </c>
      <c r="E744" s="420"/>
      <c r="F744" s="626"/>
    </row>
    <row r="745" spans="1:6" ht="30.95" hidden="1" customHeight="1">
      <c r="A745" s="625"/>
      <c r="B745" s="419" t="s">
        <v>250</v>
      </c>
      <c r="C745" s="420"/>
      <c r="D745" s="564" t="e">
        <f>VLOOKUP(D743,주주총괄!$A$5:$J$8,5,0)</f>
        <v>#N/A</v>
      </c>
      <c r="E745" s="565"/>
      <c r="F745" s="627"/>
    </row>
    <row r="746" spans="1:6" ht="30.95" hidden="1" customHeight="1">
      <c r="A746" s="625"/>
      <c r="B746" s="419" t="s">
        <v>23</v>
      </c>
      <c r="C746" s="420"/>
      <c r="D746" s="25"/>
      <c r="E746" s="62" t="s">
        <v>151</v>
      </c>
      <c r="F746" s="161"/>
    </row>
    <row r="747" spans="1:6" ht="30.95" hidden="1" customHeight="1">
      <c r="A747" s="210" t="s">
        <v>59</v>
      </c>
      <c r="B747" s="205" t="e">
        <f>VLOOKUP(D743,주주총괄!$A$5:$J$8,6,0)</f>
        <v>#N/A</v>
      </c>
      <c r="C747" s="274" t="e">
        <f>VLOOKUP(D743,주주총괄!$A$5:$J$8,7,0)</f>
        <v>#N/A</v>
      </c>
      <c r="D747" s="275" t="e">
        <f>VLOOKUP(D743,주주총괄!$A$5:$J$8,8,0)</f>
        <v>#N/A</v>
      </c>
      <c r="E747" s="620" t="str">
        <f>"(액면가액: "&amp;TEXT(주주총괄!$L$4,"###,###원)")</f>
        <v>(액면가액: 100원)</v>
      </c>
      <c r="F747" s="621"/>
    </row>
    <row r="748" spans="1:6" ht="30.95" hidden="1" customHeight="1">
      <c r="A748" s="211" t="s">
        <v>19</v>
      </c>
      <c r="B748" s="618"/>
      <c r="C748" s="618"/>
      <c r="D748" s="618"/>
      <c r="E748" s="618"/>
      <c r="F748" s="619"/>
    </row>
    <row r="749" spans="1:6" ht="30.95" hidden="1" customHeight="1">
      <c r="A749" s="612" t="s">
        <v>41</v>
      </c>
      <c r="B749" s="612"/>
      <c r="C749" s="612"/>
      <c r="D749" s="612"/>
      <c r="E749" s="612"/>
      <c r="F749" s="612"/>
    </row>
    <row r="750" spans="1:6" ht="30.95" hidden="1" customHeight="1">
      <c r="A750" s="128"/>
      <c r="B750" s="128"/>
      <c r="C750" s="128"/>
      <c r="D750" s="128"/>
      <c r="E750" s="128"/>
      <c r="F750" s="128"/>
    </row>
    <row r="751" spans="1:6" ht="30.95" hidden="1" customHeight="1">
      <c r="A751" s="622" t="s">
        <v>249</v>
      </c>
      <c r="B751" s="623"/>
      <c r="C751" s="623"/>
      <c r="D751" s="198" t="str">
        <f>표지!$O$3&amp;" "&amp;표지!$O$4</f>
        <v>20○○회합100○○○ 회생</v>
      </c>
      <c r="E751" s="160" t="s">
        <v>261</v>
      </c>
      <c r="F751" s="199" t="str">
        <f>표지!$O$5</f>
        <v>○○○○ 주식회사</v>
      </c>
    </row>
    <row r="752" spans="1:6" ht="30.95" hidden="1" customHeight="1">
      <c r="A752" s="624" t="s">
        <v>125</v>
      </c>
      <c r="B752" s="423"/>
      <c r="C752" s="423"/>
      <c r="D752" s="276">
        <v>84</v>
      </c>
      <c r="E752" s="170" t="s">
        <v>190</v>
      </c>
      <c r="F752" s="111"/>
    </row>
    <row r="753" spans="1:6" ht="30.95" hidden="1" customHeight="1">
      <c r="A753" s="625" t="s">
        <v>183</v>
      </c>
      <c r="B753" s="419" t="s">
        <v>118</v>
      </c>
      <c r="C753" s="420"/>
      <c r="D753" s="419" t="e">
        <f>VLOOKUP(D752,주주총괄!$A$5:$J$8,4,0)</f>
        <v>#N/A</v>
      </c>
      <c r="E753" s="420"/>
      <c r="F753" s="626"/>
    </row>
    <row r="754" spans="1:6" ht="30.95" hidden="1" customHeight="1">
      <c r="A754" s="625"/>
      <c r="B754" s="419" t="s">
        <v>250</v>
      </c>
      <c r="C754" s="420"/>
      <c r="D754" s="564" t="e">
        <f>VLOOKUP(D752,주주총괄!$A$5:$J$8,5,0)</f>
        <v>#N/A</v>
      </c>
      <c r="E754" s="565"/>
      <c r="F754" s="627"/>
    </row>
    <row r="755" spans="1:6" ht="30.95" hidden="1" customHeight="1">
      <c r="A755" s="625"/>
      <c r="B755" s="419" t="s">
        <v>23</v>
      </c>
      <c r="C755" s="420"/>
      <c r="D755" s="25"/>
      <c r="E755" s="62" t="s">
        <v>151</v>
      </c>
      <c r="F755" s="161"/>
    </row>
    <row r="756" spans="1:6" ht="30.95" hidden="1" customHeight="1">
      <c r="A756" s="210" t="s">
        <v>59</v>
      </c>
      <c r="B756" s="205" t="e">
        <f>VLOOKUP(D752,주주총괄!$A$5:$J$8,6,0)</f>
        <v>#N/A</v>
      </c>
      <c r="C756" s="274" t="e">
        <f>VLOOKUP(D752,주주총괄!$A$5:$J$8,7,0)</f>
        <v>#N/A</v>
      </c>
      <c r="D756" s="275" t="e">
        <f>VLOOKUP(D752,주주총괄!$A$5:$J$8,8,0)</f>
        <v>#N/A</v>
      </c>
      <c r="E756" s="620" t="str">
        <f>"(액면가액: "&amp;TEXT(주주총괄!$L$4,"###,###원)")</f>
        <v>(액면가액: 100원)</v>
      </c>
      <c r="F756" s="621"/>
    </row>
    <row r="757" spans="1:6" ht="30.95" hidden="1" customHeight="1">
      <c r="A757" s="211" t="s">
        <v>19</v>
      </c>
      <c r="B757" s="618"/>
      <c r="C757" s="618"/>
      <c r="D757" s="618"/>
      <c r="E757" s="618"/>
      <c r="F757" s="619"/>
    </row>
    <row r="758" spans="1:6" ht="30.95" hidden="1" customHeight="1">
      <c r="A758" s="612" t="s">
        <v>41</v>
      </c>
      <c r="B758" s="612"/>
      <c r="C758" s="612"/>
      <c r="D758" s="612"/>
      <c r="E758" s="612"/>
      <c r="F758" s="612"/>
    </row>
    <row r="759" spans="1:6" ht="30.95" hidden="1" customHeight="1">
      <c r="A759" s="128"/>
      <c r="B759" s="128"/>
      <c r="C759" s="128"/>
      <c r="D759" s="128"/>
      <c r="E759" s="128"/>
      <c r="F759" s="128"/>
    </row>
    <row r="760" spans="1:6" ht="30.95" hidden="1" customHeight="1">
      <c r="A760" s="622" t="s">
        <v>249</v>
      </c>
      <c r="B760" s="623"/>
      <c r="C760" s="623"/>
      <c r="D760" s="198" t="str">
        <f>표지!$O$3&amp;" "&amp;표지!$O$4</f>
        <v>20○○회합100○○○ 회생</v>
      </c>
      <c r="E760" s="160" t="s">
        <v>261</v>
      </c>
      <c r="F760" s="199" t="str">
        <f>표지!$O$5</f>
        <v>○○○○ 주식회사</v>
      </c>
    </row>
    <row r="761" spans="1:6" ht="30.95" hidden="1" customHeight="1">
      <c r="A761" s="624" t="s">
        <v>125</v>
      </c>
      <c r="B761" s="423"/>
      <c r="C761" s="423"/>
      <c r="D761" s="276">
        <v>85</v>
      </c>
      <c r="E761" s="170" t="s">
        <v>190</v>
      </c>
      <c r="F761" s="111"/>
    </row>
    <row r="762" spans="1:6" ht="30.95" hidden="1" customHeight="1">
      <c r="A762" s="625" t="s">
        <v>183</v>
      </c>
      <c r="B762" s="419" t="s">
        <v>118</v>
      </c>
      <c r="C762" s="420"/>
      <c r="D762" s="419" t="e">
        <f>VLOOKUP(D761,주주총괄!$A$5:$J$8,4,0)</f>
        <v>#N/A</v>
      </c>
      <c r="E762" s="420"/>
      <c r="F762" s="626"/>
    </row>
    <row r="763" spans="1:6" ht="30.95" hidden="1" customHeight="1">
      <c r="A763" s="625"/>
      <c r="B763" s="419" t="s">
        <v>250</v>
      </c>
      <c r="C763" s="420"/>
      <c r="D763" s="564" t="e">
        <f>VLOOKUP(D761,주주총괄!$A$5:$J$8,5,0)</f>
        <v>#N/A</v>
      </c>
      <c r="E763" s="565"/>
      <c r="F763" s="627"/>
    </row>
    <row r="764" spans="1:6" ht="30.95" hidden="1" customHeight="1">
      <c r="A764" s="625"/>
      <c r="B764" s="419" t="s">
        <v>23</v>
      </c>
      <c r="C764" s="420"/>
      <c r="D764" s="25"/>
      <c r="E764" s="62" t="s">
        <v>151</v>
      </c>
      <c r="F764" s="161"/>
    </row>
    <row r="765" spans="1:6" ht="30.95" hidden="1" customHeight="1">
      <c r="A765" s="210" t="s">
        <v>59</v>
      </c>
      <c r="B765" s="205" t="e">
        <f>VLOOKUP(D761,주주총괄!$A$5:$J$8,6,0)</f>
        <v>#N/A</v>
      </c>
      <c r="C765" s="274" t="e">
        <f>VLOOKUP(D761,주주총괄!$A$5:$J$8,7,0)</f>
        <v>#N/A</v>
      </c>
      <c r="D765" s="275" t="e">
        <f>VLOOKUP(D761,주주총괄!$A$5:$J$8,8,0)</f>
        <v>#N/A</v>
      </c>
      <c r="E765" s="620" t="str">
        <f>"(액면가액: "&amp;TEXT(주주총괄!$L$4,"###,###원)")</f>
        <v>(액면가액: 100원)</v>
      </c>
      <c r="F765" s="621"/>
    </row>
    <row r="766" spans="1:6" ht="30.95" hidden="1" customHeight="1">
      <c r="A766" s="211" t="s">
        <v>19</v>
      </c>
      <c r="B766" s="618"/>
      <c r="C766" s="618"/>
      <c r="D766" s="618"/>
      <c r="E766" s="618"/>
      <c r="F766" s="619"/>
    </row>
    <row r="767" spans="1:6" ht="30.95" hidden="1" customHeight="1">
      <c r="A767" s="612" t="s">
        <v>41</v>
      </c>
      <c r="B767" s="612"/>
      <c r="C767" s="612"/>
      <c r="D767" s="612"/>
      <c r="E767" s="612"/>
      <c r="F767" s="612"/>
    </row>
    <row r="768" spans="1:6" ht="30.95" hidden="1" customHeight="1">
      <c r="A768" s="128"/>
      <c r="B768" s="128"/>
      <c r="C768" s="128"/>
      <c r="D768" s="128"/>
      <c r="E768" s="128"/>
      <c r="F768" s="128"/>
    </row>
    <row r="769" spans="1:6" ht="30.95" hidden="1" customHeight="1">
      <c r="A769" s="622" t="s">
        <v>249</v>
      </c>
      <c r="B769" s="623"/>
      <c r="C769" s="623"/>
      <c r="D769" s="198" t="str">
        <f>표지!$O$3&amp;" "&amp;표지!$O$4</f>
        <v>20○○회합100○○○ 회생</v>
      </c>
      <c r="E769" s="160" t="s">
        <v>261</v>
      </c>
      <c r="F769" s="199" t="str">
        <f>표지!$O$5</f>
        <v>○○○○ 주식회사</v>
      </c>
    </row>
    <row r="770" spans="1:6" ht="30.95" hidden="1" customHeight="1">
      <c r="A770" s="624" t="s">
        <v>125</v>
      </c>
      <c r="B770" s="423"/>
      <c r="C770" s="423"/>
      <c r="D770" s="276">
        <v>86</v>
      </c>
      <c r="E770" s="170" t="s">
        <v>190</v>
      </c>
      <c r="F770" s="111"/>
    </row>
    <row r="771" spans="1:6" ht="30.95" hidden="1" customHeight="1">
      <c r="A771" s="625" t="s">
        <v>183</v>
      </c>
      <c r="B771" s="419" t="s">
        <v>118</v>
      </c>
      <c r="C771" s="420"/>
      <c r="D771" s="419" t="e">
        <f>VLOOKUP(D770,주주총괄!$A$5:$J$8,4,0)</f>
        <v>#N/A</v>
      </c>
      <c r="E771" s="420"/>
      <c r="F771" s="626"/>
    </row>
    <row r="772" spans="1:6" ht="30.95" hidden="1" customHeight="1">
      <c r="A772" s="625"/>
      <c r="B772" s="419" t="s">
        <v>250</v>
      </c>
      <c r="C772" s="420"/>
      <c r="D772" s="564" t="e">
        <f>VLOOKUP(D770,주주총괄!$A$5:$J$8,5,0)</f>
        <v>#N/A</v>
      </c>
      <c r="E772" s="565"/>
      <c r="F772" s="627"/>
    </row>
    <row r="773" spans="1:6" ht="30.95" hidden="1" customHeight="1">
      <c r="A773" s="625"/>
      <c r="B773" s="419" t="s">
        <v>23</v>
      </c>
      <c r="C773" s="420"/>
      <c r="D773" s="25"/>
      <c r="E773" s="62" t="s">
        <v>151</v>
      </c>
      <c r="F773" s="161"/>
    </row>
    <row r="774" spans="1:6" ht="30.95" hidden="1" customHeight="1">
      <c r="A774" s="210" t="s">
        <v>59</v>
      </c>
      <c r="B774" s="205" t="e">
        <f>VLOOKUP(D770,주주총괄!$A$5:$J$8,6,0)</f>
        <v>#N/A</v>
      </c>
      <c r="C774" s="274" t="e">
        <f>VLOOKUP(D770,주주총괄!$A$5:$J$8,7,0)</f>
        <v>#N/A</v>
      </c>
      <c r="D774" s="275" t="e">
        <f>VLOOKUP(D770,주주총괄!$A$5:$J$8,8,0)</f>
        <v>#N/A</v>
      </c>
      <c r="E774" s="620" t="str">
        <f>"(액면가액: "&amp;TEXT(주주총괄!$L$4,"###,###원)")</f>
        <v>(액면가액: 100원)</v>
      </c>
      <c r="F774" s="621"/>
    </row>
    <row r="775" spans="1:6" ht="30.95" hidden="1" customHeight="1">
      <c r="A775" s="211" t="s">
        <v>19</v>
      </c>
      <c r="B775" s="618"/>
      <c r="C775" s="618"/>
      <c r="D775" s="618"/>
      <c r="E775" s="618"/>
      <c r="F775" s="619"/>
    </row>
    <row r="776" spans="1:6" ht="30.95" hidden="1" customHeight="1">
      <c r="A776" s="612" t="s">
        <v>41</v>
      </c>
      <c r="B776" s="612"/>
      <c r="C776" s="612"/>
      <c r="D776" s="612"/>
      <c r="E776" s="612"/>
      <c r="F776" s="612"/>
    </row>
    <row r="777" spans="1:6" ht="30.95" hidden="1" customHeight="1">
      <c r="A777" s="128"/>
      <c r="B777" s="128"/>
      <c r="C777" s="128"/>
      <c r="D777" s="128"/>
      <c r="E777" s="128"/>
      <c r="F777" s="128"/>
    </row>
    <row r="778" spans="1:6" ht="30.95" hidden="1" customHeight="1">
      <c r="A778" s="622" t="s">
        <v>249</v>
      </c>
      <c r="B778" s="623"/>
      <c r="C778" s="623"/>
      <c r="D778" s="198" t="str">
        <f>표지!$O$3&amp;" "&amp;표지!$O$4</f>
        <v>20○○회합100○○○ 회생</v>
      </c>
      <c r="E778" s="160" t="s">
        <v>261</v>
      </c>
      <c r="F778" s="199" t="str">
        <f>표지!$O$5</f>
        <v>○○○○ 주식회사</v>
      </c>
    </row>
    <row r="779" spans="1:6" ht="30.95" hidden="1" customHeight="1">
      <c r="A779" s="624" t="s">
        <v>125</v>
      </c>
      <c r="B779" s="423"/>
      <c r="C779" s="423"/>
      <c r="D779" s="276">
        <v>87</v>
      </c>
      <c r="E779" s="170" t="s">
        <v>190</v>
      </c>
      <c r="F779" s="111"/>
    </row>
    <row r="780" spans="1:6" ht="30.95" hidden="1" customHeight="1">
      <c r="A780" s="625" t="s">
        <v>183</v>
      </c>
      <c r="B780" s="419" t="s">
        <v>118</v>
      </c>
      <c r="C780" s="420"/>
      <c r="D780" s="419" t="e">
        <f>VLOOKUP(D779,주주총괄!$A$5:$J$8,4,0)</f>
        <v>#N/A</v>
      </c>
      <c r="E780" s="420"/>
      <c r="F780" s="626"/>
    </row>
    <row r="781" spans="1:6" ht="30.95" hidden="1" customHeight="1">
      <c r="A781" s="625"/>
      <c r="B781" s="419" t="s">
        <v>250</v>
      </c>
      <c r="C781" s="420"/>
      <c r="D781" s="564" t="e">
        <f>VLOOKUP(D779,주주총괄!$A$5:$J$8,5,0)</f>
        <v>#N/A</v>
      </c>
      <c r="E781" s="565"/>
      <c r="F781" s="627"/>
    </row>
    <row r="782" spans="1:6" ht="30.95" hidden="1" customHeight="1">
      <c r="A782" s="625"/>
      <c r="B782" s="419" t="s">
        <v>23</v>
      </c>
      <c r="C782" s="420"/>
      <c r="D782" s="25"/>
      <c r="E782" s="62" t="s">
        <v>151</v>
      </c>
      <c r="F782" s="161"/>
    </row>
    <row r="783" spans="1:6" ht="30.95" hidden="1" customHeight="1">
      <c r="A783" s="210" t="s">
        <v>59</v>
      </c>
      <c r="B783" s="205" t="e">
        <f>VLOOKUP(D779,주주총괄!$A$5:$J$8,6,0)</f>
        <v>#N/A</v>
      </c>
      <c r="C783" s="274" t="e">
        <f>VLOOKUP(D779,주주총괄!$A$5:$J$8,7,0)</f>
        <v>#N/A</v>
      </c>
      <c r="D783" s="275" t="e">
        <f>VLOOKUP(D779,주주총괄!$A$5:$J$8,8,0)</f>
        <v>#N/A</v>
      </c>
      <c r="E783" s="620" t="str">
        <f>"(액면가액: "&amp;TEXT(주주총괄!$L$4,"###,###원)")</f>
        <v>(액면가액: 100원)</v>
      </c>
      <c r="F783" s="621"/>
    </row>
    <row r="784" spans="1:6" ht="30.95" hidden="1" customHeight="1">
      <c r="A784" s="211" t="s">
        <v>19</v>
      </c>
      <c r="B784" s="618"/>
      <c r="C784" s="618"/>
      <c r="D784" s="618"/>
      <c r="E784" s="618"/>
      <c r="F784" s="619"/>
    </row>
    <row r="785" spans="1:6" ht="30.95" hidden="1" customHeight="1">
      <c r="A785" s="612" t="s">
        <v>41</v>
      </c>
      <c r="B785" s="612"/>
      <c r="C785" s="612"/>
      <c r="D785" s="612"/>
      <c r="E785" s="612"/>
      <c r="F785" s="612"/>
    </row>
    <row r="786" spans="1:6" ht="30.95" hidden="1" customHeight="1">
      <c r="A786" s="128"/>
      <c r="B786" s="128"/>
      <c r="C786" s="128"/>
      <c r="D786" s="128"/>
      <c r="E786" s="128"/>
      <c r="F786" s="128"/>
    </row>
    <row r="787" spans="1:6" ht="30.95" hidden="1" customHeight="1">
      <c r="A787" s="622" t="s">
        <v>249</v>
      </c>
      <c r="B787" s="623"/>
      <c r="C787" s="623"/>
      <c r="D787" s="198" t="str">
        <f>표지!$O$3&amp;" "&amp;표지!$O$4</f>
        <v>20○○회합100○○○ 회생</v>
      </c>
      <c r="E787" s="160" t="s">
        <v>261</v>
      </c>
      <c r="F787" s="199" t="str">
        <f>표지!$O$5</f>
        <v>○○○○ 주식회사</v>
      </c>
    </row>
    <row r="788" spans="1:6" ht="30.95" hidden="1" customHeight="1">
      <c r="A788" s="624" t="s">
        <v>125</v>
      </c>
      <c r="B788" s="423"/>
      <c r="C788" s="423"/>
      <c r="D788" s="276">
        <v>88</v>
      </c>
      <c r="E788" s="170" t="s">
        <v>190</v>
      </c>
      <c r="F788" s="111"/>
    </row>
    <row r="789" spans="1:6" ht="30.95" hidden="1" customHeight="1">
      <c r="A789" s="625" t="s">
        <v>183</v>
      </c>
      <c r="B789" s="419" t="s">
        <v>118</v>
      </c>
      <c r="C789" s="420"/>
      <c r="D789" s="419" t="e">
        <f>VLOOKUP(D788,주주총괄!$A$5:$J$8,4,0)</f>
        <v>#N/A</v>
      </c>
      <c r="E789" s="420"/>
      <c r="F789" s="626"/>
    </row>
    <row r="790" spans="1:6" ht="30.95" hidden="1" customHeight="1">
      <c r="A790" s="625"/>
      <c r="B790" s="419" t="s">
        <v>250</v>
      </c>
      <c r="C790" s="420"/>
      <c r="D790" s="564" t="e">
        <f>VLOOKUP(D788,주주총괄!$A$5:$J$8,5,0)</f>
        <v>#N/A</v>
      </c>
      <c r="E790" s="565"/>
      <c r="F790" s="627"/>
    </row>
    <row r="791" spans="1:6" ht="30.95" hidden="1" customHeight="1">
      <c r="A791" s="625"/>
      <c r="B791" s="419" t="s">
        <v>23</v>
      </c>
      <c r="C791" s="420"/>
      <c r="D791" s="25"/>
      <c r="E791" s="62" t="s">
        <v>151</v>
      </c>
      <c r="F791" s="161"/>
    </row>
    <row r="792" spans="1:6" ht="30.95" hidden="1" customHeight="1">
      <c r="A792" s="210" t="s">
        <v>59</v>
      </c>
      <c r="B792" s="205" t="e">
        <f>VLOOKUP(D788,주주총괄!$A$5:$J$8,6,0)</f>
        <v>#N/A</v>
      </c>
      <c r="C792" s="274" t="e">
        <f>VLOOKUP(D788,주주총괄!$A$5:$J$8,7,0)</f>
        <v>#N/A</v>
      </c>
      <c r="D792" s="275" t="e">
        <f>VLOOKUP(D788,주주총괄!$A$5:$J$8,8,0)</f>
        <v>#N/A</v>
      </c>
      <c r="E792" s="620" t="str">
        <f>"(액면가액: "&amp;TEXT(주주총괄!$L$4,"###,###원)")</f>
        <v>(액면가액: 100원)</v>
      </c>
      <c r="F792" s="621"/>
    </row>
    <row r="793" spans="1:6" ht="30.95" hidden="1" customHeight="1">
      <c r="A793" s="211" t="s">
        <v>19</v>
      </c>
      <c r="B793" s="618"/>
      <c r="C793" s="618"/>
      <c r="D793" s="618"/>
      <c r="E793" s="618"/>
      <c r="F793" s="619"/>
    </row>
    <row r="794" spans="1:6" ht="30.95" hidden="1" customHeight="1">
      <c r="A794" s="612" t="s">
        <v>41</v>
      </c>
      <c r="B794" s="612"/>
      <c r="C794" s="612"/>
      <c r="D794" s="612"/>
      <c r="E794" s="612"/>
      <c r="F794" s="612"/>
    </row>
    <row r="795" spans="1:6" ht="30.95" hidden="1" customHeight="1">
      <c r="A795" s="128"/>
      <c r="B795" s="128"/>
      <c r="C795" s="128"/>
      <c r="D795" s="128"/>
      <c r="E795" s="128"/>
      <c r="F795" s="128"/>
    </row>
    <row r="796" spans="1:6" ht="30.95" hidden="1" customHeight="1">
      <c r="A796" s="622" t="s">
        <v>249</v>
      </c>
      <c r="B796" s="623"/>
      <c r="C796" s="623"/>
      <c r="D796" s="198" t="str">
        <f>표지!$O$3&amp;" "&amp;표지!$O$4</f>
        <v>20○○회합100○○○ 회생</v>
      </c>
      <c r="E796" s="160" t="s">
        <v>261</v>
      </c>
      <c r="F796" s="199" t="str">
        <f>표지!$O$5</f>
        <v>○○○○ 주식회사</v>
      </c>
    </row>
    <row r="797" spans="1:6" ht="30.95" hidden="1" customHeight="1">
      <c r="A797" s="624" t="s">
        <v>125</v>
      </c>
      <c r="B797" s="423"/>
      <c r="C797" s="423"/>
      <c r="D797" s="276">
        <v>89</v>
      </c>
      <c r="E797" s="170" t="s">
        <v>190</v>
      </c>
      <c r="F797" s="111"/>
    </row>
    <row r="798" spans="1:6" ht="30.95" hidden="1" customHeight="1">
      <c r="A798" s="625" t="s">
        <v>183</v>
      </c>
      <c r="B798" s="419" t="s">
        <v>118</v>
      </c>
      <c r="C798" s="420"/>
      <c r="D798" s="419" t="e">
        <f>VLOOKUP(D797,주주총괄!$A$5:$J$8,4,0)</f>
        <v>#N/A</v>
      </c>
      <c r="E798" s="420"/>
      <c r="F798" s="626"/>
    </row>
    <row r="799" spans="1:6" ht="30.95" hidden="1" customHeight="1">
      <c r="A799" s="625"/>
      <c r="B799" s="419" t="s">
        <v>250</v>
      </c>
      <c r="C799" s="420"/>
      <c r="D799" s="564" t="e">
        <f>VLOOKUP(D797,주주총괄!$A$5:$J$8,5,0)</f>
        <v>#N/A</v>
      </c>
      <c r="E799" s="565"/>
      <c r="F799" s="627"/>
    </row>
    <row r="800" spans="1:6" ht="30.95" hidden="1" customHeight="1">
      <c r="A800" s="625"/>
      <c r="B800" s="419" t="s">
        <v>23</v>
      </c>
      <c r="C800" s="420"/>
      <c r="D800" s="25"/>
      <c r="E800" s="62" t="s">
        <v>151</v>
      </c>
      <c r="F800" s="161"/>
    </row>
    <row r="801" spans="1:6" ht="30.95" hidden="1" customHeight="1">
      <c r="A801" s="210" t="s">
        <v>59</v>
      </c>
      <c r="B801" s="205" t="e">
        <f>VLOOKUP(D797,주주총괄!$A$5:$J$8,6,0)</f>
        <v>#N/A</v>
      </c>
      <c r="C801" s="274" t="e">
        <f>VLOOKUP(D797,주주총괄!$A$5:$J$8,7,0)</f>
        <v>#N/A</v>
      </c>
      <c r="D801" s="275" t="e">
        <f>VLOOKUP(D797,주주총괄!$A$5:$J$8,8,0)</f>
        <v>#N/A</v>
      </c>
      <c r="E801" s="620" t="str">
        <f>"(액면가액: "&amp;TEXT(주주총괄!$L$4,"###,###원)")</f>
        <v>(액면가액: 100원)</v>
      </c>
      <c r="F801" s="621"/>
    </row>
    <row r="802" spans="1:6" ht="30.95" hidden="1" customHeight="1">
      <c r="A802" s="211" t="s">
        <v>19</v>
      </c>
      <c r="B802" s="618"/>
      <c r="C802" s="618"/>
      <c r="D802" s="618"/>
      <c r="E802" s="618"/>
      <c r="F802" s="619"/>
    </row>
    <row r="803" spans="1:6" ht="30.95" hidden="1" customHeight="1">
      <c r="A803" s="612" t="s">
        <v>41</v>
      </c>
      <c r="B803" s="612"/>
      <c r="C803" s="612"/>
      <c r="D803" s="612"/>
      <c r="E803" s="612"/>
      <c r="F803" s="612"/>
    </row>
    <row r="804" spans="1:6" ht="30.95" hidden="1" customHeight="1">
      <c r="A804" s="128"/>
      <c r="B804" s="128"/>
      <c r="C804" s="128"/>
      <c r="D804" s="128"/>
      <c r="E804" s="128"/>
      <c r="F804" s="128"/>
    </row>
    <row r="805" spans="1:6" ht="30.95" hidden="1" customHeight="1">
      <c r="A805" s="622" t="s">
        <v>249</v>
      </c>
      <c r="B805" s="623"/>
      <c r="C805" s="623"/>
      <c r="D805" s="198" t="str">
        <f>표지!$O$3&amp;" "&amp;표지!$O$4</f>
        <v>20○○회합100○○○ 회생</v>
      </c>
      <c r="E805" s="160" t="s">
        <v>261</v>
      </c>
      <c r="F805" s="199" t="str">
        <f>표지!$O$5</f>
        <v>○○○○ 주식회사</v>
      </c>
    </row>
    <row r="806" spans="1:6" ht="30.95" hidden="1" customHeight="1">
      <c r="A806" s="624" t="s">
        <v>125</v>
      </c>
      <c r="B806" s="423"/>
      <c r="C806" s="423"/>
      <c r="D806" s="276">
        <v>90</v>
      </c>
      <c r="E806" s="170" t="s">
        <v>190</v>
      </c>
      <c r="F806" s="111"/>
    </row>
    <row r="807" spans="1:6" ht="30.95" hidden="1" customHeight="1">
      <c r="A807" s="625" t="s">
        <v>183</v>
      </c>
      <c r="B807" s="419" t="s">
        <v>118</v>
      </c>
      <c r="C807" s="420"/>
      <c r="D807" s="419" t="e">
        <f>VLOOKUP(D806,주주총괄!$A$5:$J$8,4,0)</f>
        <v>#N/A</v>
      </c>
      <c r="E807" s="420"/>
      <c r="F807" s="626"/>
    </row>
    <row r="808" spans="1:6" ht="30.95" hidden="1" customHeight="1">
      <c r="A808" s="625"/>
      <c r="B808" s="419" t="s">
        <v>250</v>
      </c>
      <c r="C808" s="420"/>
      <c r="D808" s="564" t="e">
        <f>VLOOKUP(D806,주주총괄!$A$5:$J$8,5,0)</f>
        <v>#N/A</v>
      </c>
      <c r="E808" s="565"/>
      <c r="F808" s="627"/>
    </row>
    <row r="809" spans="1:6" ht="30.95" hidden="1" customHeight="1">
      <c r="A809" s="625"/>
      <c r="B809" s="419" t="s">
        <v>23</v>
      </c>
      <c r="C809" s="420"/>
      <c r="D809" s="25"/>
      <c r="E809" s="62" t="s">
        <v>151</v>
      </c>
      <c r="F809" s="161"/>
    </row>
    <row r="810" spans="1:6" ht="30.95" hidden="1" customHeight="1">
      <c r="A810" s="210" t="s">
        <v>59</v>
      </c>
      <c r="B810" s="205" t="e">
        <f>VLOOKUP(D806,주주총괄!$A$5:$J$8,6,0)</f>
        <v>#N/A</v>
      </c>
      <c r="C810" s="274" t="e">
        <f>VLOOKUP(D806,주주총괄!$A$5:$J$8,7,0)</f>
        <v>#N/A</v>
      </c>
      <c r="D810" s="275" t="e">
        <f>VLOOKUP(D806,주주총괄!$A$5:$J$8,8,0)</f>
        <v>#N/A</v>
      </c>
      <c r="E810" s="620" t="str">
        <f>"(액면가액: "&amp;TEXT(주주총괄!$L$4,"###,###원)")</f>
        <v>(액면가액: 100원)</v>
      </c>
      <c r="F810" s="621"/>
    </row>
    <row r="811" spans="1:6" ht="30.95" hidden="1" customHeight="1">
      <c r="A811" s="211" t="s">
        <v>19</v>
      </c>
      <c r="B811" s="618"/>
      <c r="C811" s="618"/>
      <c r="D811" s="618"/>
      <c r="E811" s="618"/>
      <c r="F811" s="619"/>
    </row>
    <row r="812" spans="1:6" ht="30.95" hidden="1" customHeight="1">
      <c r="A812" s="612" t="s">
        <v>41</v>
      </c>
      <c r="B812" s="612"/>
      <c r="C812" s="612"/>
      <c r="D812" s="612"/>
      <c r="E812" s="612"/>
      <c r="F812" s="612"/>
    </row>
    <row r="813" spans="1:6" ht="30.95" hidden="1" customHeight="1">
      <c r="A813" s="128"/>
      <c r="B813" s="128"/>
      <c r="C813" s="128"/>
      <c r="D813" s="128"/>
      <c r="E813" s="128"/>
      <c r="F813" s="128"/>
    </row>
    <row r="814" spans="1:6" ht="30.95" hidden="1" customHeight="1">
      <c r="A814" s="622" t="s">
        <v>249</v>
      </c>
      <c r="B814" s="623"/>
      <c r="C814" s="623"/>
      <c r="D814" s="198" t="str">
        <f>표지!$O$3&amp;" "&amp;표지!$O$4</f>
        <v>20○○회합100○○○ 회생</v>
      </c>
      <c r="E814" s="160" t="s">
        <v>261</v>
      </c>
      <c r="F814" s="199" t="str">
        <f>표지!$O$5</f>
        <v>○○○○ 주식회사</v>
      </c>
    </row>
    <row r="815" spans="1:6" ht="30.95" hidden="1" customHeight="1">
      <c r="A815" s="624" t="s">
        <v>125</v>
      </c>
      <c r="B815" s="423"/>
      <c r="C815" s="423"/>
      <c r="D815" s="276">
        <v>91</v>
      </c>
      <c r="E815" s="170" t="s">
        <v>190</v>
      </c>
      <c r="F815" s="111"/>
    </row>
    <row r="816" spans="1:6" ht="30.95" hidden="1" customHeight="1">
      <c r="A816" s="625" t="s">
        <v>183</v>
      </c>
      <c r="B816" s="419" t="s">
        <v>118</v>
      </c>
      <c r="C816" s="420"/>
      <c r="D816" s="419" t="e">
        <f>VLOOKUP(D815,주주총괄!$A$5:$J$8,4,0)</f>
        <v>#N/A</v>
      </c>
      <c r="E816" s="420"/>
      <c r="F816" s="626"/>
    </row>
    <row r="817" spans="1:6" ht="30.95" hidden="1" customHeight="1">
      <c r="A817" s="625"/>
      <c r="B817" s="419" t="s">
        <v>250</v>
      </c>
      <c r="C817" s="420"/>
      <c r="D817" s="564" t="e">
        <f>VLOOKUP(D815,주주총괄!$A$5:$J$8,5,0)</f>
        <v>#N/A</v>
      </c>
      <c r="E817" s="565"/>
      <c r="F817" s="627"/>
    </row>
    <row r="818" spans="1:6" ht="30.95" hidden="1" customHeight="1">
      <c r="A818" s="625"/>
      <c r="B818" s="419" t="s">
        <v>23</v>
      </c>
      <c r="C818" s="420"/>
      <c r="D818" s="25"/>
      <c r="E818" s="62" t="s">
        <v>151</v>
      </c>
      <c r="F818" s="161"/>
    </row>
    <row r="819" spans="1:6" ht="30.95" hidden="1" customHeight="1">
      <c r="A819" s="210" t="s">
        <v>59</v>
      </c>
      <c r="B819" s="205" t="e">
        <f>VLOOKUP(D815,주주총괄!$A$5:$J$8,6,0)</f>
        <v>#N/A</v>
      </c>
      <c r="C819" s="274" t="e">
        <f>VLOOKUP(D815,주주총괄!$A$5:$J$8,7,0)</f>
        <v>#N/A</v>
      </c>
      <c r="D819" s="275" t="e">
        <f>VLOOKUP(D815,주주총괄!$A$5:$J$8,8,0)</f>
        <v>#N/A</v>
      </c>
      <c r="E819" s="620" t="str">
        <f>"(액면가액: "&amp;TEXT(주주총괄!$L$4,"###,###원)")</f>
        <v>(액면가액: 100원)</v>
      </c>
      <c r="F819" s="621"/>
    </row>
    <row r="820" spans="1:6" ht="30.95" hidden="1" customHeight="1">
      <c r="A820" s="211" t="s">
        <v>19</v>
      </c>
      <c r="B820" s="618"/>
      <c r="C820" s="618"/>
      <c r="D820" s="618"/>
      <c r="E820" s="618"/>
      <c r="F820" s="619"/>
    </row>
    <row r="821" spans="1:6" ht="30.95" hidden="1" customHeight="1">
      <c r="A821" s="612" t="s">
        <v>41</v>
      </c>
      <c r="B821" s="612"/>
      <c r="C821" s="612"/>
      <c r="D821" s="612"/>
      <c r="E821" s="612"/>
      <c r="F821" s="612"/>
    </row>
    <row r="822" spans="1:6" ht="30.95" hidden="1" customHeight="1">
      <c r="A822" s="128"/>
      <c r="B822" s="128"/>
      <c r="C822" s="128"/>
      <c r="D822" s="128"/>
      <c r="E822" s="128"/>
      <c r="F822" s="128"/>
    </row>
    <row r="823" spans="1:6" ht="30.95" hidden="1" customHeight="1">
      <c r="A823" s="622" t="s">
        <v>249</v>
      </c>
      <c r="B823" s="623"/>
      <c r="C823" s="623"/>
      <c r="D823" s="198" t="str">
        <f>표지!$O$3&amp;" "&amp;표지!$O$4</f>
        <v>20○○회합100○○○ 회생</v>
      </c>
      <c r="E823" s="160" t="s">
        <v>261</v>
      </c>
      <c r="F823" s="199" t="str">
        <f>표지!$O$5</f>
        <v>○○○○ 주식회사</v>
      </c>
    </row>
    <row r="824" spans="1:6" ht="30.95" hidden="1" customHeight="1">
      <c r="A824" s="624" t="s">
        <v>125</v>
      </c>
      <c r="B824" s="423"/>
      <c r="C824" s="423"/>
      <c r="D824" s="276">
        <v>92</v>
      </c>
      <c r="E824" s="170" t="s">
        <v>190</v>
      </c>
      <c r="F824" s="111"/>
    </row>
    <row r="825" spans="1:6" ht="30.95" hidden="1" customHeight="1">
      <c r="A825" s="625" t="s">
        <v>183</v>
      </c>
      <c r="B825" s="419" t="s">
        <v>118</v>
      </c>
      <c r="C825" s="420"/>
      <c r="D825" s="419" t="e">
        <f>VLOOKUP(D824,주주총괄!$A$5:$J$8,4,0)</f>
        <v>#N/A</v>
      </c>
      <c r="E825" s="420"/>
      <c r="F825" s="626"/>
    </row>
    <row r="826" spans="1:6" ht="30.95" hidden="1" customHeight="1">
      <c r="A826" s="625"/>
      <c r="B826" s="419" t="s">
        <v>250</v>
      </c>
      <c r="C826" s="420"/>
      <c r="D826" s="564" t="e">
        <f>VLOOKUP(D824,주주총괄!$A$5:$J$8,5,0)</f>
        <v>#N/A</v>
      </c>
      <c r="E826" s="565"/>
      <c r="F826" s="627"/>
    </row>
    <row r="827" spans="1:6" ht="30.95" hidden="1" customHeight="1">
      <c r="A827" s="625"/>
      <c r="B827" s="419" t="s">
        <v>23</v>
      </c>
      <c r="C827" s="420"/>
      <c r="D827" s="25"/>
      <c r="E827" s="62" t="s">
        <v>151</v>
      </c>
      <c r="F827" s="161"/>
    </row>
    <row r="828" spans="1:6" ht="30.95" hidden="1" customHeight="1">
      <c r="A828" s="210" t="s">
        <v>59</v>
      </c>
      <c r="B828" s="205" t="e">
        <f>VLOOKUP(D824,주주총괄!$A$5:$J$8,6,0)</f>
        <v>#N/A</v>
      </c>
      <c r="C828" s="274" t="e">
        <f>VLOOKUP(D824,주주총괄!$A$5:$J$8,7,0)</f>
        <v>#N/A</v>
      </c>
      <c r="D828" s="275" t="e">
        <f>VLOOKUP(D824,주주총괄!$A$5:$J$8,8,0)</f>
        <v>#N/A</v>
      </c>
      <c r="E828" s="620" t="str">
        <f>"(액면가액: "&amp;TEXT(주주총괄!$L$4,"###,###원)")</f>
        <v>(액면가액: 100원)</v>
      </c>
      <c r="F828" s="621"/>
    </row>
    <row r="829" spans="1:6" ht="30.95" hidden="1" customHeight="1">
      <c r="A829" s="211" t="s">
        <v>19</v>
      </c>
      <c r="B829" s="618"/>
      <c r="C829" s="618"/>
      <c r="D829" s="618"/>
      <c r="E829" s="618"/>
      <c r="F829" s="619"/>
    </row>
    <row r="830" spans="1:6" ht="30.95" hidden="1" customHeight="1">
      <c r="A830" s="612" t="s">
        <v>41</v>
      </c>
      <c r="B830" s="612"/>
      <c r="C830" s="612"/>
      <c r="D830" s="612"/>
      <c r="E830" s="612"/>
      <c r="F830" s="612"/>
    </row>
    <row r="831" spans="1:6" ht="30.95" hidden="1" customHeight="1">
      <c r="A831" s="128"/>
      <c r="B831" s="128"/>
      <c r="C831" s="128"/>
      <c r="D831" s="128"/>
      <c r="E831" s="128"/>
      <c r="F831" s="128"/>
    </row>
    <row r="832" spans="1:6" ht="30.95" hidden="1" customHeight="1">
      <c r="A832" s="622" t="s">
        <v>249</v>
      </c>
      <c r="B832" s="623"/>
      <c r="C832" s="623"/>
      <c r="D832" s="198" t="str">
        <f>표지!$O$3&amp;" "&amp;표지!$O$4</f>
        <v>20○○회합100○○○ 회생</v>
      </c>
      <c r="E832" s="160" t="s">
        <v>261</v>
      </c>
      <c r="F832" s="199" t="str">
        <f>표지!$O$5</f>
        <v>○○○○ 주식회사</v>
      </c>
    </row>
    <row r="833" spans="1:6" ht="30.95" hidden="1" customHeight="1">
      <c r="A833" s="624" t="s">
        <v>125</v>
      </c>
      <c r="B833" s="423"/>
      <c r="C833" s="423"/>
      <c r="D833" s="276">
        <v>93</v>
      </c>
      <c r="E833" s="170" t="s">
        <v>190</v>
      </c>
      <c r="F833" s="111"/>
    </row>
    <row r="834" spans="1:6" ht="30.95" hidden="1" customHeight="1">
      <c r="A834" s="625" t="s">
        <v>183</v>
      </c>
      <c r="B834" s="419" t="s">
        <v>118</v>
      </c>
      <c r="C834" s="420"/>
      <c r="D834" s="419" t="e">
        <f>VLOOKUP(D833,주주총괄!$A$5:$J$8,4,0)</f>
        <v>#N/A</v>
      </c>
      <c r="E834" s="420"/>
      <c r="F834" s="626"/>
    </row>
    <row r="835" spans="1:6" ht="30.95" hidden="1" customHeight="1">
      <c r="A835" s="625"/>
      <c r="B835" s="419" t="s">
        <v>250</v>
      </c>
      <c r="C835" s="420"/>
      <c r="D835" s="564" t="e">
        <f>VLOOKUP(D833,주주총괄!$A$5:$J$8,5,0)</f>
        <v>#N/A</v>
      </c>
      <c r="E835" s="565"/>
      <c r="F835" s="627"/>
    </row>
    <row r="836" spans="1:6" ht="30.95" hidden="1" customHeight="1">
      <c r="A836" s="625"/>
      <c r="B836" s="419" t="s">
        <v>23</v>
      </c>
      <c r="C836" s="420"/>
      <c r="D836" s="25"/>
      <c r="E836" s="62" t="s">
        <v>151</v>
      </c>
      <c r="F836" s="161"/>
    </row>
    <row r="837" spans="1:6" ht="30.95" hidden="1" customHeight="1">
      <c r="A837" s="210" t="s">
        <v>59</v>
      </c>
      <c r="B837" s="205" t="e">
        <f>VLOOKUP(D833,주주총괄!$A$5:$J$8,6,0)</f>
        <v>#N/A</v>
      </c>
      <c r="C837" s="274" t="e">
        <f>VLOOKUP(D833,주주총괄!$A$5:$J$8,7,0)</f>
        <v>#N/A</v>
      </c>
      <c r="D837" s="275" t="e">
        <f>VLOOKUP(D833,주주총괄!$A$5:$J$8,8,0)</f>
        <v>#N/A</v>
      </c>
      <c r="E837" s="620" t="str">
        <f>"(액면가액: "&amp;TEXT(주주총괄!$L$4,"###,###원)")</f>
        <v>(액면가액: 100원)</v>
      </c>
      <c r="F837" s="621"/>
    </row>
    <row r="838" spans="1:6" ht="30.95" hidden="1" customHeight="1">
      <c r="A838" s="211" t="s">
        <v>19</v>
      </c>
      <c r="B838" s="618"/>
      <c r="C838" s="618"/>
      <c r="D838" s="618"/>
      <c r="E838" s="618"/>
      <c r="F838" s="619"/>
    </row>
    <row r="839" spans="1:6" ht="30.95" hidden="1" customHeight="1">
      <c r="A839" s="612" t="s">
        <v>41</v>
      </c>
      <c r="B839" s="612"/>
      <c r="C839" s="612"/>
      <c r="D839" s="612"/>
      <c r="E839" s="612"/>
      <c r="F839" s="612"/>
    </row>
    <row r="840" spans="1:6" ht="30.95" hidden="1" customHeight="1">
      <c r="A840" s="128"/>
      <c r="B840" s="128"/>
      <c r="C840" s="128"/>
      <c r="D840" s="128"/>
      <c r="E840" s="128"/>
      <c r="F840" s="128"/>
    </row>
    <row r="841" spans="1:6" ht="30.95" hidden="1" customHeight="1">
      <c r="A841" s="622" t="s">
        <v>249</v>
      </c>
      <c r="B841" s="623"/>
      <c r="C841" s="623"/>
      <c r="D841" s="198" t="str">
        <f>표지!$O$3&amp;" "&amp;표지!$O$4</f>
        <v>20○○회합100○○○ 회생</v>
      </c>
      <c r="E841" s="160" t="s">
        <v>261</v>
      </c>
      <c r="F841" s="199" t="str">
        <f>표지!$O$5</f>
        <v>○○○○ 주식회사</v>
      </c>
    </row>
    <row r="842" spans="1:6" ht="30.95" hidden="1" customHeight="1">
      <c r="A842" s="624" t="s">
        <v>125</v>
      </c>
      <c r="B842" s="423"/>
      <c r="C842" s="423"/>
      <c r="D842" s="276">
        <v>94</v>
      </c>
      <c r="E842" s="170" t="s">
        <v>190</v>
      </c>
      <c r="F842" s="111"/>
    </row>
    <row r="843" spans="1:6" ht="30.95" hidden="1" customHeight="1">
      <c r="A843" s="625" t="s">
        <v>183</v>
      </c>
      <c r="B843" s="419" t="s">
        <v>118</v>
      </c>
      <c r="C843" s="420"/>
      <c r="D843" s="419" t="e">
        <f>VLOOKUP(D842,주주총괄!$A$5:$J$8,4,0)</f>
        <v>#N/A</v>
      </c>
      <c r="E843" s="420"/>
      <c r="F843" s="626"/>
    </row>
    <row r="844" spans="1:6" ht="30.95" hidden="1" customHeight="1">
      <c r="A844" s="625"/>
      <c r="B844" s="419" t="s">
        <v>250</v>
      </c>
      <c r="C844" s="420"/>
      <c r="D844" s="564" t="e">
        <f>VLOOKUP(D842,주주총괄!$A$5:$J$8,5,0)</f>
        <v>#N/A</v>
      </c>
      <c r="E844" s="565"/>
      <c r="F844" s="627"/>
    </row>
    <row r="845" spans="1:6" ht="30.95" hidden="1" customHeight="1">
      <c r="A845" s="625"/>
      <c r="B845" s="419" t="s">
        <v>23</v>
      </c>
      <c r="C845" s="420"/>
      <c r="D845" s="25"/>
      <c r="E845" s="62" t="s">
        <v>151</v>
      </c>
      <c r="F845" s="161"/>
    </row>
    <row r="846" spans="1:6" ht="30.95" hidden="1" customHeight="1">
      <c r="A846" s="210" t="s">
        <v>59</v>
      </c>
      <c r="B846" s="205" t="e">
        <f>VLOOKUP(D842,주주총괄!$A$5:$J$8,6,0)</f>
        <v>#N/A</v>
      </c>
      <c r="C846" s="274" t="e">
        <f>VLOOKUP(D842,주주총괄!$A$5:$J$8,7,0)</f>
        <v>#N/A</v>
      </c>
      <c r="D846" s="275" t="e">
        <f>VLOOKUP(D842,주주총괄!$A$5:$J$8,8,0)</f>
        <v>#N/A</v>
      </c>
      <c r="E846" s="620" t="str">
        <f>"(액면가액: "&amp;TEXT(주주총괄!$L$4,"###,###원)")</f>
        <v>(액면가액: 100원)</v>
      </c>
      <c r="F846" s="621"/>
    </row>
    <row r="847" spans="1:6" ht="30.95" hidden="1" customHeight="1">
      <c r="A847" s="211" t="s">
        <v>19</v>
      </c>
      <c r="B847" s="618"/>
      <c r="C847" s="618"/>
      <c r="D847" s="618"/>
      <c r="E847" s="618"/>
      <c r="F847" s="619"/>
    </row>
    <row r="848" spans="1:6" ht="30.95" hidden="1" customHeight="1">
      <c r="A848" s="612" t="s">
        <v>41</v>
      </c>
      <c r="B848" s="612"/>
      <c r="C848" s="612"/>
      <c r="D848" s="612"/>
      <c r="E848" s="612"/>
      <c r="F848" s="612"/>
    </row>
    <row r="849" spans="1:6" ht="30.95" hidden="1" customHeight="1">
      <c r="A849" s="128"/>
      <c r="B849" s="128"/>
      <c r="C849" s="128"/>
      <c r="D849" s="128"/>
      <c r="E849" s="128"/>
      <c r="F849" s="128"/>
    </row>
    <row r="850" spans="1:6" ht="30.95" hidden="1" customHeight="1">
      <c r="A850" s="622" t="s">
        <v>249</v>
      </c>
      <c r="B850" s="623"/>
      <c r="C850" s="623"/>
      <c r="D850" s="198" t="str">
        <f>표지!$O$3&amp;" "&amp;표지!$O$4</f>
        <v>20○○회합100○○○ 회생</v>
      </c>
      <c r="E850" s="160" t="s">
        <v>261</v>
      </c>
      <c r="F850" s="199" t="str">
        <f>표지!$O$5</f>
        <v>○○○○ 주식회사</v>
      </c>
    </row>
    <row r="851" spans="1:6" ht="30.95" hidden="1" customHeight="1">
      <c r="A851" s="624" t="s">
        <v>125</v>
      </c>
      <c r="B851" s="423"/>
      <c r="C851" s="423"/>
      <c r="D851" s="276">
        <v>95</v>
      </c>
      <c r="E851" s="170" t="s">
        <v>190</v>
      </c>
      <c r="F851" s="111"/>
    </row>
    <row r="852" spans="1:6" ht="30.95" hidden="1" customHeight="1">
      <c r="A852" s="625" t="s">
        <v>183</v>
      </c>
      <c r="B852" s="419" t="s">
        <v>118</v>
      </c>
      <c r="C852" s="420"/>
      <c r="D852" s="419" t="e">
        <f>VLOOKUP(D851,주주총괄!$A$5:$J$8,4,0)</f>
        <v>#N/A</v>
      </c>
      <c r="E852" s="420"/>
      <c r="F852" s="626"/>
    </row>
    <row r="853" spans="1:6" ht="30.95" hidden="1" customHeight="1">
      <c r="A853" s="625"/>
      <c r="B853" s="419" t="s">
        <v>250</v>
      </c>
      <c r="C853" s="420"/>
      <c r="D853" s="564" t="e">
        <f>VLOOKUP(D851,주주총괄!$A$5:$J$8,5,0)</f>
        <v>#N/A</v>
      </c>
      <c r="E853" s="565"/>
      <c r="F853" s="627"/>
    </row>
    <row r="854" spans="1:6" ht="30.95" hidden="1" customHeight="1">
      <c r="A854" s="625"/>
      <c r="B854" s="419" t="s">
        <v>23</v>
      </c>
      <c r="C854" s="420"/>
      <c r="D854" s="25"/>
      <c r="E854" s="62" t="s">
        <v>151</v>
      </c>
      <c r="F854" s="161"/>
    </row>
    <row r="855" spans="1:6" ht="30.95" hidden="1" customHeight="1">
      <c r="A855" s="210" t="s">
        <v>59</v>
      </c>
      <c r="B855" s="205" t="e">
        <f>VLOOKUP(D851,주주총괄!$A$5:$J$8,6,0)</f>
        <v>#N/A</v>
      </c>
      <c r="C855" s="274" t="e">
        <f>VLOOKUP(D851,주주총괄!$A$5:$J$8,7,0)</f>
        <v>#N/A</v>
      </c>
      <c r="D855" s="275" t="e">
        <f>VLOOKUP(D851,주주총괄!$A$5:$J$8,8,0)</f>
        <v>#N/A</v>
      </c>
      <c r="E855" s="620" t="str">
        <f>"(액면가액: "&amp;TEXT(주주총괄!$L$4,"###,###원)")</f>
        <v>(액면가액: 100원)</v>
      </c>
      <c r="F855" s="621"/>
    </row>
    <row r="856" spans="1:6" ht="30.95" hidden="1" customHeight="1">
      <c r="A856" s="211" t="s">
        <v>19</v>
      </c>
      <c r="B856" s="618"/>
      <c r="C856" s="618"/>
      <c r="D856" s="618"/>
      <c r="E856" s="618"/>
      <c r="F856" s="619"/>
    </row>
    <row r="857" spans="1:6" ht="30.95" hidden="1" customHeight="1">
      <c r="A857" s="612" t="s">
        <v>41</v>
      </c>
      <c r="B857" s="612"/>
      <c r="C857" s="612"/>
      <c r="D857" s="612"/>
      <c r="E857" s="612"/>
      <c r="F857" s="612"/>
    </row>
    <row r="858" spans="1:6" ht="30.95" hidden="1" customHeight="1">
      <c r="A858" s="128"/>
      <c r="B858" s="128"/>
      <c r="C858" s="128"/>
      <c r="D858" s="128"/>
      <c r="E858" s="128"/>
      <c r="F858" s="128"/>
    </row>
    <row r="859" spans="1:6" ht="30.95" hidden="1" customHeight="1">
      <c r="A859" s="622" t="s">
        <v>249</v>
      </c>
      <c r="B859" s="623"/>
      <c r="C859" s="623"/>
      <c r="D859" s="198" t="str">
        <f>표지!$O$3&amp;" "&amp;표지!$O$4</f>
        <v>20○○회합100○○○ 회생</v>
      </c>
      <c r="E859" s="160" t="s">
        <v>261</v>
      </c>
      <c r="F859" s="199" t="str">
        <f>표지!$O$5</f>
        <v>○○○○ 주식회사</v>
      </c>
    </row>
    <row r="860" spans="1:6" ht="30.95" hidden="1" customHeight="1">
      <c r="A860" s="624" t="s">
        <v>125</v>
      </c>
      <c r="B860" s="423"/>
      <c r="C860" s="423"/>
      <c r="D860" s="276">
        <v>96</v>
      </c>
      <c r="E860" s="170" t="s">
        <v>190</v>
      </c>
      <c r="F860" s="111"/>
    </row>
    <row r="861" spans="1:6" ht="30.95" hidden="1" customHeight="1">
      <c r="A861" s="625" t="s">
        <v>183</v>
      </c>
      <c r="B861" s="419" t="s">
        <v>118</v>
      </c>
      <c r="C861" s="420"/>
      <c r="D861" s="419" t="e">
        <f>VLOOKUP(D860,주주총괄!$A$5:$J$8,4,0)</f>
        <v>#N/A</v>
      </c>
      <c r="E861" s="420"/>
      <c r="F861" s="626"/>
    </row>
    <row r="862" spans="1:6" ht="30.95" hidden="1" customHeight="1">
      <c r="A862" s="625"/>
      <c r="B862" s="419" t="s">
        <v>250</v>
      </c>
      <c r="C862" s="420"/>
      <c r="D862" s="564" t="e">
        <f>VLOOKUP(D860,주주총괄!$A$5:$J$8,5,0)</f>
        <v>#N/A</v>
      </c>
      <c r="E862" s="565"/>
      <c r="F862" s="627"/>
    </row>
    <row r="863" spans="1:6" ht="30.95" hidden="1" customHeight="1">
      <c r="A863" s="625"/>
      <c r="B863" s="419" t="s">
        <v>23</v>
      </c>
      <c r="C863" s="420"/>
      <c r="D863" s="25"/>
      <c r="E863" s="62" t="s">
        <v>151</v>
      </c>
      <c r="F863" s="161"/>
    </row>
    <row r="864" spans="1:6" ht="30.95" hidden="1" customHeight="1">
      <c r="A864" s="210" t="s">
        <v>59</v>
      </c>
      <c r="B864" s="205" t="e">
        <f>VLOOKUP(D860,주주총괄!$A$5:$J$8,6,0)</f>
        <v>#N/A</v>
      </c>
      <c r="C864" s="274" t="e">
        <f>VLOOKUP(D860,주주총괄!$A$5:$J$8,7,0)</f>
        <v>#N/A</v>
      </c>
      <c r="D864" s="275" t="e">
        <f>VLOOKUP(D860,주주총괄!$A$5:$J$8,8,0)</f>
        <v>#N/A</v>
      </c>
      <c r="E864" s="620" t="str">
        <f>"(액면가액: "&amp;TEXT(주주총괄!$L$4,"###,###원)")</f>
        <v>(액면가액: 100원)</v>
      </c>
      <c r="F864" s="621"/>
    </row>
    <row r="865" spans="1:6" ht="30.95" hidden="1" customHeight="1">
      <c r="A865" s="211" t="s">
        <v>19</v>
      </c>
      <c r="B865" s="618"/>
      <c r="C865" s="618"/>
      <c r="D865" s="618"/>
      <c r="E865" s="618"/>
      <c r="F865" s="619"/>
    </row>
    <row r="866" spans="1:6" ht="30.95" hidden="1" customHeight="1">
      <c r="A866" s="612" t="s">
        <v>41</v>
      </c>
      <c r="B866" s="612"/>
      <c r="C866" s="612"/>
      <c r="D866" s="612"/>
      <c r="E866" s="612"/>
      <c r="F866" s="612"/>
    </row>
    <row r="867" spans="1:6" ht="30.95" hidden="1" customHeight="1">
      <c r="A867" s="128"/>
      <c r="B867" s="128"/>
      <c r="C867" s="128"/>
      <c r="D867" s="128"/>
      <c r="E867" s="128"/>
      <c r="F867" s="128"/>
    </row>
    <row r="868" spans="1:6" ht="30.95" hidden="1" customHeight="1">
      <c r="A868" s="622" t="s">
        <v>249</v>
      </c>
      <c r="B868" s="623"/>
      <c r="C868" s="623"/>
      <c r="D868" s="198" t="str">
        <f>표지!$O$3&amp;" "&amp;표지!$O$4</f>
        <v>20○○회합100○○○ 회생</v>
      </c>
      <c r="E868" s="160" t="s">
        <v>261</v>
      </c>
      <c r="F868" s="199" t="str">
        <f>표지!$O$5</f>
        <v>○○○○ 주식회사</v>
      </c>
    </row>
    <row r="869" spans="1:6" ht="30.95" hidden="1" customHeight="1">
      <c r="A869" s="624" t="s">
        <v>125</v>
      </c>
      <c r="B869" s="423"/>
      <c r="C869" s="423"/>
      <c r="D869" s="276">
        <v>97</v>
      </c>
      <c r="E869" s="170" t="s">
        <v>190</v>
      </c>
      <c r="F869" s="111"/>
    </row>
    <row r="870" spans="1:6" ht="30.95" hidden="1" customHeight="1">
      <c r="A870" s="625" t="s">
        <v>183</v>
      </c>
      <c r="B870" s="419" t="s">
        <v>118</v>
      </c>
      <c r="C870" s="420"/>
      <c r="D870" s="419" t="e">
        <f>VLOOKUP(D869,주주총괄!$A$5:$J$8,4,0)</f>
        <v>#N/A</v>
      </c>
      <c r="E870" s="420"/>
      <c r="F870" s="626"/>
    </row>
    <row r="871" spans="1:6" ht="30.95" hidden="1" customHeight="1">
      <c r="A871" s="625"/>
      <c r="B871" s="419" t="s">
        <v>250</v>
      </c>
      <c r="C871" s="420"/>
      <c r="D871" s="564" t="e">
        <f>VLOOKUP(D869,주주총괄!$A$5:$J$8,5,0)</f>
        <v>#N/A</v>
      </c>
      <c r="E871" s="565"/>
      <c r="F871" s="627"/>
    </row>
    <row r="872" spans="1:6" ht="30.95" hidden="1" customHeight="1">
      <c r="A872" s="625"/>
      <c r="B872" s="419" t="s">
        <v>23</v>
      </c>
      <c r="C872" s="420"/>
      <c r="D872" s="25"/>
      <c r="E872" s="62" t="s">
        <v>151</v>
      </c>
      <c r="F872" s="161"/>
    </row>
    <row r="873" spans="1:6" ht="30.95" hidden="1" customHeight="1">
      <c r="A873" s="210" t="s">
        <v>59</v>
      </c>
      <c r="B873" s="205" t="e">
        <f>VLOOKUP(D869,주주총괄!$A$5:$J$8,6,0)</f>
        <v>#N/A</v>
      </c>
      <c r="C873" s="274" t="e">
        <f>VLOOKUP(D869,주주총괄!$A$5:$J$8,7,0)</f>
        <v>#N/A</v>
      </c>
      <c r="D873" s="275" t="e">
        <f>VLOOKUP(D869,주주총괄!$A$5:$J$8,8,0)</f>
        <v>#N/A</v>
      </c>
      <c r="E873" s="620" t="str">
        <f>"(액면가액: "&amp;TEXT(주주총괄!$L$4,"###,###원)")</f>
        <v>(액면가액: 100원)</v>
      </c>
      <c r="F873" s="621"/>
    </row>
    <row r="874" spans="1:6" ht="30.95" hidden="1" customHeight="1">
      <c r="A874" s="211" t="s">
        <v>19</v>
      </c>
      <c r="B874" s="618"/>
      <c r="C874" s="618"/>
      <c r="D874" s="618"/>
      <c r="E874" s="618"/>
      <c r="F874" s="619"/>
    </row>
    <row r="875" spans="1:6" ht="30.95" hidden="1" customHeight="1">
      <c r="A875" s="612" t="s">
        <v>41</v>
      </c>
      <c r="B875" s="612"/>
      <c r="C875" s="612"/>
      <c r="D875" s="612"/>
      <c r="E875" s="612"/>
      <c r="F875" s="612"/>
    </row>
    <row r="876" spans="1:6" ht="30.95" hidden="1" customHeight="1">
      <c r="A876" s="128"/>
      <c r="B876" s="128"/>
      <c r="C876" s="128"/>
      <c r="D876" s="128"/>
      <c r="E876" s="128"/>
      <c r="F876" s="128"/>
    </row>
    <row r="877" spans="1:6" ht="30.95" hidden="1" customHeight="1">
      <c r="A877" s="622" t="s">
        <v>249</v>
      </c>
      <c r="B877" s="623"/>
      <c r="C877" s="623"/>
      <c r="D877" s="198" t="str">
        <f>표지!$O$3&amp;" "&amp;표지!$O$4</f>
        <v>20○○회합100○○○ 회생</v>
      </c>
      <c r="E877" s="160" t="s">
        <v>261</v>
      </c>
      <c r="F877" s="199" t="str">
        <f>표지!$O$5</f>
        <v>○○○○ 주식회사</v>
      </c>
    </row>
    <row r="878" spans="1:6" ht="30.95" hidden="1" customHeight="1">
      <c r="A878" s="624" t="s">
        <v>125</v>
      </c>
      <c r="B878" s="423"/>
      <c r="C878" s="423"/>
      <c r="D878" s="276">
        <v>98</v>
      </c>
      <c r="E878" s="170" t="s">
        <v>190</v>
      </c>
      <c r="F878" s="111"/>
    </row>
    <row r="879" spans="1:6" ht="30.95" hidden="1" customHeight="1">
      <c r="A879" s="625" t="s">
        <v>183</v>
      </c>
      <c r="B879" s="419" t="s">
        <v>118</v>
      </c>
      <c r="C879" s="420"/>
      <c r="D879" s="419" t="e">
        <f>VLOOKUP(D878,주주총괄!$A$5:$J$8,4,0)</f>
        <v>#N/A</v>
      </c>
      <c r="E879" s="420"/>
      <c r="F879" s="626"/>
    </row>
    <row r="880" spans="1:6" ht="30.95" hidden="1" customHeight="1">
      <c r="A880" s="625"/>
      <c r="B880" s="419" t="s">
        <v>250</v>
      </c>
      <c r="C880" s="420"/>
      <c r="D880" s="564" t="e">
        <f>VLOOKUP(D878,주주총괄!$A$5:$J$8,5,0)</f>
        <v>#N/A</v>
      </c>
      <c r="E880" s="565"/>
      <c r="F880" s="627"/>
    </row>
    <row r="881" spans="1:6" ht="30.95" hidden="1" customHeight="1">
      <c r="A881" s="625"/>
      <c r="B881" s="419" t="s">
        <v>23</v>
      </c>
      <c r="C881" s="420"/>
      <c r="D881" s="25"/>
      <c r="E881" s="62" t="s">
        <v>151</v>
      </c>
      <c r="F881" s="161"/>
    </row>
    <row r="882" spans="1:6" ht="30.95" hidden="1" customHeight="1">
      <c r="A882" s="210" t="s">
        <v>59</v>
      </c>
      <c r="B882" s="205" t="e">
        <f>VLOOKUP(D878,주주총괄!$A$5:$J$8,6,0)</f>
        <v>#N/A</v>
      </c>
      <c r="C882" s="274" t="e">
        <f>VLOOKUP(D878,주주총괄!$A$5:$J$8,7,0)</f>
        <v>#N/A</v>
      </c>
      <c r="D882" s="275" t="e">
        <f>VLOOKUP(D878,주주총괄!$A$5:$J$8,8,0)</f>
        <v>#N/A</v>
      </c>
      <c r="E882" s="620" t="str">
        <f>"(액면가액: "&amp;TEXT(주주총괄!$L$4,"###,###원)")</f>
        <v>(액면가액: 100원)</v>
      </c>
      <c r="F882" s="621"/>
    </row>
    <row r="883" spans="1:6" ht="30.95" hidden="1" customHeight="1">
      <c r="A883" s="211" t="s">
        <v>19</v>
      </c>
      <c r="B883" s="618"/>
      <c r="C883" s="618"/>
      <c r="D883" s="618"/>
      <c r="E883" s="618"/>
      <c r="F883" s="619"/>
    </row>
    <row r="884" spans="1:6" ht="30.95" hidden="1" customHeight="1">
      <c r="A884" s="612" t="s">
        <v>41</v>
      </c>
      <c r="B884" s="612"/>
      <c r="C884" s="612"/>
      <c r="D884" s="612"/>
      <c r="E884" s="612"/>
      <c r="F884" s="612"/>
    </row>
    <row r="885" spans="1:6" ht="30.95" hidden="1" customHeight="1">
      <c r="A885" s="128"/>
      <c r="B885" s="128"/>
      <c r="C885" s="128"/>
      <c r="D885" s="128"/>
      <c r="E885" s="128"/>
      <c r="F885" s="128"/>
    </row>
    <row r="886" spans="1:6" ht="30.95" hidden="1" customHeight="1">
      <c r="A886" s="622" t="s">
        <v>249</v>
      </c>
      <c r="B886" s="623"/>
      <c r="C886" s="623"/>
      <c r="D886" s="198" t="str">
        <f>표지!$O$3&amp;" "&amp;표지!$O$4</f>
        <v>20○○회합100○○○ 회생</v>
      </c>
      <c r="E886" s="160" t="s">
        <v>261</v>
      </c>
      <c r="F886" s="199" t="str">
        <f>표지!$O$5</f>
        <v>○○○○ 주식회사</v>
      </c>
    </row>
    <row r="887" spans="1:6" ht="30.95" hidden="1" customHeight="1">
      <c r="A887" s="624" t="s">
        <v>125</v>
      </c>
      <c r="B887" s="423"/>
      <c r="C887" s="423"/>
      <c r="D887" s="276">
        <v>99</v>
      </c>
      <c r="E887" s="170" t="s">
        <v>190</v>
      </c>
      <c r="F887" s="111"/>
    </row>
    <row r="888" spans="1:6" ht="30.95" hidden="1" customHeight="1">
      <c r="A888" s="625" t="s">
        <v>183</v>
      </c>
      <c r="B888" s="419" t="s">
        <v>118</v>
      </c>
      <c r="C888" s="420"/>
      <c r="D888" s="419" t="e">
        <f>VLOOKUP(D887,주주총괄!$A$5:$J$8,4,0)</f>
        <v>#N/A</v>
      </c>
      <c r="E888" s="420"/>
      <c r="F888" s="626"/>
    </row>
    <row r="889" spans="1:6" ht="30.95" hidden="1" customHeight="1">
      <c r="A889" s="625"/>
      <c r="B889" s="419" t="s">
        <v>250</v>
      </c>
      <c r="C889" s="420"/>
      <c r="D889" s="564" t="e">
        <f>VLOOKUP(D887,주주총괄!$A$5:$J$8,5,0)</f>
        <v>#N/A</v>
      </c>
      <c r="E889" s="565"/>
      <c r="F889" s="627"/>
    </row>
    <row r="890" spans="1:6" ht="30.95" hidden="1" customHeight="1">
      <c r="A890" s="625"/>
      <c r="B890" s="419" t="s">
        <v>23</v>
      </c>
      <c r="C890" s="420"/>
      <c r="D890" s="25"/>
      <c r="E890" s="62" t="s">
        <v>151</v>
      </c>
      <c r="F890" s="161"/>
    </row>
    <row r="891" spans="1:6" ht="30.95" hidden="1" customHeight="1">
      <c r="A891" s="210" t="s">
        <v>59</v>
      </c>
      <c r="B891" s="205" t="e">
        <f>VLOOKUP(D887,주주총괄!$A$5:$J$8,6,0)</f>
        <v>#N/A</v>
      </c>
      <c r="C891" s="274" t="e">
        <f>VLOOKUP(D887,주주총괄!$A$5:$J$8,7,0)</f>
        <v>#N/A</v>
      </c>
      <c r="D891" s="275" t="e">
        <f>VLOOKUP(D887,주주총괄!$A$5:$J$8,8,0)</f>
        <v>#N/A</v>
      </c>
      <c r="E891" s="620" t="str">
        <f>"(액면가액: "&amp;TEXT(주주총괄!$L$4,"###,###원)")</f>
        <v>(액면가액: 100원)</v>
      </c>
      <c r="F891" s="621"/>
    </row>
    <row r="892" spans="1:6" ht="30.95" hidden="1" customHeight="1">
      <c r="A892" s="211" t="s">
        <v>19</v>
      </c>
      <c r="B892" s="618"/>
      <c r="C892" s="618"/>
      <c r="D892" s="618"/>
      <c r="E892" s="618"/>
      <c r="F892" s="619"/>
    </row>
    <row r="893" spans="1:6" ht="30.95" hidden="1" customHeight="1">
      <c r="A893" s="612" t="s">
        <v>41</v>
      </c>
      <c r="B893" s="612"/>
      <c r="C893" s="612"/>
      <c r="D893" s="612"/>
      <c r="E893" s="612"/>
      <c r="F893" s="612"/>
    </row>
    <row r="894" spans="1:6" ht="30.95" hidden="1" customHeight="1">
      <c r="A894" s="128"/>
      <c r="B894" s="128"/>
      <c r="C894" s="128"/>
      <c r="D894" s="128"/>
      <c r="E894" s="128"/>
      <c r="F894" s="128"/>
    </row>
    <row r="895" spans="1:6" ht="30.95" hidden="1" customHeight="1">
      <c r="A895" s="622" t="s">
        <v>249</v>
      </c>
      <c r="B895" s="623"/>
      <c r="C895" s="623"/>
      <c r="D895" s="198" t="str">
        <f>표지!$O$3&amp;" "&amp;표지!$O$4</f>
        <v>20○○회합100○○○ 회생</v>
      </c>
      <c r="E895" s="160" t="s">
        <v>261</v>
      </c>
      <c r="F895" s="199" t="str">
        <f>표지!$O$5</f>
        <v>○○○○ 주식회사</v>
      </c>
    </row>
    <row r="896" spans="1:6" ht="30.95" hidden="1" customHeight="1">
      <c r="A896" s="624" t="s">
        <v>125</v>
      </c>
      <c r="B896" s="423"/>
      <c r="C896" s="423"/>
      <c r="D896" s="276">
        <v>100</v>
      </c>
      <c r="E896" s="170" t="s">
        <v>190</v>
      </c>
      <c r="F896" s="111"/>
    </row>
    <row r="897" spans="1:6" ht="30.95" hidden="1" customHeight="1">
      <c r="A897" s="625" t="s">
        <v>183</v>
      </c>
      <c r="B897" s="419" t="s">
        <v>118</v>
      </c>
      <c r="C897" s="420"/>
      <c r="D897" s="419" t="e">
        <f>VLOOKUP(D896,주주총괄!$A$5:$J$8,4,0)</f>
        <v>#N/A</v>
      </c>
      <c r="E897" s="420"/>
      <c r="F897" s="626"/>
    </row>
    <row r="898" spans="1:6" ht="30.95" hidden="1" customHeight="1">
      <c r="A898" s="625"/>
      <c r="B898" s="419" t="s">
        <v>250</v>
      </c>
      <c r="C898" s="420"/>
      <c r="D898" s="564" t="e">
        <f>VLOOKUP(D896,주주총괄!$A$5:$J$8,5,0)</f>
        <v>#N/A</v>
      </c>
      <c r="E898" s="565"/>
      <c r="F898" s="627"/>
    </row>
    <row r="899" spans="1:6" ht="30.95" hidden="1" customHeight="1">
      <c r="A899" s="625"/>
      <c r="B899" s="419" t="s">
        <v>23</v>
      </c>
      <c r="C899" s="420"/>
      <c r="D899" s="25"/>
      <c r="E899" s="62" t="s">
        <v>151</v>
      </c>
      <c r="F899" s="161"/>
    </row>
    <row r="900" spans="1:6" ht="30.95" hidden="1" customHeight="1">
      <c r="A900" s="210" t="s">
        <v>59</v>
      </c>
      <c r="B900" s="205" t="e">
        <f>VLOOKUP(D896,주주총괄!$A$5:$J$8,6,0)</f>
        <v>#N/A</v>
      </c>
      <c r="C900" s="274" t="e">
        <f>VLOOKUP(D896,주주총괄!$A$5:$J$8,7,0)</f>
        <v>#N/A</v>
      </c>
      <c r="D900" s="275" t="e">
        <f>VLOOKUP(D896,주주총괄!$A$5:$J$8,8,0)</f>
        <v>#N/A</v>
      </c>
      <c r="E900" s="620" t="str">
        <f>"(액면가액: "&amp;TEXT(주주총괄!$L$4,"###,###원)")</f>
        <v>(액면가액: 100원)</v>
      </c>
      <c r="F900" s="621"/>
    </row>
    <row r="901" spans="1:6" ht="30.95" hidden="1" customHeight="1">
      <c r="A901" s="211" t="s">
        <v>19</v>
      </c>
      <c r="B901" s="618"/>
      <c r="C901" s="618"/>
      <c r="D901" s="618"/>
      <c r="E901" s="618"/>
      <c r="F901" s="619"/>
    </row>
    <row r="902" spans="1:6" ht="30.95" hidden="1" customHeight="1">
      <c r="A902" s="612" t="s">
        <v>41</v>
      </c>
      <c r="B902" s="612"/>
      <c r="C902" s="612"/>
      <c r="D902" s="612"/>
      <c r="E902" s="612"/>
      <c r="F902" s="612"/>
    </row>
    <row r="903" spans="1:6" ht="30.95" hidden="1" customHeight="1">
      <c r="A903" s="128"/>
      <c r="B903" s="128"/>
      <c r="C903" s="128"/>
      <c r="D903" s="128"/>
      <c r="E903" s="128"/>
      <c r="F903" s="128"/>
    </row>
    <row r="904" spans="1:6" ht="30.95" hidden="1" customHeight="1">
      <c r="A904" s="622" t="s">
        <v>249</v>
      </c>
      <c r="B904" s="623"/>
      <c r="C904" s="623"/>
      <c r="D904" s="198" t="str">
        <f>표지!$O$3&amp;" "&amp;표지!$O$4</f>
        <v>20○○회합100○○○ 회생</v>
      </c>
      <c r="E904" s="160" t="s">
        <v>261</v>
      </c>
      <c r="F904" s="199" t="str">
        <f>표지!$O$5</f>
        <v>○○○○ 주식회사</v>
      </c>
    </row>
    <row r="905" spans="1:6" ht="30.95" hidden="1" customHeight="1">
      <c r="A905" s="624" t="s">
        <v>125</v>
      </c>
      <c r="B905" s="423"/>
      <c r="C905" s="423"/>
      <c r="D905" s="276">
        <v>101</v>
      </c>
      <c r="E905" s="170" t="s">
        <v>190</v>
      </c>
      <c r="F905" s="111"/>
    </row>
    <row r="906" spans="1:6" ht="30.95" hidden="1" customHeight="1">
      <c r="A906" s="625" t="s">
        <v>183</v>
      </c>
      <c r="B906" s="419" t="s">
        <v>118</v>
      </c>
      <c r="C906" s="420"/>
      <c r="D906" s="419" t="e">
        <f>VLOOKUP(D905,주주총괄!$A$5:$J$8,4,0)</f>
        <v>#N/A</v>
      </c>
      <c r="E906" s="420"/>
      <c r="F906" s="626"/>
    </row>
    <row r="907" spans="1:6" ht="30.95" hidden="1" customHeight="1">
      <c r="A907" s="625"/>
      <c r="B907" s="419" t="s">
        <v>250</v>
      </c>
      <c r="C907" s="420"/>
      <c r="D907" s="564" t="e">
        <f>VLOOKUP(D905,주주총괄!$A$5:$J$8,5,0)</f>
        <v>#N/A</v>
      </c>
      <c r="E907" s="565"/>
      <c r="F907" s="627"/>
    </row>
    <row r="908" spans="1:6" ht="30.95" hidden="1" customHeight="1">
      <c r="A908" s="625"/>
      <c r="B908" s="419" t="s">
        <v>23</v>
      </c>
      <c r="C908" s="420"/>
      <c r="D908" s="25"/>
      <c r="E908" s="62" t="s">
        <v>151</v>
      </c>
      <c r="F908" s="161"/>
    </row>
    <row r="909" spans="1:6" ht="30.95" hidden="1" customHeight="1">
      <c r="A909" s="210" t="s">
        <v>59</v>
      </c>
      <c r="B909" s="205" t="e">
        <f>VLOOKUP(D905,주주총괄!$A$5:$J$8,6,0)</f>
        <v>#N/A</v>
      </c>
      <c r="C909" s="274" t="e">
        <f>VLOOKUP(D905,주주총괄!$A$5:$J$8,7,0)</f>
        <v>#N/A</v>
      </c>
      <c r="D909" s="275" t="e">
        <f>VLOOKUP(D905,주주총괄!$A$5:$J$8,8,0)</f>
        <v>#N/A</v>
      </c>
      <c r="E909" s="620" t="str">
        <f>"(액면가액: "&amp;TEXT(주주총괄!$L$4,"###,###원)")</f>
        <v>(액면가액: 100원)</v>
      </c>
      <c r="F909" s="621"/>
    </row>
    <row r="910" spans="1:6" ht="30.95" hidden="1" customHeight="1">
      <c r="A910" s="211" t="s">
        <v>19</v>
      </c>
      <c r="B910" s="618"/>
      <c r="C910" s="618"/>
      <c r="D910" s="618"/>
      <c r="E910" s="618"/>
      <c r="F910" s="619"/>
    </row>
    <row r="911" spans="1:6" ht="30.95" hidden="1" customHeight="1">
      <c r="A911" s="612" t="s">
        <v>41</v>
      </c>
      <c r="B911" s="612"/>
      <c r="C911" s="612"/>
      <c r="D911" s="612"/>
      <c r="E911" s="612"/>
      <c r="F911" s="612"/>
    </row>
    <row r="912" spans="1:6" ht="30.95" hidden="1" customHeight="1">
      <c r="A912" s="128"/>
      <c r="B912" s="128"/>
      <c r="C912" s="128"/>
      <c r="D912" s="128"/>
      <c r="E912" s="128"/>
      <c r="F912" s="128"/>
    </row>
    <row r="913" spans="1:6" ht="30.95" hidden="1" customHeight="1">
      <c r="A913" s="622" t="s">
        <v>249</v>
      </c>
      <c r="B913" s="623"/>
      <c r="C913" s="623"/>
      <c r="D913" s="198" t="str">
        <f>표지!$O$3&amp;" "&amp;표지!$O$4</f>
        <v>20○○회합100○○○ 회생</v>
      </c>
      <c r="E913" s="160" t="s">
        <v>261</v>
      </c>
      <c r="F913" s="199" t="str">
        <f>표지!$O$5</f>
        <v>○○○○ 주식회사</v>
      </c>
    </row>
    <row r="914" spans="1:6" ht="30.95" hidden="1" customHeight="1">
      <c r="A914" s="624" t="s">
        <v>125</v>
      </c>
      <c r="B914" s="423"/>
      <c r="C914" s="423"/>
      <c r="D914" s="276">
        <v>102</v>
      </c>
      <c r="E914" s="170" t="s">
        <v>190</v>
      </c>
      <c r="F914" s="111"/>
    </row>
    <row r="915" spans="1:6" ht="30.95" hidden="1" customHeight="1">
      <c r="A915" s="625" t="s">
        <v>183</v>
      </c>
      <c r="B915" s="419" t="s">
        <v>118</v>
      </c>
      <c r="C915" s="420"/>
      <c r="D915" s="419" t="e">
        <f>VLOOKUP(D914,주주총괄!$A$5:$J$8,4,0)</f>
        <v>#N/A</v>
      </c>
      <c r="E915" s="420"/>
      <c r="F915" s="626"/>
    </row>
    <row r="916" spans="1:6" ht="30.95" hidden="1" customHeight="1">
      <c r="A916" s="625"/>
      <c r="B916" s="419" t="s">
        <v>250</v>
      </c>
      <c r="C916" s="420"/>
      <c r="D916" s="564" t="e">
        <f>VLOOKUP(D914,주주총괄!$A$5:$J$8,5,0)</f>
        <v>#N/A</v>
      </c>
      <c r="E916" s="565"/>
      <c r="F916" s="627"/>
    </row>
    <row r="917" spans="1:6" ht="30.95" hidden="1" customHeight="1">
      <c r="A917" s="625"/>
      <c r="B917" s="419" t="s">
        <v>23</v>
      </c>
      <c r="C917" s="420"/>
      <c r="D917" s="25"/>
      <c r="E917" s="62" t="s">
        <v>151</v>
      </c>
      <c r="F917" s="161"/>
    </row>
    <row r="918" spans="1:6" ht="30.95" hidden="1" customHeight="1">
      <c r="A918" s="210" t="s">
        <v>59</v>
      </c>
      <c r="B918" s="205" t="e">
        <f>VLOOKUP(D914,주주총괄!$A$5:$J$8,6,0)</f>
        <v>#N/A</v>
      </c>
      <c r="C918" s="274" t="e">
        <f>VLOOKUP(D914,주주총괄!$A$5:$J$8,7,0)</f>
        <v>#N/A</v>
      </c>
      <c r="D918" s="275" t="e">
        <f>VLOOKUP(D914,주주총괄!$A$5:$J$8,8,0)</f>
        <v>#N/A</v>
      </c>
      <c r="E918" s="620" t="str">
        <f>"(액면가액: "&amp;TEXT(주주총괄!$L$4,"###,###원)")</f>
        <v>(액면가액: 100원)</v>
      </c>
      <c r="F918" s="621"/>
    </row>
    <row r="919" spans="1:6" ht="30.95" hidden="1" customHeight="1">
      <c r="A919" s="211" t="s">
        <v>19</v>
      </c>
      <c r="B919" s="618"/>
      <c r="C919" s="618"/>
      <c r="D919" s="618"/>
      <c r="E919" s="618"/>
      <c r="F919" s="619"/>
    </row>
    <row r="920" spans="1:6" ht="30.95" hidden="1" customHeight="1">
      <c r="A920" s="612" t="s">
        <v>41</v>
      </c>
      <c r="B920" s="612"/>
      <c r="C920" s="612"/>
      <c r="D920" s="612"/>
      <c r="E920" s="612"/>
      <c r="F920" s="612"/>
    </row>
    <row r="921" spans="1:6" ht="30.95" hidden="1" customHeight="1">
      <c r="A921" s="128"/>
      <c r="B921" s="128"/>
      <c r="C921" s="128"/>
      <c r="D921" s="128"/>
      <c r="E921" s="128"/>
      <c r="F921" s="128"/>
    </row>
    <row r="922" spans="1:6" ht="30.95" hidden="1" customHeight="1">
      <c r="A922" s="622" t="s">
        <v>249</v>
      </c>
      <c r="B922" s="623"/>
      <c r="C922" s="623"/>
      <c r="D922" s="198" t="str">
        <f>표지!$O$3&amp;" "&amp;표지!$O$4</f>
        <v>20○○회합100○○○ 회생</v>
      </c>
      <c r="E922" s="160" t="s">
        <v>261</v>
      </c>
      <c r="F922" s="199" t="str">
        <f>표지!$O$5</f>
        <v>○○○○ 주식회사</v>
      </c>
    </row>
    <row r="923" spans="1:6" ht="30.95" hidden="1" customHeight="1">
      <c r="A923" s="624" t="s">
        <v>125</v>
      </c>
      <c r="B923" s="423"/>
      <c r="C923" s="423"/>
      <c r="D923" s="276">
        <v>103</v>
      </c>
      <c r="E923" s="170" t="s">
        <v>190</v>
      </c>
      <c r="F923" s="111"/>
    </row>
    <row r="924" spans="1:6" ht="30.95" hidden="1" customHeight="1">
      <c r="A924" s="625" t="s">
        <v>183</v>
      </c>
      <c r="B924" s="419" t="s">
        <v>118</v>
      </c>
      <c r="C924" s="420"/>
      <c r="D924" s="419" t="e">
        <f>VLOOKUP(D923,주주총괄!$A$5:$J$8,4,0)</f>
        <v>#N/A</v>
      </c>
      <c r="E924" s="420"/>
      <c r="F924" s="626"/>
    </row>
    <row r="925" spans="1:6" ht="30.95" hidden="1" customHeight="1">
      <c r="A925" s="625"/>
      <c r="B925" s="419" t="s">
        <v>250</v>
      </c>
      <c r="C925" s="420"/>
      <c r="D925" s="564" t="e">
        <f>VLOOKUP(D923,주주총괄!$A$5:$J$8,5,0)</f>
        <v>#N/A</v>
      </c>
      <c r="E925" s="565"/>
      <c r="F925" s="627"/>
    </row>
    <row r="926" spans="1:6" ht="30.95" hidden="1" customHeight="1">
      <c r="A926" s="625"/>
      <c r="B926" s="419" t="s">
        <v>23</v>
      </c>
      <c r="C926" s="420"/>
      <c r="D926" s="25"/>
      <c r="E926" s="62" t="s">
        <v>151</v>
      </c>
      <c r="F926" s="161"/>
    </row>
    <row r="927" spans="1:6" ht="30.95" hidden="1" customHeight="1">
      <c r="A927" s="210" t="s">
        <v>59</v>
      </c>
      <c r="B927" s="205" t="e">
        <f>VLOOKUP(D923,주주총괄!$A$5:$J$8,6,0)</f>
        <v>#N/A</v>
      </c>
      <c r="C927" s="274" t="e">
        <f>VLOOKUP(D923,주주총괄!$A$5:$J$8,7,0)</f>
        <v>#N/A</v>
      </c>
      <c r="D927" s="275" t="e">
        <f>VLOOKUP(D923,주주총괄!$A$5:$J$8,8,0)</f>
        <v>#N/A</v>
      </c>
      <c r="E927" s="620" t="str">
        <f>"(액면가액: "&amp;TEXT(주주총괄!$L$4,"###,###원)")</f>
        <v>(액면가액: 100원)</v>
      </c>
      <c r="F927" s="621"/>
    </row>
    <row r="928" spans="1:6" ht="30.95" hidden="1" customHeight="1">
      <c r="A928" s="211" t="s">
        <v>19</v>
      </c>
      <c r="B928" s="618"/>
      <c r="C928" s="618"/>
      <c r="D928" s="618"/>
      <c r="E928" s="618"/>
      <c r="F928" s="619"/>
    </row>
    <row r="929" spans="1:6" ht="30.95" hidden="1" customHeight="1">
      <c r="A929" s="612" t="s">
        <v>41</v>
      </c>
      <c r="B929" s="612"/>
      <c r="C929" s="612"/>
      <c r="D929" s="612"/>
      <c r="E929" s="612"/>
      <c r="F929" s="612"/>
    </row>
    <row r="930" spans="1:6" ht="30.95" hidden="1" customHeight="1">
      <c r="A930" s="128"/>
      <c r="B930" s="128"/>
      <c r="C930" s="128"/>
      <c r="D930" s="128"/>
      <c r="E930" s="128"/>
      <c r="F930" s="128"/>
    </row>
    <row r="931" spans="1:6" ht="30.95" hidden="1" customHeight="1">
      <c r="A931" s="622" t="s">
        <v>249</v>
      </c>
      <c r="B931" s="623"/>
      <c r="C931" s="623"/>
      <c r="D931" s="198" t="str">
        <f>표지!$O$3&amp;" "&amp;표지!$O$4</f>
        <v>20○○회합100○○○ 회생</v>
      </c>
      <c r="E931" s="160" t="s">
        <v>261</v>
      </c>
      <c r="F931" s="199" t="str">
        <f>표지!$O$5</f>
        <v>○○○○ 주식회사</v>
      </c>
    </row>
    <row r="932" spans="1:6" ht="30.95" hidden="1" customHeight="1">
      <c r="A932" s="624" t="s">
        <v>125</v>
      </c>
      <c r="B932" s="423"/>
      <c r="C932" s="423"/>
      <c r="D932" s="276">
        <v>104</v>
      </c>
      <c r="E932" s="170" t="s">
        <v>190</v>
      </c>
      <c r="F932" s="111"/>
    </row>
    <row r="933" spans="1:6" ht="30.95" hidden="1" customHeight="1">
      <c r="A933" s="625" t="s">
        <v>183</v>
      </c>
      <c r="B933" s="419" t="s">
        <v>118</v>
      </c>
      <c r="C933" s="420"/>
      <c r="D933" s="419" t="e">
        <f>VLOOKUP(D932,주주총괄!$A$5:$J$8,4,0)</f>
        <v>#N/A</v>
      </c>
      <c r="E933" s="420"/>
      <c r="F933" s="626"/>
    </row>
    <row r="934" spans="1:6" ht="30.95" hidden="1" customHeight="1">
      <c r="A934" s="625"/>
      <c r="B934" s="419" t="s">
        <v>250</v>
      </c>
      <c r="C934" s="420"/>
      <c r="D934" s="564" t="e">
        <f>VLOOKUP(D932,주주총괄!$A$5:$J$8,5,0)</f>
        <v>#N/A</v>
      </c>
      <c r="E934" s="565"/>
      <c r="F934" s="627"/>
    </row>
    <row r="935" spans="1:6" ht="30.95" hidden="1" customHeight="1">
      <c r="A935" s="625"/>
      <c r="B935" s="419" t="s">
        <v>23</v>
      </c>
      <c r="C935" s="420"/>
      <c r="D935" s="25"/>
      <c r="E935" s="62" t="s">
        <v>151</v>
      </c>
      <c r="F935" s="161"/>
    </row>
    <row r="936" spans="1:6" ht="30.95" hidden="1" customHeight="1">
      <c r="A936" s="210" t="s">
        <v>59</v>
      </c>
      <c r="B936" s="205" t="e">
        <f>VLOOKUP(D932,주주총괄!$A$5:$J$8,6,0)</f>
        <v>#N/A</v>
      </c>
      <c r="C936" s="274" t="e">
        <f>VLOOKUP(D932,주주총괄!$A$5:$J$8,7,0)</f>
        <v>#N/A</v>
      </c>
      <c r="D936" s="275" t="e">
        <f>VLOOKUP(D932,주주총괄!$A$5:$J$8,8,0)</f>
        <v>#N/A</v>
      </c>
      <c r="E936" s="620" t="str">
        <f>"(액면가액: "&amp;TEXT(주주총괄!$L$4,"###,###원)")</f>
        <v>(액면가액: 100원)</v>
      </c>
      <c r="F936" s="621"/>
    </row>
    <row r="937" spans="1:6" ht="30.95" hidden="1" customHeight="1">
      <c r="A937" s="211" t="s">
        <v>19</v>
      </c>
      <c r="B937" s="618"/>
      <c r="C937" s="618"/>
      <c r="D937" s="618"/>
      <c r="E937" s="618"/>
      <c r="F937" s="619"/>
    </row>
    <row r="938" spans="1:6" ht="30.95" hidden="1" customHeight="1">
      <c r="A938" s="612" t="s">
        <v>41</v>
      </c>
      <c r="B938" s="612"/>
      <c r="C938" s="612"/>
      <c r="D938" s="612"/>
      <c r="E938" s="612"/>
      <c r="F938" s="612"/>
    </row>
    <row r="939" spans="1:6" ht="30.95" hidden="1" customHeight="1">
      <c r="A939" s="128"/>
      <c r="B939" s="128"/>
      <c r="C939" s="128"/>
      <c r="D939" s="128"/>
      <c r="E939" s="128"/>
      <c r="F939" s="128"/>
    </row>
    <row r="940" spans="1:6" ht="30.95" hidden="1" customHeight="1">
      <c r="A940" s="622" t="s">
        <v>249</v>
      </c>
      <c r="B940" s="623"/>
      <c r="C940" s="623"/>
      <c r="D940" s="198" t="str">
        <f>표지!$O$3&amp;" "&amp;표지!$O$4</f>
        <v>20○○회합100○○○ 회생</v>
      </c>
      <c r="E940" s="160" t="s">
        <v>261</v>
      </c>
      <c r="F940" s="199" t="str">
        <f>표지!$O$5</f>
        <v>○○○○ 주식회사</v>
      </c>
    </row>
    <row r="941" spans="1:6" ht="30.95" hidden="1" customHeight="1">
      <c r="A941" s="624" t="s">
        <v>125</v>
      </c>
      <c r="B941" s="423"/>
      <c r="C941" s="423"/>
      <c r="D941" s="276">
        <v>105</v>
      </c>
      <c r="E941" s="170" t="s">
        <v>190</v>
      </c>
      <c r="F941" s="111"/>
    </row>
    <row r="942" spans="1:6" ht="30.95" hidden="1" customHeight="1">
      <c r="A942" s="625" t="s">
        <v>183</v>
      </c>
      <c r="B942" s="419" t="s">
        <v>118</v>
      </c>
      <c r="C942" s="420"/>
      <c r="D942" s="419" t="e">
        <f>VLOOKUP(D941,주주총괄!$A$5:$J$8,4,0)</f>
        <v>#N/A</v>
      </c>
      <c r="E942" s="420"/>
      <c r="F942" s="626"/>
    </row>
    <row r="943" spans="1:6" ht="30.95" hidden="1" customHeight="1">
      <c r="A943" s="625"/>
      <c r="B943" s="419" t="s">
        <v>250</v>
      </c>
      <c r="C943" s="420"/>
      <c r="D943" s="564" t="e">
        <f>VLOOKUP(D941,주주총괄!$A$5:$J$8,5,0)</f>
        <v>#N/A</v>
      </c>
      <c r="E943" s="565"/>
      <c r="F943" s="627"/>
    </row>
    <row r="944" spans="1:6" ht="30.95" hidden="1" customHeight="1">
      <c r="A944" s="625"/>
      <c r="B944" s="419" t="s">
        <v>23</v>
      </c>
      <c r="C944" s="420"/>
      <c r="D944" s="25"/>
      <c r="E944" s="62" t="s">
        <v>151</v>
      </c>
      <c r="F944" s="161"/>
    </row>
    <row r="945" spans="1:6" ht="30.95" hidden="1" customHeight="1">
      <c r="A945" s="210" t="s">
        <v>59</v>
      </c>
      <c r="B945" s="205" t="e">
        <f>VLOOKUP(D941,주주총괄!$A$5:$J$8,6,0)</f>
        <v>#N/A</v>
      </c>
      <c r="C945" s="274" t="e">
        <f>VLOOKUP(D941,주주총괄!$A$5:$J$8,7,0)</f>
        <v>#N/A</v>
      </c>
      <c r="D945" s="275" t="e">
        <f>VLOOKUP(D941,주주총괄!$A$5:$J$8,8,0)</f>
        <v>#N/A</v>
      </c>
      <c r="E945" s="620" t="str">
        <f>"(액면가액: "&amp;TEXT(주주총괄!$L$4,"###,###원)")</f>
        <v>(액면가액: 100원)</v>
      </c>
      <c r="F945" s="621"/>
    </row>
    <row r="946" spans="1:6" ht="30.95" hidden="1" customHeight="1">
      <c r="A946" s="211" t="s">
        <v>19</v>
      </c>
      <c r="B946" s="618"/>
      <c r="C946" s="618"/>
      <c r="D946" s="618"/>
      <c r="E946" s="618"/>
      <c r="F946" s="619"/>
    </row>
    <row r="947" spans="1:6" ht="30.95" hidden="1" customHeight="1">
      <c r="A947" s="612" t="s">
        <v>41</v>
      </c>
      <c r="B947" s="612"/>
      <c r="C947" s="612"/>
      <c r="D947" s="612"/>
      <c r="E947" s="612"/>
      <c r="F947" s="612"/>
    </row>
    <row r="948" spans="1:6" ht="30.95" hidden="1" customHeight="1">
      <c r="A948" s="128"/>
      <c r="B948" s="128"/>
      <c r="C948" s="128"/>
      <c r="D948" s="128"/>
      <c r="E948" s="128"/>
      <c r="F948" s="128"/>
    </row>
    <row r="949" spans="1:6" ht="30.95" hidden="1" customHeight="1">
      <c r="A949" s="622" t="s">
        <v>249</v>
      </c>
      <c r="B949" s="623"/>
      <c r="C949" s="623"/>
      <c r="D949" s="198" t="str">
        <f>표지!$O$3&amp;" "&amp;표지!$O$4</f>
        <v>20○○회합100○○○ 회생</v>
      </c>
      <c r="E949" s="160" t="s">
        <v>261</v>
      </c>
      <c r="F949" s="199" t="str">
        <f>표지!$O$5</f>
        <v>○○○○ 주식회사</v>
      </c>
    </row>
    <row r="950" spans="1:6" ht="30.95" hidden="1" customHeight="1">
      <c r="A950" s="624" t="s">
        <v>125</v>
      </c>
      <c r="B950" s="423"/>
      <c r="C950" s="423"/>
      <c r="D950" s="276">
        <v>106</v>
      </c>
      <c r="E950" s="170" t="s">
        <v>190</v>
      </c>
      <c r="F950" s="111"/>
    </row>
    <row r="951" spans="1:6" ht="30.95" hidden="1" customHeight="1">
      <c r="A951" s="625" t="s">
        <v>183</v>
      </c>
      <c r="B951" s="419" t="s">
        <v>118</v>
      </c>
      <c r="C951" s="420"/>
      <c r="D951" s="419" t="e">
        <f>VLOOKUP(D950,주주총괄!$A$5:$J$8,4,0)</f>
        <v>#N/A</v>
      </c>
      <c r="E951" s="420"/>
      <c r="F951" s="626"/>
    </row>
    <row r="952" spans="1:6" ht="30.95" hidden="1" customHeight="1">
      <c r="A952" s="625"/>
      <c r="B952" s="419" t="s">
        <v>250</v>
      </c>
      <c r="C952" s="420"/>
      <c r="D952" s="564" t="e">
        <f>VLOOKUP(D950,주주총괄!$A$5:$J$8,5,0)</f>
        <v>#N/A</v>
      </c>
      <c r="E952" s="565"/>
      <c r="F952" s="627"/>
    </row>
    <row r="953" spans="1:6" ht="30.95" hidden="1" customHeight="1">
      <c r="A953" s="625"/>
      <c r="B953" s="419" t="s">
        <v>23</v>
      </c>
      <c r="C953" s="420"/>
      <c r="D953" s="25"/>
      <c r="E953" s="62" t="s">
        <v>151</v>
      </c>
      <c r="F953" s="161"/>
    </row>
    <row r="954" spans="1:6" ht="30.95" hidden="1" customHeight="1">
      <c r="A954" s="210" t="s">
        <v>59</v>
      </c>
      <c r="B954" s="205" t="e">
        <f>VLOOKUP(D950,주주총괄!$A$5:$J$8,6,0)</f>
        <v>#N/A</v>
      </c>
      <c r="C954" s="274" t="e">
        <f>VLOOKUP(D950,주주총괄!$A$5:$J$8,7,0)</f>
        <v>#N/A</v>
      </c>
      <c r="D954" s="275" t="e">
        <f>VLOOKUP(D950,주주총괄!$A$5:$J$8,8,0)</f>
        <v>#N/A</v>
      </c>
      <c r="E954" s="620" t="str">
        <f>"(액면가액: "&amp;TEXT(주주총괄!$L$4,"###,###원)")</f>
        <v>(액면가액: 100원)</v>
      </c>
      <c r="F954" s="621"/>
    </row>
    <row r="955" spans="1:6" ht="30.95" hidden="1" customHeight="1">
      <c r="A955" s="211" t="s">
        <v>19</v>
      </c>
      <c r="B955" s="618"/>
      <c r="C955" s="618"/>
      <c r="D955" s="618"/>
      <c r="E955" s="618"/>
      <c r="F955" s="619"/>
    </row>
    <row r="956" spans="1:6" ht="30.95" hidden="1" customHeight="1">
      <c r="A956" s="612" t="s">
        <v>41</v>
      </c>
      <c r="B956" s="612"/>
      <c r="C956" s="612"/>
      <c r="D956" s="612"/>
      <c r="E956" s="612"/>
      <c r="F956" s="612"/>
    </row>
    <row r="957" spans="1:6" ht="30.95" hidden="1" customHeight="1">
      <c r="A957" s="128"/>
      <c r="B957" s="128"/>
      <c r="C957" s="128"/>
      <c r="D957" s="128"/>
      <c r="E957" s="128"/>
      <c r="F957" s="128"/>
    </row>
    <row r="958" spans="1:6" ht="30.95" hidden="1" customHeight="1">
      <c r="A958" s="622" t="s">
        <v>249</v>
      </c>
      <c r="B958" s="623"/>
      <c r="C958" s="623"/>
      <c r="D958" s="198" t="str">
        <f>표지!$O$3&amp;" "&amp;표지!$O$4</f>
        <v>20○○회합100○○○ 회생</v>
      </c>
      <c r="E958" s="160" t="s">
        <v>261</v>
      </c>
      <c r="F958" s="199" t="str">
        <f>표지!$O$5</f>
        <v>○○○○ 주식회사</v>
      </c>
    </row>
    <row r="959" spans="1:6" ht="30.95" hidden="1" customHeight="1">
      <c r="A959" s="624" t="s">
        <v>125</v>
      </c>
      <c r="B959" s="423"/>
      <c r="C959" s="423"/>
      <c r="D959" s="276">
        <v>107</v>
      </c>
      <c r="E959" s="170" t="s">
        <v>190</v>
      </c>
      <c r="F959" s="111"/>
    </row>
    <row r="960" spans="1:6" ht="30.95" hidden="1" customHeight="1">
      <c r="A960" s="625" t="s">
        <v>183</v>
      </c>
      <c r="B960" s="419" t="s">
        <v>118</v>
      </c>
      <c r="C960" s="420"/>
      <c r="D960" s="419" t="e">
        <f>VLOOKUP(D959,주주총괄!$A$5:$J$8,4,0)</f>
        <v>#N/A</v>
      </c>
      <c r="E960" s="420"/>
      <c r="F960" s="626"/>
    </row>
    <row r="961" spans="1:6" ht="30.95" hidden="1" customHeight="1">
      <c r="A961" s="625"/>
      <c r="B961" s="419" t="s">
        <v>250</v>
      </c>
      <c r="C961" s="420"/>
      <c r="D961" s="564" t="e">
        <f>VLOOKUP(D959,주주총괄!$A$5:$J$8,5,0)</f>
        <v>#N/A</v>
      </c>
      <c r="E961" s="565"/>
      <c r="F961" s="627"/>
    </row>
    <row r="962" spans="1:6" ht="30.95" hidden="1" customHeight="1">
      <c r="A962" s="625"/>
      <c r="B962" s="419" t="s">
        <v>23</v>
      </c>
      <c r="C962" s="420"/>
      <c r="D962" s="25"/>
      <c r="E962" s="62" t="s">
        <v>151</v>
      </c>
      <c r="F962" s="161"/>
    </row>
    <row r="963" spans="1:6" ht="30.95" hidden="1" customHeight="1">
      <c r="A963" s="210" t="s">
        <v>59</v>
      </c>
      <c r="B963" s="205" t="e">
        <f>VLOOKUP(D959,주주총괄!$A$5:$J$8,6,0)</f>
        <v>#N/A</v>
      </c>
      <c r="C963" s="274" t="e">
        <f>VLOOKUP(D959,주주총괄!$A$5:$J$8,7,0)</f>
        <v>#N/A</v>
      </c>
      <c r="D963" s="275" t="e">
        <f>VLOOKUP(D959,주주총괄!$A$5:$J$8,8,0)</f>
        <v>#N/A</v>
      </c>
      <c r="E963" s="620" t="str">
        <f>"(액면가액: "&amp;TEXT(주주총괄!$L$4,"###,###원)")</f>
        <v>(액면가액: 100원)</v>
      </c>
      <c r="F963" s="621"/>
    </row>
    <row r="964" spans="1:6" ht="30.95" hidden="1" customHeight="1">
      <c r="A964" s="211" t="s">
        <v>19</v>
      </c>
      <c r="B964" s="618"/>
      <c r="C964" s="618"/>
      <c r="D964" s="618"/>
      <c r="E964" s="618"/>
      <c r="F964" s="619"/>
    </row>
    <row r="965" spans="1:6" ht="30.95" hidden="1" customHeight="1">
      <c r="A965" s="612" t="s">
        <v>41</v>
      </c>
      <c r="B965" s="612"/>
      <c r="C965" s="612"/>
      <c r="D965" s="612"/>
      <c r="E965" s="612"/>
      <c r="F965" s="612"/>
    </row>
    <row r="966" spans="1:6" ht="30.95" hidden="1" customHeight="1">
      <c r="A966" s="128"/>
      <c r="B966" s="128"/>
      <c r="C966" s="128"/>
      <c r="D966" s="128"/>
      <c r="E966" s="128"/>
      <c r="F966" s="128"/>
    </row>
    <row r="967" spans="1:6" ht="30.95" hidden="1" customHeight="1">
      <c r="A967" s="622" t="s">
        <v>249</v>
      </c>
      <c r="B967" s="623"/>
      <c r="C967" s="623"/>
      <c r="D967" s="198" t="str">
        <f>표지!$O$3&amp;" "&amp;표지!$O$4</f>
        <v>20○○회합100○○○ 회생</v>
      </c>
      <c r="E967" s="160" t="s">
        <v>261</v>
      </c>
      <c r="F967" s="199" t="str">
        <f>표지!$O$5</f>
        <v>○○○○ 주식회사</v>
      </c>
    </row>
    <row r="968" spans="1:6" ht="30.95" hidden="1" customHeight="1">
      <c r="A968" s="624" t="s">
        <v>125</v>
      </c>
      <c r="B968" s="423"/>
      <c r="C968" s="423"/>
      <c r="D968" s="276">
        <v>108</v>
      </c>
      <c r="E968" s="170" t="s">
        <v>190</v>
      </c>
      <c r="F968" s="111"/>
    </row>
    <row r="969" spans="1:6" ht="30.95" hidden="1" customHeight="1">
      <c r="A969" s="625" t="s">
        <v>183</v>
      </c>
      <c r="B969" s="419" t="s">
        <v>118</v>
      </c>
      <c r="C969" s="420"/>
      <c r="D969" s="419" t="e">
        <f>VLOOKUP(D968,주주총괄!$A$5:$J$8,4,0)</f>
        <v>#N/A</v>
      </c>
      <c r="E969" s="420"/>
      <c r="F969" s="626"/>
    </row>
    <row r="970" spans="1:6" ht="30.95" hidden="1" customHeight="1">
      <c r="A970" s="625"/>
      <c r="B970" s="419" t="s">
        <v>250</v>
      </c>
      <c r="C970" s="420"/>
      <c r="D970" s="564" t="e">
        <f>VLOOKUP(D968,주주총괄!$A$5:$J$8,5,0)</f>
        <v>#N/A</v>
      </c>
      <c r="E970" s="565"/>
      <c r="F970" s="627"/>
    </row>
    <row r="971" spans="1:6" ht="30.95" hidden="1" customHeight="1">
      <c r="A971" s="625"/>
      <c r="B971" s="419" t="s">
        <v>23</v>
      </c>
      <c r="C971" s="420"/>
      <c r="D971" s="25"/>
      <c r="E971" s="62" t="s">
        <v>151</v>
      </c>
      <c r="F971" s="161"/>
    </row>
    <row r="972" spans="1:6" ht="30.95" hidden="1" customHeight="1">
      <c r="A972" s="210" t="s">
        <v>59</v>
      </c>
      <c r="B972" s="205" t="e">
        <f>VLOOKUP(D968,주주총괄!$A$5:$J$8,6,0)</f>
        <v>#N/A</v>
      </c>
      <c r="C972" s="274" t="e">
        <f>VLOOKUP(D968,주주총괄!$A$5:$J$8,7,0)</f>
        <v>#N/A</v>
      </c>
      <c r="D972" s="275" t="e">
        <f>VLOOKUP(D968,주주총괄!$A$5:$J$8,8,0)</f>
        <v>#N/A</v>
      </c>
      <c r="E972" s="620" t="str">
        <f>"(액면가액: "&amp;TEXT(주주총괄!$L$4,"###,###원)")</f>
        <v>(액면가액: 100원)</v>
      </c>
      <c r="F972" s="621"/>
    </row>
    <row r="973" spans="1:6" ht="30.95" hidden="1" customHeight="1">
      <c r="A973" s="211" t="s">
        <v>19</v>
      </c>
      <c r="B973" s="618"/>
      <c r="C973" s="618"/>
      <c r="D973" s="618"/>
      <c r="E973" s="618"/>
      <c r="F973" s="619"/>
    </row>
    <row r="974" spans="1:6" ht="30.95" hidden="1" customHeight="1">
      <c r="A974" s="612" t="s">
        <v>41</v>
      </c>
      <c r="B974" s="612"/>
      <c r="C974" s="612"/>
      <c r="D974" s="612"/>
      <c r="E974" s="612"/>
      <c r="F974" s="612"/>
    </row>
    <row r="975" spans="1:6" ht="30.95" hidden="1" customHeight="1">
      <c r="A975" s="128"/>
      <c r="B975" s="128"/>
      <c r="C975" s="128"/>
      <c r="D975" s="128"/>
      <c r="E975" s="128"/>
      <c r="F975" s="128"/>
    </row>
    <row r="976" spans="1:6" ht="30.95" hidden="1" customHeight="1">
      <c r="A976" s="622" t="s">
        <v>249</v>
      </c>
      <c r="B976" s="623"/>
      <c r="C976" s="623"/>
      <c r="D976" s="198" t="str">
        <f>표지!$O$3&amp;" "&amp;표지!$O$4</f>
        <v>20○○회합100○○○ 회생</v>
      </c>
      <c r="E976" s="160" t="s">
        <v>261</v>
      </c>
      <c r="F976" s="199" t="str">
        <f>표지!$O$5</f>
        <v>○○○○ 주식회사</v>
      </c>
    </row>
    <row r="977" spans="1:6" ht="30.95" hidden="1" customHeight="1">
      <c r="A977" s="624" t="s">
        <v>125</v>
      </c>
      <c r="B977" s="423"/>
      <c r="C977" s="423"/>
      <c r="D977" s="276">
        <v>109</v>
      </c>
      <c r="E977" s="170" t="s">
        <v>190</v>
      </c>
      <c r="F977" s="111"/>
    </row>
    <row r="978" spans="1:6" ht="30.95" hidden="1" customHeight="1">
      <c r="A978" s="625" t="s">
        <v>183</v>
      </c>
      <c r="B978" s="419" t="s">
        <v>118</v>
      </c>
      <c r="C978" s="420"/>
      <c r="D978" s="419" t="e">
        <f>VLOOKUP(D977,주주총괄!$A$5:$J$8,4,0)</f>
        <v>#N/A</v>
      </c>
      <c r="E978" s="420"/>
      <c r="F978" s="626"/>
    </row>
    <row r="979" spans="1:6" ht="30.95" hidden="1" customHeight="1">
      <c r="A979" s="625"/>
      <c r="B979" s="419" t="s">
        <v>250</v>
      </c>
      <c r="C979" s="420"/>
      <c r="D979" s="564" t="e">
        <f>VLOOKUP(D977,주주총괄!$A$5:$J$8,5,0)</f>
        <v>#N/A</v>
      </c>
      <c r="E979" s="565"/>
      <c r="F979" s="627"/>
    </row>
    <row r="980" spans="1:6" ht="30.95" hidden="1" customHeight="1">
      <c r="A980" s="625"/>
      <c r="B980" s="419" t="s">
        <v>23</v>
      </c>
      <c r="C980" s="420"/>
      <c r="D980" s="25"/>
      <c r="E980" s="62" t="s">
        <v>151</v>
      </c>
      <c r="F980" s="161"/>
    </row>
    <row r="981" spans="1:6" ht="30.95" hidden="1" customHeight="1">
      <c r="A981" s="210" t="s">
        <v>59</v>
      </c>
      <c r="B981" s="205" t="e">
        <f>VLOOKUP(D977,주주총괄!$A$5:$J$8,6,0)</f>
        <v>#N/A</v>
      </c>
      <c r="C981" s="274" t="e">
        <f>VLOOKUP(D977,주주총괄!$A$5:$J$8,7,0)</f>
        <v>#N/A</v>
      </c>
      <c r="D981" s="275" t="e">
        <f>VLOOKUP(D977,주주총괄!$A$5:$J$8,8,0)</f>
        <v>#N/A</v>
      </c>
      <c r="E981" s="620" t="str">
        <f>"(액면가액: "&amp;TEXT(주주총괄!$L$4,"###,###원)")</f>
        <v>(액면가액: 100원)</v>
      </c>
      <c r="F981" s="621"/>
    </row>
    <row r="982" spans="1:6" ht="30.95" hidden="1" customHeight="1">
      <c r="A982" s="211" t="s">
        <v>19</v>
      </c>
      <c r="B982" s="618"/>
      <c r="C982" s="618"/>
      <c r="D982" s="618"/>
      <c r="E982" s="618"/>
      <c r="F982" s="619"/>
    </row>
    <row r="983" spans="1:6" ht="30.95" hidden="1" customHeight="1">
      <c r="A983" s="612" t="s">
        <v>41</v>
      </c>
      <c r="B983" s="612"/>
      <c r="C983" s="612"/>
      <c r="D983" s="612"/>
      <c r="E983" s="612"/>
      <c r="F983" s="612"/>
    </row>
    <row r="984" spans="1:6" ht="30.95" hidden="1" customHeight="1">
      <c r="A984" s="128"/>
      <c r="B984" s="128"/>
      <c r="C984" s="128"/>
      <c r="D984" s="128"/>
      <c r="E984" s="128"/>
      <c r="F984" s="128"/>
    </row>
    <row r="985" spans="1:6" ht="30.95" hidden="1" customHeight="1">
      <c r="A985" s="622" t="s">
        <v>249</v>
      </c>
      <c r="B985" s="623"/>
      <c r="C985" s="623"/>
      <c r="D985" s="198" t="str">
        <f>표지!$O$3&amp;" "&amp;표지!$O$4</f>
        <v>20○○회합100○○○ 회생</v>
      </c>
      <c r="E985" s="160" t="s">
        <v>261</v>
      </c>
      <c r="F985" s="199" t="str">
        <f>표지!$O$5</f>
        <v>○○○○ 주식회사</v>
      </c>
    </row>
    <row r="986" spans="1:6" ht="30.95" hidden="1" customHeight="1">
      <c r="A986" s="624" t="s">
        <v>125</v>
      </c>
      <c r="B986" s="423"/>
      <c r="C986" s="423"/>
      <c r="D986" s="276">
        <v>110</v>
      </c>
      <c r="E986" s="170" t="s">
        <v>190</v>
      </c>
      <c r="F986" s="111"/>
    </row>
    <row r="987" spans="1:6" ht="30.95" hidden="1" customHeight="1">
      <c r="A987" s="625" t="s">
        <v>183</v>
      </c>
      <c r="B987" s="419" t="s">
        <v>118</v>
      </c>
      <c r="C987" s="420"/>
      <c r="D987" s="419" t="e">
        <f>VLOOKUP(D986,주주총괄!$A$5:$J$8,4,0)</f>
        <v>#N/A</v>
      </c>
      <c r="E987" s="420"/>
      <c r="F987" s="626"/>
    </row>
    <row r="988" spans="1:6" ht="30.95" hidden="1" customHeight="1">
      <c r="A988" s="625"/>
      <c r="B988" s="419" t="s">
        <v>250</v>
      </c>
      <c r="C988" s="420"/>
      <c r="D988" s="564" t="e">
        <f>VLOOKUP(D986,주주총괄!$A$5:$J$8,5,0)</f>
        <v>#N/A</v>
      </c>
      <c r="E988" s="565"/>
      <c r="F988" s="627"/>
    </row>
    <row r="989" spans="1:6" ht="30.95" hidden="1" customHeight="1">
      <c r="A989" s="625"/>
      <c r="B989" s="419" t="s">
        <v>23</v>
      </c>
      <c r="C989" s="420"/>
      <c r="D989" s="25"/>
      <c r="E989" s="62" t="s">
        <v>151</v>
      </c>
      <c r="F989" s="161"/>
    </row>
    <row r="990" spans="1:6" ht="30.95" hidden="1" customHeight="1">
      <c r="A990" s="210" t="s">
        <v>59</v>
      </c>
      <c r="B990" s="205" t="e">
        <f>VLOOKUP(D986,주주총괄!$A$5:$J$8,6,0)</f>
        <v>#N/A</v>
      </c>
      <c r="C990" s="274" t="e">
        <f>VLOOKUP(D986,주주총괄!$A$5:$J$8,7,0)</f>
        <v>#N/A</v>
      </c>
      <c r="D990" s="275" t="e">
        <f>VLOOKUP(D986,주주총괄!$A$5:$J$8,8,0)</f>
        <v>#N/A</v>
      </c>
      <c r="E990" s="620" t="str">
        <f>"(액면가액: "&amp;TEXT(주주총괄!$L$4,"###,###원)")</f>
        <v>(액면가액: 100원)</v>
      </c>
      <c r="F990" s="621"/>
    </row>
    <row r="991" spans="1:6" ht="30.95" hidden="1" customHeight="1">
      <c r="A991" s="211" t="s">
        <v>19</v>
      </c>
      <c r="B991" s="618"/>
      <c r="C991" s="618"/>
      <c r="D991" s="618"/>
      <c r="E991" s="618"/>
      <c r="F991" s="619"/>
    </row>
    <row r="992" spans="1:6" ht="30.95" hidden="1" customHeight="1">
      <c r="A992" s="612" t="s">
        <v>41</v>
      </c>
      <c r="B992" s="612"/>
      <c r="C992" s="612"/>
      <c r="D992" s="612"/>
      <c r="E992" s="612"/>
      <c r="F992" s="612"/>
    </row>
    <row r="993" spans="1:6" ht="30.95" hidden="1" customHeight="1">
      <c r="A993" s="128"/>
      <c r="B993" s="128"/>
      <c r="C993" s="128"/>
      <c r="D993" s="128"/>
      <c r="E993" s="128"/>
      <c r="F993" s="128"/>
    </row>
    <row r="994" spans="1:6" ht="30.95" hidden="1" customHeight="1">
      <c r="A994" s="622" t="s">
        <v>249</v>
      </c>
      <c r="B994" s="623"/>
      <c r="C994" s="623"/>
      <c r="D994" s="198" t="str">
        <f>표지!$O$3&amp;" "&amp;표지!$O$4</f>
        <v>20○○회합100○○○ 회생</v>
      </c>
      <c r="E994" s="160" t="s">
        <v>261</v>
      </c>
      <c r="F994" s="199" t="str">
        <f>표지!$O$5</f>
        <v>○○○○ 주식회사</v>
      </c>
    </row>
    <row r="995" spans="1:6" ht="30.95" hidden="1" customHeight="1">
      <c r="A995" s="624" t="s">
        <v>125</v>
      </c>
      <c r="B995" s="423"/>
      <c r="C995" s="423"/>
      <c r="D995" s="276">
        <v>111</v>
      </c>
      <c r="E995" s="170" t="s">
        <v>190</v>
      </c>
      <c r="F995" s="111"/>
    </row>
    <row r="996" spans="1:6" ht="30.95" hidden="1" customHeight="1">
      <c r="A996" s="625" t="s">
        <v>183</v>
      </c>
      <c r="B996" s="419" t="s">
        <v>118</v>
      </c>
      <c r="C996" s="420"/>
      <c r="D996" s="419" t="e">
        <f>VLOOKUP(D995,주주총괄!$A$5:$J$8,4,0)</f>
        <v>#N/A</v>
      </c>
      <c r="E996" s="420"/>
      <c r="F996" s="626"/>
    </row>
    <row r="997" spans="1:6" ht="30.95" hidden="1" customHeight="1">
      <c r="A997" s="625"/>
      <c r="B997" s="419" t="s">
        <v>250</v>
      </c>
      <c r="C997" s="420"/>
      <c r="D997" s="564" t="e">
        <f>VLOOKUP(D995,주주총괄!$A$5:$J$8,5,0)</f>
        <v>#N/A</v>
      </c>
      <c r="E997" s="565"/>
      <c r="F997" s="627"/>
    </row>
    <row r="998" spans="1:6" ht="30.95" hidden="1" customHeight="1">
      <c r="A998" s="625"/>
      <c r="B998" s="419" t="s">
        <v>23</v>
      </c>
      <c r="C998" s="420"/>
      <c r="D998" s="25"/>
      <c r="E998" s="62" t="s">
        <v>151</v>
      </c>
      <c r="F998" s="161"/>
    </row>
    <row r="999" spans="1:6" ht="30.95" hidden="1" customHeight="1">
      <c r="A999" s="210" t="s">
        <v>59</v>
      </c>
      <c r="B999" s="205" t="e">
        <f>VLOOKUP(D995,주주총괄!$A$5:$J$8,6,0)</f>
        <v>#N/A</v>
      </c>
      <c r="C999" s="274" t="e">
        <f>VLOOKUP(D995,주주총괄!$A$5:$J$8,7,0)</f>
        <v>#N/A</v>
      </c>
      <c r="D999" s="275" t="e">
        <f>VLOOKUP(D995,주주총괄!$A$5:$J$8,8,0)</f>
        <v>#N/A</v>
      </c>
      <c r="E999" s="620" t="str">
        <f>"(액면가액: "&amp;TEXT(주주총괄!$L$4,"###,###원)")</f>
        <v>(액면가액: 100원)</v>
      </c>
      <c r="F999" s="621"/>
    </row>
    <row r="1000" spans="1:6" ht="30.95" hidden="1" customHeight="1">
      <c r="A1000" s="211" t="s">
        <v>19</v>
      </c>
      <c r="B1000" s="618"/>
      <c r="C1000" s="618"/>
      <c r="D1000" s="618"/>
      <c r="E1000" s="618"/>
      <c r="F1000" s="619"/>
    </row>
    <row r="1001" spans="1:6" ht="30.95" hidden="1" customHeight="1">
      <c r="A1001" s="612" t="s">
        <v>41</v>
      </c>
      <c r="B1001" s="612"/>
      <c r="C1001" s="612"/>
      <c r="D1001" s="612"/>
      <c r="E1001" s="612"/>
      <c r="F1001" s="612"/>
    </row>
    <row r="1002" spans="1:6" ht="30.95" hidden="1" customHeight="1">
      <c r="A1002" s="128"/>
      <c r="B1002" s="128"/>
      <c r="C1002" s="128"/>
      <c r="D1002" s="128"/>
      <c r="E1002" s="128"/>
      <c r="F1002" s="128"/>
    </row>
    <row r="1003" spans="1:6" ht="30.95" hidden="1" customHeight="1">
      <c r="A1003" s="622" t="s">
        <v>249</v>
      </c>
      <c r="B1003" s="623"/>
      <c r="C1003" s="623"/>
      <c r="D1003" s="198" t="str">
        <f>표지!$O$3&amp;" "&amp;표지!$O$4</f>
        <v>20○○회합100○○○ 회생</v>
      </c>
      <c r="E1003" s="160" t="s">
        <v>261</v>
      </c>
      <c r="F1003" s="199" t="str">
        <f>표지!$O$5</f>
        <v>○○○○ 주식회사</v>
      </c>
    </row>
    <row r="1004" spans="1:6" ht="30.95" hidden="1" customHeight="1">
      <c r="A1004" s="624" t="s">
        <v>125</v>
      </c>
      <c r="B1004" s="423"/>
      <c r="C1004" s="423"/>
      <c r="D1004" s="276">
        <v>112</v>
      </c>
      <c r="E1004" s="170" t="s">
        <v>190</v>
      </c>
      <c r="F1004" s="111"/>
    </row>
    <row r="1005" spans="1:6" ht="30.95" hidden="1" customHeight="1">
      <c r="A1005" s="625" t="s">
        <v>183</v>
      </c>
      <c r="B1005" s="419" t="s">
        <v>118</v>
      </c>
      <c r="C1005" s="420"/>
      <c r="D1005" s="419" t="e">
        <f>VLOOKUP(D1004,주주총괄!$A$5:$J$8,4,0)</f>
        <v>#N/A</v>
      </c>
      <c r="E1005" s="420"/>
      <c r="F1005" s="626"/>
    </row>
    <row r="1006" spans="1:6" ht="30.95" hidden="1" customHeight="1">
      <c r="A1006" s="625"/>
      <c r="B1006" s="419" t="s">
        <v>250</v>
      </c>
      <c r="C1006" s="420"/>
      <c r="D1006" s="564" t="e">
        <f>VLOOKUP(D1004,주주총괄!$A$5:$J$8,5,0)</f>
        <v>#N/A</v>
      </c>
      <c r="E1006" s="565"/>
      <c r="F1006" s="627"/>
    </row>
    <row r="1007" spans="1:6" ht="30.95" hidden="1" customHeight="1">
      <c r="A1007" s="625"/>
      <c r="B1007" s="419" t="s">
        <v>23</v>
      </c>
      <c r="C1007" s="420"/>
      <c r="D1007" s="25"/>
      <c r="E1007" s="62" t="s">
        <v>151</v>
      </c>
      <c r="F1007" s="161"/>
    </row>
    <row r="1008" spans="1:6" ht="30.95" hidden="1" customHeight="1">
      <c r="A1008" s="210" t="s">
        <v>59</v>
      </c>
      <c r="B1008" s="205" t="e">
        <f>VLOOKUP(D1004,주주총괄!$A$5:$J$8,6,0)</f>
        <v>#N/A</v>
      </c>
      <c r="C1008" s="274" t="e">
        <f>VLOOKUP(D1004,주주총괄!$A$5:$J$8,7,0)</f>
        <v>#N/A</v>
      </c>
      <c r="D1008" s="275" t="e">
        <f>VLOOKUP(D1004,주주총괄!$A$5:$J$8,8,0)</f>
        <v>#N/A</v>
      </c>
      <c r="E1008" s="620" t="str">
        <f>"(액면가액: "&amp;TEXT(주주총괄!$L$4,"###,###원)")</f>
        <v>(액면가액: 100원)</v>
      </c>
      <c r="F1008" s="621"/>
    </row>
    <row r="1009" spans="1:6" ht="30.95" hidden="1" customHeight="1">
      <c r="A1009" s="211" t="s">
        <v>19</v>
      </c>
      <c r="B1009" s="618"/>
      <c r="C1009" s="618"/>
      <c r="D1009" s="618"/>
      <c r="E1009" s="618"/>
      <c r="F1009" s="619"/>
    </row>
    <row r="1010" spans="1:6" ht="30.95" hidden="1" customHeight="1">
      <c r="A1010" s="612" t="s">
        <v>41</v>
      </c>
      <c r="B1010" s="612"/>
      <c r="C1010" s="612"/>
      <c r="D1010" s="612"/>
      <c r="E1010" s="612"/>
      <c r="F1010" s="612"/>
    </row>
    <row r="1011" spans="1:6" ht="30.95" hidden="1" customHeight="1">
      <c r="A1011" s="128"/>
      <c r="B1011" s="128"/>
      <c r="C1011" s="128"/>
      <c r="D1011" s="128"/>
      <c r="E1011" s="128"/>
      <c r="F1011" s="128"/>
    </row>
    <row r="1012" spans="1:6" ht="30.95" hidden="1" customHeight="1">
      <c r="A1012" s="622" t="s">
        <v>249</v>
      </c>
      <c r="B1012" s="623"/>
      <c r="C1012" s="623"/>
      <c r="D1012" s="198" t="str">
        <f>표지!$O$3&amp;" "&amp;표지!$O$4</f>
        <v>20○○회합100○○○ 회생</v>
      </c>
      <c r="E1012" s="160" t="s">
        <v>261</v>
      </c>
      <c r="F1012" s="199" t="str">
        <f>표지!$O$5</f>
        <v>○○○○ 주식회사</v>
      </c>
    </row>
    <row r="1013" spans="1:6" ht="30.95" hidden="1" customHeight="1">
      <c r="A1013" s="624" t="s">
        <v>125</v>
      </c>
      <c r="B1013" s="423"/>
      <c r="C1013" s="423"/>
      <c r="D1013" s="276">
        <v>113</v>
      </c>
      <c r="E1013" s="170" t="s">
        <v>190</v>
      </c>
      <c r="F1013" s="111"/>
    </row>
    <row r="1014" spans="1:6" ht="30.95" hidden="1" customHeight="1">
      <c r="A1014" s="625" t="s">
        <v>183</v>
      </c>
      <c r="B1014" s="419" t="s">
        <v>118</v>
      </c>
      <c r="C1014" s="420"/>
      <c r="D1014" s="419" t="e">
        <f>VLOOKUP(D1013,주주총괄!$A$5:$J$8,4,0)</f>
        <v>#N/A</v>
      </c>
      <c r="E1014" s="420"/>
      <c r="F1014" s="626"/>
    </row>
    <row r="1015" spans="1:6" ht="30.95" hidden="1" customHeight="1">
      <c r="A1015" s="625"/>
      <c r="B1015" s="419" t="s">
        <v>250</v>
      </c>
      <c r="C1015" s="420"/>
      <c r="D1015" s="564" t="e">
        <f>VLOOKUP(D1013,주주총괄!$A$5:$J$8,5,0)</f>
        <v>#N/A</v>
      </c>
      <c r="E1015" s="565"/>
      <c r="F1015" s="627"/>
    </row>
    <row r="1016" spans="1:6" ht="30.95" hidden="1" customHeight="1">
      <c r="A1016" s="625"/>
      <c r="B1016" s="419" t="s">
        <v>23</v>
      </c>
      <c r="C1016" s="420"/>
      <c r="D1016" s="25"/>
      <c r="E1016" s="62" t="s">
        <v>151</v>
      </c>
      <c r="F1016" s="161"/>
    </row>
    <row r="1017" spans="1:6" ht="30.95" hidden="1" customHeight="1">
      <c r="A1017" s="210" t="s">
        <v>59</v>
      </c>
      <c r="B1017" s="205" t="e">
        <f>VLOOKUP(D1013,주주총괄!$A$5:$J$8,6,0)</f>
        <v>#N/A</v>
      </c>
      <c r="C1017" s="274" t="e">
        <f>VLOOKUP(D1013,주주총괄!$A$5:$J$8,7,0)</f>
        <v>#N/A</v>
      </c>
      <c r="D1017" s="275" t="e">
        <f>VLOOKUP(D1013,주주총괄!$A$5:$J$8,8,0)</f>
        <v>#N/A</v>
      </c>
      <c r="E1017" s="620" t="str">
        <f>"(액면가액: "&amp;TEXT(주주총괄!$L$4,"###,###원)")</f>
        <v>(액면가액: 100원)</v>
      </c>
      <c r="F1017" s="621"/>
    </row>
    <row r="1018" spans="1:6" ht="30.95" hidden="1" customHeight="1">
      <c r="A1018" s="211" t="s">
        <v>19</v>
      </c>
      <c r="B1018" s="618"/>
      <c r="C1018" s="618"/>
      <c r="D1018" s="618"/>
      <c r="E1018" s="618"/>
      <c r="F1018" s="619"/>
    </row>
    <row r="1019" spans="1:6" ht="30.95" hidden="1" customHeight="1">
      <c r="A1019" s="612" t="s">
        <v>41</v>
      </c>
      <c r="B1019" s="612"/>
      <c r="C1019" s="612"/>
      <c r="D1019" s="612"/>
      <c r="E1019" s="612"/>
      <c r="F1019" s="612"/>
    </row>
    <row r="1020" spans="1:6" ht="30.95" hidden="1" customHeight="1">
      <c r="A1020" s="128"/>
      <c r="B1020" s="128"/>
      <c r="C1020" s="128"/>
      <c r="D1020" s="128"/>
      <c r="E1020" s="128"/>
      <c r="F1020" s="128"/>
    </row>
    <row r="1021" spans="1:6" ht="30.95" hidden="1" customHeight="1">
      <c r="A1021" s="622" t="s">
        <v>249</v>
      </c>
      <c r="B1021" s="623"/>
      <c r="C1021" s="623"/>
      <c r="D1021" s="198" t="str">
        <f>표지!$O$3&amp;" "&amp;표지!$O$4</f>
        <v>20○○회합100○○○ 회생</v>
      </c>
      <c r="E1021" s="160" t="s">
        <v>261</v>
      </c>
      <c r="F1021" s="199" t="str">
        <f>표지!$O$5</f>
        <v>○○○○ 주식회사</v>
      </c>
    </row>
    <row r="1022" spans="1:6" ht="30.95" hidden="1" customHeight="1">
      <c r="A1022" s="624" t="s">
        <v>125</v>
      </c>
      <c r="B1022" s="423"/>
      <c r="C1022" s="423"/>
      <c r="D1022" s="276">
        <v>114</v>
      </c>
      <c r="E1022" s="170" t="s">
        <v>190</v>
      </c>
      <c r="F1022" s="111"/>
    </row>
    <row r="1023" spans="1:6" ht="30.95" hidden="1" customHeight="1">
      <c r="A1023" s="625" t="s">
        <v>183</v>
      </c>
      <c r="B1023" s="419" t="s">
        <v>118</v>
      </c>
      <c r="C1023" s="420"/>
      <c r="D1023" s="419" t="e">
        <f>VLOOKUP(D1022,주주총괄!$A$5:$J$8,4,0)</f>
        <v>#N/A</v>
      </c>
      <c r="E1023" s="420"/>
      <c r="F1023" s="626"/>
    </row>
    <row r="1024" spans="1:6" ht="30.95" hidden="1" customHeight="1">
      <c r="A1024" s="625"/>
      <c r="B1024" s="419" t="s">
        <v>250</v>
      </c>
      <c r="C1024" s="420"/>
      <c r="D1024" s="564" t="e">
        <f>VLOOKUP(D1022,주주총괄!$A$5:$J$8,5,0)</f>
        <v>#N/A</v>
      </c>
      <c r="E1024" s="565"/>
      <c r="F1024" s="627"/>
    </row>
    <row r="1025" spans="1:6" ht="30.95" hidden="1" customHeight="1">
      <c r="A1025" s="625"/>
      <c r="B1025" s="419" t="s">
        <v>23</v>
      </c>
      <c r="C1025" s="420"/>
      <c r="D1025" s="25"/>
      <c r="E1025" s="62" t="s">
        <v>151</v>
      </c>
      <c r="F1025" s="161"/>
    </row>
    <row r="1026" spans="1:6" ht="30.95" hidden="1" customHeight="1">
      <c r="A1026" s="210" t="s">
        <v>59</v>
      </c>
      <c r="B1026" s="205" t="e">
        <f>VLOOKUP(D1022,주주총괄!$A$5:$J$8,6,0)</f>
        <v>#N/A</v>
      </c>
      <c r="C1026" s="274" t="e">
        <f>VLOOKUP(D1022,주주총괄!$A$5:$J$8,7,0)</f>
        <v>#N/A</v>
      </c>
      <c r="D1026" s="275" t="e">
        <f>VLOOKUP(D1022,주주총괄!$A$5:$J$8,8,0)</f>
        <v>#N/A</v>
      </c>
      <c r="E1026" s="620" t="str">
        <f>"(액면가액: "&amp;TEXT(주주총괄!$L$4,"###,###원)")</f>
        <v>(액면가액: 100원)</v>
      </c>
      <c r="F1026" s="621"/>
    </row>
    <row r="1027" spans="1:6" ht="30.95" hidden="1" customHeight="1">
      <c r="A1027" s="211" t="s">
        <v>19</v>
      </c>
      <c r="B1027" s="618"/>
      <c r="C1027" s="618"/>
      <c r="D1027" s="618"/>
      <c r="E1027" s="618"/>
      <c r="F1027" s="619"/>
    </row>
    <row r="1028" spans="1:6" ht="30.95" hidden="1" customHeight="1">
      <c r="A1028" s="612" t="s">
        <v>41</v>
      </c>
      <c r="B1028" s="612"/>
      <c r="C1028" s="612"/>
      <c r="D1028" s="612"/>
      <c r="E1028" s="612"/>
      <c r="F1028" s="612"/>
    </row>
    <row r="1029" spans="1:6" ht="30.95" hidden="1" customHeight="1">
      <c r="A1029" s="128"/>
      <c r="B1029" s="128"/>
      <c r="C1029" s="128"/>
      <c r="D1029" s="128"/>
      <c r="E1029" s="128"/>
      <c r="F1029" s="128"/>
    </row>
    <row r="1030" spans="1:6" ht="30.95" hidden="1" customHeight="1">
      <c r="A1030" s="622" t="s">
        <v>249</v>
      </c>
      <c r="B1030" s="623"/>
      <c r="C1030" s="623"/>
      <c r="D1030" s="198" t="str">
        <f>표지!$O$3&amp;" "&amp;표지!$O$4</f>
        <v>20○○회합100○○○ 회생</v>
      </c>
      <c r="E1030" s="160" t="s">
        <v>261</v>
      </c>
      <c r="F1030" s="199" t="str">
        <f>표지!$O$5</f>
        <v>○○○○ 주식회사</v>
      </c>
    </row>
    <row r="1031" spans="1:6" ht="30.95" hidden="1" customHeight="1">
      <c r="A1031" s="624" t="s">
        <v>125</v>
      </c>
      <c r="B1031" s="423"/>
      <c r="C1031" s="423"/>
      <c r="D1031" s="276">
        <v>115</v>
      </c>
      <c r="E1031" s="170" t="s">
        <v>190</v>
      </c>
      <c r="F1031" s="111"/>
    </row>
    <row r="1032" spans="1:6" ht="30.95" hidden="1" customHeight="1">
      <c r="A1032" s="625" t="s">
        <v>183</v>
      </c>
      <c r="B1032" s="419" t="s">
        <v>118</v>
      </c>
      <c r="C1032" s="420"/>
      <c r="D1032" s="419" t="e">
        <f>VLOOKUP(D1031,주주총괄!$A$5:$J$8,4,0)</f>
        <v>#N/A</v>
      </c>
      <c r="E1032" s="420"/>
      <c r="F1032" s="626"/>
    </row>
    <row r="1033" spans="1:6" ht="30.95" hidden="1" customHeight="1">
      <c r="A1033" s="625"/>
      <c r="B1033" s="419" t="s">
        <v>250</v>
      </c>
      <c r="C1033" s="420"/>
      <c r="D1033" s="564" t="e">
        <f>VLOOKUP(D1031,주주총괄!$A$5:$J$8,5,0)</f>
        <v>#N/A</v>
      </c>
      <c r="E1033" s="565"/>
      <c r="F1033" s="627"/>
    </row>
    <row r="1034" spans="1:6" ht="30.95" hidden="1" customHeight="1">
      <c r="A1034" s="625"/>
      <c r="B1034" s="419" t="s">
        <v>23</v>
      </c>
      <c r="C1034" s="420"/>
      <c r="D1034" s="25"/>
      <c r="E1034" s="62" t="s">
        <v>151</v>
      </c>
      <c r="F1034" s="161"/>
    </row>
    <row r="1035" spans="1:6" ht="30.95" hidden="1" customHeight="1">
      <c r="A1035" s="210" t="s">
        <v>59</v>
      </c>
      <c r="B1035" s="205" t="e">
        <f>VLOOKUP(D1031,주주총괄!$A$5:$J$8,6,0)</f>
        <v>#N/A</v>
      </c>
      <c r="C1035" s="274" t="e">
        <f>VLOOKUP(D1031,주주총괄!$A$5:$J$8,7,0)</f>
        <v>#N/A</v>
      </c>
      <c r="D1035" s="275" t="e">
        <f>VLOOKUP(D1031,주주총괄!$A$5:$J$8,8,0)</f>
        <v>#N/A</v>
      </c>
      <c r="E1035" s="620" t="str">
        <f>"(액면가액: "&amp;TEXT(주주총괄!$L$4,"###,###원)")</f>
        <v>(액면가액: 100원)</v>
      </c>
      <c r="F1035" s="621"/>
    </row>
    <row r="1036" spans="1:6" ht="30.95" hidden="1" customHeight="1">
      <c r="A1036" s="211" t="s">
        <v>19</v>
      </c>
      <c r="B1036" s="618"/>
      <c r="C1036" s="618"/>
      <c r="D1036" s="618"/>
      <c r="E1036" s="618"/>
      <c r="F1036" s="619"/>
    </row>
    <row r="1037" spans="1:6" ht="30.95" hidden="1" customHeight="1">
      <c r="A1037" s="612" t="s">
        <v>41</v>
      </c>
      <c r="B1037" s="612"/>
      <c r="C1037" s="612"/>
      <c r="D1037" s="612"/>
      <c r="E1037" s="612"/>
      <c r="F1037" s="612"/>
    </row>
    <row r="1038" spans="1:6" ht="30.95" hidden="1" customHeight="1">
      <c r="A1038" s="128"/>
      <c r="B1038" s="128"/>
      <c r="C1038" s="128"/>
      <c r="D1038" s="128"/>
      <c r="E1038" s="128"/>
      <c r="F1038" s="128"/>
    </row>
    <row r="1039" spans="1:6" ht="30.95" hidden="1" customHeight="1">
      <c r="A1039" s="622" t="s">
        <v>249</v>
      </c>
      <c r="B1039" s="623"/>
      <c r="C1039" s="623"/>
      <c r="D1039" s="198" t="str">
        <f>표지!$O$3&amp;" "&amp;표지!$O$4</f>
        <v>20○○회합100○○○ 회생</v>
      </c>
      <c r="E1039" s="160" t="s">
        <v>261</v>
      </c>
      <c r="F1039" s="199" t="str">
        <f>표지!$O$5</f>
        <v>○○○○ 주식회사</v>
      </c>
    </row>
    <row r="1040" spans="1:6" ht="30.95" hidden="1" customHeight="1">
      <c r="A1040" s="624" t="s">
        <v>125</v>
      </c>
      <c r="B1040" s="423"/>
      <c r="C1040" s="423"/>
      <c r="D1040" s="276">
        <v>116</v>
      </c>
      <c r="E1040" s="170" t="s">
        <v>190</v>
      </c>
      <c r="F1040" s="111"/>
    </row>
    <row r="1041" spans="1:6" ht="30.95" hidden="1" customHeight="1">
      <c r="A1041" s="625" t="s">
        <v>183</v>
      </c>
      <c r="B1041" s="419" t="s">
        <v>118</v>
      </c>
      <c r="C1041" s="420"/>
      <c r="D1041" s="419" t="e">
        <f>VLOOKUP(D1040,주주총괄!$A$5:$J$8,4,0)</f>
        <v>#N/A</v>
      </c>
      <c r="E1041" s="420"/>
      <c r="F1041" s="626"/>
    </row>
    <row r="1042" spans="1:6" ht="30.95" hidden="1" customHeight="1">
      <c r="A1042" s="625"/>
      <c r="B1042" s="419" t="s">
        <v>250</v>
      </c>
      <c r="C1042" s="420"/>
      <c r="D1042" s="564" t="e">
        <f>VLOOKUP(D1040,주주총괄!$A$5:$J$8,5,0)</f>
        <v>#N/A</v>
      </c>
      <c r="E1042" s="565"/>
      <c r="F1042" s="627"/>
    </row>
    <row r="1043" spans="1:6" ht="30.95" hidden="1" customHeight="1">
      <c r="A1043" s="625"/>
      <c r="B1043" s="419" t="s">
        <v>23</v>
      </c>
      <c r="C1043" s="420"/>
      <c r="D1043" s="25"/>
      <c r="E1043" s="62" t="s">
        <v>151</v>
      </c>
      <c r="F1043" s="161"/>
    </row>
    <row r="1044" spans="1:6" ht="30.95" hidden="1" customHeight="1">
      <c r="A1044" s="210" t="s">
        <v>59</v>
      </c>
      <c r="B1044" s="205" t="e">
        <f>VLOOKUP(D1040,주주총괄!$A$5:$J$8,6,0)</f>
        <v>#N/A</v>
      </c>
      <c r="C1044" s="274" t="e">
        <f>VLOOKUP(D1040,주주총괄!$A$5:$J$8,7,0)</f>
        <v>#N/A</v>
      </c>
      <c r="D1044" s="275" t="e">
        <f>VLOOKUP(D1040,주주총괄!$A$5:$J$8,8,0)</f>
        <v>#N/A</v>
      </c>
      <c r="E1044" s="620" t="str">
        <f>"(액면가액: "&amp;TEXT(주주총괄!$L$4,"###,###원)")</f>
        <v>(액면가액: 100원)</v>
      </c>
      <c r="F1044" s="621"/>
    </row>
    <row r="1045" spans="1:6" ht="30.95" hidden="1" customHeight="1">
      <c r="A1045" s="211" t="s">
        <v>19</v>
      </c>
      <c r="B1045" s="618"/>
      <c r="C1045" s="618"/>
      <c r="D1045" s="618"/>
      <c r="E1045" s="618"/>
      <c r="F1045" s="619"/>
    </row>
    <row r="1046" spans="1:6" ht="30.95" hidden="1" customHeight="1">
      <c r="A1046" s="612" t="s">
        <v>41</v>
      </c>
      <c r="B1046" s="612"/>
      <c r="C1046" s="612"/>
      <c r="D1046" s="612"/>
      <c r="E1046" s="612"/>
      <c r="F1046" s="612"/>
    </row>
    <row r="1047" spans="1:6" ht="30.95" hidden="1" customHeight="1">
      <c r="A1047" s="128"/>
      <c r="B1047" s="128"/>
      <c r="C1047" s="128"/>
      <c r="D1047" s="128"/>
      <c r="E1047" s="128"/>
      <c r="F1047" s="128"/>
    </row>
    <row r="1048" spans="1:6" ht="30.95" hidden="1" customHeight="1">
      <c r="A1048" s="622" t="s">
        <v>249</v>
      </c>
      <c r="B1048" s="623"/>
      <c r="C1048" s="623"/>
      <c r="D1048" s="198" t="str">
        <f>표지!$O$3&amp;" "&amp;표지!$O$4</f>
        <v>20○○회합100○○○ 회생</v>
      </c>
      <c r="E1048" s="160" t="s">
        <v>261</v>
      </c>
      <c r="F1048" s="199" t="str">
        <f>표지!$O$5</f>
        <v>○○○○ 주식회사</v>
      </c>
    </row>
    <row r="1049" spans="1:6" ht="30.95" hidden="1" customHeight="1">
      <c r="A1049" s="624" t="s">
        <v>125</v>
      </c>
      <c r="B1049" s="423"/>
      <c r="C1049" s="423"/>
      <c r="D1049" s="276">
        <v>117</v>
      </c>
      <c r="E1049" s="170" t="s">
        <v>190</v>
      </c>
      <c r="F1049" s="111"/>
    </row>
    <row r="1050" spans="1:6" ht="30.95" hidden="1" customHeight="1">
      <c r="A1050" s="625" t="s">
        <v>183</v>
      </c>
      <c r="B1050" s="419" t="s">
        <v>118</v>
      </c>
      <c r="C1050" s="420"/>
      <c r="D1050" s="419" t="e">
        <f>VLOOKUP(D1049,주주총괄!$A$5:$J$8,4,0)</f>
        <v>#N/A</v>
      </c>
      <c r="E1050" s="420"/>
      <c r="F1050" s="626"/>
    </row>
    <row r="1051" spans="1:6" ht="30.95" hidden="1" customHeight="1">
      <c r="A1051" s="625"/>
      <c r="B1051" s="419" t="s">
        <v>250</v>
      </c>
      <c r="C1051" s="420"/>
      <c r="D1051" s="564" t="e">
        <f>VLOOKUP(D1049,주주총괄!$A$5:$J$8,5,0)</f>
        <v>#N/A</v>
      </c>
      <c r="E1051" s="565"/>
      <c r="F1051" s="627"/>
    </row>
    <row r="1052" spans="1:6" ht="30.95" hidden="1" customHeight="1">
      <c r="A1052" s="625"/>
      <c r="B1052" s="419" t="s">
        <v>23</v>
      </c>
      <c r="C1052" s="420"/>
      <c r="D1052" s="25"/>
      <c r="E1052" s="62" t="s">
        <v>151</v>
      </c>
      <c r="F1052" s="161"/>
    </row>
    <row r="1053" spans="1:6" ht="30.95" hidden="1" customHeight="1">
      <c r="A1053" s="210" t="s">
        <v>59</v>
      </c>
      <c r="B1053" s="205" t="e">
        <f>VLOOKUP(D1049,주주총괄!$A$5:$J$8,6,0)</f>
        <v>#N/A</v>
      </c>
      <c r="C1053" s="274" t="e">
        <f>VLOOKUP(D1049,주주총괄!$A$5:$J$8,7,0)</f>
        <v>#N/A</v>
      </c>
      <c r="D1053" s="275" t="e">
        <f>VLOOKUP(D1049,주주총괄!$A$5:$J$8,8,0)</f>
        <v>#N/A</v>
      </c>
      <c r="E1053" s="620" t="str">
        <f>"(액면가액: "&amp;TEXT(주주총괄!$L$4,"###,###원)")</f>
        <v>(액면가액: 100원)</v>
      </c>
      <c r="F1053" s="621"/>
    </row>
    <row r="1054" spans="1:6" ht="30.95" hidden="1" customHeight="1">
      <c r="A1054" s="211" t="s">
        <v>19</v>
      </c>
      <c r="B1054" s="618"/>
      <c r="C1054" s="618"/>
      <c r="D1054" s="618"/>
      <c r="E1054" s="618"/>
      <c r="F1054" s="619"/>
    </row>
    <row r="1055" spans="1:6" ht="30.95" hidden="1" customHeight="1">
      <c r="A1055" s="612" t="s">
        <v>41</v>
      </c>
      <c r="B1055" s="612"/>
      <c r="C1055" s="612"/>
      <c r="D1055" s="612"/>
      <c r="E1055" s="612"/>
      <c r="F1055" s="612"/>
    </row>
    <row r="1056" spans="1:6" ht="30.95" hidden="1" customHeight="1">
      <c r="A1056" s="128"/>
      <c r="B1056" s="128"/>
      <c r="C1056" s="128"/>
      <c r="D1056" s="128"/>
      <c r="E1056" s="128"/>
      <c r="F1056" s="128"/>
    </row>
    <row r="1057" spans="1:6" ht="30.95" hidden="1" customHeight="1">
      <c r="A1057" s="622" t="s">
        <v>249</v>
      </c>
      <c r="B1057" s="623"/>
      <c r="C1057" s="623"/>
      <c r="D1057" s="198" t="str">
        <f>표지!$O$3&amp;" "&amp;표지!$O$4</f>
        <v>20○○회합100○○○ 회생</v>
      </c>
      <c r="E1057" s="160" t="s">
        <v>261</v>
      </c>
      <c r="F1057" s="199" t="str">
        <f>표지!$O$5</f>
        <v>○○○○ 주식회사</v>
      </c>
    </row>
    <row r="1058" spans="1:6" ht="30.95" hidden="1" customHeight="1">
      <c r="A1058" s="624" t="s">
        <v>125</v>
      </c>
      <c r="B1058" s="423"/>
      <c r="C1058" s="423"/>
      <c r="D1058" s="276">
        <v>118</v>
      </c>
      <c r="E1058" s="170" t="s">
        <v>190</v>
      </c>
      <c r="F1058" s="111"/>
    </row>
    <row r="1059" spans="1:6" ht="30.95" hidden="1" customHeight="1">
      <c r="A1059" s="625" t="s">
        <v>183</v>
      </c>
      <c r="B1059" s="419" t="s">
        <v>118</v>
      </c>
      <c r="C1059" s="420"/>
      <c r="D1059" s="419" t="e">
        <f>VLOOKUP(D1058,주주총괄!$A$5:$J$8,4,0)</f>
        <v>#N/A</v>
      </c>
      <c r="E1059" s="420"/>
      <c r="F1059" s="626"/>
    </row>
    <row r="1060" spans="1:6" ht="30.95" hidden="1" customHeight="1">
      <c r="A1060" s="625"/>
      <c r="B1060" s="419" t="s">
        <v>250</v>
      </c>
      <c r="C1060" s="420"/>
      <c r="D1060" s="564" t="e">
        <f>VLOOKUP(D1058,주주총괄!$A$5:$J$8,5,0)</f>
        <v>#N/A</v>
      </c>
      <c r="E1060" s="565"/>
      <c r="F1060" s="627"/>
    </row>
    <row r="1061" spans="1:6" ht="30.95" hidden="1" customHeight="1">
      <c r="A1061" s="625"/>
      <c r="B1061" s="419" t="s">
        <v>23</v>
      </c>
      <c r="C1061" s="420"/>
      <c r="D1061" s="25"/>
      <c r="E1061" s="62" t="s">
        <v>151</v>
      </c>
      <c r="F1061" s="161"/>
    </row>
    <row r="1062" spans="1:6" ht="30.95" hidden="1" customHeight="1">
      <c r="A1062" s="210" t="s">
        <v>59</v>
      </c>
      <c r="B1062" s="205" t="e">
        <f>VLOOKUP(D1058,주주총괄!$A$5:$J$8,6,0)</f>
        <v>#N/A</v>
      </c>
      <c r="C1062" s="274" t="e">
        <f>VLOOKUP(D1058,주주총괄!$A$5:$J$8,7,0)</f>
        <v>#N/A</v>
      </c>
      <c r="D1062" s="275" t="e">
        <f>VLOOKUP(D1058,주주총괄!$A$5:$J$8,8,0)</f>
        <v>#N/A</v>
      </c>
      <c r="E1062" s="620" t="str">
        <f>"(액면가액: "&amp;TEXT(주주총괄!$L$4,"###,###원)")</f>
        <v>(액면가액: 100원)</v>
      </c>
      <c r="F1062" s="621"/>
    </row>
    <row r="1063" spans="1:6" ht="30.95" hidden="1" customHeight="1">
      <c r="A1063" s="211" t="s">
        <v>19</v>
      </c>
      <c r="B1063" s="618"/>
      <c r="C1063" s="618"/>
      <c r="D1063" s="618"/>
      <c r="E1063" s="618"/>
      <c r="F1063" s="619"/>
    </row>
    <row r="1064" spans="1:6" ht="30.95" hidden="1" customHeight="1">
      <c r="A1064" s="612" t="s">
        <v>41</v>
      </c>
      <c r="B1064" s="612"/>
      <c r="C1064" s="612"/>
      <c r="D1064" s="612"/>
      <c r="E1064" s="612"/>
      <c r="F1064" s="612"/>
    </row>
    <row r="1065" spans="1:6" ht="30.95" hidden="1" customHeight="1">
      <c r="A1065" s="128"/>
      <c r="B1065" s="128"/>
      <c r="C1065" s="128"/>
      <c r="D1065" s="128"/>
      <c r="E1065" s="128"/>
      <c r="F1065" s="128"/>
    </row>
    <row r="1066" spans="1:6" ht="30.95" hidden="1" customHeight="1">
      <c r="A1066" s="622" t="s">
        <v>249</v>
      </c>
      <c r="B1066" s="623"/>
      <c r="C1066" s="623"/>
      <c r="D1066" s="198" t="str">
        <f>표지!$O$3&amp;" "&amp;표지!$O$4</f>
        <v>20○○회합100○○○ 회생</v>
      </c>
      <c r="E1066" s="160" t="s">
        <v>261</v>
      </c>
      <c r="F1066" s="199" t="str">
        <f>표지!$O$5</f>
        <v>○○○○ 주식회사</v>
      </c>
    </row>
    <row r="1067" spans="1:6" ht="30.95" hidden="1" customHeight="1">
      <c r="A1067" s="624" t="s">
        <v>125</v>
      </c>
      <c r="B1067" s="423"/>
      <c r="C1067" s="423"/>
      <c r="D1067" s="276">
        <v>119</v>
      </c>
      <c r="E1067" s="170" t="s">
        <v>190</v>
      </c>
      <c r="F1067" s="111"/>
    </row>
    <row r="1068" spans="1:6" ht="30.95" hidden="1" customHeight="1">
      <c r="A1068" s="625" t="s">
        <v>183</v>
      </c>
      <c r="B1068" s="419" t="s">
        <v>118</v>
      </c>
      <c r="C1068" s="420"/>
      <c r="D1068" s="419" t="e">
        <f>VLOOKUP(D1067,주주총괄!$A$5:$J$8,4,0)</f>
        <v>#N/A</v>
      </c>
      <c r="E1068" s="420"/>
      <c r="F1068" s="626"/>
    </row>
    <row r="1069" spans="1:6" ht="30.95" hidden="1" customHeight="1">
      <c r="A1069" s="625"/>
      <c r="B1069" s="419" t="s">
        <v>250</v>
      </c>
      <c r="C1069" s="420"/>
      <c r="D1069" s="564" t="e">
        <f>VLOOKUP(D1067,주주총괄!$A$5:$J$8,5,0)</f>
        <v>#N/A</v>
      </c>
      <c r="E1069" s="565"/>
      <c r="F1069" s="627"/>
    </row>
    <row r="1070" spans="1:6" ht="30.95" hidden="1" customHeight="1">
      <c r="A1070" s="625"/>
      <c r="B1070" s="419" t="s">
        <v>23</v>
      </c>
      <c r="C1070" s="420"/>
      <c r="D1070" s="25"/>
      <c r="E1070" s="62" t="s">
        <v>151</v>
      </c>
      <c r="F1070" s="161"/>
    </row>
    <row r="1071" spans="1:6" ht="30.95" hidden="1" customHeight="1">
      <c r="A1071" s="210" t="s">
        <v>59</v>
      </c>
      <c r="B1071" s="205" t="e">
        <f>VLOOKUP(D1067,주주총괄!$A$5:$J$8,6,0)</f>
        <v>#N/A</v>
      </c>
      <c r="C1071" s="274" t="e">
        <f>VLOOKUP(D1067,주주총괄!$A$5:$J$8,7,0)</f>
        <v>#N/A</v>
      </c>
      <c r="D1071" s="275" t="e">
        <f>VLOOKUP(D1067,주주총괄!$A$5:$J$8,8,0)</f>
        <v>#N/A</v>
      </c>
      <c r="E1071" s="620" t="str">
        <f>"(액면가액: "&amp;TEXT(주주총괄!$L$4,"###,###원)")</f>
        <v>(액면가액: 100원)</v>
      </c>
      <c r="F1071" s="621"/>
    </row>
    <row r="1072" spans="1:6" ht="30.95" hidden="1" customHeight="1">
      <c r="A1072" s="211" t="s">
        <v>19</v>
      </c>
      <c r="B1072" s="618"/>
      <c r="C1072" s="618"/>
      <c r="D1072" s="618"/>
      <c r="E1072" s="618"/>
      <c r="F1072" s="619"/>
    </row>
    <row r="1073" spans="1:6" ht="30.95" hidden="1" customHeight="1">
      <c r="A1073" s="612" t="s">
        <v>41</v>
      </c>
      <c r="B1073" s="612"/>
      <c r="C1073" s="612"/>
      <c r="D1073" s="612"/>
      <c r="E1073" s="612"/>
      <c r="F1073" s="612"/>
    </row>
    <row r="1074" spans="1:6" ht="30.95" hidden="1" customHeight="1">
      <c r="A1074" s="128"/>
      <c r="B1074" s="128"/>
      <c r="C1074" s="128"/>
      <c r="D1074" s="128"/>
      <c r="E1074" s="128"/>
      <c r="F1074" s="128"/>
    </row>
    <row r="1075" spans="1:6" ht="30.95" hidden="1" customHeight="1">
      <c r="A1075" s="622" t="s">
        <v>249</v>
      </c>
      <c r="B1075" s="623"/>
      <c r="C1075" s="623"/>
      <c r="D1075" s="198" t="str">
        <f>표지!$O$3&amp;" "&amp;표지!$O$4</f>
        <v>20○○회합100○○○ 회생</v>
      </c>
      <c r="E1075" s="160" t="s">
        <v>261</v>
      </c>
      <c r="F1075" s="199" t="str">
        <f>표지!$O$5</f>
        <v>○○○○ 주식회사</v>
      </c>
    </row>
    <row r="1076" spans="1:6" ht="30.95" hidden="1" customHeight="1">
      <c r="A1076" s="624" t="s">
        <v>125</v>
      </c>
      <c r="B1076" s="423"/>
      <c r="C1076" s="423"/>
      <c r="D1076" s="276">
        <v>120</v>
      </c>
      <c r="E1076" s="170" t="s">
        <v>190</v>
      </c>
      <c r="F1076" s="111"/>
    </row>
    <row r="1077" spans="1:6" ht="30.95" hidden="1" customHeight="1">
      <c r="A1077" s="625" t="s">
        <v>183</v>
      </c>
      <c r="B1077" s="419" t="s">
        <v>118</v>
      </c>
      <c r="C1077" s="420"/>
      <c r="D1077" s="419" t="e">
        <f>VLOOKUP(D1076,주주총괄!$A$5:$J$8,4,0)</f>
        <v>#N/A</v>
      </c>
      <c r="E1077" s="420"/>
      <c r="F1077" s="626"/>
    </row>
    <row r="1078" spans="1:6" ht="30.95" hidden="1" customHeight="1">
      <c r="A1078" s="625"/>
      <c r="B1078" s="419" t="s">
        <v>250</v>
      </c>
      <c r="C1078" s="420"/>
      <c r="D1078" s="564" t="e">
        <f>VLOOKUP(D1076,주주총괄!$A$5:$J$8,5,0)</f>
        <v>#N/A</v>
      </c>
      <c r="E1078" s="565"/>
      <c r="F1078" s="627"/>
    </row>
    <row r="1079" spans="1:6" ht="30.95" hidden="1" customHeight="1">
      <c r="A1079" s="625"/>
      <c r="B1079" s="419" t="s">
        <v>23</v>
      </c>
      <c r="C1079" s="420"/>
      <c r="D1079" s="25"/>
      <c r="E1079" s="62" t="s">
        <v>151</v>
      </c>
      <c r="F1079" s="161"/>
    </row>
    <row r="1080" spans="1:6" ht="30.95" hidden="1" customHeight="1">
      <c r="A1080" s="210" t="s">
        <v>59</v>
      </c>
      <c r="B1080" s="205" t="e">
        <f>VLOOKUP(D1076,주주총괄!$A$5:$J$8,6,0)</f>
        <v>#N/A</v>
      </c>
      <c r="C1080" s="274" t="e">
        <f>VLOOKUP(D1076,주주총괄!$A$5:$J$8,7,0)</f>
        <v>#N/A</v>
      </c>
      <c r="D1080" s="275" t="e">
        <f>VLOOKUP(D1076,주주총괄!$A$5:$J$8,8,0)</f>
        <v>#N/A</v>
      </c>
      <c r="E1080" s="620" t="str">
        <f>"(액면가액: "&amp;TEXT(주주총괄!$L$4,"###,###원)")</f>
        <v>(액면가액: 100원)</v>
      </c>
      <c r="F1080" s="621"/>
    </row>
    <row r="1081" spans="1:6" ht="30.95" hidden="1" customHeight="1">
      <c r="A1081" s="211" t="s">
        <v>19</v>
      </c>
      <c r="B1081" s="618"/>
      <c r="C1081" s="618"/>
      <c r="D1081" s="618"/>
      <c r="E1081" s="618"/>
      <c r="F1081" s="619"/>
    </row>
    <row r="1082" spans="1:6" ht="30.95" hidden="1" customHeight="1">
      <c r="A1082" s="612" t="s">
        <v>41</v>
      </c>
      <c r="B1082" s="612"/>
      <c r="C1082" s="612"/>
      <c r="D1082" s="612"/>
      <c r="E1082" s="612"/>
      <c r="F1082" s="612"/>
    </row>
    <row r="1083" spans="1:6" ht="30.95" hidden="1" customHeight="1">
      <c r="A1083" s="128"/>
      <c r="B1083" s="128"/>
      <c r="C1083" s="128"/>
      <c r="D1083" s="128"/>
      <c r="E1083" s="128"/>
      <c r="F1083" s="128"/>
    </row>
    <row r="1084" spans="1:6" ht="30.95" hidden="1" customHeight="1">
      <c r="A1084" s="622" t="s">
        <v>249</v>
      </c>
      <c r="B1084" s="623"/>
      <c r="C1084" s="623"/>
      <c r="D1084" s="198" t="str">
        <f>표지!$O$3&amp;" "&amp;표지!$O$4</f>
        <v>20○○회합100○○○ 회생</v>
      </c>
      <c r="E1084" s="160" t="s">
        <v>261</v>
      </c>
      <c r="F1084" s="199" t="str">
        <f>표지!$O$5</f>
        <v>○○○○ 주식회사</v>
      </c>
    </row>
    <row r="1085" spans="1:6" ht="30.95" hidden="1" customHeight="1">
      <c r="A1085" s="624" t="s">
        <v>125</v>
      </c>
      <c r="B1085" s="423"/>
      <c r="C1085" s="423"/>
      <c r="D1085" s="276">
        <v>121</v>
      </c>
      <c r="E1085" s="170" t="s">
        <v>190</v>
      </c>
      <c r="F1085" s="111"/>
    </row>
    <row r="1086" spans="1:6" ht="30.95" hidden="1" customHeight="1">
      <c r="A1086" s="625" t="s">
        <v>183</v>
      </c>
      <c r="B1086" s="419" t="s">
        <v>118</v>
      </c>
      <c r="C1086" s="420"/>
      <c r="D1086" s="419" t="e">
        <f>VLOOKUP(D1085,주주총괄!$A$5:$J$8,4,0)</f>
        <v>#N/A</v>
      </c>
      <c r="E1086" s="420"/>
      <c r="F1086" s="626"/>
    </row>
    <row r="1087" spans="1:6" ht="30.95" hidden="1" customHeight="1">
      <c r="A1087" s="625"/>
      <c r="B1087" s="419" t="s">
        <v>250</v>
      </c>
      <c r="C1087" s="420"/>
      <c r="D1087" s="564" t="e">
        <f>VLOOKUP(D1085,주주총괄!$A$5:$J$8,5,0)</f>
        <v>#N/A</v>
      </c>
      <c r="E1087" s="565"/>
      <c r="F1087" s="627"/>
    </row>
    <row r="1088" spans="1:6" ht="30.95" hidden="1" customHeight="1">
      <c r="A1088" s="625"/>
      <c r="B1088" s="419" t="s">
        <v>23</v>
      </c>
      <c r="C1088" s="420"/>
      <c r="D1088" s="25"/>
      <c r="E1088" s="62" t="s">
        <v>151</v>
      </c>
      <c r="F1088" s="161"/>
    </row>
    <row r="1089" spans="1:6" ht="30.95" hidden="1" customHeight="1">
      <c r="A1089" s="210" t="s">
        <v>59</v>
      </c>
      <c r="B1089" s="205" t="e">
        <f>VLOOKUP(D1085,주주총괄!$A$5:$J$8,6,0)</f>
        <v>#N/A</v>
      </c>
      <c r="C1089" s="274" t="e">
        <f>VLOOKUP(D1085,주주총괄!$A$5:$J$8,7,0)</f>
        <v>#N/A</v>
      </c>
      <c r="D1089" s="275" t="e">
        <f>VLOOKUP(D1085,주주총괄!$A$5:$J$8,8,0)</f>
        <v>#N/A</v>
      </c>
      <c r="E1089" s="620" t="str">
        <f>"(액면가액: "&amp;TEXT(주주총괄!$L$4,"###,###원)")</f>
        <v>(액면가액: 100원)</v>
      </c>
      <c r="F1089" s="621"/>
    </row>
    <row r="1090" spans="1:6" ht="30.95" hidden="1" customHeight="1">
      <c r="A1090" s="211" t="s">
        <v>19</v>
      </c>
      <c r="B1090" s="618"/>
      <c r="C1090" s="618"/>
      <c r="D1090" s="618"/>
      <c r="E1090" s="618"/>
      <c r="F1090" s="619"/>
    </row>
    <row r="1091" spans="1:6" ht="30.95" hidden="1" customHeight="1">
      <c r="A1091" s="612" t="s">
        <v>41</v>
      </c>
      <c r="B1091" s="612"/>
      <c r="C1091" s="612"/>
      <c r="D1091" s="612"/>
      <c r="E1091" s="612"/>
      <c r="F1091" s="612"/>
    </row>
    <row r="1092" spans="1:6" ht="30.95" hidden="1" customHeight="1">
      <c r="A1092" s="128"/>
      <c r="B1092" s="128"/>
      <c r="C1092" s="128"/>
      <c r="D1092" s="128"/>
      <c r="E1092" s="128"/>
      <c r="F1092" s="128"/>
    </row>
    <row r="1093" spans="1:6" ht="30.95" hidden="1" customHeight="1">
      <c r="A1093" s="622" t="s">
        <v>249</v>
      </c>
      <c r="B1093" s="623"/>
      <c r="C1093" s="623"/>
      <c r="D1093" s="198" t="str">
        <f>표지!$O$3&amp;" "&amp;표지!$O$4</f>
        <v>20○○회합100○○○ 회생</v>
      </c>
      <c r="E1093" s="160" t="s">
        <v>261</v>
      </c>
      <c r="F1093" s="199" t="str">
        <f>표지!$O$5</f>
        <v>○○○○ 주식회사</v>
      </c>
    </row>
    <row r="1094" spans="1:6" ht="30.95" hidden="1" customHeight="1">
      <c r="A1094" s="624" t="s">
        <v>125</v>
      </c>
      <c r="B1094" s="423"/>
      <c r="C1094" s="423"/>
      <c r="D1094" s="276">
        <v>122</v>
      </c>
      <c r="E1094" s="170" t="s">
        <v>190</v>
      </c>
      <c r="F1094" s="111"/>
    </row>
    <row r="1095" spans="1:6" ht="30.95" hidden="1" customHeight="1">
      <c r="A1095" s="625" t="s">
        <v>183</v>
      </c>
      <c r="B1095" s="419" t="s">
        <v>118</v>
      </c>
      <c r="C1095" s="420"/>
      <c r="D1095" s="419" t="e">
        <f>VLOOKUP(D1094,주주총괄!$A$5:$J$8,4,0)</f>
        <v>#N/A</v>
      </c>
      <c r="E1095" s="420"/>
      <c r="F1095" s="626"/>
    </row>
    <row r="1096" spans="1:6" ht="30.95" hidden="1" customHeight="1">
      <c r="A1096" s="625"/>
      <c r="B1096" s="419" t="s">
        <v>250</v>
      </c>
      <c r="C1096" s="420"/>
      <c r="D1096" s="564" t="e">
        <f>VLOOKUP(D1094,주주총괄!$A$5:$J$8,5,0)</f>
        <v>#N/A</v>
      </c>
      <c r="E1096" s="565"/>
      <c r="F1096" s="627"/>
    </row>
    <row r="1097" spans="1:6" ht="30.95" hidden="1" customHeight="1">
      <c r="A1097" s="625"/>
      <c r="B1097" s="419" t="s">
        <v>23</v>
      </c>
      <c r="C1097" s="420"/>
      <c r="D1097" s="25"/>
      <c r="E1097" s="62" t="s">
        <v>151</v>
      </c>
      <c r="F1097" s="161"/>
    </row>
    <row r="1098" spans="1:6" ht="30.95" hidden="1" customHeight="1">
      <c r="A1098" s="210" t="s">
        <v>59</v>
      </c>
      <c r="B1098" s="205" t="e">
        <f>VLOOKUP(D1094,주주총괄!$A$5:$J$8,6,0)</f>
        <v>#N/A</v>
      </c>
      <c r="C1098" s="274" t="e">
        <f>VLOOKUP(D1094,주주총괄!$A$5:$J$8,7,0)</f>
        <v>#N/A</v>
      </c>
      <c r="D1098" s="275" t="e">
        <f>VLOOKUP(D1094,주주총괄!$A$5:$J$8,8,0)</f>
        <v>#N/A</v>
      </c>
      <c r="E1098" s="620" t="str">
        <f>"(액면가액: "&amp;TEXT(주주총괄!$L$4,"###,###원)")</f>
        <v>(액면가액: 100원)</v>
      </c>
      <c r="F1098" s="621"/>
    </row>
    <row r="1099" spans="1:6" ht="30.95" hidden="1" customHeight="1">
      <c r="A1099" s="211" t="s">
        <v>19</v>
      </c>
      <c r="B1099" s="618"/>
      <c r="C1099" s="618"/>
      <c r="D1099" s="618"/>
      <c r="E1099" s="618"/>
      <c r="F1099" s="619"/>
    </row>
    <row r="1100" spans="1:6" ht="30.95" hidden="1" customHeight="1">
      <c r="A1100" s="612" t="s">
        <v>41</v>
      </c>
      <c r="B1100" s="612"/>
      <c r="C1100" s="612"/>
      <c r="D1100" s="612"/>
      <c r="E1100" s="612"/>
      <c r="F1100" s="612"/>
    </row>
    <row r="1101" spans="1:6" ht="30.95" hidden="1" customHeight="1">
      <c r="A1101" s="128"/>
      <c r="B1101" s="128"/>
      <c r="C1101" s="128"/>
      <c r="D1101" s="128"/>
      <c r="E1101" s="128"/>
      <c r="F1101" s="128"/>
    </row>
    <row r="1102" spans="1:6" ht="30.95" hidden="1" customHeight="1">
      <c r="A1102" s="622" t="s">
        <v>249</v>
      </c>
      <c r="B1102" s="623"/>
      <c r="C1102" s="623"/>
      <c r="D1102" s="198" t="str">
        <f>표지!$O$3&amp;" "&amp;표지!$O$4</f>
        <v>20○○회합100○○○ 회생</v>
      </c>
      <c r="E1102" s="160" t="s">
        <v>261</v>
      </c>
      <c r="F1102" s="199" t="str">
        <f>표지!$O$5</f>
        <v>○○○○ 주식회사</v>
      </c>
    </row>
    <row r="1103" spans="1:6" ht="30.95" hidden="1" customHeight="1">
      <c r="A1103" s="624" t="s">
        <v>125</v>
      </c>
      <c r="B1103" s="423"/>
      <c r="C1103" s="423"/>
      <c r="D1103" s="276">
        <v>123</v>
      </c>
      <c r="E1103" s="170" t="s">
        <v>190</v>
      </c>
      <c r="F1103" s="111"/>
    </row>
    <row r="1104" spans="1:6" ht="30.95" hidden="1" customHeight="1">
      <c r="A1104" s="625" t="s">
        <v>183</v>
      </c>
      <c r="B1104" s="419" t="s">
        <v>118</v>
      </c>
      <c r="C1104" s="420"/>
      <c r="D1104" s="419" t="e">
        <f>VLOOKUP(D1103,주주총괄!$A$5:$J$8,4,0)</f>
        <v>#N/A</v>
      </c>
      <c r="E1104" s="420"/>
      <c r="F1104" s="626"/>
    </row>
    <row r="1105" spans="1:6" ht="30.95" hidden="1" customHeight="1">
      <c r="A1105" s="625"/>
      <c r="B1105" s="419" t="s">
        <v>250</v>
      </c>
      <c r="C1105" s="420"/>
      <c r="D1105" s="564" t="e">
        <f>VLOOKUP(D1103,주주총괄!$A$5:$J$8,5,0)</f>
        <v>#N/A</v>
      </c>
      <c r="E1105" s="565"/>
      <c r="F1105" s="627"/>
    </row>
    <row r="1106" spans="1:6" ht="30.95" hidden="1" customHeight="1">
      <c r="A1106" s="625"/>
      <c r="B1106" s="419" t="s">
        <v>23</v>
      </c>
      <c r="C1106" s="420"/>
      <c r="D1106" s="25"/>
      <c r="E1106" s="62" t="s">
        <v>151</v>
      </c>
      <c r="F1106" s="161"/>
    </row>
    <row r="1107" spans="1:6" ht="30.95" hidden="1" customHeight="1">
      <c r="A1107" s="210" t="s">
        <v>59</v>
      </c>
      <c r="B1107" s="205" t="e">
        <f>VLOOKUP(D1103,주주총괄!$A$5:$J$8,6,0)</f>
        <v>#N/A</v>
      </c>
      <c r="C1107" s="274" t="e">
        <f>VLOOKUP(D1103,주주총괄!$A$5:$J$8,7,0)</f>
        <v>#N/A</v>
      </c>
      <c r="D1107" s="275" t="e">
        <f>VLOOKUP(D1103,주주총괄!$A$5:$J$8,8,0)</f>
        <v>#N/A</v>
      </c>
      <c r="E1107" s="620" t="str">
        <f>"(액면가액: "&amp;TEXT(주주총괄!$L$4,"###,###원)")</f>
        <v>(액면가액: 100원)</v>
      </c>
      <c r="F1107" s="621"/>
    </row>
    <row r="1108" spans="1:6" ht="30.95" hidden="1" customHeight="1">
      <c r="A1108" s="211" t="s">
        <v>19</v>
      </c>
      <c r="B1108" s="618"/>
      <c r="C1108" s="618"/>
      <c r="D1108" s="618"/>
      <c r="E1108" s="618"/>
      <c r="F1108" s="619"/>
    </row>
    <row r="1109" spans="1:6" ht="30.95" hidden="1" customHeight="1">
      <c r="A1109" s="612" t="s">
        <v>41</v>
      </c>
      <c r="B1109" s="612"/>
      <c r="C1109" s="612"/>
      <c r="D1109" s="612"/>
      <c r="E1109" s="612"/>
      <c r="F1109" s="612"/>
    </row>
    <row r="1110" spans="1:6" ht="30.95" hidden="1" customHeight="1">
      <c r="A1110" s="128"/>
      <c r="B1110" s="128"/>
      <c r="C1110" s="128"/>
      <c r="D1110" s="128"/>
      <c r="E1110" s="128"/>
      <c r="F1110" s="128"/>
    </row>
    <row r="1111" spans="1:6" ht="30.95" hidden="1" customHeight="1">
      <c r="A1111" s="622" t="s">
        <v>249</v>
      </c>
      <c r="B1111" s="623"/>
      <c r="C1111" s="623"/>
      <c r="D1111" s="198" t="str">
        <f>표지!$O$3&amp;" "&amp;표지!$O$4</f>
        <v>20○○회합100○○○ 회생</v>
      </c>
      <c r="E1111" s="160" t="s">
        <v>261</v>
      </c>
      <c r="F1111" s="199" t="str">
        <f>표지!$O$5</f>
        <v>○○○○ 주식회사</v>
      </c>
    </row>
    <row r="1112" spans="1:6" ht="30.95" hidden="1" customHeight="1">
      <c r="A1112" s="624" t="s">
        <v>125</v>
      </c>
      <c r="B1112" s="423"/>
      <c r="C1112" s="423"/>
      <c r="D1112" s="276">
        <v>124</v>
      </c>
      <c r="E1112" s="170" t="s">
        <v>190</v>
      </c>
      <c r="F1112" s="111"/>
    </row>
    <row r="1113" spans="1:6" ht="30.95" hidden="1" customHeight="1">
      <c r="A1113" s="625" t="s">
        <v>183</v>
      </c>
      <c r="B1113" s="419" t="s">
        <v>118</v>
      </c>
      <c r="C1113" s="420"/>
      <c r="D1113" s="419" t="e">
        <f>VLOOKUP(D1112,주주총괄!$A$5:$J$8,4,0)</f>
        <v>#N/A</v>
      </c>
      <c r="E1113" s="420"/>
      <c r="F1113" s="626"/>
    </row>
    <row r="1114" spans="1:6" ht="30.95" hidden="1" customHeight="1">
      <c r="A1114" s="625"/>
      <c r="B1114" s="419" t="s">
        <v>250</v>
      </c>
      <c r="C1114" s="420"/>
      <c r="D1114" s="564" t="e">
        <f>VLOOKUP(D1112,주주총괄!$A$5:$J$8,5,0)</f>
        <v>#N/A</v>
      </c>
      <c r="E1114" s="565"/>
      <c r="F1114" s="627"/>
    </row>
    <row r="1115" spans="1:6" ht="30.95" hidden="1" customHeight="1">
      <c r="A1115" s="625"/>
      <c r="B1115" s="419" t="s">
        <v>23</v>
      </c>
      <c r="C1115" s="420"/>
      <c r="D1115" s="25"/>
      <c r="E1115" s="62" t="s">
        <v>151</v>
      </c>
      <c r="F1115" s="161"/>
    </row>
    <row r="1116" spans="1:6" ht="30.95" hidden="1" customHeight="1">
      <c r="A1116" s="210" t="s">
        <v>59</v>
      </c>
      <c r="B1116" s="205" t="e">
        <f>VLOOKUP(D1112,주주총괄!$A$5:$J$8,6,0)</f>
        <v>#N/A</v>
      </c>
      <c r="C1116" s="274" t="e">
        <f>VLOOKUP(D1112,주주총괄!$A$5:$J$8,7,0)</f>
        <v>#N/A</v>
      </c>
      <c r="D1116" s="275" t="e">
        <f>VLOOKUP(D1112,주주총괄!$A$5:$J$8,8,0)</f>
        <v>#N/A</v>
      </c>
      <c r="E1116" s="620" t="str">
        <f>"(액면가액: "&amp;TEXT(주주총괄!$L$4,"###,###원)")</f>
        <v>(액면가액: 100원)</v>
      </c>
      <c r="F1116" s="621"/>
    </row>
    <row r="1117" spans="1:6" ht="30.95" hidden="1" customHeight="1">
      <c r="A1117" s="211" t="s">
        <v>19</v>
      </c>
      <c r="B1117" s="618"/>
      <c r="C1117" s="618"/>
      <c r="D1117" s="618"/>
      <c r="E1117" s="618"/>
      <c r="F1117" s="619"/>
    </row>
    <row r="1118" spans="1:6" ht="30.95" hidden="1" customHeight="1">
      <c r="A1118" s="612" t="s">
        <v>41</v>
      </c>
      <c r="B1118" s="612"/>
      <c r="C1118" s="612"/>
      <c r="D1118" s="612"/>
      <c r="E1118" s="612"/>
      <c r="F1118" s="612"/>
    </row>
    <row r="1119" spans="1:6" ht="30.95" hidden="1" customHeight="1">
      <c r="A1119" s="128"/>
      <c r="B1119" s="128"/>
      <c r="C1119" s="128"/>
      <c r="D1119" s="128"/>
      <c r="E1119" s="128"/>
      <c r="F1119" s="128"/>
    </row>
    <row r="1120" spans="1:6" ht="30.95" hidden="1" customHeight="1">
      <c r="A1120" s="622" t="s">
        <v>249</v>
      </c>
      <c r="B1120" s="623"/>
      <c r="C1120" s="623"/>
      <c r="D1120" s="198" t="str">
        <f>표지!$O$3&amp;" "&amp;표지!$O$4</f>
        <v>20○○회합100○○○ 회생</v>
      </c>
      <c r="E1120" s="160" t="s">
        <v>261</v>
      </c>
      <c r="F1120" s="199" t="str">
        <f>표지!$O$5</f>
        <v>○○○○ 주식회사</v>
      </c>
    </row>
    <row r="1121" spans="1:6" ht="30.95" hidden="1" customHeight="1">
      <c r="A1121" s="624" t="s">
        <v>125</v>
      </c>
      <c r="B1121" s="423"/>
      <c r="C1121" s="423"/>
      <c r="D1121" s="276">
        <v>125</v>
      </c>
      <c r="E1121" s="170" t="s">
        <v>190</v>
      </c>
      <c r="F1121" s="111"/>
    </row>
    <row r="1122" spans="1:6" ht="30.95" hidden="1" customHeight="1">
      <c r="A1122" s="625" t="s">
        <v>183</v>
      </c>
      <c r="B1122" s="419" t="s">
        <v>118</v>
      </c>
      <c r="C1122" s="420"/>
      <c r="D1122" s="419" t="e">
        <f>VLOOKUP(D1121,주주총괄!$A$5:$J$8,4,0)</f>
        <v>#N/A</v>
      </c>
      <c r="E1122" s="420"/>
      <c r="F1122" s="626"/>
    </row>
    <row r="1123" spans="1:6" ht="30.95" hidden="1" customHeight="1">
      <c r="A1123" s="625"/>
      <c r="B1123" s="419" t="s">
        <v>250</v>
      </c>
      <c r="C1123" s="420"/>
      <c r="D1123" s="564" t="e">
        <f>VLOOKUP(D1121,주주총괄!$A$5:$J$8,5,0)</f>
        <v>#N/A</v>
      </c>
      <c r="E1123" s="565"/>
      <c r="F1123" s="627"/>
    </row>
    <row r="1124" spans="1:6" ht="30.95" hidden="1" customHeight="1">
      <c r="A1124" s="625"/>
      <c r="B1124" s="419" t="s">
        <v>23</v>
      </c>
      <c r="C1124" s="420"/>
      <c r="D1124" s="25"/>
      <c r="E1124" s="62" t="s">
        <v>151</v>
      </c>
      <c r="F1124" s="161"/>
    </row>
    <row r="1125" spans="1:6" ht="30.95" hidden="1" customHeight="1">
      <c r="A1125" s="210" t="s">
        <v>59</v>
      </c>
      <c r="B1125" s="205" t="e">
        <f>VLOOKUP(D1121,주주총괄!$A$5:$J$8,6,0)</f>
        <v>#N/A</v>
      </c>
      <c r="C1125" s="274" t="e">
        <f>VLOOKUP(D1121,주주총괄!$A$5:$J$8,7,0)</f>
        <v>#N/A</v>
      </c>
      <c r="D1125" s="275" t="e">
        <f>VLOOKUP(D1121,주주총괄!$A$5:$J$8,8,0)</f>
        <v>#N/A</v>
      </c>
      <c r="E1125" s="620" t="str">
        <f>"(액면가액: "&amp;TEXT(주주총괄!$L$4,"###,###원)")</f>
        <v>(액면가액: 100원)</v>
      </c>
      <c r="F1125" s="621"/>
    </row>
    <row r="1126" spans="1:6" ht="30.95" hidden="1" customHeight="1">
      <c r="A1126" s="211" t="s">
        <v>19</v>
      </c>
      <c r="B1126" s="618"/>
      <c r="C1126" s="618"/>
      <c r="D1126" s="618"/>
      <c r="E1126" s="618"/>
      <c r="F1126" s="619"/>
    </row>
    <row r="1127" spans="1:6" ht="30.95" hidden="1" customHeight="1">
      <c r="A1127" s="612" t="s">
        <v>41</v>
      </c>
      <c r="B1127" s="612"/>
      <c r="C1127" s="612"/>
      <c r="D1127" s="612"/>
      <c r="E1127" s="612"/>
      <c r="F1127" s="612"/>
    </row>
    <row r="1128" spans="1:6" ht="30.95" hidden="1" customHeight="1">
      <c r="A1128" s="128"/>
      <c r="B1128" s="128"/>
      <c r="C1128" s="128"/>
      <c r="D1128" s="128"/>
      <c r="E1128" s="128"/>
      <c r="F1128" s="128"/>
    </row>
    <row r="1129" spans="1:6" ht="30.95" hidden="1" customHeight="1">
      <c r="A1129" s="622" t="s">
        <v>249</v>
      </c>
      <c r="B1129" s="623"/>
      <c r="C1129" s="623"/>
      <c r="D1129" s="198" t="str">
        <f>표지!$O$3&amp;" "&amp;표지!$O$4</f>
        <v>20○○회합100○○○ 회생</v>
      </c>
      <c r="E1129" s="160" t="s">
        <v>261</v>
      </c>
      <c r="F1129" s="199" t="str">
        <f>표지!$O$5</f>
        <v>○○○○ 주식회사</v>
      </c>
    </row>
    <row r="1130" spans="1:6" ht="30.95" hidden="1" customHeight="1">
      <c r="A1130" s="624" t="s">
        <v>125</v>
      </c>
      <c r="B1130" s="423"/>
      <c r="C1130" s="423"/>
      <c r="D1130" s="276">
        <v>126</v>
      </c>
      <c r="E1130" s="170" t="s">
        <v>190</v>
      </c>
      <c r="F1130" s="111"/>
    </row>
    <row r="1131" spans="1:6" ht="30.95" hidden="1" customHeight="1">
      <c r="A1131" s="625" t="s">
        <v>183</v>
      </c>
      <c r="B1131" s="419" t="s">
        <v>118</v>
      </c>
      <c r="C1131" s="420"/>
      <c r="D1131" s="419" t="e">
        <f>VLOOKUP(D1130,주주총괄!$A$5:$J$8,4,0)</f>
        <v>#N/A</v>
      </c>
      <c r="E1131" s="420"/>
      <c r="F1131" s="626"/>
    </row>
    <row r="1132" spans="1:6" ht="30.95" hidden="1" customHeight="1">
      <c r="A1132" s="625"/>
      <c r="B1132" s="419" t="s">
        <v>250</v>
      </c>
      <c r="C1132" s="420"/>
      <c r="D1132" s="564" t="e">
        <f>VLOOKUP(D1130,주주총괄!$A$5:$J$8,5,0)</f>
        <v>#N/A</v>
      </c>
      <c r="E1132" s="565"/>
      <c r="F1132" s="627"/>
    </row>
    <row r="1133" spans="1:6" ht="30.95" hidden="1" customHeight="1">
      <c r="A1133" s="625"/>
      <c r="B1133" s="419" t="s">
        <v>23</v>
      </c>
      <c r="C1133" s="420"/>
      <c r="D1133" s="25"/>
      <c r="E1133" s="62" t="s">
        <v>151</v>
      </c>
      <c r="F1133" s="161"/>
    </row>
    <row r="1134" spans="1:6" ht="30.95" hidden="1" customHeight="1">
      <c r="A1134" s="210" t="s">
        <v>59</v>
      </c>
      <c r="B1134" s="205" t="e">
        <f>VLOOKUP(D1130,주주총괄!$A$5:$J$8,6,0)</f>
        <v>#N/A</v>
      </c>
      <c r="C1134" s="274" t="e">
        <f>VLOOKUP(D1130,주주총괄!$A$5:$J$8,7,0)</f>
        <v>#N/A</v>
      </c>
      <c r="D1134" s="275" t="e">
        <f>VLOOKUP(D1130,주주총괄!$A$5:$J$8,8,0)</f>
        <v>#N/A</v>
      </c>
      <c r="E1134" s="620" t="str">
        <f>"(액면가액: "&amp;TEXT(주주총괄!$L$4,"###,###원)")</f>
        <v>(액면가액: 100원)</v>
      </c>
      <c r="F1134" s="621"/>
    </row>
    <row r="1135" spans="1:6" ht="30.95" hidden="1" customHeight="1">
      <c r="A1135" s="211" t="s">
        <v>19</v>
      </c>
      <c r="B1135" s="618"/>
      <c r="C1135" s="618"/>
      <c r="D1135" s="618"/>
      <c r="E1135" s="618"/>
      <c r="F1135" s="619"/>
    </row>
    <row r="1136" spans="1:6" ht="30.95" hidden="1" customHeight="1">
      <c r="A1136" s="612" t="s">
        <v>41</v>
      </c>
      <c r="B1136" s="612"/>
      <c r="C1136" s="612"/>
      <c r="D1136" s="612"/>
      <c r="E1136" s="612"/>
      <c r="F1136" s="612"/>
    </row>
    <row r="1137" spans="1:6" ht="30.95" hidden="1" customHeight="1">
      <c r="A1137" s="128"/>
      <c r="B1137" s="128"/>
      <c r="C1137" s="128"/>
      <c r="D1137" s="128"/>
      <c r="E1137" s="128"/>
      <c r="F1137" s="128"/>
    </row>
    <row r="1138" spans="1:6" ht="30.95" hidden="1" customHeight="1">
      <c r="A1138" s="622" t="s">
        <v>249</v>
      </c>
      <c r="B1138" s="623"/>
      <c r="C1138" s="623"/>
      <c r="D1138" s="198" t="str">
        <f>표지!$O$3&amp;" "&amp;표지!$O$4</f>
        <v>20○○회합100○○○ 회생</v>
      </c>
      <c r="E1138" s="160" t="s">
        <v>261</v>
      </c>
      <c r="F1138" s="199" t="str">
        <f>표지!$O$5</f>
        <v>○○○○ 주식회사</v>
      </c>
    </row>
    <row r="1139" spans="1:6" ht="30.95" hidden="1" customHeight="1">
      <c r="A1139" s="624" t="s">
        <v>125</v>
      </c>
      <c r="B1139" s="423"/>
      <c r="C1139" s="423"/>
      <c r="D1139" s="276">
        <v>127</v>
      </c>
      <c r="E1139" s="170" t="s">
        <v>190</v>
      </c>
      <c r="F1139" s="111"/>
    </row>
    <row r="1140" spans="1:6" ht="30.95" hidden="1" customHeight="1">
      <c r="A1140" s="625" t="s">
        <v>183</v>
      </c>
      <c r="B1140" s="419" t="s">
        <v>118</v>
      </c>
      <c r="C1140" s="420"/>
      <c r="D1140" s="419" t="e">
        <f>VLOOKUP(D1139,주주총괄!$A$5:$J$8,4,0)</f>
        <v>#N/A</v>
      </c>
      <c r="E1140" s="420"/>
      <c r="F1140" s="626"/>
    </row>
    <row r="1141" spans="1:6" ht="30.95" hidden="1" customHeight="1">
      <c r="A1141" s="625"/>
      <c r="B1141" s="419" t="s">
        <v>250</v>
      </c>
      <c r="C1141" s="420"/>
      <c r="D1141" s="564" t="e">
        <f>VLOOKUP(D1139,주주총괄!$A$5:$J$8,5,0)</f>
        <v>#N/A</v>
      </c>
      <c r="E1141" s="565"/>
      <c r="F1141" s="627"/>
    </row>
    <row r="1142" spans="1:6" ht="30.95" hidden="1" customHeight="1">
      <c r="A1142" s="625"/>
      <c r="B1142" s="419" t="s">
        <v>23</v>
      </c>
      <c r="C1142" s="420"/>
      <c r="D1142" s="25"/>
      <c r="E1142" s="62" t="s">
        <v>151</v>
      </c>
      <c r="F1142" s="161"/>
    </row>
    <row r="1143" spans="1:6" ht="30.95" hidden="1" customHeight="1">
      <c r="A1143" s="210" t="s">
        <v>59</v>
      </c>
      <c r="B1143" s="205" t="e">
        <f>VLOOKUP(D1139,주주총괄!$A$5:$J$8,6,0)</f>
        <v>#N/A</v>
      </c>
      <c r="C1143" s="274" t="e">
        <f>VLOOKUP(D1139,주주총괄!$A$5:$J$8,7,0)</f>
        <v>#N/A</v>
      </c>
      <c r="D1143" s="275" t="e">
        <f>VLOOKUP(D1139,주주총괄!$A$5:$J$8,8,0)</f>
        <v>#N/A</v>
      </c>
      <c r="E1143" s="620" t="str">
        <f>"(액면가액: "&amp;TEXT(주주총괄!$L$4,"###,###원)")</f>
        <v>(액면가액: 100원)</v>
      </c>
      <c r="F1143" s="621"/>
    </row>
    <row r="1144" spans="1:6" ht="30.95" hidden="1" customHeight="1">
      <c r="A1144" s="211" t="s">
        <v>19</v>
      </c>
      <c r="B1144" s="618"/>
      <c r="C1144" s="618"/>
      <c r="D1144" s="618"/>
      <c r="E1144" s="618"/>
      <c r="F1144" s="619"/>
    </row>
    <row r="1145" spans="1:6" ht="30.95" hidden="1" customHeight="1">
      <c r="A1145" s="612" t="s">
        <v>41</v>
      </c>
      <c r="B1145" s="612"/>
      <c r="C1145" s="612"/>
      <c r="D1145" s="612"/>
      <c r="E1145" s="612"/>
      <c r="F1145" s="612"/>
    </row>
    <row r="1146" spans="1:6" ht="30.95" hidden="1" customHeight="1">
      <c r="A1146" s="128"/>
      <c r="B1146" s="128"/>
      <c r="C1146" s="128"/>
      <c r="D1146" s="128"/>
      <c r="E1146" s="128"/>
      <c r="F1146" s="128"/>
    </row>
    <row r="1147" spans="1:6" ht="30.95" hidden="1" customHeight="1">
      <c r="A1147" s="622" t="s">
        <v>249</v>
      </c>
      <c r="B1147" s="623"/>
      <c r="C1147" s="623"/>
      <c r="D1147" s="198" t="str">
        <f>표지!$O$3&amp;" "&amp;표지!$O$4</f>
        <v>20○○회합100○○○ 회생</v>
      </c>
      <c r="E1147" s="160" t="s">
        <v>261</v>
      </c>
      <c r="F1147" s="199" t="str">
        <f>표지!$O$5</f>
        <v>○○○○ 주식회사</v>
      </c>
    </row>
    <row r="1148" spans="1:6" ht="30.95" hidden="1" customHeight="1">
      <c r="A1148" s="624" t="s">
        <v>125</v>
      </c>
      <c r="B1148" s="423"/>
      <c r="C1148" s="423"/>
      <c r="D1148" s="276">
        <v>128</v>
      </c>
      <c r="E1148" s="170" t="s">
        <v>190</v>
      </c>
      <c r="F1148" s="111"/>
    </row>
    <row r="1149" spans="1:6" ht="30.95" hidden="1" customHeight="1">
      <c r="A1149" s="625" t="s">
        <v>183</v>
      </c>
      <c r="B1149" s="419" t="s">
        <v>118</v>
      </c>
      <c r="C1149" s="420"/>
      <c r="D1149" s="419" t="e">
        <f>VLOOKUP(D1148,주주총괄!$A$5:$J$8,4,0)</f>
        <v>#N/A</v>
      </c>
      <c r="E1149" s="420"/>
      <c r="F1149" s="626"/>
    </row>
    <row r="1150" spans="1:6" ht="30.95" hidden="1" customHeight="1">
      <c r="A1150" s="625"/>
      <c r="B1150" s="419" t="s">
        <v>250</v>
      </c>
      <c r="C1150" s="420"/>
      <c r="D1150" s="564" t="e">
        <f>VLOOKUP(D1148,주주총괄!$A$5:$J$8,5,0)</f>
        <v>#N/A</v>
      </c>
      <c r="E1150" s="565"/>
      <c r="F1150" s="627"/>
    </row>
    <row r="1151" spans="1:6" ht="30.95" hidden="1" customHeight="1">
      <c r="A1151" s="625"/>
      <c r="B1151" s="419" t="s">
        <v>23</v>
      </c>
      <c r="C1151" s="420"/>
      <c r="D1151" s="25"/>
      <c r="E1151" s="62" t="s">
        <v>151</v>
      </c>
      <c r="F1151" s="161"/>
    </row>
    <row r="1152" spans="1:6" ht="30.95" hidden="1" customHeight="1">
      <c r="A1152" s="210" t="s">
        <v>59</v>
      </c>
      <c r="B1152" s="205" t="e">
        <f>VLOOKUP(D1148,주주총괄!$A$5:$J$8,6,0)</f>
        <v>#N/A</v>
      </c>
      <c r="C1152" s="274" t="e">
        <f>VLOOKUP(D1148,주주총괄!$A$5:$J$8,7,0)</f>
        <v>#N/A</v>
      </c>
      <c r="D1152" s="275" t="e">
        <f>VLOOKUP(D1148,주주총괄!$A$5:$J$8,8,0)</f>
        <v>#N/A</v>
      </c>
      <c r="E1152" s="620" t="str">
        <f>"(액면가액: "&amp;TEXT(주주총괄!$L$4,"###,###원)")</f>
        <v>(액면가액: 100원)</v>
      </c>
      <c r="F1152" s="621"/>
    </row>
    <row r="1153" spans="1:6" ht="30.95" hidden="1" customHeight="1">
      <c r="A1153" s="211" t="s">
        <v>19</v>
      </c>
      <c r="B1153" s="618"/>
      <c r="C1153" s="618"/>
      <c r="D1153" s="618"/>
      <c r="E1153" s="618"/>
      <c r="F1153" s="619"/>
    </row>
    <row r="1154" spans="1:6" ht="30.95" hidden="1" customHeight="1">
      <c r="A1154" s="612" t="s">
        <v>41</v>
      </c>
      <c r="B1154" s="612"/>
      <c r="C1154" s="612"/>
      <c r="D1154" s="612"/>
      <c r="E1154" s="612"/>
      <c r="F1154" s="612"/>
    </row>
    <row r="1155" spans="1:6" ht="30.95" hidden="1" customHeight="1">
      <c r="A1155" s="128"/>
      <c r="B1155" s="128"/>
      <c r="C1155" s="128"/>
      <c r="D1155" s="128"/>
      <c r="E1155" s="128"/>
      <c r="F1155" s="128"/>
    </row>
    <row r="1156" spans="1:6" ht="30.95" hidden="1" customHeight="1">
      <c r="A1156" s="622" t="s">
        <v>249</v>
      </c>
      <c r="B1156" s="623"/>
      <c r="C1156" s="623"/>
      <c r="D1156" s="198" t="str">
        <f>표지!$O$3&amp;" "&amp;표지!$O$4</f>
        <v>20○○회합100○○○ 회생</v>
      </c>
      <c r="E1156" s="160" t="s">
        <v>261</v>
      </c>
      <c r="F1156" s="199" t="str">
        <f>표지!$O$5</f>
        <v>○○○○ 주식회사</v>
      </c>
    </row>
    <row r="1157" spans="1:6" ht="30.95" hidden="1" customHeight="1">
      <c r="A1157" s="624" t="s">
        <v>125</v>
      </c>
      <c r="B1157" s="423"/>
      <c r="C1157" s="423"/>
      <c r="D1157" s="276">
        <v>129</v>
      </c>
      <c r="E1157" s="170" t="s">
        <v>190</v>
      </c>
      <c r="F1157" s="111"/>
    </row>
    <row r="1158" spans="1:6" ht="30.95" hidden="1" customHeight="1">
      <c r="A1158" s="625" t="s">
        <v>183</v>
      </c>
      <c r="B1158" s="419" t="s">
        <v>118</v>
      </c>
      <c r="C1158" s="420"/>
      <c r="D1158" s="419" t="e">
        <f>VLOOKUP(D1157,주주총괄!$A$5:$J$8,4,0)</f>
        <v>#N/A</v>
      </c>
      <c r="E1158" s="420"/>
      <c r="F1158" s="626"/>
    </row>
    <row r="1159" spans="1:6" ht="30.95" hidden="1" customHeight="1">
      <c r="A1159" s="625"/>
      <c r="B1159" s="419" t="s">
        <v>250</v>
      </c>
      <c r="C1159" s="420"/>
      <c r="D1159" s="564" t="e">
        <f>VLOOKUP(D1157,주주총괄!$A$5:$J$8,5,0)</f>
        <v>#N/A</v>
      </c>
      <c r="E1159" s="565"/>
      <c r="F1159" s="627"/>
    </row>
    <row r="1160" spans="1:6" ht="30.95" hidden="1" customHeight="1">
      <c r="A1160" s="625"/>
      <c r="B1160" s="419" t="s">
        <v>23</v>
      </c>
      <c r="C1160" s="420"/>
      <c r="D1160" s="25"/>
      <c r="E1160" s="62" t="s">
        <v>151</v>
      </c>
      <c r="F1160" s="161"/>
    </row>
    <row r="1161" spans="1:6" ht="30.95" hidden="1" customHeight="1">
      <c r="A1161" s="210" t="s">
        <v>59</v>
      </c>
      <c r="B1161" s="205" t="e">
        <f>VLOOKUP(D1157,주주총괄!$A$5:$J$8,6,0)</f>
        <v>#N/A</v>
      </c>
      <c r="C1161" s="274" t="e">
        <f>VLOOKUP(D1157,주주총괄!$A$5:$J$8,7,0)</f>
        <v>#N/A</v>
      </c>
      <c r="D1161" s="275" t="e">
        <f>VLOOKUP(D1157,주주총괄!$A$5:$J$8,8,0)</f>
        <v>#N/A</v>
      </c>
      <c r="E1161" s="620" t="str">
        <f>"(액면가액: "&amp;TEXT(주주총괄!$L$4,"###,###원)")</f>
        <v>(액면가액: 100원)</v>
      </c>
      <c r="F1161" s="621"/>
    </row>
    <row r="1162" spans="1:6" ht="30.95" hidden="1" customHeight="1">
      <c r="A1162" s="211" t="s">
        <v>19</v>
      </c>
      <c r="B1162" s="618"/>
      <c r="C1162" s="618"/>
      <c r="D1162" s="618"/>
      <c r="E1162" s="618"/>
      <c r="F1162" s="619"/>
    </row>
    <row r="1163" spans="1:6" ht="30.95" hidden="1" customHeight="1">
      <c r="A1163" s="612" t="s">
        <v>41</v>
      </c>
      <c r="B1163" s="612"/>
      <c r="C1163" s="612"/>
      <c r="D1163" s="612"/>
      <c r="E1163" s="612"/>
      <c r="F1163" s="612"/>
    </row>
    <row r="1164" spans="1:6" ht="30.95" hidden="1" customHeight="1">
      <c r="A1164" s="128"/>
      <c r="B1164" s="128"/>
      <c r="C1164" s="128"/>
      <c r="D1164" s="128"/>
      <c r="E1164" s="128"/>
      <c r="F1164" s="128"/>
    </row>
    <row r="1165" spans="1:6" ht="30.95" hidden="1" customHeight="1">
      <c r="A1165" s="622" t="s">
        <v>249</v>
      </c>
      <c r="B1165" s="623"/>
      <c r="C1165" s="623"/>
      <c r="D1165" s="198" t="str">
        <f>표지!$O$3&amp;" "&amp;표지!$O$4</f>
        <v>20○○회합100○○○ 회생</v>
      </c>
      <c r="E1165" s="160" t="s">
        <v>261</v>
      </c>
      <c r="F1165" s="199" t="str">
        <f>표지!$O$5</f>
        <v>○○○○ 주식회사</v>
      </c>
    </row>
    <row r="1166" spans="1:6" ht="30.95" hidden="1" customHeight="1">
      <c r="A1166" s="624" t="s">
        <v>125</v>
      </c>
      <c r="B1166" s="423"/>
      <c r="C1166" s="423"/>
      <c r="D1166" s="276">
        <v>130</v>
      </c>
      <c r="E1166" s="170" t="s">
        <v>190</v>
      </c>
      <c r="F1166" s="111"/>
    </row>
    <row r="1167" spans="1:6" ht="30.95" hidden="1" customHeight="1">
      <c r="A1167" s="625" t="s">
        <v>183</v>
      </c>
      <c r="B1167" s="419" t="s">
        <v>118</v>
      </c>
      <c r="C1167" s="420"/>
      <c r="D1167" s="419" t="e">
        <f>VLOOKUP(D1166,주주총괄!$A$5:$J$8,4,0)</f>
        <v>#N/A</v>
      </c>
      <c r="E1167" s="420"/>
      <c r="F1167" s="626"/>
    </row>
    <row r="1168" spans="1:6" ht="30.95" hidden="1" customHeight="1">
      <c r="A1168" s="625"/>
      <c r="B1168" s="419" t="s">
        <v>250</v>
      </c>
      <c r="C1168" s="420"/>
      <c r="D1168" s="564" t="e">
        <f>VLOOKUP(D1166,주주총괄!$A$5:$J$8,5,0)</f>
        <v>#N/A</v>
      </c>
      <c r="E1168" s="565"/>
      <c r="F1168" s="627"/>
    </row>
    <row r="1169" spans="1:6" ht="30.95" hidden="1" customHeight="1">
      <c r="A1169" s="625"/>
      <c r="B1169" s="419" t="s">
        <v>23</v>
      </c>
      <c r="C1169" s="420"/>
      <c r="D1169" s="25"/>
      <c r="E1169" s="62" t="s">
        <v>151</v>
      </c>
      <c r="F1169" s="161"/>
    </row>
    <row r="1170" spans="1:6" ht="30.95" hidden="1" customHeight="1">
      <c r="A1170" s="210" t="s">
        <v>59</v>
      </c>
      <c r="B1170" s="205" t="e">
        <f>VLOOKUP(D1166,주주총괄!$A$5:$J$8,6,0)</f>
        <v>#N/A</v>
      </c>
      <c r="C1170" s="274" t="e">
        <f>VLOOKUP(D1166,주주총괄!$A$5:$J$8,7,0)</f>
        <v>#N/A</v>
      </c>
      <c r="D1170" s="275" t="e">
        <f>VLOOKUP(D1166,주주총괄!$A$5:$J$8,8,0)</f>
        <v>#N/A</v>
      </c>
      <c r="E1170" s="620" t="str">
        <f>"(액면가액: "&amp;TEXT(주주총괄!$L$4,"###,###원)")</f>
        <v>(액면가액: 100원)</v>
      </c>
      <c r="F1170" s="621"/>
    </row>
    <row r="1171" spans="1:6" ht="30.95" hidden="1" customHeight="1">
      <c r="A1171" s="211" t="s">
        <v>19</v>
      </c>
      <c r="B1171" s="618"/>
      <c r="C1171" s="618"/>
      <c r="D1171" s="618"/>
      <c r="E1171" s="618"/>
      <c r="F1171" s="619"/>
    </row>
    <row r="1172" spans="1:6" ht="30.95" hidden="1" customHeight="1">
      <c r="A1172" s="612" t="s">
        <v>41</v>
      </c>
      <c r="B1172" s="612"/>
      <c r="C1172" s="612"/>
      <c r="D1172" s="612"/>
      <c r="E1172" s="612"/>
      <c r="F1172" s="612"/>
    </row>
    <row r="1173" spans="1:6" ht="30.95" hidden="1" customHeight="1">
      <c r="A1173" s="128"/>
      <c r="B1173" s="128"/>
      <c r="C1173" s="128"/>
      <c r="D1173" s="128"/>
      <c r="E1173" s="128"/>
      <c r="F1173" s="128"/>
    </row>
    <row r="1174" spans="1:6" ht="30.95" hidden="1" customHeight="1">
      <c r="A1174" s="622" t="s">
        <v>249</v>
      </c>
      <c r="B1174" s="623"/>
      <c r="C1174" s="623"/>
      <c r="D1174" s="198" t="str">
        <f>표지!$O$3&amp;" "&amp;표지!$O$4</f>
        <v>20○○회합100○○○ 회생</v>
      </c>
      <c r="E1174" s="160" t="s">
        <v>261</v>
      </c>
      <c r="F1174" s="199" t="str">
        <f>표지!$O$5</f>
        <v>○○○○ 주식회사</v>
      </c>
    </row>
    <row r="1175" spans="1:6" ht="30.95" hidden="1" customHeight="1">
      <c r="A1175" s="624" t="s">
        <v>125</v>
      </c>
      <c r="B1175" s="423"/>
      <c r="C1175" s="423"/>
      <c r="D1175" s="276">
        <v>131</v>
      </c>
      <c r="E1175" s="170" t="s">
        <v>190</v>
      </c>
      <c r="F1175" s="111"/>
    </row>
    <row r="1176" spans="1:6" ht="30.95" hidden="1" customHeight="1">
      <c r="A1176" s="625" t="s">
        <v>183</v>
      </c>
      <c r="B1176" s="419" t="s">
        <v>118</v>
      </c>
      <c r="C1176" s="420"/>
      <c r="D1176" s="419" t="e">
        <f>VLOOKUP(D1175,주주총괄!$A$5:$J$8,4,0)</f>
        <v>#N/A</v>
      </c>
      <c r="E1176" s="420"/>
      <c r="F1176" s="626"/>
    </row>
    <row r="1177" spans="1:6" ht="30.95" hidden="1" customHeight="1">
      <c r="A1177" s="625"/>
      <c r="B1177" s="419" t="s">
        <v>250</v>
      </c>
      <c r="C1177" s="420"/>
      <c r="D1177" s="564" t="e">
        <f>VLOOKUP(D1175,주주총괄!$A$5:$J$8,5,0)</f>
        <v>#N/A</v>
      </c>
      <c r="E1177" s="565"/>
      <c r="F1177" s="627"/>
    </row>
    <row r="1178" spans="1:6" ht="30.95" hidden="1" customHeight="1">
      <c r="A1178" s="625"/>
      <c r="B1178" s="419" t="s">
        <v>23</v>
      </c>
      <c r="C1178" s="420"/>
      <c r="D1178" s="25"/>
      <c r="E1178" s="62" t="s">
        <v>151</v>
      </c>
      <c r="F1178" s="161"/>
    </row>
    <row r="1179" spans="1:6" ht="30.95" hidden="1" customHeight="1">
      <c r="A1179" s="210" t="s">
        <v>59</v>
      </c>
      <c r="B1179" s="205" t="e">
        <f>VLOOKUP(D1175,주주총괄!$A$5:$J$8,6,0)</f>
        <v>#N/A</v>
      </c>
      <c r="C1179" s="274" t="e">
        <f>VLOOKUP(D1175,주주총괄!$A$5:$J$8,7,0)</f>
        <v>#N/A</v>
      </c>
      <c r="D1179" s="275" t="e">
        <f>VLOOKUP(D1175,주주총괄!$A$5:$J$8,8,0)</f>
        <v>#N/A</v>
      </c>
      <c r="E1179" s="620" t="str">
        <f>"(액면가액: "&amp;TEXT(주주총괄!$L$4,"###,###원)")</f>
        <v>(액면가액: 100원)</v>
      </c>
      <c r="F1179" s="621"/>
    </row>
    <row r="1180" spans="1:6" ht="30.95" hidden="1" customHeight="1">
      <c r="A1180" s="211" t="s">
        <v>19</v>
      </c>
      <c r="B1180" s="618"/>
      <c r="C1180" s="618"/>
      <c r="D1180" s="618"/>
      <c r="E1180" s="618"/>
      <c r="F1180" s="619"/>
    </row>
    <row r="1181" spans="1:6" ht="30.95" hidden="1" customHeight="1">
      <c r="A1181" s="612" t="s">
        <v>41</v>
      </c>
      <c r="B1181" s="612"/>
      <c r="C1181" s="612"/>
      <c r="D1181" s="612"/>
      <c r="E1181" s="612"/>
      <c r="F1181" s="612"/>
    </row>
    <row r="1182" spans="1:6" ht="30.95" hidden="1" customHeight="1">
      <c r="A1182" s="128"/>
      <c r="B1182" s="128"/>
      <c r="C1182" s="128"/>
      <c r="D1182" s="128"/>
      <c r="E1182" s="128"/>
      <c r="F1182" s="128"/>
    </row>
    <row r="1183" spans="1:6" ht="30.95" hidden="1" customHeight="1">
      <c r="A1183" s="622" t="s">
        <v>249</v>
      </c>
      <c r="B1183" s="623"/>
      <c r="C1183" s="623"/>
      <c r="D1183" s="198" t="str">
        <f>표지!$O$3&amp;" "&amp;표지!$O$4</f>
        <v>20○○회합100○○○ 회생</v>
      </c>
      <c r="E1183" s="160" t="s">
        <v>261</v>
      </c>
      <c r="F1183" s="199" t="str">
        <f>표지!$O$5</f>
        <v>○○○○ 주식회사</v>
      </c>
    </row>
    <row r="1184" spans="1:6" ht="30.95" hidden="1" customHeight="1">
      <c r="A1184" s="624" t="s">
        <v>125</v>
      </c>
      <c r="B1184" s="423"/>
      <c r="C1184" s="423"/>
      <c r="D1184" s="276">
        <v>132</v>
      </c>
      <c r="E1184" s="170" t="s">
        <v>190</v>
      </c>
      <c r="F1184" s="111"/>
    </row>
    <row r="1185" spans="1:6" ht="30.95" hidden="1" customHeight="1">
      <c r="A1185" s="625" t="s">
        <v>183</v>
      </c>
      <c r="B1185" s="419" t="s">
        <v>118</v>
      </c>
      <c r="C1185" s="420"/>
      <c r="D1185" s="419" t="e">
        <f>VLOOKUP(D1184,주주총괄!$A$5:$J$8,4,0)</f>
        <v>#N/A</v>
      </c>
      <c r="E1185" s="420"/>
      <c r="F1185" s="626"/>
    </row>
    <row r="1186" spans="1:6" ht="30.95" hidden="1" customHeight="1">
      <c r="A1186" s="625"/>
      <c r="B1186" s="419" t="s">
        <v>250</v>
      </c>
      <c r="C1186" s="420"/>
      <c r="D1186" s="564" t="e">
        <f>VLOOKUP(D1184,주주총괄!$A$5:$J$8,5,0)</f>
        <v>#N/A</v>
      </c>
      <c r="E1186" s="565"/>
      <c r="F1186" s="627"/>
    </row>
    <row r="1187" spans="1:6" ht="30.95" hidden="1" customHeight="1">
      <c r="A1187" s="625"/>
      <c r="B1187" s="419" t="s">
        <v>23</v>
      </c>
      <c r="C1187" s="420"/>
      <c r="D1187" s="25"/>
      <c r="E1187" s="62" t="s">
        <v>151</v>
      </c>
      <c r="F1187" s="161"/>
    </row>
    <row r="1188" spans="1:6" ht="30.95" hidden="1" customHeight="1">
      <c r="A1188" s="210" t="s">
        <v>59</v>
      </c>
      <c r="B1188" s="205" t="e">
        <f>VLOOKUP(D1184,주주총괄!$A$5:$J$8,6,0)</f>
        <v>#N/A</v>
      </c>
      <c r="C1188" s="274" t="e">
        <f>VLOOKUP(D1184,주주총괄!$A$5:$J$8,7,0)</f>
        <v>#N/A</v>
      </c>
      <c r="D1188" s="275" t="e">
        <f>VLOOKUP(D1184,주주총괄!$A$5:$J$8,8,0)</f>
        <v>#N/A</v>
      </c>
      <c r="E1188" s="620" t="str">
        <f>"(액면가액: "&amp;TEXT(주주총괄!$L$4,"###,###원)")</f>
        <v>(액면가액: 100원)</v>
      </c>
      <c r="F1188" s="621"/>
    </row>
    <row r="1189" spans="1:6" ht="30.95" hidden="1" customHeight="1">
      <c r="A1189" s="211" t="s">
        <v>19</v>
      </c>
      <c r="B1189" s="618"/>
      <c r="C1189" s="618"/>
      <c r="D1189" s="618"/>
      <c r="E1189" s="618"/>
      <c r="F1189" s="619"/>
    </row>
    <row r="1190" spans="1:6" ht="30.95" hidden="1" customHeight="1">
      <c r="A1190" s="612" t="s">
        <v>41</v>
      </c>
      <c r="B1190" s="612"/>
      <c r="C1190" s="612"/>
      <c r="D1190" s="612"/>
      <c r="E1190" s="612"/>
      <c r="F1190" s="612"/>
    </row>
    <row r="1191" spans="1:6" ht="30.95" hidden="1" customHeight="1">
      <c r="A1191" s="128"/>
      <c r="B1191" s="128"/>
      <c r="C1191" s="128"/>
      <c r="D1191" s="128"/>
      <c r="E1191" s="128"/>
      <c r="F1191" s="128"/>
    </row>
    <row r="1192" spans="1:6" ht="30.95" hidden="1" customHeight="1">
      <c r="A1192" s="622" t="s">
        <v>249</v>
      </c>
      <c r="B1192" s="623"/>
      <c r="C1192" s="623"/>
      <c r="D1192" s="198" t="str">
        <f>표지!$O$3&amp;" "&amp;표지!$O$4</f>
        <v>20○○회합100○○○ 회생</v>
      </c>
      <c r="E1192" s="160" t="s">
        <v>261</v>
      </c>
      <c r="F1192" s="199" t="str">
        <f>표지!$O$5</f>
        <v>○○○○ 주식회사</v>
      </c>
    </row>
    <row r="1193" spans="1:6" ht="30.95" hidden="1" customHeight="1">
      <c r="A1193" s="624" t="s">
        <v>125</v>
      </c>
      <c r="B1193" s="423"/>
      <c r="C1193" s="423"/>
      <c r="D1193" s="276">
        <v>133</v>
      </c>
      <c r="E1193" s="170" t="s">
        <v>190</v>
      </c>
      <c r="F1193" s="111"/>
    </row>
    <row r="1194" spans="1:6" ht="30.95" hidden="1" customHeight="1">
      <c r="A1194" s="625" t="s">
        <v>183</v>
      </c>
      <c r="B1194" s="419" t="s">
        <v>118</v>
      </c>
      <c r="C1194" s="420"/>
      <c r="D1194" s="419" t="e">
        <f>VLOOKUP(D1193,주주총괄!$A$5:$J$8,4,0)</f>
        <v>#N/A</v>
      </c>
      <c r="E1194" s="420"/>
      <c r="F1194" s="626"/>
    </row>
    <row r="1195" spans="1:6" ht="30.95" hidden="1" customHeight="1">
      <c r="A1195" s="625"/>
      <c r="B1195" s="419" t="s">
        <v>250</v>
      </c>
      <c r="C1195" s="420"/>
      <c r="D1195" s="564" t="e">
        <f>VLOOKUP(D1193,주주총괄!$A$5:$J$8,5,0)</f>
        <v>#N/A</v>
      </c>
      <c r="E1195" s="565"/>
      <c r="F1195" s="627"/>
    </row>
    <row r="1196" spans="1:6" ht="30.95" hidden="1" customHeight="1">
      <c r="A1196" s="625"/>
      <c r="B1196" s="419" t="s">
        <v>23</v>
      </c>
      <c r="C1196" s="420"/>
      <c r="D1196" s="25"/>
      <c r="E1196" s="62" t="s">
        <v>151</v>
      </c>
      <c r="F1196" s="161"/>
    </row>
    <row r="1197" spans="1:6" ht="30.95" hidden="1" customHeight="1">
      <c r="A1197" s="210" t="s">
        <v>59</v>
      </c>
      <c r="B1197" s="205" t="e">
        <f>VLOOKUP(D1193,주주총괄!$A$5:$J$8,6,0)</f>
        <v>#N/A</v>
      </c>
      <c r="C1197" s="274" t="e">
        <f>VLOOKUP(D1193,주주총괄!$A$5:$J$8,7,0)</f>
        <v>#N/A</v>
      </c>
      <c r="D1197" s="275" t="e">
        <f>VLOOKUP(D1193,주주총괄!$A$5:$J$8,8,0)</f>
        <v>#N/A</v>
      </c>
      <c r="E1197" s="620" t="str">
        <f>"(액면가액: "&amp;TEXT(주주총괄!$L$4,"###,###원)")</f>
        <v>(액면가액: 100원)</v>
      </c>
      <c r="F1197" s="621"/>
    </row>
    <row r="1198" spans="1:6" ht="30.95" hidden="1" customHeight="1">
      <c r="A1198" s="211" t="s">
        <v>19</v>
      </c>
      <c r="B1198" s="618"/>
      <c r="C1198" s="618"/>
      <c r="D1198" s="618"/>
      <c r="E1198" s="618"/>
      <c r="F1198" s="619"/>
    </row>
    <row r="1199" spans="1:6" ht="30.95" hidden="1" customHeight="1">
      <c r="A1199" s="612" t="s">
        <v>41</v>
      </c>
      <c r="B1199" s="612"/>
      <c r="C1199" s="612"/>
      <c r="D1199" s="612"/>
      <c r="E1199" s="612"/>
      <c r="F1199" s="612"/>
    </row>
    <row r="1200" spans="1:6" ht="30.95" hidden="1" customHeight="1">
      <c r="A1200" s="128"/>
      <c r="B1200" s="128"/>
      <c r="C1200" s="128"/>
      <c r="D1200" s="128"/>
      <c r="E1200" s="128"/>
      <c r="F1200" s="128"/>
    </row>
    <row r="1201" spans="1:6" ht="30.95" hidden="1" customHeight="1">
      <c r="A1201" s="622" t="s">
        <v>249</v>
      </c>
      <c r="B1201" s="623"/>
      <c r="C1201" s="623"/>
      <c r="D1201" s="198" t="str">
        <f>표지!$O$3&amp;" "&amp;표지!$O$4</f>
        <v>20○○회합100○○○ 회생</v>
      </c>
      <c r="E1201" s="160" t="s">
        <v>261</v>
      </c>
      <c r="F1201" s="199" t="str">
        <f>표지!$O$5</f>
        <v>○○○○ 주식회사</v>
      </c>
    </row>
    <row r="1202" spans="1:6" ht="30.95" hidden="1" customHeight="1">
      <c r="A1202" s="624" t="s">
        <v>125</v>
      </c>
      <c r="B1202" s="423"/>
      <c r="C1202" s="423"/>
      <c r="D1202" s="276">
        <v>134</v>
      </c>
      <c r="E1202" s="170" t="s">
        <v>190</v>
      </c>
      <c r="F1202" s="111"/>
    </row>
    <row r="1203" spans="1:6" ht="30.95" hidden="1" customHeight="1">
      <c r="A1203" s="625" t="s">
        <v>183</v>
      </c>
      <c r="B1203" s="419" t="s">
        <v>118</v>
      </c>
      <c r="C1203" s="420"/>
      <c r="D1203" s="419" t="e">
        <f>VLOOKUP(D1202,주주총괄!$A$5:$J$8,4,0)</f>
        <v>#N/A</v>
      </c>
      <c r="E1203" s="420"/>
      <c r="F1203" s="626"/>
    </row>
    <row r="1204" spans="1:6" ht="30.95" hidden="1" customHeight="1">
      <c r="A1204" s="625"/>
      <c r="B1204" s="419" t="s">
        <v>250</v>
      </c>
      <c r="C1204" s="420"/>
      <c r="D1204" s="564" t="e">
        <f>VLOOKUP(D1202,주주총괄!$A$5:$J$8,5,0)</f>
        <v>#N/A</v>
      </c>
      <c r="E1204" s="565"/>
      <c r="F1204" s="627"/>
    </row>
    <row r="1205" spans="1:6" ht="30.95" hidden="1" customHeight="1">
      <c r="A1205" s="625"/>
      <c r="B1205" s="419" t="s">
        <v>23</v>
      </c>
      <c r="C1205" s="420"/>
      <c r="D1205" s="25"/>
      <c r="E1205" s="62" t="s">
        <v>151</v>
      </c>
      <c r="F1205" s="161"/>
    </row>
    <row r="1206" spans="1:6" ht="30.95" hidden="1" customHeight="1">
      <c r="A1206" s="210" t="s">
        <v>59</v>
      </c>
      <c r="B1206" s="205" t="e">
        <f>VLOOKUP(D1202,주주총괄!$A$5:$J$8,6,0)</f>
        <v>#N/A</v>
      </c>
      <c r="C1206" s="274" t="e">
        <f>VLOOKUP(D1202,주주총괄!$A$5:$J$8,7,0)</f>
        <v>#N/A</v>
      </c>
      <c r="D1206" s="275" t="e">
        <f>VLOOKUP(D1202,주주총괄!$A$5:$J$8,8,0)</f>
        <v>#N/A</v>
      </c>
      <c r="E1206" s="620" t="str">
        <f>"(액면가액: "&amp;TEXT(주주총괄!$L$4,"###,###원)")</f>
        <v>(액면가액: 100원)</v>
      </c>
      <c r="F1206" s="621"/>
    </row>
    <row r="1207" spans="1:6" ht="30.95" hidden="1" customHeight="1">
      <c r="A1207" s="211" t="s">
        <v>19</v>
      </c>
      <c r="B1207" s="618"/>
      <c r="C1207" s="618"/>
      <c r="D1207" s="618"/>
      <c r="E1207" s="618"/>
      <c r="F1207" s="619"/>
    </row>
    <row r="1208" spans="1:6" ht="30.95" hidden="1" customHeight="1">
      <c r="A1208" s="612" t="s">
        <v>41</v>
      </c>
      <c r="B1208" s="612"/>
      <c r="C1208" s="612"/>
      <c r="D1208" s="612"/>
      <c r="E1208" s="612"/>
      <c r="F1208" s="612"/>
    </row>
    <row r="1209" spans="1:6" ht="30.95" hidden="1" customHeight="1">
      <c r="A1209" s="128"/>
      <c r="B1209" s="128"/>
      <c r="C1209" s="128"/>
      <c r="D1209" s="128"/>
      <c r="E1209" s="128"/>
      <c r="F1209" s="128"/>
    </row>
    <row r="1210" spans="1:6" ht="30.95" hidden="1" customHeight="1">
      <c r="A1210" s="622" t="s">
        <v>249</v>
      </c>
      <c r="B1210" s="623"/>
      <c r="C1210" s="623"/>
      <c r="D1210" s="198" t="str">
        <f>표지!$O$3&amp;" "&amp;표지!$O$4</f>
        <v>20○○회합100○○○ 회생</v>
      </c>
      <c r="E1210" s="160" t="s">
        <v>261</v>
      </c>
      <c r="F1210" s="199" t="str">
        <f>표지!$O$5</f>
        <v>○○○○ 주식회사</v>
      </c>
    </row>
    <row r="1211" spans="1:6" ht="30.95" hidden="1" customHeight="1">
      <c r="A1211" s="624" t="s">
        <v>125</v>
      </c>
      <c r="B1211" s="423"/>
      <c r="C1211" s="423"/>
      <c r="D1211" s="276">
        <v>135</v>
      </c>
      <c r="E1211" s="170" t="s">
        <v>190</v>
      </c>
      <c r="F1211" s="111"/>
    </row>
    <row r="1212" spans="1:6" ht="30.95" hidden="1" customHeight="1">
      <c r="A1212" s="625" t="s">
        <v>183</v>
      </c>
      <c r="B1212" s="419" t="s">
        <v>118</v>
      </c>
      <c r="C1212" s="420"/>
      <c r="D1212" s="419" t="e">
        <f>VLOOKUP(D1211,주주총괄!$A$5:$J$8,4,0)</f>
        <v>#N/A</v>
      </c>
      <c r="E1212" s="420"/>
      <c r="F1212" s="626"/>
    </row>
    <row r="1213" spans="1:6" ht="30.95" hidden="1" customHeight="1">
      <c r="A1213" s="625"/>
      <c r="B1213" s="419" t="s">
        <v>250</v>
      </c>
      <c r="C1213" s="420"/>
      <c r="D1213" s="564" t="e">
        <f>VLOOKUP(D1211,주주총괄!$A$5:$J$8,5,0)</f>
        <v>#N/A</v>
      </c>
      <c r="E1213" s="565"/>
      <c r="F1213" s="627"/>
    </row>
    <row r="1214" spans="1:6" ht="30.95" hidden="1" customHeight="1">
      <c r="A1214" s="625"/>
      <c r="B1214" s="419" t="s">
        <v>23</v>
      </c>
      <c r="C1214" s="420"/>
      <c r="D1214" s="25"/>
      <c r="E1214" s="62" t="s">
        <v>151</v>
      </c>
      <c r="F1214" s="161"/>
    </row>
    <row r="1215" spans="1:6" ht="30.95" hidden="1" customHeight="1">
      <c r="A1215" s="210" t="s">
        <v>59</v>
      </c>
      <c r="B1215" s="205" t="e">
        <f>VLOOKUP(D1211,주주총괄!$A$5:$J$8,6,0)</f>
        <v>#N/A</v>
      </c>
      <c r="C1215" s="274" t="e">
        <f>VLOOKUP(D1211,주주총괄!$A$5:$J$8,7,0)</f>
        <v>#N/A</v>
      </c>
      <c r="D1215" s="275" t="e">
        <f>VLOOKUP(D1211,주주총괄!$A$5:$J$8,8,0)</f>
        <v>#N/A</v>
      </c>
      <c r="E1215" s="620" t="str">
        <f>"(액면가액: "&amp;TEXT(주주총괄!$L$4,"###,###원)")</f>
        <v>(액면가액: 100원)</v>
      </c>
      <c r="F1215" s="621"/>
    </row>
    <row r="1216" spans="1:6" ht="30.95" hidden="1" customHeight="1">
      <c r="A1216" s="211" t="s">
        <v>19</v>
      </c>
      <c r="B1216" s="618"/>
      <c r="C1216" s="618"/>
      <c r="D1216" s="618"/>
      <c r="E1216" s="618"/>
      <c r="F1216" s="619"/>
    </row>
    <row r="1217" spans="1:6" ht="30.95" hidden="1" customHeight="1">
      <c r="A1217" s="612" t="s">
        <v>41</v>
      </c>
      <c r="B1217" s="612"/>
      <c r="C1217" s="612"/>
      <c r="D1217" s="612"/>
      <c r="E1217" s="612"/>
      <c r="F1217" s="612"/>
    </row>
    <row r="1218" spans="1:6" ht="30.95" hidden="1" customHeight="1">
      <c r="A1218" s="128"/>
      <c r="B1218" s="128"/>
      <c r="C1218" s="128"/>
      <c r="D1218" s="128"/>
      <c r="E1218" s="128"/>
      <c r="F1218" s="128"/>
    </row>
    <row r="1219" spans="1:6" ht="30.95" hidden="1" customHeight="1">
      <c r="A1219" s="622" t="s">
        <v>249</v>
      </c>
      <c r="B1219" s="623"/>
      <c r="C1219" s="623"/>
      <c r="D1219" s="198" t="str">
        <f>표지!$O$3&amp;" "&amp;표지!$O$4</f>
        <v>20○○회합100○○○ 회생</v>
      </c>
      <c r="E1219" s="160" t="s">
        <v>261</v>
      </c>
      <c r="F1219" s="199" t="str">
        <f>표지!$O$5</f>
        <v>○○○○ 주식회사</v>
      </c>
    </row>
    <row r="1220" spans="1:6" ht="30.95" hidden="1" customHeight="1">
      <c r="A1220" s="624" t="s">
        <v>125</v>
      </c>
      <c r="B1220" s="423"/>
      <c r="C1220" s="423"/>
      <c r="D1220" s="276">
        <v>136</v>
      </c>
      <c r="E1220" s="170" t="s">
        <v>190</v>
      </c>
      <c r="F1220" s="111"/>
    </row>
    <row r="1221" spans="1:6" ht="30.95" hidden="1" customHeight="1">
      <c r="A1221" s="625" t="s">
        <v>183</v>
      </c>
      <c r="B1221" s="419" t="s">
        <v>118</v>
      </c>
      <c r="C1221" s="420"/>
      <c r="D1221" s="419" t="e">
        <f>VLOOKUP(D1220,주주총괄!$A$5:$J$8,4,0)</f>
        <v>#N/A</v>
      </c>
      <c r="E1221" s="420"/>
      <c r="F1221" s="626"/>
    </row>
    <row r="1222" spans="1:6" ht="30.95" hidden="1" customHeight="1">
      <c r="A1222" s="625"/>
      <c r="B1222" s="419" t="s">
        <v>250</v>
      </c>
      <c r="C1222" s="420"/>
      <c r="D1222" s="564" t="e">
        <f>VLOOKUP(D1220,주주총괄!$A$5:$J$8,5,0)</f>
        <v>#N/A</v>
      </c>
      <c r="E1222" s="565"/>
      <c r="F1222" s="627"/>
    </row>
    <row r="1223" spans="1:6" ht="30.95" hidden="1" customHeight="1">
      <c r="A1223" s="625"/>
      <c r="B1223" s="419" t="s">
        <v>23</v>
      </c>
      <c r="C1223" s="420"/>
      <c r="D1223" s="25"/>
      <c r="E1223" s="62" t="s">
        <v>151</v>
      </c>
      <c r="F1223" s="161"/>
    </row>
    <row r="1224" spans="1:6" ht="30.95" hidden="1" customHeight="1">
      <c r="A1224" s="210" t="s">
        <v>59</v>
      </c>
      <c r="B1224" s="205" t="e">
        <f>VLOOKUP(D1220,주주총괄!$A$5:$J$8,6,0)</f>
        <v>#N/A</v>
      </c>
      <c r="C1224" s="274" t="e">
        <f>VLOOKUP(D1220,주주총괄!$A$5:$J$8,7,0)</f>
        <v>#N/A</v>
      </c>
      <c r="D1224" s="275" t="e">
        <f>VLOOKUP(D1220,주주총괄!$A$5:$J$8,8,0)</f>
        <v>#N/A</v>
      </c>
      <c r="E1224" s="620" t="str">
        <f>"(액면가액: "&amp;TEXT(주주총괄!$L$4,"###,###원)")</f>
        <v>(액면가액: 100원)</v>
      </c>
      <c r="F1224" s="621"/>
    </row>
    <row r="1225" spans="1:6" ht="30.95" hidden="1" customHeight="1">
      <c r="A1225" s="211" t="s">
        <v>19</v>
      </c>
      <c r="B1225" s="618"/>
      <c r="C1225" s="618"/>
      <c r="D1225" s="618"/>
      <c r="E1225" s="618"/>
      <c r="F1225" s="619"/>
    </row>
    <row r="1226" spans="1:6" ht="30.95" hidden="1" customHeight="1">
      <c r="A1226" s="612" t="s">
        <v>41</v>
      </c>
      <c r="B1226" s="612"/>
      <c r="C1226" s="612"/>
      <c r="D1226" s="612"/>
      <c r="E1226" s="612"/>
      <c r="F1226" s="612"/>
    </row>
    <row r="1227" spans="1:6" ht="30.95" hidden="1" customHeight="1">
      <c r="A1227" s="128"/>
      <c r="B1227" s="128"/>
      <c r="C1227" s="128"/>
      <c r="D1227" s="128"/>
      <c r="E1227" s="128"/>
      <c r="F1227" s="128"/>
    </row>
    <row r="1228" spans="1:6" ht="30.95" hidden="1" customHeight="1">
      <c r="A1228" s="622" t="s">
        <v>249</v>
      </c>
      <c r="B1228" s="623"/>
      <c r="C1228" s="623"/>
      <c r="D1228" s="198" t="str">
        <f>표지!$O$3&amp;" "&amp;표지!$O$4</f>
        <v>20○○회합100○○○ 회생</v>
      </c>
      <c r="E1228" s="160" t="s">
        <v>261</v>
      </c>
      <c r="F1228" s="199" t="str">
        <f>표지!$O$5</f>
        <v>○○○○ 주식회사</v>
      </c>
    </row>
    <row r="1229" spans="1:6" ht="30.95" hidden="1" customHeight="1">
      <c r="A1229" s="624" t="s">
        <v>125</v>
      </c>
      <c r="B1229" s="423"/>
      <c r="C1229" s="423"/>
      <c r="D1229" s="276">
        <v>137</v>
      </c>
      <c r="E1229" s="170" t="s">
        <v>190</v>
      </c>
      <c r="F1229" s="111"/>
    </row>
    <row r="1230" spans="1:6" ht="30.95" hidden="1" customHeight="1">
      <c r="A1230" s="625" t="s">
        <v>183</v>
      </c>
      <c r="B1230" s="419" t="s">
        <v>118</v>
      </c>
      <c r="C1230" s="420"/>
      <c r="D1230" s="419" t="e">
        <f>VLOOKUP(D1229,주주총괄!$A$5:$J$8,4,0)</f>
        <v>#N/A</v>
      </c>
      <c r="E1230" s="420"/>
      <c r="F1230" s="626"/>
    </row>
    <row r="1231" spans="1:6" ht="30.95" hidden="1" customHeight="1">
      <c r="A1231" s="625"/>
      <c r="B1231" s="419" t="s">
        <v>250</v>
      </c>
      <c r="C1231" s="420"/>
      <c r="D1231" s="564" t="e">
        <f>VLOOKUP(D1229,주주총괄!$A$5:$J$8,5,0)</f>
        <v>#N/A</v>
      </c>
      <c r="E1231" s="565"/>
      <c r="F1231" s="627"/>
    </row>
    <row r="1232" spans="1:6" ht="30.95" hidden="1" customHeight="1">
      <c r="A1232" s="625"/>
      <c r="B1232" s="419" t="s">
        <v>23</v>
      </c>
      <c r="C1232" s="420"/>
      <c r="D1232" s="25"/>
      <c r="E1232" s="62" t="s">
        <v>151</v>
      </c>
      <c r="F1232" s="161"/>
    </row>
    <row r="1233" spans="1:6" ht="30.95" hidden="1" customHeight="1">
      <c r="A1233" s="210" t="s">
        <v>59</v>
      </c>
      <c r="B1233" s="205" t="e">
        <f>VLOOKUP(D1229,주주총괄!$A$5:$J$8,6,0)</f>
        <v>#N/A</v>
      </c>
      <c r="C1233" s="274" t="e">
        <f>VLOOKUP(D1229,주주총괄!$A$5:$J$8,7,0)</f>
        <v>#N/A</v>
      </c>
      <c r="D1233" s="275" t="e">
        <f>VLOOKUP(D1229,주주총괄!$A$5:$J$8,8,0)</f>
        <v>#N/A</v>
      </c>
      <c r="E1233" s="620" t="str">
        <f>"(액면가액: "&amp;TEXT(주주총괄!$L$4,"###,###원)")</f>
        <v>(액면가액: 100원)</v>
      </c>
      <c r="F1233" s="621"/>
    </row>
    <row r="1234" spans="1:6" ht="30.95" hidden="1" customHeight="1">
      <c r="A1234" s="211" t="s">
        <v>19</v>
      </c>
      <c r="B1234" s="618"/>
      <c r="C1234" s="618"/>
      <c r="D1234" s="618"/>
      <c r="E1234" s="618"/>
      <c r="F1234" s="619"/>
    </row>
    <row r="1235" spans="1:6" ht="30.95" hidden="1" customHeight="1">
      <c r="A1235" s="612" t="s">
        <v>41</v>
      </c>
      <c r="B1235" s="612"/>
      <c r="C1235" s="612"/>
      <c r="D1235" s="612"/>
      <c r="E1235" s="612"/>
      <c r="F1235" s="612"/>
    </row>
    <row r="1236" spans="1:6" ht="30.95" hidden="1" customHeight="1">
      <c r="A1236" s="128"/>
      <c r="B1236" s="128"/>
      <c r="C1236" s="128"/>
      <c r="D1236" s="128"/>
      <c r="E1236" s="128"/>
      <c r="F1236" s="128"/>
    </row>
    <row r="1237" spans="1:6" ht="30.95" hidden="1" customHeight="1">
      <c r="A1237" s="622" t="s">
        <v>249</v>
      </c>
      <c r="B1237" s="623"/>
      <c r="C1237" s="623"/>
      <c r="D1237" s="198" t="str">
        <f>표지!$O$3&amp;" "&amp;표지!$O$4</f>
        <v>20○○회합100○○○ 회생</v>
      </c>
      <c r="E1237" s="160" t="s">
        <v>261</v>
      </c>
      <c r="F1237" s="199" t="str">
        <f>표지!$O$5</f>
        <v>○○○○ 주식회사</v>
      </c>
    </row>
    <row r="1238" spans="1:6" ht="30.95" hidden="1" customHeight="1">
      <c r="A1238" s="624" t="s">
        <v>125</v>
      </c>
      <c r="B1238" s="423"/>
      <c r="C1238" s="423"/>
      <c r="D1238" s="276">
        <v>138</v>
      </c>
      <c r="E1238" s="170" t="s">
        <v>190</v>
      </c>
      <c r="F1238" s="111"/>
    </row>
    <row r="1239" spans="1:6" ht="30.95" hidden="1" customHeight="1">
      <c r="A1239" s="625" t="s">
        <v>183</v>
      </c>
      <c r="B1239" s="419" t="s">
        <v>118</v>
      </c>
      <c r="C1239" s="420"/>
      <c r="D1239" s="419" t="e">
        <f>VLOOKUP(D1238,주주총괄!$A$5:$J$8,4,0)</f>
        <v>#N/A</v>
      </c>
      <c r="E1239" s="420"/>
      <c r="F1239" s="626"/>
    </row>
    <row r="1240" spans="1:6" ht="30.95" hidden="1" customHeight="1">
      <c r="A1240" s="625"/>
      <c r="B1240" s="419" t="s">
        <v>250</v>
      </c>
      <c r="C1240" s="420"/>
      <c r="D1240" s="564" t="e">
        <f>VLOOKUP(D1238,주주총괄!$A$5:$J$8,5,0)</f>
        <v>#N/A</v>
      </c>
      <c r="E1240" s="565"/>
      <c r="F1240" s="627"/>
    </row>
    <row r="1241" spans="1:6" ht="30.95" hidden="1" customHeight="1">
      <c r="A1241" s="625"/>
      <c r="B1241" s="419" t="s">
        <v>23</v>
      </c>
      <c r="C1241" s="420"/>
      <c r="D1241" s="25"/>
      <c r="E1241" s="62" t="s">
        <v>151</v>
      </c>
      <c r="F1241" s="161"/>
    </row>
    <row r="1242" spans="1:6" ht="30.95" hidden="1" customHeight="1">
      <c r="A1242" s="210" t="s">
        <v>59</v>
      </c>
      <c r="B1242" s="205" t="e">
        <f>VLOOKUP(D1238,주주총괄!$A$5:$J$8,6,0)</f>
        <v>#N/A</v>
      </c>
      <c r="C1242" s="274" t="e">
        <f>VLOOKUP(D1238,주주총괄!$A$5:$J$8,7,0)</f>
        <v>#N/A</v>
      </c>
      <c r="D1242" s="275" t="e">
        <f>VLOOKUP(D1238,주주총괄!$A$5:$J$8,8,0)</f>
        <v>#N/A</v>
      </c>
      <c r="E1242" s="620" t="str">
        <f>"(액면가액: "&amp;TEXT(주주총괄!$L$4,"###,###원)")</f>
        <v>(액면가액: 100원)</v>
      </c>
      <c r="F1242" s="621"/>
    </row>
    <row r="1243" spans="1:6" ht="30.95" hidden="1" customHeight="1">
      <c r="A1243" s="211" t="s">
        <v>19</v>
      </c>
      <c r="B1243" s="618"/>
      <c r="C1243" s="618"/>
      <c r="D1243" s="618"/>
      <c r="E1243" s="618"/>
      <c r="F1243" s="619"/>
    </row>
    <row r="1244" spans="1:6" ht="30.95" hidden="1" customHeight="1">
      <c r="A1244" s="612" t="s">
        <v>41</v>
      </c>
      <c r="B1244" s="612"/>
      <c r="C1244" s="612"/>
      <c r="D1244" s="612"/>
      <c r="E1244" s="612"/>
      <c r="F1244" s="612"/>
    </row>
    <row r="1245" spans="1:6" ht="30.95" hidden="1" customHeight="1">
      <c r="A1245" s="128"/>
      <c r="B1245" s="128"/>
      <c r="C1245" s="128"/>
      <c r="D1245" s="128"/>
      <c r="E1245" s="128"/>
      <c r="F1245" s="128"/>
    </row>
    <row r="1246" spans="1:6" ht="30.95" hidden="1" customHeight="1">
      <c r="A1246" s="622" t="s">
        <v>249</v>
      </c>
      <c r="B1246" s="623"/>
      <c r="C1246" s="623"/>
      <c r="D1246" s="198" t="str">
        <f>표지!$O$3&amp;" "&amp;표지!$O$4</f>
        <v>20○○회합100○○○ 회생</v>
      </c>
      <c r="E1246" s="160" t="s">
        <v>261</v>
      </c>
      <c r="F1246" s="199" t="str">
        <f>표지!$O$5</f>
        <v>○○○○ 주식회사</v>
      </c>
    </row>
    <row r="1247" spans="1:6" ht="30.95" hidden="1" customHeight="1">
      <c r="A1247" s="624" t="s">
        <v>125</v>
      </c>
      <c r="B1247" s="423"/>
      <c r="C1247" s="423"/>
      <c r="D1247" s="276">
        <v>139</v>
      </c>
      <c r="E1247" s="170" t="s">
        <v>190</v>
      </c>
      <c r="F1247" s="111"/>
    </row>
    <row r="1248" spans="1:6" ht="30.95" hidden="1" customHeight="1">
      <c r="A1248" s="625" t="s">
        <v>183</v>
      </c>
      <c r="B1248" s="419" t="s">
        <v>118</v>
      </c>
      <c r="C1248" s="420"/>
      <c r="D1248" s="419" t="e">
        <f>VLOOKUP(D1247,주주총괄!$A$5:$J$8,4,0)</f>
        <v>#N/A</v>
      </c>
      <c r="E1248" s="420"/>
      <c r="F1248" s="626"/>
    </row>
    <row r="1249" spans="1:6" ht="30.95" hidden="1" customHeight="1">
      <c r="A1249" s="625"/>
      <c r="B1249" s="419" t="s">
        <v>250</v>
      </c>
      <c r="C1249" s="420"/>
      <c r="D1249" s="564" t="e">
        <f>VLOOKUP(D1247,주주총괄!$A$5:$J$8,5,0)</f>
        <v>#N/A</v>
      </c>
      <c r="E1249" s="565"/>
      <c r="F1249" s="627"/>
    </row>
    <row r="1250" spans="1:6" ht="30.95" hidden="1" customHeight="1">
      <c r="A1250" s="625"/>
      <c r="B1250" s="419" t="s">
        <v>23</v>
      </c>
      <c r="C1250" s="420"/>
      <c r="D1250" s="25"/>
      <c r="E1250" s="62" t="s">
        <v>151</v>
      </c>
      <c r="F1250" s="161"/>
    </row>
    <row r="1251" spans="1:6" ht="30.95" hidden="1" customHeight="1">
      <c r="A1251" s="210" t="s">
        <v>59</v>
      </c>
      <c r="B1251" s="205" t="e">
        <f>VLOOKUP(D1247,주주총괄!$A$5:$J$8,6,0)</f>
        <v>#N/A</v>
      </c>
      <c r="C1251" s="274" t="e">
        <f>VLOOKUP(D1247,주주총괄!$A$5:$J$8,7,0)</f>
        <v>#N/A</v>
      </c>
      <c r="D1251" s="275" t="e">
        <f>VLOOKUP(D1247,주주총괄!$A$5:$J$8,8,0)</f>
        <v>#N/A</v>
      </c>
      <c r="E1251" s="620" t="str">
        <f>"(액면가액: "&amp;TEXT(주주총괄!$L$4,"###,###원)")</f>
        <v>(액면가액: 100원)</v>
      </c>
      <c r="F1251" s="621"/>
    </row>
    <row r="1252" spans="1:6" ht="30.95" hidden="1" customHeight="1">
      <c r="A1252" s="211" t="s">
        <v>19</v>
      </c>
      <c r="B1252" s="618"/>
      <c r="C1252" s="618"/>
      <c r="D1252" s="618"/>
      <c r="E1252" s="618"/>
      <c r="F1252" s="619"/>
    </row>
    <row r="1253" spans="1:6" ht="30.95" hidden="1" customHeight="1">
      <c r="A1253" s="612" t="s">
        <v>41</v>
      </c>
      <c r="B1253" s="612"/>
      <c r="C1253" s="612"/>
      <c r="D1253" s="612"/>
      <c r="E1253" s="612"/>
      <c r="F1253" s="612"/>
    </row>
    <row r="1254" spans="1:6" ht="30.95" hidden="1" customHeight="1">
      <c r="A1254" s="128"/>
      <c r="B1254" s="128"/>
      <c r="C1254" s="128"/>
      <c r="D1254" s="128"/>
      <c r="E1254" s="128"/>
      <c r="F1254" s="128"/>
    </row>
    <row r="1255" spans="1:6" ht="30.95" hidden="1" customHeight="1">
      <c r="A1255" s="622" t="s">
        <v>249</v>
      </c>
      <c r="B1255" s="623"/>
      <c r="C1255" s="623"/>
      <c r="D1255" s="198" t="str">
        <f>표지!$O$3&amp;" "&amp;표지!$O$4</f>
        <v>20○○회합100○○○ 회생</v>
      </c>
      <c r="E1255" s="160" t="s">
        <v>261</v>
      </c>
      <c r="F1255" s="199" t="str">
        <f>표지!$O$5</f>
        <v>○○○○ 주식회사</v>
      </c>
    </row>
    <row r="1256" spans="1:6" ht="30.95" hidden="1" customHeight="1">
      <c r="A1256" s="624" t="s">
        <v>125</v>
      </c>
      <c r="B1256" s="423"/>
      <c r="C1256" s="423"/>
      <c r="D1256" s="276">
        <v>140</v>
      </c>
      <c r="E1256" s="170" t="s">
        <v>190</v>
      </c>
      <c r="F1256" s="111"/>
    </row>
    <row r="1257" spans="1:6" ht="30.95" hidden="1" customHeight="1">
      <c r="A1257" s="625" t="s">
        <v>183</v>
      </c>
      <c r="B1257" s="419" t="s">
        <v>118</v>
      </c>
      <c r="C1257" s="420"/>
      <c r="D1257" s="419" t="e">
        <f>VLOOKUP(D1256,주주총괄!$A$5:$J$8,4,0)</f>
        <v>#N/A</v>
      </c>
      <c r="E1257" s="420"/>
      <c r="F1257" s="626"/>
    </row>
    <row r="1258" spans="1:6" ht="30.95" hidden="1" customHeight="1">
      <c r="A1258" s="625"/>
      <c r="B1258" s="419" t="s">
        <v>250</v>
      </c>
      <c r="C1258" s="420"/>
      <c r="D1258" s="564" t="e">
        <f>VLOOKUP(D1256,주주총괄!$A$5:$J$8,5,0)</f>
        <v>#N/A</v>
      </c>
      <c r="E1258" s="565"/>
      <c r="F1258" s="627"/>
    </row>
    <row r="1259" spans="1:6" ht="30.95" hidden="1" customHeight="1">
      <c r="A1259" s="625"/>
      <c r="B1259" s="419" t="s">
        <v>23</v>
      </c>
      <c r="C1259" s="420"/>
      <c r="D1259" s="25"/>
      <c r="E1259" s="62" t="s">
        <v>151</v>
      </c>
      <c r="F1259" s="161"/>
    </row>
    <row r="1260" spans="1:6" ht="30.95" hidden="1" customHeight="1">
      <c r="A1260" s="210" t="s">
        <v>59</v>
      </c>
      <c r="B1260" s="205" t="e">
        <f>VLOOKUP(D1256,주주총괄!$A$5:$J$8,6,0)</f>
        <v>#N/A</v>
      </c>
      <c r="C1260" s="274" t="e">
        <f>VLOOKUP(D1256,주주총괄!$A$5:$J$8,7,0)</f>
        <v>#N/A</v>
      </c>
      <c r="D1260" s="275" t="e">
        <f>VLOOKUP(D1256,주주총괄!$A$5:$J$8,8,0)</f>
        <v>#N/A</v>
      </c>
      <c r="E1260" s="620" t="str">
        <f>"(액면가액: "&amp;TEXT(주주총괄!$L$4,"###,###원)")</f>
        <v>(액면가액: 100원)</v>
      </c>
      <c r="F1260" s="621"/>
    </row>
    <row r="1261" spans="1:6" ht="30.95" hidden="1" customHeight="1">
      <c r="A1261" s="211" t="s">
        <v>19</v>
      </c>
      <c r="B1261" s="618"/>
      <c r="C1261" s="618"/>
      <c r="D1261" s="618"/>
      <c r="E1261" s="618"/>
      <c r="F1261" s="619"/>
    </row>
    <row r="1262" spans="1:6" ht="30.95" hidden="1" customHeight="1">
      <c r="A1262" s="612" t="s">
        <v>41</v>
      </c>
      <c r="B1262" s="612"/>
      <c r="C1262" s="612"/>
      <c r="D1262" s="612"/>
      <c r="E1262" s="612"/>
      <c r="F1262" s="612"/>
    </row>
    <row r="1263" spans="1:6" ht="30.95" hidden="1" customHeight="1">
      <c r="A1263" s="128"/>
      <c r="B1263" s="128"/>
      <c r="C1263" s="128"/>
      <c r="D1263" s="128"/>
      <c r="E1263" s="128"/>
      <c r="F1263" s="128"/>
    </row>
    <row r="1264" spans="1:6" ht="30.95" hidden="1" customHeight="1">
      <c r="A1264" s="622" t="s">
        <v>249</v>
      </c>
      <c r="B1264" s="623"/>
      <c r="C1264" s="623"/>
      <c r="D1264" s="198" t="str">
        <f>표지!$O$3&amp;" "&amp;표지!$O$4</f>
        <v>20○○회합100○○○ 회생</v>
      </c>
      <c r="E1264" s="160" t="s">
        <v>261</v>
      </c>
      <c r="F1264" s="199" t="str">
        <f>표지!$O$5</f>
        <v>○○○○ 주식회사</v>
      </c>
    </row>
    <row r="1265" spans="1:6" ht="30.95" hidden="1" customHeight="1">
      <c r="A1265" s="624" t="s">
        <v>125</v>
      </c>
      <c r="B1265" s="423"/>
      <c r="C1265" s="423"/>
      <c r="D1265" s="276">
        <v>141</v>
      </c>
      <c r="E1265" s="170" t="s">
        <v>190</v>
      </c>
      <c r="F1265" s="111"/>
    </row>
    <row r="1266" spans="1:6" ht="30.95" hidden="1" customHeight="1">
      <c r="A1266" s="625" t="s">
        <v>183</v>
      </c>
      <c r="B1266" s="419" t="s">
        <v>118</v>
      </c>
      <c r="C1266" s="420"/>
      <c r="D1266" s="419" t="e">
        <f>VLOOKUP(D1265,주주총괄!$A$5:$J$8,4,0)</f>
        <v>#N/A</v>
      </c>
      <c r="E1266" s="420"/>
      <c r="F1266" s="626"/>
    </row>
    <row r="1267" spans="1:6" ht="30.95" hidden="1" customHeight="1">
      <c r="A1267" s="625"/>
      <c r="B1267" s="419" t="s">
        <v>250</v>
      </c>
      <c r="C1267" s="420"/>
      <c r="D1267" s="564" t="e">
        <f>VLOOKUP(D1265,주주총괄!$A$5:$J$8,5,0)</f>
        <v>#N/A</v>
      </c>
      <c r="E1267" s="565"/>
      <c r="F1267" s="627"/>
    </row>
    <row r="1268" spans="1:6" ht="30.95" hidden="1" customHeight="1">
      <c r="A1268" s="625"/>
      <c r="B1268" s="419" t="s">
        <v>23</v>
      </c>
      <c r="C1268" s="420"/>
      <c r="D1268" s="25"/>
      <c r="E1268" s="62" t="s">
        <v>151</v>
      </c>
      <c r="F1268" s="161"/>
    </row>
    <row r="1269" spans="1:6" ht="30.95" hidden="1" customHeight="1">
      <c r="A1269" s="210" t="s">
        <v>59</v>
      </c>
      <c r="B1269" s="205" t="e">
        <f>VLOOKUP(D1265,주주총괄!$A$5:$J$8,6,0)</f>
        <v>#N/A</v>
      </c>
      <c r="C1269" s="274" t="e">
        <f>VLOOKUP(D1265,주주총괄!$A$5:$J$8,7,0)</f>
        <v>#N/A</v>
      </c>
      <c r="D1269" s="275" t="e">
        <f>VLOOKUP(D1265,주주총괄!$A$5:$J$8,8,0)</f>
        <v>#N/A</v>
      </c>
      <c r="E1269" s="620" t="str">
        <f>"(액면가액: "&amp;TEXT(주주총괄!$L$4,"###,###원)")</f>
        <v>(액면가액: 100원)</v>
      </c>
      <c r="F1269" s="621"/>
    </row>
    <row r="1270" spans="1:6" ht="30.95" hidden="1" customHeight="1">
      <c r="A1270" s="211" t="s">
        <v>19</v>
      </c>
      <c r="B1270" s="618"/>
      <c r="C1270" s="618"/>
      <c r="D1270" s="618"/>
      <c r="E1270" s="618"/>
      <c r="F1270" s="619"/>
    </row>
    <row r="1271" spans="1:6" ht="30.95" hidden="1" customHeight="1">
      <c r="A1271" s="612" t="s">
        <v>41</v>
      </c>
      <c r="B1271" s="612"/>
      <c r="C1271" s="612"/>
      <c r="D1271" s="612"/>
      <c r="E1271" s="612"/>
      <c r="F1271" s="612"/>
    </row>
    <row r="1272" spans="1:6" ht="30.95" hidden="1" customHeight="1">
      <c r="A1272" s="128"/>
      <c r="B1272" s="128"/>
      <c r="C1272" s="128"/>
      <c r="D1272" s="128"/>
      <c r="E1272" s="128"/>
      <c r="F1272" s="128"/>
    </row>
    <row r="1273" spans="1:6" ht="30.95" hidden="1" customHeight="1">
      <c r="A1273" s="622" t="s">
        <v>249</v>
      </c>
      <c r="B1273" s="623"/>
      <c r="C1273" s="623"/>
      <c r="D1273" s="198" t="str">
        <f>표지!$O$3&amp;" "&amp;표지!$O$4</f>
        <v>20○○회합100○○○ 회생</v>
      </c>
      <c r="E1273" s="160" t="s">
        <v>261</v>
      </c>
      <c r="F1273" s="199" t="str">
        <f>표지!$O$5</f>
        <v>○○○○ 주식회사</v>
      </c>
    </row>
    <row r="1274" spans="1:6" ht="30.95" hidden="1" customHeight="1">
      <c r="A1274" s="624" t="s">
        <v>125</v>
      </c>
      <c r="B1274" s="423"/>
      <c r="C1274" s="423"/>
      <c r="D1274" s="276">
        <v>142</v>
      </c>
      <c r="E1274" s="170" t="s">
        <v>190</v>
      </c>
      <c r="F1274" s="111"/>
    </row>
    <row r="1275" spans="1:6" ht="30.95" hidden="1" customHeight="1">
      <c r="A1275" s="625" t="s">
        <v>183</v>
      </c>
      <c r="B1275" s="419" t="s">
        <v>118</v>
      </c>
      <c r="C1275" s="420"/>
      <c r="D1275" s="419" t="e">
        <f>VLOOKUP(D1274,주주총괄!$A$5:$J$8,4,0)</f>
        <v>#N/A</v>
      </c>
      <c r="E1275" s="420"/>
      <c r="F1275" s="626"/>
    </row>
    <row r="1276" spans="1:6" ht="30.95" hidden="1" customHeight="1">
      <c r="A1276" s="625"/>
      <c r="B1276" s="419" t="s">
        <v>250</v>
      </c>
      <c r="C1276" s="420"/>
      <c r="D1276" s="564" t="e">
        <f>VLOOKUP(D1274,주주총괄!$A$5:$J$8,5,0)</f>
        <v>#N/A</v>
      </c>
      <c r="E1276" s="565"/>
      <c r="F1276" s="627"/>
    </row>
    <row r="1277" spans="1:6" ht="30.95" hidden="1" customHeight="1">
      <c r="A1277" s="625"/>
      <c r="B1277" s="419" t="s">
        <v>23</v>
      </c>
      <c r="C1277" s="420"/>
      <c r="D1277" s="25"/>
      <c r="E1277" s="62" t="s">
        <v>151</v>
      </c>
      <c r="F1277" s="161"/>
    </row>
    <row r="1278" spans="1:6" ht="30.95" hidden="1" customHeight="1">
      <c r="A1278" s="210" t="s">
        <v>59</v>
      </c>
      <c r="B1278" s="205" t="e">
        <f>VLOOKUP(D1274,주주총괄!$A$5:$J$8,6,0)</f>
        <v>#N/A</v>
      </c>
      <c r="C1278" s="274" t="e">
        <f>VLOOKUP(D1274,주주총괄!$A$5:$J$8,7,0)</f>
        <v>#N/A</v>
      </c>
      <c r="D1278" s="275" t="e">
        <f>VLOOKUP(D1274,주주총괄!$A$5:$J$8,8,0)</f>
        <v>#N/A</v>
      </c>
      <c r="E1278" s="620" t="str">
        <f>"(액면가액: "&amp;TEXT(주주총괄!$L$4,"###,###원)")</f>
        <v>(액면가액: 100원)</v>
      </c>
      <c r="F1278" s="621"/>
    </row>
    <row r="1279" spans="1:6" ht="30.95" hidden="1" customHeight="1">
      <c r="A1279" s="211" t="s">
        <v>19</v>
      </c>
      <c r="B1279" s="618"/>
      <c r="C1279" s="618"/>
      <c r="D1279" s="618"/>
      <c r="E1279" s="618"/>
      <c r="F1279" s="619"/>
    </row>
    <row r="1280" spans="1:6" ht="30.95" hidden="1" customHeight="1">
      <c r="A1280" s="612" t="s">
        <v>41</v>
      </c>
      <c r="B1280" s="612"/>
      <c r="C1280" s="612"/>
      <c r="D1280" s="612"/>
      <c r="E1280" s="612"/>
      <c r="F1280" s="612"/>
    </row>
    <row r="1281" spans="1:6" ht="30.95" hidden="1" customHeight="1">
      <c r="A1281" s="128"/>
      <c r="B1281" s="128"/>
      <c r="C1281" s="128"/>
      <c r="D1281" s="128"/>
      <c r="E1281" s="128"/>
      <c r="F1281" s="128"/>
    </row>
    <row r="1282" spans="1:6" ht="30.95" hidden="1" customHeight="1">
      <c r="A1282" s="622" t="s">
        <v>249</v>
      </c>
      <c r="B1282" s="623"/>
      <c r="C1282" s="623"/>
      <c r="D1282" s="198" t="str">
        <f>표지!$O$3&amp;" "&amp;표지!$O$4</f>
        <v>20○○회합100○○○ 회생</v>
      </c>
      <c r="E1282" s="160" t="s">
        <v>261</v>
      </c>
      <c r="F1282" s="199" t="str">
        <f>표지!$O$5</f>
        <v>○○○○ 주식회사</v>
      </c>
    </row>
    <row r="1283" spans="1:6" ht="30.95" hidden="1" customHeight="1">
      <c r="A1283" s="624" t="s">
        <v>125</v>
      </c>
      <c r="B1283" s="423"/>
      <c r="C1283" s="423"/>
      <c r="D1283" s="276">
        <v>143</v>
      </c>
      <c r="E1283" s="170" t="s">
        <v>190</v>
      </c>
      <c r="F1283" s="111"/>
    </row>
    <row r="1284" spans="1:6" ht="30.95" hidden="1" customHeight="1">
      <c r="A1284" s="625" t="s">
        <v>183</v>
      </c>
      <c r="B1284" s="419" t="s">
        <v>118</v>
      </c>
      <c r="C1284" s="420"/>
      <c r="D1284" s="419" t="e">
        <f>VLOOKUP(D1283,주주총괄!$A$5:$J$8,4,0)</f>
        <v>#N/A</v>
      </c>
      <c r="E1284" s="420"/>
      <c r="F1284" s="626"/>
    </row>
    <row r="1285" spans="1:6" ht="30.95" hidden="1" customHeight="1">
      <c r="A1285" s="625"/>
      <c r="B1285" s="419" t="s">
        <v>250</v>
      </c>
      <c r="C1285" s="420"/>
      <c r="D1285" s="564" t="e">
        <f>VLOOKUP(D1283,주주총괄!$A$5:$J$8,5,0)</f>
        <v>#N/A</v>
      </c>
      <c r="E1285" s="565"/>
      <c r="F1285" s="627"/>
    </row>
    <row r="1286" spans="1:6" ht="30.95" hidden="1" customHeight="1">
      <c r="A1286" s="625"/>
      <c r="B1286" s="419" t="s">
        <v>23</v>
      </c>
      <c r="C1286" s="420"/>
      <c r="D1286" s="25"/>
      <c r="E1286" s="62" t="s">
        <v>151</v>
      </c>
      <c r="F1286" s="161"/>
    </row>
    <row r="1287" spans="1:6" ht="30.95" hidden="1" customHeight="1">
      <c r="A1287" s="210" t="s">
        <v>59</v>
      </c>
      <c r="B1287" s="205" t="e">
        <f>VLOOKUP(D1283,주주총괄!$A$5:$J$8,6,0)</f>
        <v>#N/A</v>
      </c>
      <c r="C1287" s="274" t="e">
        <f>VLOOKUP(D1283,주주총괄!$A$5:$J$8,7,0)</f>
        <v>#N/A</v>
      </c>
      <c r="D1287" s="275" t="e">
        <f>VLOOKUP(D1283,주주총괄!$A$5:$J$8,8,0)</f>
        <v>#N/A</v>
      </c>
      <c r="E1287" s="620" t="str">
        <f>"(액면가액: "&amp;TEXT(주주총괄!$L$4,"###,###원)")</f>
        <v>(액면가액: 100원)</v>
      </c>
      <c r="F1287" s="621"/>
    </row>
    <row r="1288" spans="1:6" ht="30.95" hidden="1" customHeight="1">
      <c r="A1288" s="211" t="s">
        <v>19</v>
      </c>
      <c r="B1288" s="618"/>
      <c r="C1288" s="618"/>
      <c r="D1288" s="618"/>
      <c r="E1288" s="618"/>
      <c r="F1288" s="619"/>
    </row>
    <row r="1289" spans="1:6" ht="30.95" hidden="1" customHeight="1">
      <c r="A1289" s="612" t="s">
        <v>41</v>
      </c>
      <c r="B1289" s="612"/>
      <c r="C1289" s="612"/>
      <c r="D1289" s="612"/>
      <c r="E1289" s="612"/>
      <c r="F1289" s="612"/>
    </row>
    <row r="1290" spans="1:6" ht="30.95" hidden="1" customHeight="1">
      <c r="A1290" s="128"/>
      <c r="B1290" s="128"/>
      <c r="C1290" s="128"/>
      <c r="D1290" s="128"/>
      <c r="E1290" s="128"/>
      <c r="F1290" s="128"/>
    </row>
    <row r="1291" spans="1:6" ht="30.95" hidden="1" customHeight="1">
      <c r="A1291" s="622" t="s">
        <v>249</v>
      </c>
      <c r="B1291" s="623"/>
      <c r="C1291" s="623"/>
      <c r="D1291" s="198" t="str">
        <f>표지!$O$3&amp;" "&amp;표지!$O$4</f>
        <v>20○○회합100○○○ 회생</v>
      </c>
      <c r="E1291" s="160" t="s">
        <v>261</v>
      </c>
      <c r="F1291" s="199" t="str">
        <f>표지!$O$5</f>
        <v>○○○○ 주식회사</v>
      </c>
    </row>
    <row r="1292" spans="1:6" ht="30.95" hidden="1" customHeight="1">
      <c r="A1292" s="624" t="s">
        <v>125</v>
      </c>
      <c r="B1292" s="423"/>
      <c r="C1292" s="423"/>
      <c r="D1292" s="276">
        <v>144</v>
      </c>
      <c r="E1292" s="170" t="s">
        <v>190</v>
      </c>
      <c r="F1292" s="111"/>
    </row>
    <row r="1293" spans="1:6" ht="30.95" hidden="1" customHeight="1">
      <c r="A1293" s="625" t="s">
        <v>183</v>
      </c>
      <c r="B1293" s="419" t="s">
        <v>118</v>
      </c>
      <c r="C1293" s="420"/>
      <c r="D1293" s="419" t="e">
        <f>VLOOKUP(D1292,주주총괄!$A$5:$J$8,4,0)</f>
        <v>#N/A</v>
      </c>
      <c r="E1293" s="420"/>
      <c r="F1293" s="626"/>
    </row>
    <row r="1294" spans="1:6" ht="30.95" hidden="1" customHeight="1">
      <c r="A1294" s="625"/>
      <c r="B1294" s="419" t="s">
        <v>250</v>
      </c>
      <c r="C1294" s="420"/>
      <c r="D1294" s="564" t="e">
        <f>VLOOKUP(D1292,주주총괄!$A$5:$J$8,5,0)</f>
        <v>#N/A</v>
      </c>
      <c r="E1294" s="565"/>
      <c r="F1294" s="627"/>
    </row>
    <row r="1295" spans="1:6" ht="30.95" hidden="1" customHeight="1">
      <c r="A1295" s="625"/>
      <c r="B1295" s="419" t="s">
        <v>23</v>
      </c>
      <c r="C1295" s="420"/>
      <c r="D1295" s="25"/>
      <c r="E1295" s="62" t="s">
        <v>151</v>
      </c>
      <c r="F1295" s="161"/>
    </row>
    <row r="1296" spans="1:6" ht="30.95" hidden="1" customHeight="1">
      <c r="A1296" s="210" t="s">
        <v>59</v>
      </c>
      <c r="B1296" s="205" t="e">
        <f>VLOOKUP(D1292,주주총괄!$A$5:$J$8,6,0)</f>
        <v>#N/A</v>
      </c>
      <c r="C1296" s="274" t="e">
        <f>VLOOKUP(D1292,주주총괄!$A$5:$J$8,7,0)</f>
        <v>#N/A</v>
      </c>
      <c r="D1296" s="275" t="e">
        <f>VLOOKUP(D1292,주주총괄!$A$5:$J$8,8,0)</f>
        <v>#N/A</v>
      </c>
      <c r="E1296" s="620" t="str">
        <f>"(액면가액: "&amp;TEXT(주주총괄!$L$4,"###,###원)")</f>
        <v>(액면가액: 100원)</v>
      </c>
      <c r="F1296" s="621"/>
    </row>
    <row r="1297" spans="1:6" ht="30.95" hidden="1" customHeight="1">
      <c r="A1297" s="211" t="s">
        <v>19</v>
      </c>
      <c r="B1297" s="618"/>
      <c r="C1297" s="618"/>
      <c r="D1297" s="618"/>
      <c r="E1297" s="618"/>
      <c r="F1297" s="619"/>
    </row>
    <row r="1298" spans="1:6" ht="30.95" hidden="1" customHeight="1">
      <c r="A1298" s="612" t="s">
        <v>41</v>
      </c>
      <c r="B1298" s="612"/>
      <c r="C1298" s="612"/>
      <c r="D1298" s="612"/>
      <c r="E1298" s="612"/>
      <c r="F1298" s="612"/>
    </row>
    <row r="1299" spans="1:6" ht="30.95" hidden="1" customHeight="1">
      <c r="A1299" s="128"/>
      <c r="B1299" s="128"/>
      <c r="C1299" s="128"/>
      <c r="D1299" s="128"/>
      <c r="E1299" s="128"/>
      <c r="F1299" s="128"/>
    </row>
    <row r="1300" spans="1:6" ht="30.95" hidden="1" customHeight="1">
      <c r="A1300" s="622" t="s">
        <v>249</v>
      </c>
      <c r="B1300" s="623"/>
      <c r="C1300" s="623"/>
      <c r="D1300" s="198" t="str">
        <f>표지!$O$3&amp;" "&amp;표지!$O$4</f>
        <v>20○○회합100○○○ 회생</v>
      </c>
      <c r="E1300" s="160" t="s">
        <v>261</v>
      </c>
      <c r="F1300" s="199" t="str">
        <f>표지!$O$5</f>
        <v>○○○○ 주식회사</v>
      </c>
    </row>
    <row r="1301" spans="1:6" ht="30.95" hidden="1" customHeight="1">
      <c r="A1301" s="624" t="s">
        <v>125</v>
      </c>
      <c r="B1301" s="423"/>
      <c r="C1301" s="423"/>
      <c r="D1301" s="276">
        <v>145</v>
      </c>
      <c r="E1301" s="170" t="s">
        <v>190</v>
      </c>
      <c r="F1301" s="111"/>
    </row>
    <row r="1302" spans="1:6" ht="30.95" hidden="1" customHeight="1">
      <c r="A1302" s="625" t="s">
        <v>183</v>
      </c>
      <c r="B1302" s="419" t="s">
        <v>118</v>
      </c>
      <c r="C1302" s="420"/>
      <c r="D1302" s="419" t="e">
        <f>VLOOKUP(D1301,주주총괄!$A$5:$J$8,4,0)</f>
        <v>#N/A</v>
      </c>
      <c r="E1302" s="420"/>
      <c r="F1302" s="626"/>
    </row>
    <row r="1303" spans="1:6" ht="30.95" hidden="1" customHeight="1">
      <c r="A1303" s="625"/>
      <c r="B1303" s="419" t="s">
        <v>250</v>
      </c>
      <c r="C1303" s="420"/>
      <c r="D1303" s="564" t="e">
        <f>VLOOKUP(D1301,주주총괄!$A$5:$J$8,5,0)</f>
        <v>#N/A</v>
      </c>
      <c r="E1303" s="565"/>
      <c r="F1303" s="627"/>
    </row>
    <row r="1304" spans="1:6" ht="30.95" hidden="1" customHeight="1">
      <c r="A1304" s="625"/>
      <c r="B1304" s="419" t="s">
        <v>23</v>
      </c>
      <c r="C1304" s="420"/>
      <c r="D1304" s="25"/>
      <c r="E1304" s="62" t="s">
        <v>151</v>
      </c>
      <c r="F1304" s="161"/>
    </row>
    <row r="1305" spans="1:6" ht="30.95" hidden="1" customHeight="1">
      <c r="A1305" s="210" t="s">
        <v>59</v>
      </c>
      <c r="B1305" s="205" t="e">
        <f>VLOOKUP(D1301,주주총괄!$A$5:$J$8,6,0)</f>
        <v>#N/A</v>
      </c>
      <c r="C1305" s="274" t="e">
        <f>VLOOKUP(D1301,주주총괄!$A$5:$J$8,7,0)</f>
        <v>#N/A</v>
      </c>
      <c r="D1305" s="275" t="e">
        <f>VLOOKUP(D1301,주주총괄!$A$5:$J$8,8,0)</f>
        <v>#N/A</v>
      </c>
      <c r="E1305" s="620" t="str">
        <f>"(액면가액: "&amp;TEXT(주주총괄!$L$4,"###,###원)")</f>
        <v>(액면가액: 100원)</v>
      </c>
      <c r="F1305" s="621"/>
    </row>
    <row r="1306" spans="1:6" ht="30.95" hidden="1" customHeight="1">
      <c r="A1306" s="211" t="s">
        <v>19</v>
      </c>
      <c r="B1306" s="618"/>
      <c r="C1306" s="618"/>
      <c r="D1306" s="618"/>
      <c r="E1306" s="618"/>
      <c r="F1306" s="619"/>
    </row>
    <row r="1307" spans="1:6" ht="30.95" hidden="1" customHeight="1">
      <c r="A1307" s="612" t="s">
        <v>41</v>
      </c>
      <c r="B1307" s="612"/>
      <c r="C1307" s="612"/>
      <c r="D1307" s="612"/>
      <c r="E1307" s="612"/>
      <c r="F1307" s="612"/>
    </row>
    <row r="1308" spans="1:6" ht="30.95" hidden="1" customHeight="1">
      <c r="A1308" s="128"/>
      <c r="B1308" s="128"/>
      <c r="C1308" s="128"/>
      <c r="D1308" s="128"/>
      <c r="E1308" s="128"/>
      <c r="F1308" s="128"/>
    </row>
    <row r="1309" spans="1:6" ht="30.95" hidden="1" customHeight="1">
      <c r="A1309" s="622" t="s">
        <v>249</v>
      </c>
      <c r="B1309" s="623"/>
      <c r="C1309" s="623"/>
      <c r="D1309" s="198" t="str">
        <f>표지!$O$3&amp;" "&amp;표지!$O$4</f>
        <v>20○○회합100○○○ 회생</v>
      </c>
      <c r="E1309" s="160" t="s">
        <v>261</v>
      </c>
      <c r="F1309" s="199" t="str">
        <f>표지!$O$5</f>
        <v>○○○○ 주식회사</v>
      </c>
    </row>
    <row r="1310" spans="1:6" ht="30.95" hidden="1" customHeight="1">
      <c r="A1310" s="624" t="s">
        <v>125</v>
      </c>
      <c r="B1310" s="423"/>
      <c r="C1310" s="423"/>
      <c r="D1310" s="276">
        <v>146</v>
      </c>
      <c r="E1310" s="170" t="s">
        <v>190</v>
      </c>
      <c r="F1310" s="111"/>
    </row>
    <row r="1311" spans="1:6" ht="30.95" hidden="1" customHeight="1">
      <c r="A1311" s="625" t="s">
        <v>183</v>
      </c>
      <c r="B1311" s="419" t="s">
        <v>118</v>
      </c>
      <c r="C1311" s="420"/>
      <c r="D1311" s="419" t="e">
        <f>VLOOKUP(D1310,주주총괄!$A$5:$J$8,4,0)</f>
        <v>#N/A</v>
      </c>
      <c r="E1311" s="420"/>
      <c r="F1311" s="626"/>
    </row>
    <row r="1312" spans="1:6" ht="30.95" hidden="1" customHeight="1">
      <c r="A1312" s="625"/>
      <c r="B1312" s="419" t="s">
        <v>250</v>
      </c>
      <c r="C1312" s="420"/>
      <c r="D1312" s="564" t="e">
        <f>VLOOKUP(D1310,주주총괄!$A$5:$J$8,5,0)</f>
        <v>#N/A</v>
      </c>
      <c r="E1312" s="565"/>
      <c r="F1312" s="627"/>
    </row>
    <row r="1313" spans="1:6" ht="30.95" hidden="1" customHeight="1">
      <c r="A1313" s="625"/>
      <c r="B1313" s="419" t="s">
        <v>23</v>
      </c>
      <c r="C1313" s="420"/>
      <c r="D1313" s="25"/>
      <c r="E1313" s="62" t="s">
        <v>151</v>
      </c>
      <c r="F1313" s="161"/>
    </row>
    <row r="1314" spans="1:6" ht="30.95" hidden="1" customHeight="1">
      <c r="A1314" s="210" t="s">
        <v>59</v>
      </c>
      <c r="B1314" s="205" t="e">
        <f>VLOOKUP(D1310,주주총괄!$A$5:$J$8,6,0)</f>
        <v>#N/A</v>
      </c>
      <c r="C1314" s="274" t="e">
        <f>VLOOKUP(D1310,주주총괄!$A$5:$J$8,7,0)</f>
        <v>#N/A</v>
      </c>
      <c r="D1314" s="275" t="e">
        <f>VLOOKUP(D1310,주주총괄!$A$5:$J$8,8,0)</f>
        <v>#N/A</v>
      </c>
      <c r="E1314" s="620" t="str">
        <f>"(액면가액: "&amp;TEXT(주주총괄!$L$4,"###,###원)")</f>
        <v>(액면가액: 100원)</v>
      </c>
      <c r="F1314" s="621"/>
    </row>
    <row r="1315" spans="1:6" ht="30.95" hidden="1" customHeight="1">
      <c r="A1315" s="211" t="s">
        <v>19</v>
      </c>
      <c r="B1315" s="618"/>
      <c r="C1315" s="618"/>
      <c r="D1315" s="618"/>
      <c r="E1315" s="618"/>
      <c r="F1315" s="619"/>
    </row>
    <row r="1316" spans="1:6" ht="30.95" hidden="1" customHeight="1">
      <c r="A1316" s="612" t="s">
        <v>41</v>
      </c>
      <c r="B1316" s="612"/>
      <c r="C1316" s="612"/>
      <c r="D1316" s="612"/>
      <c r="E1316" s="612"/>
      <c r="F1316" s="612"/>
    </row>
    <row r="1317" spans="1:6" ht="30.95" hidden="1" customHeight="1">
      <c r="A1317" s="128"/>
      <c r="B1317" s="128"/>
      <c r="C1317" s="128"/>
      <c r="D1317" s="128"/>
      <c r="E1317" s="128"/>
      <c r="F1317" s="128"/>
    </row>
    <row r="1318" spans="1:6" ht="30.95" hidden="1" customHeight="1">
      <c r="A1318" s="622" t="s">
        <v>249</v>
      </c>
      <c r="B1318" s="623"/>
      <c r="C1318" s="623"/>
      <c r="D1318" s="198" t="str">
        <f>표지!$O$3&amp;" "&amp;표지!$O$4</f>
        <v>20○○회합100○○○ 회생</v>
      </c>
      <c r="E1318" s="160" t="s">
        <v>261</v>
      </c>
      <c r="F1318" s="199" t="str">
        <f>표지!$O$5</f>
        <v>○○○○ 주식회사</v>
      </c>
    </row>
    <row r="1319" spans="1:6" ht="30.95" hidden="1" customHeight="1">
      <c r="A1319" s="624" t="s">
        <v>125</v>
      </c>
      <c r="B1319" s="423"/>
      <c r="C1319" s="423"/>
      <c r="D1319" s="276">
        <v>147</v>
      </c>
      <c r="E1319" s="170" t="s">
        <v>190</v>
      </c>
      <c r="F1319" s="111"/>
    </row>
    <row r="1320" spans="1:6" ht="30.95" hidden="1" customHeight="1">
      <c r="A1320" s="625" t="s">
        <v>183</v>
      </c>
      <c r="B1320" s="419" t="s">
        <v>118</v>
      </c>
      <c r="C1320" s="420"/>
      <c r="D1320" s="419" t="e">
        <f>VLOOKUP(D1319,주주총괄!$A$5:$J$8,4,0)</f>
        <v>#N/A</v>
      </c>
      <c r="E1320" s="420"/>
      <c r="F1320" s="626"/>
    </row>
    <row r="1321" spans="1:6" ht="30.95" hidden="1" customHeight="1">
      <c r="A1321" s="625"/>
      <c r="B1321" s="419" t="s">
        <v>250</v>
      </c>
      <c r="C1321" s="420"/>
      <c r="D1321" s="564" t="e">
        <f>VLOOKUP(D1319,주주총괄!$A$5:$J$8,5,0)</f>
        <v>#N/A</v>
      </c>
      <c r="E1321" s="565"/>
      <c r="F1321" s="627"/>
    </row>
    <row r="1322" spans="1:6" ht="30.95" hidden="1" customHeight="1">
      <c r="A1322" s="625"/>
      <c r="B1322" s="419" t="s">
        <v>23</v>
      </c>
      <c r="C1322" s="420"/>
      <c r="D1322" s="25"/>
      <c r="E1322" s="62" t="s">
        <v>151</v>
      </c>
      <c r="F1322" s="161"/>
    </row>
    <row r="1323" spans="1:6" ht="30.95" hidden="1" customHeight="1">
      <c r="A1323" s="210" t="s">
        <v>59</v>
      </c>
      <c r="B1323" s="205" t="e">
        <f>VLOOKUP(D1319,주주총괄!$A$5:$J$8,6,0)</f>
        <v>#N/A</v>
      </c>
      <c r="C1323" s="274" t="e">
        <f>VLOOKUP(D1319,주주총괄!$A$5:$J$8,7,0)</f>
        <v>#N/A</v>
      </c>
      <c r="D1323" s="275" t="e">
        <f>VLOOKUP(D1319,주주총괄!$A$5:$J$8,8,0)</f>
        <v>#N/A</v>
      </c>
      <c r="E1323" s="620" t="str">
        <f>"(액면가액: "&amp;TEXT(주주총괄!$L$4,"###,###원)")</f>
        <v>(액면가액: 100원)</v>
      </c>
      <c r="F1323" s="621"/>
    </row>
    <row r="1324" spans="1:6" ht="30.95" hidden="1" customHeight="1">
      <c r="A1324" s="211" t="s">
        <v>19</v>
      </c>
      <c r="B1324" s="618"/>
      <c r="C1324" s="618"/>
      <c r="D1324" s="618"/>
      <c r="E1324" s="618"/>
      <c r="F1324" s="619"/>
    </row>
    <row r="1325" spans="1:6" ht="30.95" hidden="1" customHeight="1">
      <c r="A1325" s="612" t="s">
        <v>41</v>
      </c>
      <c r="B1325" s="612"/>
      <c r="C1325" s="612"/>
      <c r="D1325" s="612"/>
      <c r="E1325" s="612"/>
      <c r="F1325" s="612"/>
    </row>
    <row r="1326" spans="1:6" ht="30.95" hidden="1" customHeight="1">
      <c r="A1326" s="128"/>
      <c r="B1326" s="128"/>
      <c r="C1326" s="128"/>
      <c r="D1326" s="128"/>
      <c r="E1326" s="128"/>
      <c r="F1326" s="128"/>
    </row>
    <row r="1327" spans="1:6" ht="30.95" hidden="1" customHeight="1">
      <c r="A1327" s="622" t="s">
        <v>249</v>
      </c>
      <c r="B1327" s="623"/>
      <c r="C1327" s="623"/>
      <c r="D1327" s="198" t="str">
        <f>표지!$O$3&amp;" "&amp;표지!$O$4</f>
        <v>20○○회합100○○○ 회생</v>
      </c>
      <c r="E1327" s="160" t="s">
        <v>261</v>
      </c>
      <c r="F1327" s="199" t="str">
        <f>표지!$O$5</f>
        <v>○○○○ 주식회사</v>
      </c>
    </row>
    <row r="1328" spans="1:6" ht="30.95" hidden="1" customHeight="1">
      <c r="A1328" s="624" t="s">
        <v>125</v>
      </c>
      <c r="B1328" s="423"/>
      <c r="C1328" s="423"/>
      <c r="D1328" s="276">
        <v>148</v>
      </c>
      <c r="E1328" s="170" t="s">
        <v>190</v>
      </c>
      <c r="F1328" s="111"/>
    </row>
    <row r="1329" spans="1:6" ht="30.95" hidden="1" customHeight="1">
      <c r="A1329" s="625" t="s">
        <v>183</v>
      </c>
      <c r="B1329" s="419" t="s">
        <v>118</v>
      </c>
      <c r="C1329" s="420"/>
      <c r="D1329" s="419" t="e">
        <f>VLOOKUP(D1328,주주총괄!$A$5:$J$8,4,0)</f>
        <v>#N/A</v>
      </c>
      <c r="E1329" s="420"/>
      <c r="F1329" s="626"/>
    </row>
    <row r="1330" spans="1:6" ht="30.95" hidden="1" customHeight="1">
      <c r="A1330" s="625"/>
      <c r="B1330" s="419" t="s">
        <v>250</v>
      </c>
      <c r="C1330" s="420"/>
      <c r="D1330" s="564" t="e">
        <f>VLOOKUP(D1328,주주총괄!$A$5:$J$8,5,0)</f>
        <v>#N/A</v>
      </c>
      <c r="E1330" s="565"/>
      <c r="F1330" s="627"/>
    </row>
    <row r="1331" spans="1:6" ht="30.95" hidden="1" customHeight="1">
      <c r="A1331" s="625"/>
      <c r="B1331" s="419" t="s">
        <v>23</v>
      </c>
      <c r="C1331" s="420"/>
      <c r="D1331" s="25"/>
      <c r="E1331" s="62" t="s">
        <v>151</v>
      </c>
      <c r="F1331" s="161"/>
    </row>
    <row r="1332" spans="1:6" ht="30.95" hidden="1" customHeight="1">
      <c r="A1332" s="210" t="s">
        <v>59</v>
      </c>
      <c r="B1332" s="205" t="e">
        <f>VLOOKUP(D1328,주주총괄!$A$5:$J$8,6,0)</f>
        <v>#N/A</v>
      </c>
      <c r="C1332" s="274" t="e">
        <f>VLOOKUP(D1328,주주총괄!$A$5:$J$8,7,0)</f>
        <v>#N/A</v>
      </c>
      <c r="D1332" s="275" t="e">
        <f>VLOOKUP(D1328,주주총괄!$A$5:$J$8,8,0)</f>
        <v>#N/A</v>
      </c>
      <c r="E1332" s="620" t="str">
        <f>"(액면가액: "&amp;TEXT(주주총괄!$L$4,"###,###원)")</f>
        <v>(액면가액: 100원)</v>
      </c>
      <c r="F1332" s="621"/>
    </row>
    <row r="1333" spans="1:6" ht="30.95" hidden="1" customHeight="1">
      <c r="A1333" s="211" t="s">
        <v>19</v>
      </c>
      <c r="B1333" s="618"/>
      <c r="C1333" s="618"/>
      <c r="D1333" s="618"/>
      <c r="E1333" s="618"/>
      <c r="F1333" s="619"/>
    </row>
    <row r="1334" spans="1:6" ht="30.95" hidden="1" customHeight="1">
      <c r="A1334" s="612" t="s">
        <v>41</v>
      </c>
      <c r="B1334" s="612"/>
      <c r="C1334" s="612"/>
      <c r="D1334" s="612"/>
      <c r="E1334" s="612"/>
      <c r="F1334" s="612"/>
    </row>
    <row r="1335" spans="1:6" ht="30.95" hidden="1" customHeight="1">
      <c r="A1335" s="128"/>
      <c r="B1335" s="128"/>
      <c r="C1335" s="128"/>
      <c r="D1335" s="128"/>
      <c r="E1335" s="128"/>
      <c r="F1335" s="128"/>
    </row>
    <row r="1336" spans="1:6" ht="30.95" hidden="1" customHeight="1">
      <c r="A1336" s="622" t="s">
        <v>249</v>
      </c>
      <c r="B1336" s="623"/>
      <c r="C1336" s="623"/>
      <c r="D1336" s="198" t="str">
        <f>표지!$O$3&amp;" "&amp;표지!$O$4</f>
        <v>20○○회합100○○○ 회생</v>
      </c>
      <c r="E1336" s="160" t="s">
        <v>261</v>
      </c>
      <c r="F1336" s="199" t="str">
        <f>표지!$O$5</f>
        <v>○○○○ 주식회사</v>
      </c>
    </row>
    <row r="1337" spans="1:6" ht="30.95" hidden="1" customHeight="1">
      <c r="A1337" s="624" t="s">
        <v>125</v>
      </c>
      <c r="B1337" s="423"/>
      <c r="C1337" s="423"/>
      <c r="D1337" s="276">
        <v>149</v>
      </c>
      <c r="E1337" s="170" t="s">
        <v>190</v>
      </c>
      <c r="F1337" s="111"/>
    </row>
    <row r="1338" spans="1:6" ht="30.95" hidden="1" customHeight="1">
      <c r="A1338" s="625" t="s">
        <v>183</v>
      </c>
      <c r="B1338" s="419" t="s">
        <v>118</v>
      </c>
      <c r="C1338" s="420"/>
      <c r="D1338" s="419" t="e">
        <f>VLOOKUP(D1337,주주총괄!$A$5:$J$8,4,0)</f>
        <v>#N/A</v>
      </c>
      <c r="E1338" s="420"/>
      <c r="F1338" s="626"/>
    </row>
    <row r="1339" spans="1:6" ht="30.95" hidden="1" customHeight="1">
      <c r="A1339" s="625"/>
      <c r="B1339" s="419" t="s">
        <v>250</v>
      </c>
      <c r="C1339" s="420"/>
      <c r="D1339" s="564" t="e">
        <f>VLOOKUP(D1337,주주총괄!$A$5:$J$8,5,0)</f>
        <v>#N/A</v>
      </c>
      <c r="E1339" s="565"/>
      <c r="F1339" s="627"/>
    </row>
    <row r="1340" spans="1:6" ht="30.95" hidden="1" customHeight="1">
      <c r="A1340" s="625"/>
      <c r="B1340" s="419" t="s">
        <v>23</v>
      </c>
      <c r="C1340" s="420"/>
      <c r="D1340" s="25"/>
      <c r="E1340" s="62" t="s">
        <v>151</v>
      </c>
      <c r="F1340" s="161"/>
    </row>
    <row r="1341" spans="1:6" ht="30.95" hidden="1" customHeight="1">
      <c r="A1341" s="210" t="s">
        <v>59</v>
      </c>
      <c r="B1341" s="205" t="e">
        <f>VLOOKUP(D1337,주주총괄!$A$5:$J$8,6,0)</f>
        <v>#N/A</v>
      </c>
      <c r="C1341" s="274" t="e">
        <f>VLOOKUP(D1337,주주총괄!$A$5:$J$8,7,0)</f>
        <v>#N/A</v>
      </c>
      <c r="D1341" s="275" t="e">
        <f>VLOOKUP(D1337,주주총괄!$A$5:$J$8,8,0)</f>
        <v>#N/A</v>
      </c>
      <c r="E1341" s="620" t="str">
        <f>"(액면가액: "&amp;TEXT(주주총괄!$L$4,"###,###원)")</f>
        <v>(액면가액: 100원)</v>
      </c>
      <c r="F1341" s="621"/>
    </row>
    <row r="1342" spans="1:6" ht="30.95" hidden="1" customHeight="1">
      <c r="A1342" s="211" t="s">
        <v>19</v>
      </c>
      <c r="B1342" s="618"/>
      <c r="C1342" s="618"/>
      <c r="D1342" s="618"/>
      <c r="E1342" s="618"/>
      <c r="F1342" s="619"/>
    </row>
    <row r="1343" spans="1:6" ht="30.95" hidden="1" customHeight="1">
      <c r="A1343" s="612" t="s">
        <v>41</v>
      </c>
      <c r="B1343" s="612"/>
      <c r="C1343" s="612"/>
      <c r="D1343" s="612"/>
      <c r="E1343" s="612"/>
      <c r="F1343" s="612"/>
    </row>
    <row r="1344" spans="1:6" ht="30.95" hidden="1" customHeight="1">
      <c r="A1344" s="128"/>
      <c r="B1344" s="128"/>
      <c r="C1344" s="128"/>
      <c r="D1344" s="128"/>
      <c r="E1344" s="128"/>
      <c r="F1344" s="128"/>
    </row>
    <row r="1345" spans="1:6" ht="30.95" hidden="1" customHeight="1">
      <c r="A1345" s="622" t="s">
        <v>249</v>
      </c>
      <c r="B1345" s="623"/>
      <c r="C1345" s="623"/>
      <c r="D1345" s="198" t="str">
        <f>표지!$O$3&amp;" "&amp;표지!$O$4</f>
        <v>20○○회합100○○○ 회생</v>
      </c>
      <c r="E1345" s="160" t="s">
        <v>261</v>
      </c>
      <c r="F1345" s="199" t="str">
        <f>표지!$O$5</f>
        <v>○○○○ 주식회사</v>
      </c>
    </row>
    <row r="1346" spans="1:6" ht="30.95" hidden="1" customHeight="1">
      <c r="A1346" s="624" t="s">
        <v>125</v>
      </c>
      <c r="B1346" s="423"/>
      <c r="C1346" s="423"/>
      <c r="D1346" s="276">
        <v>150</v>
      </c>
      <c r="E1346" s="170" t="s">
        <v>190</v>
      </c>
      <c r="F1346" s="111"/>
    </row>
    <row r="1347" spans="1:6" ht="30.95" hidden="1" customHeight="1">
      <c r="A1347" s="625" t="s">
        <v>183</v>
      </c>
      <c r="B1347" s="419" t="s">
        <v>118</v>
      </c>
      <c r="C1347" s="420"/>
      <c r="D1347" s="419" t="e">
        <f>VLOOKUP(D1346,주주총괄!$A$5:$J$8,4,0)</f>
        <v>#N/A</v>
      </c>
      <c r="E1347" s="420"/>
      <c r="F1347" s="626"/>
    </row>
    <row r="1348" spans="1:6" ht="30.95" hidden="1" customHeight="1">
      <c r="A1348" s="625"/>
      <c r="B1348" s="419" t="s">
        <v>250</v>
      </c>
      <c r="C1348" s="420"/>
      <c r="D1348" s="564" t="e">
        <f>VLOOKUP(D1346,주주총괄!$A$5:$J$8,5,0)</f>
        <v>#N/A</v>
      </c>
      <c r="E1348" s="565"/>
      <c r="F1348" s="627"/>
    </row>
    <row r="1349" spans="1:6" ht="30.95" hidden="1" customHeight="1">
      <c r="A1349" s="625"/>
      <c r="B1349" s="419" t="s">
        <v>23</v>
      </c>
      <c r="C1349" s="420"/>
      <c r="D1349" s="25"/>
      <c r="E1349" s="62" t="s">
        <v>151</v>
      </c>
      <c r="F1349" s="161"/>
    </row>
    <row r="1350" spans="1:6" ht="30.95" hidden="1" customHeight="1">
      <c r="A1350" s="210" t="s">
        <v>59</v>
      </c>
      <c r="B1350" s="205" t="e">
        <f>VLOOKUP(D1346,주주총괄!$A$5:$J$8,6,0)</f>
        <v>#N/A</v>
      </c>
      <c r="C1350" s="274" t="e">
        <f>VLOOKUP(D1346,주주총괄!$A$5:$J$8,7,0)</f>
        <v>#N/A</v>
      </c>
      <c r="D1350" s="275" t="e">
        <f>VLOOKUP(D1346,주주총괄!$A$5:$J$8,8,0)</f>
        <v>#N/A</v>
      </c>
      <c r="E1350" s="620" t="str">
        <f>"(액면가액: "&amp;TEXT(주주총괄!$L$4,"###,###원)")</f>
        <v>(액면가액: 100원)</v>
      </c>
      <c r="F1350" s="621"/>
    </row>
    <row r="1351" spans="1:6" ht="30.95" hidden="1" customHeight="1">
      <c r="A1351" s="211" t="s">
        <v>19</v>
      </c>
      <c r="B1351" s="618"/>
      <c r="C1351" s="618"/>
      <c r="D1351" s="618"/>
      <c r="E1351" s="618"/>
      <c r="F1351" s="619"/>
    </row>
    <row r="1352" spans="1:6" ht="30.95" hidden="1" customHeight="1">
      <c r="A1352" s="612" t="s">
        <v>41</v>
      </c>
      <c r="B1352" s="612"/>
      <c r="C1352" s="612"/>
      <c r="D1352" s="612"/>
      <c r="E1352" s="612"/>
      <c r="F1352" s="612"/>
    </row>
    <row r="1353" spans="1:6" ht="30.95" hidden="1" customHeight="1">
      <c r="A1353" s="128"/>
      <c r="B1353" s="128"/>
      <c r="C1353" s="128"/>
      <c r="D1353" s="128"/>
      <c r="E1353" s="128"/>
      <c r="F1353" s="128"/>
    </row>
    <row r="1354" spans="1:6" ht="30.95" hidden="1" customHeight="1">
      <c r="A1354" s="622" t="s">
        <v>249</v>
      </c>
      <c r="B1354" s="623"/>
      <c r="C1354" s="623"/>
      <c r="D1354" s="198" t="str">
        <f>표지!$O$3&amp;" "&amp;표지!$O$4</f>
        <v>20○○회합100○○○ 회생</v>
      </c>
      <c r="E1354" s="160" t="s">
        <v>261</v>
      </c>
      <c r="F1354" s="199" t="str">
        <f>표지!$O$5</f>
        <v>○○○○ 주식회사</v>
      </c>
    </row>
    <row r="1355" spans="1:6" ht="30.95" hidden="1" customHeight="1">
      <c r="A1355" s="624" t="s">
        <v>125</v>
      </c>
      <c r="B1355" s="423"/>
      <c r="C1355" s="423"/>
      <c r="D1355" s="276">
        <v>151</v>
      </c>
      <c r="E1355" s="170" t="s">
        <v>190</v>
      </c>
      <c r="F1355" s="111"/>
    </row>
    <row r="1356" spans="1:6" ht="30.95" hidden="1" customHeight="1">
      <c r="A1356" s="625" t="s">
        <v>183</v>
      </c>
      <c r="B1356" s="419" t="s">
        <v>118</v>
      </c>
      <c r="C1356" s="420"/>
      <c r="D1356" s="419" t="e">
        <f>VLOOKUP(D1355,주주총괄!$A$5:$J$8,4,0)</f>
        <v>#N/A</v>
      </c>
      <c r="E1356" s="420"/>
      <c r="F1356" s="626"/>
    </row>
    <row r="1357" spans="1:6" ht="30.95" hidden="1" customHeight="1">
      <c r="A1357" s="625"/>
      <c r="B1357" s="419" t="s">
        <v>250</v>
      </c>
      <c r="C1357" s="420"/>
      <c r="D1357" s="564" t="e">
        <f>VLOOKUP(D1355,주주총괄!$A$5:$J$8,5,0)</f>
        <v>#N/A</v>
      </c>
      <c r="E1357" s="565"/>
      <c r="F1357" s="627"/>
    </row>
    <row r="1358" spans="1:6" ht="30.95" hidden="1" customHeight="1">
      <c r="A1358" s="625"/>
      <c r="B1358" s="419" t="s">
        <v>23</v>
      </c>
      <c r="C1358" s="420"/>
      <c r="D1358" s="25"/>
      <c r="E1358" s="62" t="s">
        <v>151</v>
      </c>
      <c r="F1358" s="161"/>
    </row>
    <row r="1359" spans="1:6" ht="30.95" hidden="1" customHeight="1">
      <c r="A1359" s="210" t="s">
        <v>59</v>
      </c>
      <c r="B1359" s="205" t="e">
        <f>VLOOKUP(D1355,주주총괄!$A$5:$J$8,6,0)</f>
        <v>#N/A</v>
      </c>
      <c r="C1359" s="274" t="e">
        <f>VLOOKUP(D1355,주주총괄!$A$5:$J$8,7,0)</f>
        <v>#N/A</v>
      </c>
      <c r="D1359" s="275" t="e">
        <f>VLOOKUP(D1355,주주총괄!$A$5:$J$8,8,0)</f>
        <v>#N/A</v>
      </c>
      <c r="E1359" s="620" t="str">
        <f>"(액면가액: "&amp;TEXT(주주총괄!$L$4,"###,###원)")</f>
        <v>(액면가액: 100원)</v>
      </c>
      <c r="F1359" s="621"/>
    </row>
    <row r="1360" spans="1:6" ht="30.95" hidden="1" customHeight="1">
      <c r="A1360" s="211" t="s">
        <v>19</v>
      </c>
      <c r="B1360" s="618"/>
      <c r="C1360" s="618"/>
      <c r="D1360" s="618"/>
      <c r="E1360" s="618"/>
      <c r="F1360" s="619"/>
    </row>
    <row r="1361" spans="1:6" ht="30.95" hidden="1" customHeight="1">
      <c r="A1361" s="612" t="s">
        <v>41</v>
      </c>
      <c r="B1361" s="612"/>
      <c r="C1361" s="612"/>
      <c r="D1361" s="612"/>
      <c r="E1361" s="612"/>
      <c r="F1361" s="612"/>
    </row>
    <row r="1362" spans="1:6" ht="30.95" hidden="1" customHeight="1">
      <c r="A1362" s="128"/>
      <c r="B1362" s="128"/>
      <c r="C1362" s="128"/>
      <c r="D1362" s="128"/>
      <c r="E1362" s="128"/>
      <c r="F1362" s="128"/>
    </row>
    <row r="1363" spans="1:6" ht="30.95" hidden="1" customHeight="1">
      <c r="A1363" s="622" t="s">
        <v>249</v>
      </c>
      <c r="B1363" s="623"/>
      <c r="C1363" s="623"/>
      <c r="D1363" s="198" t="str">
        <f>표지!$O$3&amp;" "&amp;표지!$O$4</f>
        <v>20○○회합100○○○ 회생</v>
      </c>
      <c r="E1363" s="160" t="s">
        <v>261</v>
      </c>
      <c r="F1363" s="199" t="str">
        <f>표지!$O$5</f>
        <v>○○○○ 주식회사</v>
      </c>
    </row>
    <row r="1364" spans="1:6" ht="30.95" hidden="1" customHeight="1">
      <c r="A1364" s="624" t="s">
        <v>125</v>
      </c>
      <c r="B1364" s="423"/>
      <c r="C1364" s="423"/>
      <c r="D1364" s="276">
        <v>152</v>
      </c>
      <c r="E1364" s="170" t="s">
        <v>190</v>
      </c>
      <c r="F1364" s="111"/>
    </row>
    <row r="1365" spans="1:6" ht="30.95" hidden="1" customHeight="1">
      <c r="A1365" s="625" t="s">
        <v>183</v>
      </c>
      <c r="B1365" s="419" t="s">
        <v>118</v>
      </c>
      <c r="C1365" s="420"/>
      <c r="D1365" s="419" t="e">
        <f>VLOOKUP(D1364,주주총괄!$A$5:$J$8,4,0)</f>
        <v>#N/A</v>
      </c>
      <c r="E1365" s="420"/>
      <c r="F1365" s="626"/>
    </row>
    <row r="1366" spans="1:6" ht="30.95" hidden="1" customHeight="1">
      <c r="A1366" s="625"/>
      <c r="B1366" s="419" t="s">
        <v>250</v>
      </c>
      <c r="C1366" s="420"/>
      <c r="D1366" s="564" t="e">
        <f>VLOOKUP(D1364,주주총괄!$A$5:$J$8,5,0)</f>
        <v>#N/A</v>
      </c>
      <c r="E1366" s="565"/>
      <c r="F1366" s="627"/>
    </row>
    <row r="1367" spans="1:6" ht="30.95" hidden="1" customHeight="1">
      <c r="A1367" s="625"/>
      <c r="B1367" s="419" t="s">
        <v>23</v>
      </c>
      <c r="C1367" s="420"/>
      <c r="D1367" s="25"/>
      <c r="E1367" s="62" t="s">
        <v>151</v>
      </c>
      <c r="F1367" s="161"/>
    </row>
    <row r="1368" spans="1:6" ht="30.95" hidden="1" customHeight="1">
      <c r="A1368" s="210" t="s">
        <v>59</v>
      </c>
      <c r="B1368" s="205" t="e">
        <f>VLOOKUP(D1364,주주총괄!$A$5:$J$8,6,0)</f>
        <v>#N/A</v>
      </c>
      <c r="C1368" s="274" t="e">
        <f>VLOOKUP(D1364,주주총괄!$A$5:$J$8,7,0)</f>
        <v>#N/A</v>
      </c>
      <c r="D1368" s="275" t="e">
        <f>VLOOKUP(D1364,주주총괄!$A$5:$J$8,8,0)</f>
        <v>#N/A</v>
      </c>
      <c r="E1368" s="620" t="str">
        <f>"(액면가액: "&amp;TEXT(주주총괄!$L$4,"###,###원)")</f>
        <v>(액면가액: 100원)</v>
      </c>
      <c r="F1368" s="621"/>
    </row>
    <row r="1369" spans="1:6" ht="30.95" hidden="1" customHeight="1">
      <c r="A1369" s="211" t="s">
        <v>19</v>
      </c>
      <c r="B1369" s="618"/>
      <c r="C1369" s="618"/>
      <c r="D1369" s="618"/>
      <c r="E1369" s="618"/>
      <c r="F1369" s="619"/>
    </row>
    <row r="1370" spans="1:6" ht="30.95" hidden="1" customHeight="1">
      <c r="A1370" s="612" t="s">
        <v>41</v>
      </c>
      <c r="B1370" s="612"/>
      <c r="C1370" s="612"/>
      <c r="D1370" s="612"/>
      <c r="E1370" s="612"/>
      <c r="F1370" s="612"/>
    </row>
    <row r="1371" spans="1:6" ht="30.95" hidden="1" customHeight="1">
      <c r="A1371" s="128"/>
      <c r="B1371" s="128"/>
      <c r="C1371" s="128"/>
      <c r="D1371" s="128"/>
      <c r="E1371" s="128"/>
      <c r="F1371" s="128"/>
    </row>
    <row r="1372" spans="1:6" ht="30.95" hidden="1" customHeight="1">
      <c r="A1372" s="622" t="s">
        <v>249</v>
      </c>
      <c r="B1372" s="623"/>
      <c r="C1372" s="623"/>
      <c r="D1372" s="198" t="str">
        <f>표지!$O$3&amp;" "&amp;표지!$O$4</f>
        <v>20○○회합100○○○ 회생</v>
      </c>
      <c r="E1372" s="160" t="s">
        <v>261</v>
      </c>
      <c r="F1372" s="199" t="str">
        <f>표지!$O$5</f>
        <v>○○○○ 주식회사</v>
      </c>
    </row>
    <row r="1373" spans="1:6" ht="30.95" hidden="1" customHeight="1">
      <c r="A1373" s="624" t="s">
        <v>125</v>
      </c>
      <c r="B1373" s="423"/>
      <c r="C1373" s="423"/>
      <c r="D1373" s="276">
        <v>153</v>
      </c>
      <c r="E1373" s="170" t="s">
        <v>190</v>
      </c>
      <c r="F1373" s="111"/>
    </row>
    <row r="1374" spans="1:6" ht="30.95" hidden="1" customHeight="1">
      <c r="A1374" s="625" t="s">
        <v>183</v>
      </c>
      <c r="B1374" s="419" t="s">
        <v>118</v>
      </c>
      <c r="C1374" s="420"/>
      <c r="D1374" s="419" t="e">
        <f>VLOOKUP(D1373,주주총괄!$A$5:$J$8,4,0)</f>
        <v>#N/A</v>
      </c>
      <c r="E1374" s="420"/>
      <c r="F1374" s="626"/>
    </row>
    <row r="1375" spans="1:6" ht="30.95" hidden="1" customHeight="1">
      <c r="A1375" s="625"/>
      <c r="B1375" s="419" t="s">
        <v>250</v>
      </c>
      <c r="C1375" s="420"/>
      <c r="D1375" s="564" t="e">
        <f>VLOOKUP(D1373,주주총괄!$A$5:$J$8,5,0)</f>
        <v>#N/A</v>
      </c>
      <c r="E1375" s="565"/>
      <c r="F1375" s="627"/>
    </row>
    <row r="1376" spans="1:6" ht="30.95" hidden="1" customHeight="1">
      <c r="A1376" s="625"/>
      <c r="B1376" s="419" t="s">
        <v>23</v>
      </c>
      <c r="C1376" s="420"/>
      <c r="D1376" s="25"/>
      <c r="E1376" s="62" t="s">
        <v>151</v>
      </c>
      <c r="F1376" s="161"/>
    </row>
    <row r="1377" spans="1:6" ht="30.95" hidden="1" customHeight="1">
      <c r="A1377" s="210" t="s">
        <v>59</v>
      </c>
      <c r="B1377" s="205" t="e">
        <f>VLOOKUP(D1373,주주총괄!$A$5:$J$8,6,0)</f>
        <v>#N/A</v>
      </c>
      <c r="C1377" s="274" t="e">
        <f>VLOOKUP(D1373,주주총괄!$A$5:$J$8,7,0)</f>
        <v>#N/A</v>
      </c>
      <c r="D1377" s="275" t="e">
        <f>VLOOKUP(D1373,주주총괄!$A$5:$J$8,8,0)</f>
        <v>#N/A</v>
      </c>
      <c r="E1377" s="620" t="str">
        <f>"(액면가액: "&amp;TEXT(주주총괄!$L$4,"###,###원)")</f>
        <v>(액면가액: 100원)</v>
      </c>
      <c r="F1377" s="621"/>
    </row>
    <row r="1378" spans="1:6" ht="30.95" hidden="1" customHeight="1">
      <c r="A1378" s="211" t="s">
        <v>19</v>
      </c>
      <c r="B1378" s="618"/>
      <c r="C1378" s="618"/>
      <c r="D1378" s="618"/>
      <c r="E1378" s="618"/>
      <c r="F1378" s="619"/>
    </row>
    <row r="1379" spans="1:6" ht="30.95" hidden="1" customHeight="1">
      <c r="A1379" s="612" t="s">
        <v>41</v>
      </c>
      <c r="B1379" s="612"/>
      <c r="C1379" s="612"/>
      <c r="D1379" s="612"/>
      <c r="E1379" s="612"/>
      <c r="F1379" s="612"/>
    </row>
    <row r="1380" spans="1:6" ht="30.95" hidden="1" customHeight="1">
      <c r="A1380" s="128"/>
      <c r="B1380" s="128"/>
      <c r="C1380" s="128"/>
      <c r="D1380" s="128"/>
      <c r="E1380" s="128"/>
      <c r="F1380" s="128"/>
    </row>
    <row r="1381" spans="1:6" ht="30.95" hidden="1" customHeight="1">
      <c r="A1381" s="622" t="s">
        <v>249</v>
      </c>
      <c r="B1381" s="623"/>
      <c r="C1381" s="623"/>
      <c r="D1381" s="198" t="str">
        <f>표지!$O$3&amp;" "&amp;표지!$O$4</f>
        <v>20○○회합100○○○ 회생</v>
      </c>
      <c r="E1381" s="160" t="s">
        <v>261</v>
      </c>
      <c r="F1381" s="199" t="str">
        <f>표지!$O$5</f>
        <v>○○○○ 주식회사</v>
      </c>
    </row>
    <row r="1382" spans="1:6" ht="30.95" hidden="1" customHeight="1">
      <c r="A1382" s="624" t="s">
        <v>125</v>
      </c>
      <c r="B1382" s="423"/>
      <c r="C1382" s="423"/>
      <c r="D1382" s="276">
        <v>154</v>
      </c>
      <c r="E1382" s="170" t="s">
        <v>190</v>
      </c>
      <c r="F1382" s="111"/>
    </row>
    <row r="1383" spans="1:6" ht="30.95" hidden="1" customHeight="1">
      <c r="A1383" s="625" t="s">
        <v>183</v>
      </c>
      <c r="B1383" s="419" t="s">
        <v>118</v>
      </c>
      <c r="C1383" s="420"/>
      <c r="D1383" s="419" t="e">
        <f>VLOOKUP(D1382,주주총괄!$A$5:$J$8,4,0)</f>
        <v>#N/A</v>
      </c>
      <c r="E1383" s="420"/>
      <c r="F1383" s="626"/>
    </row>
    <row r="1384" spans="1:6" ht="30.95" hidden="1" customHeight="1">
      <c r="A1384" s="625"/>
      <c r="B1384" s="419" t="s">
        <v>250</v>
      </c>
      <c r="C1384" s="420"/>
      <c r="D1384" s="564" t="e">
        <f>VLOOKUP(D1382,주주총괄!$A$5:$J$8,5,0)</f>
        <v>#N/A</v>
      </c>
      <c r="E1384" s="565"/>
      <c r="F1384" s="627"/>
    </row>
    <row r="1385" spans="1:6" ht="30.95" hidden="1" customHeight="1">
      <c r="A1385" s="625"/>
      <c r="B1385" s="419" t="s">
        <v>23</v>
      </c>
      <c r="C1385" s="420"/>
      <c r="D1385" s="25"/>
      <c r="E1385" s="62" t="s">
        <v>151</v>
      </c>
      <c r="F1385" s="161"/>
    </row>
    <row r="1386" spans="1:6" ht="30.95" hidden="1" customHeight="1">
      <c r="A1386" s="210" t="s">
        <v>59</v>
      </c>
      <c r="B1386" s="205" t="e">
        <f>VLOOKUP(D1382,주주총괄!$A$5:$J$8,6,0)</f>
        <v>#N/A</v>
      </c>
      <c r="C1386" s="274" t="e">
        <f>VLOOKUP(D1382,주주총괄!$A$5:$J$8,7,0)</f>
        <v>#N/A</v>
      </c>
      <c r="D1386" s="275" t="e">
        <f>VLOOKUP(D1382,주주총괄!$A$5:$J$8,8,0)</f>
        <v>#N/A</v>
      </c>
      <c r="E1386" s="620" t="str">
        <f>"(액면가액: "&amp;TEXT(주주총괄!$L$4,"###,###원)")</f>
        <v>(액면가액: 100원)</v>
      </c>
      <c r="F1386" s="621"/>
    </row>
    <row r="1387" spans="1:6" ht="30.95" hidden="1" customHeight="1">
      <c r="A1387" s="211" t="s">
        <v>19</v>
      </c>
      <c r="B1387" s="618"/>
      <c r="C1387" s="618"/>
      <c r="D1387" s="618"/>
      <c r="E1387" s="618"/>
      <c r="F1387" s="619"/>
    </row>
    <row r="1388" spans="1:6" ht="30.95" hidden="1" customHeight="1">
      <c r="A1388" s="612" t="s">
        <v>41</v>
      </c>
      <c r="B1388" s="612"/>
      <c r="C1388" s="612"/>
      <c r="D1388" s="612"/>
      <c r="E1388" s="612"/>
      <c r="F1388" s="612"/>
    </row>
    <row r="1389" spans="1:6" ht="30.95" hidden="1" customHeight="1">
      <c r="A1389" s="128"/>
      <c r="B1389" s="128"/>
      <c r="C1389" s="128"/>
      <c r="D1389" s="128"/>
      <c r="E1389" s="128"/>
      <c r="F1389" s="128"/>
    </row>
    <row r="1390" spans="1:6" ht="30.95" hidden="1" customHeight="1">
      <c r="A1390" s="622" t="s">
        <v>249</v>
      </c>
      <c r="B1390" s="623"/>
      <c r="C1390" s="623"/>
      <c r="D1390" s="198" t="str">
        <f>표지!$O$3&amp;" "&amp;표지!$O$4</f>
        <v>20○○회합100○○○ 회생</v>
      </c>
      <c r="E1390" s="160" t="s">
        <v>261</v>
      </c>
      <c r="F1390" s="199" t="str">
        <f>표지!$O$5</f>
        <v>○○○○ 주식회사</v>
      </c>
    </row>
    <row r="1391" spans="1:6" ht="30.95" hidden="1" customHeight="1">
      <c r="A1391" s="624" t="s">
        <v>125</v>
      </c>
      <c r="B1391" s="423"/>
      <c r="C1391" s="423"/>
      <c r="D1391" s="276">
        <v>155</v>
      </c>
      <c r="E1391" s="170" t="s">
        <v>190</v>
      </c>
      <c r="F1391" s="111"/>
    </row>
    <row r="1392" spans="1:6" ht="30.95" hidden="1" customHeight="1">
      <c r="A1392" s="625" t="s">
        <v>183</v>
      </c>
      <c r="B1392" s="419" t="s">
        <v>118</v>
      </c>
      <c r="C1392" s="420"/>
      <c r="D1392" s="419" t="e">
        <f>VLOOKUP(D1391,주주총괄!$A$5:$J$8,4,0)</f>
        <v>#N/A</v>
      </c>
      <c r="E1392" s="420"/>
      <c r="F1392" s="626"/>
    </row>
    <row r="1393" spans="1:6" ht="30.95" hidden="1" customHeight="1">
      <c r="A1393" s="625"/>
      <c r="B1393" s="419" t="s">
        <v>250</v>
      </c>
      <c r="C1393" s="420"/>
      <c r="D1393" s="564" t="e">
        <f>VLOOKUP(D1391,주주총괄!$A$5:$J$8,5,0)</f>
        <v>#N/A</v>
      </c>
      <c r="E1393" s="565"/>
      <c r="F1393" s="627"/>
    </row>
    <row r="1394" spans="1:6" ht="30.95" hidden="1" customHeight="1">
      <c r="A1394" s="625"/>
      <c r="B1394" s="419" t="s">
        <v>23</v>
      </c>
      <c r="C1394" s="420"/>
      <c r="D1394" s="25"/>
      <c r="E1394" s="62" t="s">
        <v>151</v>
      </c>
      <c r="F1394" s="161"/>
    </row>
    <row r="1395" spans="1:6" ht="30.95" hidden="1" customHeight="1">
      <c r="A1395" s="210" t="s">
        <v>59</v>
      </c>
      <c r="B1395" s="205" t="e">
        <f>VLOOKUP(D1391,주주총괄!$A$5:$J$8,6,0)</f>
        <v>#N/A</v>
      </c>
      <c r="C1395" s="274" t="e">
        <f>VLOOKUP(D1391,주주총괄!$A$5:$J$8,7,0)</f>
        <v>#N/A</v>
      </c>
      <c r="D1395" s="275" t="e">
        <f>VLOOKUP(D1391,주주총괄!$A$5:$J$8,8,0)</f>
        <v>#N/A</v>
      </c>
      <c r="E1395" s="620" t="str">
        <f>"(액면가액: "&amp;TEXT(주주총괄!$L$4,"###,###원)")</f>
        <v>(액면가액: 100원)</v>
      </c>
      <c r="F1395" s="621"/>
    </row>
    <row r="1396" spans="1:6" ht="30.95" hidden="1" customHeight="1">
      <c r="A1396" s="211" t="s">
        <v>19</v>
      </c>
      <c r="B1396" s="618"/>
      <c r="C1396" s="618"/>
      <c r="D1396" s="618"/>
      <c r="E1396" s="618"/>
      <c r="F1396" s="619"/>
    </row>
    <row r="1397" spans="1:6" ht="30.95" hidden="1" customHeight="1">
      <c r="A1397" s="612" t="s">
        <v>41</v>
      </c>
      <c r="B1397" s="612"/>
      <c r="C1397" s="612"/>
      <c r="D1397" s="612"/>
      <c r="E1397" s="612"/>
      <c r="F1397" s="612"/>
    </row>
    <row r="1398" spans="1:6" ht="30.95" hidden="1" customHeight="1">
      <c r="A1398" s="128"/>
      <c r="B1398" s="128"/>
      <c r="C1398" s="128"/>
      <c r="D1398" s="128"/>
      <c r="E1398" s="128"/>
      <c r="F1398" s="128"/>
    </row>
    <row r="1399" spans="1:6" ht="30.95" hidden="1" customHeight="1">
      <c r="A1399" s="622" t="s">
        <v>249</v>
      </c>
      <c r="B1399" s="623"/>
      <c r="C1399" s="623"/>
      <c r="D1399" s="198" t="str">
        <f>표지!$O$3&amp;" "&amp;표지!$O$4</f>
        <v>20○○회합100○○○ 회생</v>
      </c>
      <c r="E1399" s="160" t="s">
        <v>261</v>
      </c>
      <c r="F1399" s="199" t="str">
        <f>표지!$O$5</f>
        <v>○○○○ 주식회사</v>
      </c>
    </row>
    <row r="1400" spans="1:6" ht="30.95" hidden="1" customHeight="1">
      <c r="A1400" s="624" t="s">
        <v>125</v>
      </c>
      <c r="B1400" s="423"/>
      <c r="C1400" s="423"/>
      <c r="D1400" s="276">
        <v>156</v>
      </c>
      <c r="E1400" s="170" t="s">
        <v>190</v>
      </c>
      <c r="F1400" s="111"/>
    </row>
    <row r="1401" spans="1:6" ht="30.95" hidden="1" customHeight="1">
      <c r="A1401" s="625" t="s">
        <v>183</v>
      </c>
      <c r="B1401" s="419" t="s">
        <v>118</v>
      </c>
      <c r="C1401" s="420"/>
      <c r="D1401" s="419" t="e">
        <f>VLOOKUP(D1400,주주총괄!$A$5:$J$8,4,0)</f>
        <v>#N/A</v>
      </c>
      <c r="E1401" s="420"/>
      <c r="F1401" s="626"/>
    </row>
    <row r="1402" spans="1:6" ht="30.95" hidden="1" customHeight="1">
      <c r="A1402" s="625"/>
      <c r="B1402" s="419" t="s">
        <v>250</v>
      </c>
      <c r="C1402" s="420"/>
      <c r="D1402" s="564" t="e">
        <f>VLOOKUP(D1400,주주총괄!$A$5:$J$8,5,0)</f>
        <v>#N/A</v>
      </c>
      <c r="E1402" s="565"/>
      <c r="F1402" s="627"/>
    </row>
    <row r="1403" spans="1:6" ht="30.95" hidden="1" customHeight="1">
      <c r="A1403" s="625"/>
      <c r="B1403" s="419" t="s">
        <v>23</v>
      </c>
      <c r="C1403" s="420"/>
      <c r="D1403" s="25"/>
      <c r="E1403" s="62" t="s">
        <v>151</v>
      </c>
      <c r="F1403" s="161"/>
    </row>
    <row r="1404" spans="1:6" ht="30.95" hidden="1" customHeight="1">
      <c r="A1404" s="210" t="s">
        <v>59</v>
      </c>
      <c r="B1404" s="205" t="e">
        <f>VLOOKUP(D1400,주주총괄!$A$5:$J$8,6,0)</f>
        <v>#N/A</v>
      </c>
      <c r="C1404" s="274" t="e">
        <f>VLOOKUP(D1400,주주총괄!$A$5:$J$8,7,0)</f>
        <v>#N/A</v>
      </c>
      <c r="D1404" s="275" t="e">
        <f>VLOOKUP(D1400,주주총괄!$A$5:$J$8,8,0)</f>
        <v>#N/A</v>
      </c>
      <c r="E1404" s="620" t="str">
        <f>"(액면가액: "&amp;TEXT(주주총괄!$L$4,"###,###원)")</f>
        <v>(액면가액: 100원)</v>
      </c>
      <c r="F1404" s="621"/>
    </row>
    <row r="1405" spans="1:6" ht="30.95" hidden="1" customHeight="1">
      <c r="A1405" s="211" t="s">
        <v>19</v>
      </c>
      <c r="B1405" s="618"/>
      <c r="C1405" s="618"/>
      <c r="D1405" s="618"/>
      <c r="E1405" s="618"/>
      <c r="F1405" s="619"/>
    </row>
    <row r="1406" spans="1:6" ht="30.95" hidden="1" customHeight="1">
      <c r="A1406" s="612" t="s">
        <v>41</v>
      </c>
      <c r="B1406" s="612"/>
      <c r="C1406" s="612"/>
      <c r="D1406" s="612"/>
      <c r="E1406" s="612"/>
      <c r="F1406" s="612"/>
    </row>
    <row r="1407" spans="1:6" ht="30.95" hidden="1" customHeight="1">
      <c r="A1407" s="128"/>
      <c r="B1407" s="128"/>
      <c r="C1407" s="128"/>
      <c r="D1407" s="128"/>
      <c r="E1407" s="128"/>
      <c r="F1407" s="128"/>
    </row>
    <row r="1408" spans="1:6" ht="30.95" hidden="1" customHeight="1">
      <c r="A1408" s="622" t="s">
        <v>249</v>
      </c>
      <c r="B1408" s="623"/>
      <c r="C1408" s="623"/>
      <c r="D1408" s="198" t="str">
        <f>표지!$O$3&amp;" "&amp;표지!$O$4</f>
        <v>20○○회합100○○○ 회생</v>
      </c>
      <c r="E1408" s="160" t="s">
        <v>261</v>
      </c>
      <c r="F1408" s="199" t="str">
        <f>표지!$O$5</f>
        <v>○○○○ 주식회사</v>
      </c>
    </row>
    <row r="1409" spans="1:6" ht="30.95" hidden="1" customHeight="1">
      <c r="A1409" s="624" t="s">
        <v>125</v>
      </c>
      <c r="B1409" s="423"/>
      <c r="C1409" s="423"/>
      <c r="D1409" s="276">
        <v>157</v>
      </c>
      <c r="E1409" s="170" t="s">
        <v>190</v>
      </c>
      <c r="F1409" s="111"/>
    </row>
    <row r="1410" spans="1:6" ht="30.95" hidden="1" customHeight="1">
      <c r="A1410" s="625" t="s">
        <v>183</v>
      </c>
      <c r="B1410" s="419" t="s">
        <v>118</v>
      </c>
      <c r="C1410" s="420"/>
      <c r="D1410" s="419" t="e">
        <f>VLOOKUP(D1409,주주총괄!$A$5:$J$8,4,0)</f>
        <v>#N/A</v>
      </c>
      <c r="E1410" s="420"/>
      <c r="F1410" s="626"/>
    </row>
    <row r="1411" spans="1:6" ht="30.95" hidden="1" customHeight="1">
      <c r="A1411" s="625"/>
      <c r="B1411" s="419" t="s">
        <v>250</v>
      </c>
      <c r="C1411" s="420"/>
      <c r="D1411" s="564" t="e">
        <f>VLOOKUP(D1409,주주총괄!$A$5:$J$8,5,0)</f>
        <v>#N/A</v>
      </c>
      <c r="E1411" s="565"/>
      <c r="F1411" s="627"/>
    </row>
    <row r="1412" spans="1:6" ht="30.95" hidden="1" customHeight="1">
      <c r="A1412" s="625"/>
      <c r="B1412" s="419" t="s">
        <v>23</v>
      </c>
      <c r="C1412" s="420"/>
      <c r="D1412" s="25"/>
      <c r="E1412" s="62" t="s">
        <v>151</v>
      </c>
      <c r="F1412" s="161"/>
    </row>
    <row r="1413" spans="1:6" ht="30.95" hidden="1" customHeight="1">
      <c r="A1413" s="210" t="s">
        <v>59</v>
      </c>
      <c r="B1413" s="205" t="e">
        <f>VLOOKUP(D1409,주주총괄!$A$5:$J$8,6,0)</f>
        <v>#N/A</v>
      </c>
      <c r="C1413" s="274" t="e">
        <f>VLOOKUP(D1409,주주총괄!$A$5:$J$8,7,0)</f>
        <v>#N/A</v>
      </c>
      <c r="D1413" s="275" t="e">
        <f>VLOOKUP(D1409,주주총괄!$A$5:$J$8,8,0)</f>
        <v>#N/A</v>
      </c>
      <c r="E1413" s="620" t="str">
        <f>"(액면가액: "&amp;TEXT(주주총괄!$L$4,"###,###원)")</f>
        <v>(액면가액: 100원)</v>
      </c>
      <c r="F1413" s="621"/>
    </row>
    <row r="1414" spans="1:6" ht="30.95" hidden="1" customHeight="1">
      <c r="A1414" s="211" t="s">
        <v>19</v>
      </c>
      <c r="B1414" s="618"/>
      <c r="C1414" s="618"/>
      <c r="D1414" s="618"/>
      <c r="E1414" s="618"/>
      <c r="F1414" s="619"/>
    </row>
    <row r="1415" spans="1:6" ht="30.95" hidden="1" customHeight="1">
      <c r="A1415" s="612" t="s">
        <v>41</v>
      </c>
      <c r="B1415" s="612"/>
      <c r="C1415" s="612"/>
      <c r="D1415" s="612"/>
      <c r="E1415" s="612"/>
      <c r="F1415" s="612"/>
    </row>
    <row r="1416" spans="1:6" ht="30.95" hidden="1" customHeight="1">
      <c r="A1416" s="128"/>
      <c r="B1416" s="128"/>
      <c r="C1416" s="128"/>
      <c r="D1416" s="128"/>
      <c r="E1416" s="128"/>
      <c r="F1416" s="128"/>
    </row>
    <row r="1417" spans="1:6" ht="30.95" hidden="1" customHeight="1">
      <c r="A1417" s="622" t="s">
        <v>249</v>
      </c>
      <c r="B1417" s="623"/>
      <c r="C1417" s="623"/>
      <c r="D1417" s="198" t="str">
        <f>표지!$O$3&amp;" "&amp;표지!$O$4</f>
        <v>20○○회합100○○○ 회생</v>
      </c>
      <c r="E1417" s="160" t="s">
        <v>261</v>
      </c>
      <c r="F1417" s="199" t="str">
        <f>표지!$O$5</f>
        <v>○○○○ 주식회사</v>
      </c>
    </row>
    <row r="1418" spans="1:6" ht="30.95" hidden="1" customHeight="1">
      <c r="A1418" s="624" t="s">
        <v>125</v>
      </c>
      <c r="B1418" s="423"/>
      <c r="C1418" s="423"/>
      <c r="D1418" s="276">
        <v>158</v>
      </c>
      <c r="E1418" s="170" t="s">
        <v>190</v>
      </c>
      <c r="F1418" s="111"/>
    </row>
    <row r="1419" spans="1:6" ht="30.95" hidden="1" customHeight="1">
      <c r="A1419" s="625" t="s">
        <v>183</v>
      </c>
      <c r="B1419" s="419" t="s">
        <v>118</v>
      </c>
      <c r="C1419" s="420"/>
      <c r="D1419" s="419" t="e">
        <f>VLOOKUP(D1418,주주총괄!$A$5:$J$8,4,0)</f>
        <v>#N/A</v>
      </c>
      <c r="E1419" s="420"/>
      <c r="F1419" s="626"/>
    </row>
    <row r="1420" spans="1:6" ht="30.95" hidden="1" customHeight="1">
      <c r="A1420" s="625"/>
      <c r="B1420" s="419" t="s">
        <v>250</v>
      </c>
      <c r="C1420" s="420"/>
      <c r="D1420" s="564" t="e">
        <f>VLOOKUP(D1418,주주총괄!$A$5:$J$8,5,0)</f>
        <v>#N/A</v>
      </c>
      <c r="E1420" s="565"/>
      <c r="F1420" s="627"/>
    </row>
    <row r="1421" spans="1:6" ht="30.95" hidden="1" customHeight="1">
      <c r="A1421" s="625"/>
      <c r="B1421" s="419" t="s">
        <v>23</v>
      </c>
      <c r="C1421" s="420"/>
      <c r="D1421" s="25"/>
      <c r="E1421" s="62" t="s">
        <v>151</v>
      </c>
      <c r="F1421" s="161"/>
    </row>
    <row r="1422" spans="1:6" ht="30.95" hidden="1" customHeight="1">
      <c r="A1422" s="210" t="s">
        <v>59</v>
      </c>
      <c r="B1422" s="205" t="e">
        <f>VLOOKUP(D1418,주주총괄!$A$5:$J$8,6,0)</f>
        <v>#N/A</v>
      </c>
      <c r="C1422" s="274" t="e">
        <f>VLOOKUP(D1418,주주총괄!$A$5:$J$8,7,0)</f>
        <v>#N/A</v>
      </c>
      <c r="D1422" s="275" t="e">
        <f>VLOOKUP(D1418,주주총괄!$A$5:$J$8,8,0)</f>
        <v>#N/A</v>
      </c>
      <c r="E1422" s="620" t="str">
        <f>"(액면가액: "&amp;TEXT(주주총괄!$L$4,"###,###원)")</f>
        <v>(액면가액: 100원)</v>
      </c>
      <c r="F1422" s="621"/>
    </row>
    <row r="1423" spans="1:6" ht="30.95" hidden="1" customHeight="1">
      <c r="A1423" s="211" t="s">
        <v>19</v>
      </c>
      <c r="B1423" s="618"/>
      <c r="C1423" s="618"/>
      <c r="D1423" s="618"/>
      <c r="E1423" s="618"/>
      <c r="F1423" s="619"/>
    </row>
    <row r="1424" spans="1:6" ht="30.95" hidden="1" customHeight="1">
      <c r="A1424" s="612" t="s">
        <v>41</v>
      </c>
      <c r="B1424" s="612"/>
      <c r="C1424" s="612"/>
      <c r="D1424" s="612"/>
      <c r="E1424" s="612"/>
      <c r="F1424" s="612"/>
    </row>
    <row r="1425" spans="1:6" ht="30.95" hidden="1" customHeight="1">
      <c r="A1425" s="128"/>
      <c r="B1425" s="128"/>
      <c r="C1425" s="128"/>
      <c r="D1425" s="128"/>
      <c r="E1425" s="128"/>
      <c r="F1425" s="128"/>
    </row>
    <row r="1426" spans="1:6" ht="30.95" hidden="1" customHeight="1">
      <c r="A1426" s="622" t="s">
        <v>249</v>
      </c>
      <c r="B1426" s="623"/>
      <c r="C1426" s="623"/>
      <c r="D1426" s="198" t="str">
        <f>표지!$O$3&amp;" "&amp;표지!$O$4</f>
        <v>20○○회합100○○○ 회생</v>
      </c>
      <c r="E1426" s="160" t="s">
        <v>261</v>
      </c>
      <c r="F1426" s="199" t="str">
        <f>표지!$O$5</f>
        <v>○○○○ 주식회사</v>
      </c>
    </row>
    <row r="1427" spans="1:6" ht="30.95" hidden="1" customHeight="1">
      <c r="A1427" s="624" t="s">
        <v>125</v>
      </c>
      <c r="B1427" s="423"/>
      <c r="C1427" s="423"/>
      <c r="D1427" s="276">
        <v>159</v>
      </c>
      <c r="E1427" s="170" t="s">
        <v>190</v>
      </c>
      <c r="F1427" s="111"/>
    </row>
    <row r="1428" spans="1:6" ht="30.95" hidden="1" customHeight="1">
      <c r="A1428" s="625" t="s">
        <v>183</v>
      </c>
      <c r="B1428" s="419" t="s">
        <v>118</v>
      </c>
      <c r="C1428" s="420"/>
      <c r="D1428" s="419" t="e">
        <f>VLOOKUP(D1427,주주총괄!$A$5:$J$8,4,0)</f>
        <v>#N/A</v>
      </c>
      <c r="E1428" s="420"/>
      <c r="F1428" s="626"/>
    </row>
    <row r="1429" spans="1:6" ht="30.95" hidden="1" customHeight="1">
      <c r="A1429" s="625"/>
      <c r="B1429" s="419" t="s">
        <v>250</v>
      </c>
      <c r="C1429" s="420"/>
      <c r="D1429" s="564" t="e">
        <f>VLOOKUP(D1427,주주총괄!$A$5:$J$8,5,0)</f>
        <v>#N/A</v>
      </c>
      <c r="E1429" s="565"/>
      <c r="F1429" s="627"/>
    </row>
    <row r="1430" spans="1:6" ht="30.95" hidden="1" customHeight="1">
      <c r="A1430" s="625"/>
      <c r="B1430" s="419" t="s">
        <v>23</v>
      </c>
      <c r="C1430" s="420"/>
      <c r="D1430" s="25"/>
      <c r="E1430" s="62" t="s">
        <v>151</v>
      </c>
      <c r="F1430" s="161"/>
    </row>
    <row r="1431" spans="1:6" ht="30.95" hidden="1" customHeight="1">
      <c r="A1431" s="210" t="s">
        <v>59</v>
      </c>
      <c r="B1431" s="205" t="e">
        <f>VLOOKUP(D1427,주주총괄!$A$5:$J$8,6,0)</f>
        <v>#N/A</v>
      </c>
      <c r="C1431" s="274" t="e">
        <f>VLOOKUP(D1427,주주총괄!$A$5:$J$8,7,0)</f>
        <v>#N/A</v>
      </c>
      <c r="D1431" s="275" t="e">
        <f>VLOOKUP(D1427,주주총괄!$A$5:$J$8,8,0)</f>
        <v>#N/A</v>
      </c>
      <c r="E1431" s="620" t="str">
        <f>"(액면가액: "&amp;TEXT(주주총괄!$L$4,"###,###원)")</f>
        <v>(액면가액: 100원)</v>
      </c>
      <c r="F1431" s="621"/>
    </row>
    <row r="1432" spans="1:6" ht="30.95" hidden="1" customHeight="1">
      <c r="A1432" s="211" t="s">
        <v>19</v>
      </c>
      <c r="B1432" s="618"/>
      <c r="C1432" s="618"/>
      <c r="D1432" s="618"/>
      <c r="E1432" s="618"/>
      <c r="F1432" s="619"/>
    </row>
    <row r="1433" spans="1:6" ht="30.95" hidden="1" customHeight="1">
      <c r="A1433" s="612" t="s">
        <v>41</v>
      </c>
      <c r="B1433" s="612"/>
      <c r="C1433" s="612"/>
      <c r="D1433" s="612"/>
      <c r="E1433" s="612"/>
      <c r="F1433" s="612"/>
    </row>
    <row r="1434" spans="1:6" ht="30.95" hidden="1" customHeight="1">
      <c r="A1434" s="128"/>
      <c r="B1434" s="128"/>
      <c r="C1434" s="128"/>
      <c r="D1434" s="128"/>
      <c r="E1434" s="128"/>
      <c r="F1434" s="128"/>
    </row>
    <row r="1435" spans="1:6" ht="30.95" hidden="1" customHeight="1">
      <c r="A1435" s="622" t="s">
        <v>249</v>
      </c>
      <c r="B1435" s="623"/>
      <c r="C1435" s="623"/>
      <c r="D1435" s="198" t="str">
        <f>표지!$O$3&amp;" "&amp;표지!$O$4</f>
        <v>20○○회합100○○○ 회생</v>
      </c>
      <c r="E1435" s="160" t="s">
        <v>261</v>
      </c>
      <c r="F1435" s="199" t="str">
        <f>표지!$O$5</f>
        <v>○○○○ 주식회사</v>
      </c>
    </row>
    <row r="1436" spans="1:6" ht="30.95" hidden="1" customHeight="1">
      <c r="A1436" s="624" t="s">
        <v>125</v>
      </c>
      <c r="B1436" s="423"/>
      <c r="C1436" s="423"/>
      <c r="D1436" s="276">
        <v>160</v>
      </c>
      <c r="E1436" s="170" t="s">
        <v>190</v>
      </c>
      <c r="F1436" s="111"/>
    </row>
    <row r="1437" spans="1:6" ht="30.95" hidden="1" customHeight="1">
      <c r="A1437" s="625" t="s">
        <v>183</v>
      </c>
      <c r="B1437" s="419" t="s">
        <v>118</v>
      </c>
      <c r="C1437" s="420"/>
      <c r="D1437" s="419" t="e">
        <f>VLOOKUP(D1436,주주총괄!$A$5:$J$8,4,0)</f>
        <v>#N/A</v>
      </c>
      <c r="E1437" s="420"/>
      <c r="F1437" s="626"/>
    </row>
    <row r="1438" spans="1:6" ht="30.95" hidden="1" customHeight="1">
      <c r="A1438" s="625"/>
      <c r="B1438" s="419" t="s">
        <v>250</v>
      </c>
      <c r="C1438" s="420"/>
      <c r="D1438" s="564" t="e">
        <f>VLOOKUP(D1436,주주총괄!$A$5:$J$8,5,0)</f>
        <v>#N/A</v>
      </c>
      <c r="E1438" s="565"/>
      <c r="F1438" s="627"/>
    </row>
    <row r="1439" spans="1:6" ht="30.95" hidden="1" customHeight="1">
      <c r="A1439" s="625"/>
      <c r="B1439" s="419" t="s">
        <v>23</v>
      </c>
      <c r="C1439" s="420"/>
      <c r="D1439" s="25"/>
      <c r="E1439" s="62" t="s">
        <v>151</v>
      </c>
      <c r="F1439" s="161"/>
    </row>
    <row r="1440" spans="1:6" ht="30.95" hidden="1" customHeight="1">
      <c r="A1440" s="210" t="s">
        <v>59</v>
      </c>
      <c r="B1440" s="205" t="e">
        <f>VLOOKUP(D1436,주주총괄!$A$5:$J$8,6,0)</f>
        <v>#N/A</v>
      </c>
      <c r="C1440" s="274" t="e">
        <f>VLOOKUP(D1436,주주총괄!$A$5:$J$8,7,0)</f>
        <v>#N/A</v>
      </c>
      <c r="D1440" s="275" t="e">
        <f>VLOOKUP(D1436,주주총괄!$A$5:$J$8,8,0)</f>
        <v>#N/A</v>
      </c>
      <c r="E1440" s="620" t="str">
        <f>"(액면가액: "&amp;TEXT(주주총괄!$L$4,"###,###원)")</f>
        <v>(액면가액: 100원)</v>
      </c>
      <c r="F1440" s="621"/>
    </row>
    <row r="1441" spans="1:6" ht="30.95" hidden="1" customHeight="1">
      <c r="A1441" s="211" t="s">
        <v>19</v>
      </c>
      <c r="B1441" s="618"/>
      <c r="C1441" s="618"/>
      <c r="D1441" s="618"/>
      <c r="E1441" s="618"/>
      <c r="F1441" s="619"/>
    </row>
    <row r="1442" spans="1:6" ht="30.95" hidden="1" customHeight="1">
      <c r="A1442" s="612" t="s">
        <v>41</v>
      </c>
      <c r="B1442" s="612"/>
      <c r="C1442" s="612"/>
      <c r="D1442" s="612"/>
      <c r="E1442" s="612"/>
      <c r="F1442" s="612"/>
    </row>
    <row r="1443" spans="1:6" ht="30.95" hidden="1" customHeight="1">
      <c r="A1443" s="128"/>
      <c r="B1443" s="128"/>
      <c r="C1443" s="128"/>
      <c r="D1443" s="128"/>
      <c r="E1443" s="128"/>
      <c r="F1443" s="128"/>
    </row>
    <row r="1444" spans="1:6" ht="30.95" hidden="1" customHeight="1">
      <c r="A1444" s="622" t="s">
        <v>249</v>
      </c>
      <c r="B1444" s="623"/>
      <c r="C1444" s="623"/>
      <c r="D1444" s="198" t="str">
        <f>표지!$O$3&amp;" "&amp;표지!$O$4</f>
        <v>20○○회합100○○○ 회생</v>
      </c>
      <c r="E1444" s="160" t="s">
        <v>261</v>
      </c>
      <c r="F1444" s="199" t="str">
        <f>표지!$O$5</f>
        <v>○○○○ 주식회사</v>
      </c>
    </row>
    <row r="1445" spans="1:6" ht="30.95" hidden="1" customHeight="1">
      <c r="A1445" s="624" t="s">
        <v>125</v>
      </c>
      <c r="B1445" s="423"/>
      <c r="C1445" s="423"/>
      <c r="D1445" s="276">
        <v>161</v>
      </c>
      <c r="E1445" s="170" t="s">
        <v>190</v>
      </c>
      <c r="F1445" s="111"/>
    </row>
    <row r="1446" spans="1:6" ht="30.95" hidden="1" customHeight="1">
      <c r="A1446" s="625" t="s">
        <v>183</v>
      </c>
      <c r="B1446" s="419" t="s">
        <v>118</v>
      </c>
      <c r="C1446" s="420"/>
      <c r="D1446" s="419" t="e">
        <f>VLOOKUP(D1445,주주총괄!$A$5:$J$8,4,0)</f>
        <v>#N/A</v>
      </c>
      <c r="E1446" s="420"/>
      <c r="F1446" s="626"/>
    </row>
    <row r="1447" spans="1:6" ht="30.95" hidden="1" customHeight="1">
      <c r="A1447" s="625"/>
      <c r="B1447" s="419" t="s">
        <v>250</v>
      </c>
      <c r="C1447" s="420"/>
      <c r="D1447" s="564" t="e">
        <f>VLOOKUP(D1445,주주총괄!$A$5:$J$8,5,0)</f>
        <v>#N/A</v>
      </c>
      <c r="E1447" s="565"/>
      <c r="F1447" s="627"/>
    </row>
    <row r="1448" spans="1:6" ht="30.95" hidden="1" customHeight="1">
      <c r="A1448" s="625"/>
      <c r="B1448" s="419" t="s">
        <v>23</v>
      </c>
      <c r="C1448" s="420"/>
      <c r="D1448" s="25"/>
      <c r="E1448" s="62" t="s">
        <v>151</v>
      </c>
      <c r="F1448" s="161"/>
    </row>
    <row r="1449" spans="1:6" ht="30.95" hidden="1" customHeight="1">
      <c r="A1449" s="210" t="s">
        <v>59</v>
      </c>
      <c r="B1449" s="205" t="e">
        <f>VLOOKUP(D1445,주주총괄!$A$5:$J$8,6,0)</f>
        <v>#N/A</v>
      </c>
      <c r="C1449" s="274" t="e">
        <f>VLOOKUP(D1445,주주총괄!$A$5:$J$8,7,0)</f>
        <v>#N/A</v>
      </c>
      <c r="D1449" s="275" t="e">
        <f>VLOOKUP(D1445,주주총괄!$A$5:$J$8,8,0)</f>
        <v>#N/A</v>
      </c>
      <c r="E1449" s="620" t="str">
        <f>"(액면가액: "&amp;TEXT(주주총괄!$L$4,"###,###원)")</f>
        <v>(액면가액: 100원)</v>
      </c>
      <c r="F1449" s="621"/>
    </row>
    <row r="1450" spans="1:6" ht="30.95" hidden="1" customHeight="1">
      <c r="A1450" s="211" t="s">
        <v>19</v>
      </c>
      <c r="B1450" s="618"/>
      <c r="C1450" s="618"/>
      <c r="D1450" s="618"/>
      <c r="E1450" s="618"/>
      <c r="F1450" s="619"/>
    </row>
    <row r="1451" spans="1:6" ht="30.95" hidden="1" customHeight="1">
      <c r="A1451" s="612" t="s">
        <v>41</v>
      </c>
      <c r="B1451" s="612"/>
      <c r="C1451" s="612"/>
      <c r="D1451" s="612"/>
      <c r="E1451" s="612"/>
      <c r="F1451" s="612"/>
    </row>
    <row r="1452" spans="1:6" ht="30.95" hidden="1" customHeight="1">
      <c r="A1452" s="128"/>
      <c r="B1452" s="128"/>
      <c r="C1452" s="128"/>
      <c r="D1452" s="128"/>
      <c r="E1452" s="128"/>
      <c r="F1452" s="128"/>
    </row>
    <row r="1453" spans="1:6" ht="30.95" hidden="1" customHeight="1">
      <c r="A1453" s="622" t="s">
        <v>249</v>
      </c>
      <c r="B1453" s="623"/>
      <c r="C1453" s="623"/>
      <c r="D1453" s="198" t="str">
        <f>표지!$O$3&amp;" "&amp;표지!$O$4</f>
        <v>20○○회합100○○○ 회생</v>
      </c>
      <c r="E1453" s="160" t="s">
        <v>261</v>
      </c>
      <c r="F1453" s="199" t="str">
        <f>표지!$O$5</f>
        <v>○○○○ 주식회사</v>
      </c>
    </row>
    <row r="1454" spans="1:6" ht="30.95" hidden="1" customHeight="1">
      <c r="A1454" s="624" t="s">
        <v>125</v>
      </c>
      <c r="B1454" s="423"/>
      <c r="C1454" s="423"/>
      <c r="D1454" s="276">
        <v>162</v>
      </c>
      <c r="E1454" s="170" t="s">
        <v>190</v>
      </c>
      <c r="F1454" s="111"/>
    </row>
    <row r="1455" spans="1:6" ht="30.95" hidden="1" customHeight="1">
      <c r="A1455" s="625" t="s">
        <v>183</v>
      </c>
      <c r="B1455" s="419" t="s">
        <v>118</v>
      </c>
      <c r="C1455" s="420"/>
      <c r="D1455" s="419" t="e">
        <f>VLOOKUP(D1454,주주총괄!$A$5:$J$8,4,0)</f>
        <v>#N/A</v>
      </c>
      <c r="E1455" s="420"/>
      <c r="F1455" s="626"/>
    </row>
    <row r="1456" spans="1:6" ht="30.95" hidden="1" customHeight="1">
      <c r="A1456" s="625"/>
      <c r="B1456" s="419" t="s">
        <v>250</v>
      </c>
      <c r="C1456" s="420"/>
      <c r="D1456" s="564" t="e">
        <f>VLOOKUP(D1454,주주총괄!$A$5:$J$8,5,0)</f>
        <v>#N/A</v>
      </c>
      <c r="E1456" s="565"/>
      <c r="F1456" s="627"/>
    </row>
    <row r="1457" spans="1:6" ht="30.95" hidden="1" customHeight="1">
      <c r="A1457" s="625"/>
      <c r="B1457" s="419" t="s">
        <v>23</v>
      </c>
      <c r="C1457" s="420"/>
      <c r="D1457" s="25"/>
      <c r="E1457" s="62" t="s">
        <v>151</v>
      </c>
      <c r="F1457" s="161"/>
    </row>
    <row r="1458" spans="1:6" ht="30.95" hidden="1" customHeight="1">
      <c r="A1458" s="210" t="s">
        <v>59</v>
      </c>
      <c r="B1458" s="205" t="e">
        <f>VLOOKUP(D1454,주주총괄!$A$5:$J$8,6,0)</f>
        <v>#N/A</v>
      </c>
      <c r="C1458" s="274" t="e">
        <f>VLOOKUP(D1454,주주총괄!$A$5:$J$8,7,0)</f>
        <v>#N/A</v>
      </c>
      <c r="D1458" s="275" t="e">
        <f>VLOOKUP(D1454,주주총괄!$A$5:$J$8,8,0)</f>
        <v>#N/A</v>
      </c>
      <c r="E1458" s="620" t="str">
        <f>"(액면가액: "&amp;TEXT(주주총괄!$L$4,"###,###원)")</f>
        <v>(액면가액: 100원)</v>
      </c>
      <c r="F1458" s="621"/>
    </row>
    <row r="1459" spans="1:6" ht="30.95" hidden="1" customHeight="1">
      <c r="A1459" s="211" t="s">
        <v>19</v>
      </c>
      <c r="B1459" s="618"/>
      <c r="C1459" s="618"/>
      <c r="D1459" s="618"/>
      <c r="E1459" s="618"/>
      <c r="F1459" s="619"/>
    </row>
    <row r="1460" spans="1:6" ht="30.95" hidden="1" customHeight="1">
      <c r="A1460" s="612" t="s">
        <v>41</v>
      </c>
      <c r="B1460" s="612"/>
      <c r="C1460" s="612"/>
      <c r="D1460" s="612"/>
      <c r="E1460" s="612"/>
      <c r="F1460" s="612"/>
    </row>
    <row r="1461" spans="1:6" ht="30.95" hidden="1" customHeight="1">
      <c r="A1461" s="128"/>
      <c r="B1461" s="128"/>
      <c r="C1461" s="128"/>
      <c r="D1461" s="128"/>
      <c r="E1461" s="128"/>
      <c r="F1461" s="128"/>
    </row>
    <row r="1462" spans="1:6" ht="30.95" hidden="1" customHeight="1">
      <c r="A1462" s="622" t="s">
        <v>249</v>
      </c>
      <c r="B1462" s="623"/>
      <c r="C1462" s="623"/>
      <c r="D1462" s="198" t="str">
        <f>표지!$O$3&amp;" "&amp;표지!$O$4</f>
        <v>20○○회합100○○○ 회생</v>
      </c>
      <c r="E1462" s="160" t="s">
        <v>261</v>
      </c>
      <c r="F1462" s="199" t="str">
        <f>표지!$O$5</f>
        <v>○○○○ 주식회사</v>
      </c>
    </row>
    <row r="1463" spans="1:6" ht="30.95" hidden="1" customHeight="1">
      <c r="A1463" s="624" t="s">
        <v>125</v>
      </c>
      <c r="B1463" s="423"/>
      <c r="C1463" s="423"/>
      <c r="D1463" s="276">
        <v>163</v>
      </c>
      <c r="E1463" s="170" t="s">
        <v>190</v>
      </c>
      <c r="F1463" s="111"/>
    </row>
    <row r="1464" spans="1:6" ht="30.95" hidden="1" customHeight="1">
      <c r="A1464" s="625" t="s">
        <v>183</v>
      </c>
      <c r="B1464" s="419" t="s">
        <v>118</v>
      </c>
      <c r="C1464" s="420"/>
      <c r="D1464" s="419" t="e">
        <f>VLOOKUP(D1463,주주총괄!$A$5:$J$8,4,0)</f>
        <v>#N/A</v>
      </c>
      <c r="E1464" s="420"/>
      <c r="F1464" s="626"/>
    </row>
    <row r="1465" spans="1:6" ht="30.95" hidden="1" customHeight="1">
      <c r="A1465" s="625"/>
      <c r="B1465" s="419" t="s">
        <v>250</v>
      </c>
      <c r="C1465" s="420"/>
      <c r="D1465" s="564" t="e">
        <f>VLOOKUP(D1463,주주총괄!$A$5:$J$8,5,0)</f>
        <v>#N/A</v>
      </c>
      <c r="E1465" s="565"/>
      <c r="F1465" s="627"/>
    </row>
    <row r="1466" spans="1:6" ht="30.95" hidden="1" customHeight="1">
      <c r="A1466" s="625"/>
      <c r="B1466" s="419" t="s">
        <v>23</v>
      </c>
      <c r="C1466" s="420"/>
      <c r="D1466" s="25"/>
      <c r="E1466" s="62" t="s">
        <v>151</v>
      </c>
      <c r="F1466" s="161"/>
    </row>
    <row r="1467" spans="1:6" ht="30.95" hidden="1" customHeight="1">
      <c r="A1467" s="210" t="s">
        <v>59</v>
      </c>
      <c r="B1467" s="205" t="e">
        <f>VLOOKUP(D1463,주주총괄!$A$5:$J$8,6,0)</f>
        <v>#N/A</v>
      </c>
      <c r="C1467" s="274" t="e">
        <f>VLOOKUP(D1463,주주총괄!$A$5:$J$8,7,0)</f>
        <v>#N/A</v>
      </c>
      <c r="D1467" s="275" t="e">
        <f>VLOOKUP(D1463,주주총괄!$A$5:$J$8,8,0)</f>
        <v>#N/A</v>
      </c>
      <c r="E1467" s="620" t="str">
        <f>"(액면가액: "&amp;TEXT(주주총괄!$L$4,"###,###원)")</f>
        <v>(액면가액: 100원)</v>
      </c>
      <c r="F1467" s="621"/>
    </row>
    <row r="1468" spans="1:6" ht="30.95" hidden="1" customHeight="1">
      <c r="A1468" s="211" t="s">
        <v>19</v>
      </c>
      <c r="B1468" s="618"/>
      <c r="C1468" s="618"/>
      <c r="D1468" s="618"/>
      <c r="E1468" s="618"/>
      <c r="F1468" s="619"/>
    </row>
    <row r="1469" spans="1:6" ht="30.95" hidden="1" customHeight="1">
      <c r="A1469" s="612" t="s">
        <v>41</v>
      </c>
      <c r="B1469" s="612"/>
      <c r="C1469" s="612"/>
      <c r="D1469" s="612"/>
      <c r="E1469" s="612"/>
      <c r="F1469" s="612"/>
    </row>
    <row r="1470" spans="1:6" ht="30.95" hidden="1" customHeight="1">
      <c r="A1470" s="128"/>
      <c r="B1470" s="128"/>
      <c r="C1470" s="128"/>
      <c r="D1470" s="128"/>
      <c r="E1470" s="128"/>
      <c r="F1470" s="128"/>
    </row>
    <row r="1471" spans="1:6" ht="30.95" hidden="1" customHeight="1">
      <c r="A1471" s="622" t="s">
        <v>249</v>
      </c>
      <c r="B1471" s="623"/>
      <c r="C1471" s="623"/>
      <c r="D1471" s="198" t="str">
        <f>표지!$O$3&amp;" "&amp;표지!$O$4</f>
        <v>20○○회합100○○○ 회생</v>
      </c>
      <c r="E1471" s="160" t="s">
        <v>261</v>
      </c>
      <c r="F1471" s="199" t="str">
        <f>표지!$O$5</f>
        <v>○○○○ 주식회사</v>
      </c>
    </row>
    <row r="1472" spans="1:6" ht="30.95" hidden="1" customHeight="1">
      <c r="A1472" s="624" t="s">
        <v>125</v>
      </c>
      <c r="B1472" s="423"/>
      <c r="C1472" s="423"/>
      <c r="D1472" s="276">
        <v>164</v>
      </c>
      <c r="E1472" s="170" t="s">
        <v>190</v>
      </c>
      <c r="F1472" s="111"/>
    </row>
    <row r="1473" spans="1:6" ht="30.95" hidden="1" customHeight="1">
      <c r="A1473" s="625" t="s">
        <v>183</v>
      </c>
      <c r="B1473" s="419" t="s">
        <v>118</v>
      </c>
      <c r="C1473" s="420"/>
      <c r="D1473" s="419" t="e">
        <f>VLOOKUP(D1472,주주총괄!$A$5:$J$8,4,0)</f>
        <v>#N/A</v>
      </c>
      <c r="E1473" s="420"/>
      <c r="F1473" s="626"/>
    </row>
    <row r="1474" spans="1:6" ht="30.95" hidden="1" customHeight="1">
      <c r="A1474" s="625"/>
      <c r="B1474" s="419" t="s">
        <v>250</v>
      </c>
      <c r="C1474" s="420"/>
      <c r="D1474" s="564" t="e">
        <f>VLOOKUP(D1472,주주총괄!$A$5:$J$8,5,0)</f>
        <v>#N/A</v>
      </c>
      <c r="E1474" s="565"/>
      <c r="F1474" s="627"/>
    </row>
    <row r="1475" spans="1:6" ht="30.95" hidden="1" customHeight="1">
      <c r="A1475" s="625"/>
      <c r="B1475" s="419" t="s">
        <v>23</v>
      </c>
      <c r="C1475" s="420"/>
      <c r="D1475" s="25"/>
      <c r="E1475" s="62" t="s">
        <v>151</v>
      </c>
      <c r="F1475" s="161"/>
    </row>
    <row r="1476" spans="1:6" ht="30.95" hidden="1" customHeight="1">
      <c r="A1476" s="210" t="s">
        <v>59</v>
      </c>
      <c r="B1476" s="205" t="e">
        <f>VLOOKUP(D1472,주주총괄!$A$5:$J$8,6,0)</f>
        <v>#N/A</v>
      </c>
      <c r="C1476" s="274" t="e">
        <f>VLOOKUP(D1472,주주총괄!$A$5:$J$8,7,0)</f>
        <v>#N/A</v>
      </c>
      <c r="D1476" s="275" t="e">
        <f>VLOOKUP(D1472,주주총괄!$A$5:$J$8,8,0)</f>
        <v>#N/A</v>
      </c>
      <c r="E1476" s="620" t="str">
        <f>"(액면가액: "&amp;TEXT(주주총괄!$L$4,"###,###원)")</f>
        <v>(액면가액: 100원)</v>
      </c>
      <c r="F1476" s="621"/>
    </row>
    <row r="1477" spans="1:6" ht="30.95" hidden="1" customHeight="1">
      <c r="A1477" s="211" t="s">
        <v>19</v>
      </c>
      <c r="B1477" s="618"/>
      <c r="C1477" s="618"/>
      <c r="D1477" s="618"/>
      <c r="E1477" s="618"/>
      <c r="F1477" s="619"/>
    </row>
    <row r="1478" spans="1:6" ht="30.95" hidden="1" customHeight="1">
      <c r="A1478" s="612" t="s">
        <v>41</v>
      </c>
      <c r="B1478" s="612"/>
      <c r="C1478" s="612"/>
      <c r="D1478" s="612"/>
      <c r="E1478" s="612"/>
      <c r="F1478" s="612"/>
    </row>
    <row r="1479" spans="1:6" ht="30.95" hidden="1" customHeight="1">
      <c r="A1479" s="128"/>
      <c r="B1479" s="128"/>
      <c r="C1479" s="128"/>
      <c r="D1479" s="128"/>
      <c r="E1479" s="128"/>
      <c r="F1479" s="128"/>
    </row>
    <row r="1480" spans="1:6" ht="30.95" hidden="1" customHeight="1">
      <c r="A1480" s="622" t="s">
        <v>249</v>
      </c>
      <c r="B1480" s="623"/>
      <c r="C1480" s="623"/>
      <c r="D1480" s="198" t="str">
        <f>표지!$O$3&amp;" "&amp;표지!$O$4</f>
        <v>20○○회합100○○○ 회생</v>
      </c>
      <c r="E1480" s="160" t="s">
        <v>261</v>
      </c>
      <c r="F1480" s="199" t="str">
        <f>표지!$O$5</f>
        <v>○○○○ 주식회사</v>
      </c>
    </row>
    <row r="1481" spans="1:6" ht="30.95" hidden="1" customHeight="1">
      <c r="A1481" s="624" t="s">
        <v>125</v>
      </c>
      <c r="B1481" s="423"/>
      <c r="C1481" s="423"/>
      <c r="D1481" s="276">
        <v>165</v>
      </c>
      <c r="E1481" s="170" t="s">
        <v>190</v>
      </c>
      <c r="F1481" s="111"/>
    </row>
    <row r="1482" spans="1:6" ht="30.95" hidden="1" customHeight="1">
      <c r="A1482" s="625" t="s">
        <v>183</v>
      </c>
      <c r="B1482" s="419" t="s">
        <v>118</v>
      </c>
      <c r="C1482" s="420"/>
      <c r="D1482" s="419" t="e">
        <f>VLOOKUP(D1481,주주총괄!$A$5:$J$8,4,0)</f>
        <v>#N/A</v>
      </c>
      <c r="E1482" s="420"/>
      <c r="F1482" s="626"/>
    </row>
    <row r="1483" spans="1:6" ht="30.95" hidden="1" customHeight="1">
      <c r="A1483" s="625"/>
      <c r="B1483" s="419" t="s">
        <v>250</v>
      </c>
      <c r="C1483" s="420"/>
      <c r="D1483" s="564" t="e">
        <f>VLOOKUP(D1481,주주총괄!$A$5:$J$8,5,0)</f>
        <v>#N/A</v>
      </c>
      <c r="E1483" s="565"/>
      <c r="F1483" s="627"/>
    </row>
    <row r="1484" spans="1:6" ht="30.95" hidden="1" customHeight="1">
      <c r="A1484" s="625"/>
      <c r="B1484" s="419" t="s">
        <v>23</v>
      </c>
      <c r="C1484" s="420"/>
      <c r="D1484" s="25"/>
      <c r="E1484" s="62" t="s">
        <v>151</v>
      </c>
      <c r="F1484" s="161"/>
    </row>
    <row r="1485" spans="1:6" ht="30.95" hidden="1" customHeight="1">
      <c r="A1485" s="210" t="s">
        <v>59</v>
      </c>
      <c r="B1485" s="205" t="e">
        <f>VLOOKUP(D1481,주주총괄!$A$5:$J$8,6,0)</f>
        <v>#N/A</v>
      </c>
      <c r="C1485" s="274" t="e">
        <f>VLOOKUP(D1481,주주총괄!$A$5:$J$8,7,0)</f>
        <v>#N/A</v>
      </c>
      <c r="D1485" s="275" t="e">
        <f>VLOOKUP(D1481,주주총괄!$A$5:$J$8,8,0)</f>
        <v>#N/A</v>
      </c>
      <c r="E1485" s="620" t="str">
        <f>"(액면가액: "&amp;TEXT(주주총괄!$L$4,"###,###원)")</f>
        <v>(액면가액: 100원)</v>
      </c>
      <c r="F1485" s="621"/>
    </row>
    <row r="1486" spans="1:6" ht="30.95" hidden="1" customHeight="1">
      <c r="A1486" s="211" t="s">
        <v>19</v>
      </c>
      <c r="B1486" s="618"/>
      <c r="C1486" s="618"/>
      <c r="D1486" s="618"/>
      <c r="E1486" s="618"/>
      <c r="F1486" s="619"/>
    </row>
    <row r="1487" spans="1:6" ht="30.95" hidden="1" customHeight="1">
      <c r="A1487" s="612" t="s">
        <v>41</v>
      </c>
      <c r="B1487" s="612"/>
      <c r="C1487" s="612"/>
      <c r="D1487" s="612"/>
      <c r="E1487" s="612"/>
      <c r="F1487" s="612"/>
    </row>
    <row r="1488" spans="1:6" ht="30.95" hidden="1" customHeight="1">
      <c r="A1488" s="128"/>
      <c r="B1488" s="128"/>
      <c r="C1488" s="128"/>
      <c r="D1488" s="128"/>
      <c r="E1488" s="128"/>
      <c r="F1488" s="128"/>
    </row>
    <row r="1489" spans="1:6" ht="30.95" hidden="1" customHeight="1">
      <c r="A1489" s="622" t="s">
        <v>249</v>
      </c>
      <c r="B1489" s="623"/>
      <c r="C1489" s="623"/>
      <c r="D1489" s="198" t="str">
        <f>표지!$O$3&amp;" "&amp;표지!$O$4</f>
        <v>20○○회합100○○○ 회생</v>
      </c>
      <c r="E1489" s="160" t="s">
        <v>261</v>
      </c>
      <c r="F1489" s="199" t="str">
        <f>표지!$O$5</f>
        <v>○○○○ 주식회사</v>
      </c>
    </row>
    <row r="1490" spans="1:6" ht="30.95" hidden="1" customHeight="1">
      <c r="A1490" s="624" t="s">
        <v>125</v>
      </c>
      <c r="B1490" s="423"/>
      <c r="C1490" s="423"/>
      <c r="D1490" s="276">
        <v>166</v>
      </c>
      <c r="E1490" s="170" t="s">
        <v>190</v>
      </c>
      <c r="F1490" s="111"/>
    </row>
    <row r="1491" spans="1:6" ht="30.95" hidden="1" customHeight="1">
      <c r="A1491" s="625" t="s">
        <v>183</v>
      </c>
      <c r="B1491" s="419" t="s">
        <v>118</v>
      </c>
      <c r="C1491" s="420"/>
      <c r="D1491" s="419" t="e">
        <f>VLOOKUP(D1490,주주총괄!$A$5:$J$8,4,0)</f>
        <v>#N/A</v>
      </c>
      <c r="E1491" s="420"/>
      <c r="F1491" s="626"/>
    </row>
    <row r="1492" spans="1:6" ht="30.95" hidden="1" customHeight="1">
      <c r="A1492" s="625"/>
      <c r="B1492" s="419" t="s">
        <v>250</v>
      </c>
      <c r="C1492" s="420"/>
      <c r="D1492" s="564" t="e">
        <f>VLOOKUP(D1490,주주총괄!$A$5:$J$8,5,0)</f>
        <v>#N/A</v>
      </c>
      <c r="E1492" s="565"/>
      <c r="F1492" s="627"/>
    </row>
    <row r="1493" spans="1:6" ht="30.95" hidden="1" customHeight="1">
      <c r="A1493" s="625"/>
      <c r="B1493" s="419" t="s">
        <v>23</v>
      </c>
      <c r="C1493" s="420"/>
      <c r="D1493" s="25"/>
      <c r="E1493" s="62" t="s">
        <v>151</v>
      </c>
      <c r="F1493" s="161"/>
    </row>
    <row r="1494" spans="1:6" ht="30.95" hidden="1" customHeight="1">
      <c r="A1494" s="210" t="s">
        <v>59</v>
      </c>
      <c r="B1494" s="205" t="e">
        <f>VLOOKUP(D1490,주주총괄!$A$5:$J$8,6,0)</f>
        <v>#N/A</v>
      </c>
      <c r="C1494" s="274" t="e">
        <f>VLOOKUP(D1490,주주총괄!$A$5:$J$8,7,0)</f>
        <v>#N/A</v>
      </c>
      <c r="D1494" s="275" t="e">
        <f>VLOOKUP(D1490,주주총괄!$A$5:$J$8,8,0)</f>
        <v>#N/A</v>
      </c>
      <c r="E1494" s="620" t="str">
        <f>"(액면가액: "&amp;TEXT(주주총괄!$L$4,"###,###원)")</f>
        <v>(액면가액: 100원)</v>
      </c>
      <c r="F1494" s="621"/>
    </row>
    <row r="1495" spans="1:6" ht="30.95" hidden="1" customHeight="1">
      <c r="A1495" s="211" t="s">
        <v>19</v>
      </c>
      <c r="B1495" s="618"/>
      <c r="C1495" s="618"/>
      <c r="D1495" s="618"/>
      <c r="E1495" s="618"/>
      <c r="F1495" s="619"/>
    </row>
    <row r="1496" spans="1:6" ht="30.95" hidden="1" customHeight="1">
      <c r="A1496" s="612" t="s">
        <v>41</v>
      </c>
      <c r="B1496" s="612"/>
      <c r="C1496" s="612"/>
      <c r="D1496" s="612"/>
      <c r="E1496" s="612"/>
      <c r="F1496" s="612"/>
    </row>
    <row r="1497" spans="1:6" ht="30.95" hidden="1" customHeight="1">
      <c r="A1497" s="128"/>
      <c r="B1497" s="128"/>
      <c r="C1497" s="128"/>
      <c r="D1497" s="128"/>
      <c r="E1497" s="128"/>
      <c r="F1497" s="128"/>
    </row>
    <row r="1498" spans="1:6" ht="30.95" hidden="1" customHeight="1">
      <c r="A1498" s="622" t="s">
        <v>249</v>
      </c>
      <c r="B1498" s="623"/>
      <c r="C1498" s="623"/>
      <c r="D1498" s="198" t="str">
        <f>표지!$O$3&amp;" "&amp;표지!$O$4</f>
        <v>20○○회합100○○○ 회생</v>
      </c>
      <c r="E1498" s="160" t="s">
        <v>261</v>
      </c>
      <c r="F1498" s="199" t="str">
        <f>표지!$O$5</f>
        <v>○○○○ 주식회사</v>
      </c>
    </row>
    <row r="1499" spans="1:6" ht="30.95" hidden="1" customHeight="1">
      <c r="A1499" s="624" t="s">
        <v>125</v>
      </c>
      <c r="B1499" s="423"/>
      <c r="C1499" s="423"/>
      <c r="D1499" s="276">
        <v>167</v>
      </c>
      <c r="E1499" s="170" t="s">
        <v>190</v>
      </c>
      <c r="F1499" s="111"/>
    </row>
    <row r="1500" spans="1:6" ht="30.95" hidden="1" customHeight="1">
      <c r="A1500" s="625" t="s">
        <v>183</v>
      </c>
      <c r="B1500" s="419" t="s">
        <v>118</v>
      </c>
      <c r="C1500" s="420"/>
      <c r="D1500" s="419" t="e">
        <f>VLOOKUP(D1499,주주총괄!$A$5:$J$8,4,0)</f>
        <v>#N/A</v>
      </c>
      <c r="E1500" s="420"/>
      <c r="F1500" s="626"/>
    </row>
    <row r="1501" spans="1:6" ht="30.95" hidden="1" customHeight="1">
      <c r="A1501" s="625"/>
      <c r="B1501" s="419" t="s">
        <v>250</v>
      </c>
      <c r="C1501" s="420"/>
      <c r="D1501" s="564" t="e">
        <f>VLOOKUP(D1499,주주총괄!$A$5:$J$8,5,0)</f>
        <v>#N/A</v>
      </c>
      <c r="E1501" s="565"/>
      <c r="F1501" s="627"/>
    </row>
    <row r="1502" spans="1:6" ht="30.95" hidden="1" customHeight="1">
      <c r="A1502" s="625"/>
      <c r="B1502" s="419" t="s">
        <v>23</v>
      </c>
      <c r="C1502" s="420"/>
      <c r="D1502" s="25"/>
      <c r="E1502" s="62" t="s">
        <v>151</v>
      </c>
      <c r="F1502" s="161"/>
    </row>
    <row r="1503" spans="1:6" ht="30.95" hidden="1" customHeight="1">
      <c r="A1503" s="210" t="s">
        <v>59</v>
      </c>
      <c r="B1503" s="205" t="e">
        <f>VLOOKUP(D1499,주주총괄!$A$5:$J$8,6,0)</f>
        <v>#N/A</v>
      </c>
      <c r="C1503" s="274" t="e">
        <f>VLOOKUP(D1499,주주총괄!$A$5:$J$8,7,0)</f>
        <v>#N/A</v>
      </c>
      <c r="D1503" s="275" t="e">
        <f>VLOOKUP(D1499,주주총괄!$A$5:$J$8,8,0)</f>
        <v>#N/A</v>
      </c>
      <c r="E1503" s="620" t="str">
        <f>"(액면가액: "&amp;TEXT(주주총괄!$L$4,"###,###원)")</f>
        <v>(액면가액: 100원)</v>
      </c>
      <c r="F1503" s="621"/>
    </row>
    <row r="1504" spans="1:6" ht="30.95" hidden="1" customHeight="1">
      <c r="A1504" s="211" t="s">
        <v>19</v>
      </c>
      <c r="B1504" s="618"/>
      <c r="C1504" s="618"/>
      <c r="D1504" s="618"/>
      <c r="E1504" s="618"/>
      <c r="F1504" s="619"/>
    </row>
    <row r="1505" spans="1:6" ht="30.95" hidden="1" customHeight="1">
      <c r="A1505" s="612" t="s">
        <v>41</v>
      </c>
      <c r="B1505" s="612"/>
      <c r="C1505" s="612"/>
      <c r="D1505" s="612"/>
      <c r="E1505" s="612"/>
      <c r="F1505" s="612"/>
    </row>
    <row r="1506" spans="1:6" ht="30.95" hidden="1" customHeight="1">
      <c r="A1506" s="128"/>
      <c r="B1506" s="128"/>
      <c r="C1506" s="128"/>
      <c r="D1506" s="128"/>
      <c r="E1506" s="128"/>
      <c r="F1506" s="128"/>
    </row>
    <row r="1507" spans="1:6" ht="30.95" hidden="1" customHeight="1">
      <c r="A1507" s="622" t="s">
        <v>249</v>
      </c>
      <c r="B1507" s="623"/>
      <c r="C1507" s="623"/>
      <c r="D1507" s="198" t="str">
        <f>표지!$O$3&amp;" "&amp;표지!$O$4</f>
        <v>20○○회합100○○○ 회생</v>
      </c>
      <c r="E1507" s="160" t="s">
        <v>261</v>
      </c>
      <c r="F1507" s="199" t="str">
        <f>표지!$O$5</f>
        <v>○○○○ 주식회사</v>
      </c>
    </row>
    <row r="1508" spans="1:6" ht="30.95" hidden="1" customHeight="1">
      <c r="A1508" s="624" t="s">
        <v>125</v>
      </c>
      <c r="B1508" s="423"/>
      <c r="C1508" s="423"/>
      <c r="D1508" s="276">
        <v>168</v>
      </c>
      <c r="E1508" s="170" t="s">
        <v>190</v>
      </c>
      <c r="F1508" s="111"/>
    </row>
    <row r="1509" spans="1:6" ht="30.95" hidden="1" customHeight="1">
      <c r="A1509" s="625" t="s">
        <v>183</v>
      </c>
      <c r="B1509" s="419" t="s">
        <v>118</v>
      </c>
      <c r="C1509" s="420"/>
      <c r="D1509" s="419" t="e">
        <f>VLOOKUP(D1508,주주총괄!$A$5:$J$8,4,0)</f>
        <v>#N/A</v>
      </c>
      <c r="E1509" s="420"/>
      <c r="F1509" s="626"/>
    </row>
    <row r="1510" spans="1:6" ht="30.95" hidden="1" customHeight="1">
      <c r="A1510" s="625"/>
      <c r="B1510" s="419" t="s">
        <v>250</v>
      </c>
      <c r="C1510" s="420"/>
      <c r="D1510" s="564" t="e">
        <f>VLOOKUP(D1508,주주총괄!$A$5:$J$8,5,0)</f>
        <v>#N/A</v>
      </c>
      <c r="E1510" s="565"/>
      <c r="F1510" s="627"/>
    </row>
    <row r="1511" spans="1:6" ht="30.95" hidden="1" customHeight="1">
      <c r="A1511" s="625"/>
      <c r="B1511" s="419" t="s">
        <v>23</v>
      </c>
      <c r="C1511" s="420"/>
      <c r="D1511" s="25"/>
      <c r="E1511" s="62" t="s">
        <v>151</v>
      </c>
      <c r="F1511" s="161"/>
    </row>
    <row r="1512" spans="1:6" ht="30.95" hidden="1" customHeight="1">
      <c r="A1512" s="210" t="s">
        <v>59</v>
      </c>
      <c r="B1512" s="205" t="e">
        <f>VLOOKUP(D1508,주주총괄!$A$5:$J$8,6,0)</f>
        <v>#N/A</v>
      </c>
      <c r="C1512" s="274" t="e">
        <f>VLOOKUP(D1508,주주총괄!$A$5:$J$8,7,0)</f>
        <v>#N/A</v>
      </c>
      <c r="D1512" s="275" t="e">
        <f>VLOOKUP(D1508,주주총괄!$A$5:$J$8,8,0)</f>
        <v>#N/A</v>
      </c>
      <c r="E1512" s="620" t="str">
        <f>"(액면가액: "&amp;TEXT(주주총괄!$L$4,"###,###원)")</f>
        <v>(액면가액: 100원)</v>
      </c>
      <c r="F1512" s="621"/>
    </row>
    <row r="1513" spans="1:6" ht="30.95" hidden="1" customHeight="1">
      <c r="A1513" s="211" t="s">
        <v>19</v>
      </c>
      <c r="B1513" s="618"/>
      <c r="C1513" s="618"/>
      <c r="D1513" s="618"/>
      <c r="E1513" s="618"/>
      <c r="F1513" s="619"/>
    </row>
    <row r="1514" spans="1:6" ht="30.95" hidden="1" customHeight="1">
      <c r="A1514" s="612" t="s">
        <v>41</v>
      </c>
      <c r="B1514" s="612"/>
      <c r="C1514" s="612"/>
      <c r="D1514" s="612"/>
      <c r="E1514" s="612"/>
      <c r="F1514" s="612"/>
    </row>
    <row r="1515" spans="1:6" ht="30.95" hidden="1" customHeight="1">
      <c r="A1515" s="128"/>
      <c r="B1515" s="128"/>
      <c r="C1515" s="128"/>
      <c r="D1515" s="128"/>
      <c r="E1515" s="128"/>
      <c r="F1515" s="128"/>
    </row>
    <row r="1516" spans="1:6" ht="30.95" hidden="1" customHeight="1">
      <c r="A1516" s="622" t="s">
        <v>249</v>
      </c>
      <c r="B1516" s="623"/>
      <c r="C1516" s="623"/>
      <c r="D1516" s="198" t="str">
        <f>표지!$O$3&amp;" "&amp;표지!$O$4</f>
        <v>20○○회합100○○○ 회생</v>
      </c>
      <c r="E1516" s="160" t="s">
        <v>261</v>
      </c>
      <c r="F1516" s="199" t="str">
        <f>표지!$O$5</f>
        <v>○○○○ 주식회사</v>
      </c>
    </row>
    <row r="1517" spans="1:6" ht="30.95" hidden="1" customHeight="1">
      <c r="A1517" s="624" t="s">
        <v>125</v>
      </c>
      <c r="B1517" s="423"/>
      <c r="C1517" s="423"/>
      <c r="D1517" s="276">
        <v>169</v>
      </c>
      <c r="E1517" s="170" t="s">
        <v>190</v>
      </c>
      <c r="F1517" s="111"/>
    </row>
    <row r="1518" spans="1:6" ht="30.95" hidden="1" customHeight="1">
      <c r="A1518" s="625" t="s">
        <v>183</v>
      </c>
      <c r="B1518" s="419" t="s">
        <v>118</v>
      </c>
      <c r="C1518" s="420"/>
      <c r="D1518" s="419" t="e">
        <f>VLOOKUP(D1517,주주총괄!$A$5:$J$8,4,0)</f>
        <v>#N/A</v>
      </c>
      <c r="E1518" s="420"/>
      <c r="F1518" s="626"/>
    </row>
    <row r="1519" spans="1:6" ht="30.95" hidden="1" customHeight="1">
      <c r="A1519" s="625"/>
      <c r="B1519" s="419" t="s">
        <v>250</v>
      </c>
      <c r="C1519" s="420"/>
      <c r="D1519" s="564" t="e">
        <f>VLOOKUP(D1517,주주총괄!$A$5:$J$8,5,0)</f>
        <v>#N/A</v>
      </c>
      <c r="E1519" s="565"/>
      <c r="F1519" s="627"/>
    </row>
    <row r="1520" spans="1:6" ht="30.95" hidden="1" customHeight="1">
      <c r="A1520" s="625"/>
      <c r="B1520" s="419" t="s">
        <v>23</v>
      </c>
      <c r="C1520" s="420"/>
      <c r="D1520" s="25"/>
      <c r="E1520" s="62" t="s">
        <v>151</v>
      </c>
      <c r="F1520" s="161"/>
    </row>
    <row r="1521" spans="1:6" ht="30.95" hidden="1" customHeight="1">
      <c r="A1521" s="210" t="s">
        <v>59</v>
      </c>
      <c r="B1521" s="205" t="e">
        <f>VLOOKUP(D1517,주주총괄!$A$5:$J$8,6,0)</f>
        <v>#N/A</v>
      </c>
      <c r="C1521" s="274" t="e">
        <f>VLOOKUP(D1517,주주총괄!$A$5:$J$8,7,0)</f>
        <v>#N/A</v>
      </c>
      <c r="D1521" s="275" t="e">
        <f>VLOOKUP(D1517,주주총괄!$A$5:$J$8,8,0)</f>
        <v>#N/A</v>
      </c>
      <c r="E1521" s="620" t="str">
        <f>"(액면가액: "&amp;TEXT(주주총괄!$L$4,"###,###원)")</f>
        <v>(액면가액: 100원)</v>
      </c>
      <c r="F1521" s="621"/>
    </row>
    <row r="1522" spans="1:6" ht="30.95" hidden="1" customHeight="1">
      <c r="A1522" s="211" t="s">
        <v>19</v>
      </c>
      <c r="B1522" s="618"/>
      <c r="C1522" s="618"/>
      <c r="D1522" s="618"/>
      <c r="E1522" s="618"/>
      <c r="F1522" s="619"/>
    </row>
    <row r="1523" spans="1:6" ht="30.95" hidden="1" customHeight="1">
      <c r="A1523" s="612" t="s">
        <v>41</v>
      </c>
      <c r="B1523" s="612"/>
      <c r="C1523" s="612"/>
      <c r="D1523" s="612"/>
      <c r="E1523" s="612"/>
      <c r="F1523" s="612"/>
    </row>
    <row r="1524" spans="1:6" ht="30.95" hidden="1" customHeight="1">
      <c r="A1524" s="128"/>
      <c r="B1524" s="128"/>
      <c r="C1524" s="128"/>
      <c r="D1524" s="128"/>
      <c r="E1524" s="128"/>
      <c r="F1524" s="128"/>
    </row>
    <row r="1525" spans="1:6" ht="30.95" hidden="1" customHeight="1">
      <c r="A1525" s="622" t="s">
        <v>249</v>
      </c>
      <c r="B1525" s="623"/>
      <c r="C1525" s="623"/>
      <c r="D1525" s="198" t="str">
        <f>표지!$O$3&amp;" "&amp;표지!$O$4</f>
        <v>20○○회합100○○○ 회생</v>
      </c>
      <c r="E1525" s="160" t="s">
        <v>261</v>
      </c>
      <c r="F1525" s="199" t="str">
        <f>표지!$O$5</f>
        <v>○○○○ 주식회사</v>
      </c>
    </row>
    <row r="1526" spans="1:6" ht="30.95" hidden="1" customHeight="1">
      <c r="A1526" s="624" t="s">
        <v>125</v>
      </c>
      <c r="B1526" s="423"/>
      <c r="C1526" s="423"/>
      <c r="D1526" s="276">
        <v>170</v>
      </c>
      <c r="E1526" s="170" t="s">
        <v>190</v>
      </c>
      <c r="F1526" s="111"/>
    </row>
    <row r="1527" spans="1:6" ht="30.95" hidden="1" customHeight="1">
      <c r="A1527" s="625" t="s">
        <v>183</v>
      </c>
      <c r="B1527" s="419" t="s">
        <v>118</v>
      </c>
      <c r="C1527" s="420"/>
      <c r="D1527" s="419" t="e">
        <f>VLOOKUP(D1526,주주총괄!$A$5:$J$8,4,0)</f>
        <v>#N/A</v>
      </c>
      <c r="E1527" s="420"/>
      <c r="F1527" s="626"/>
    </row>
    <row r="1528" spans="1:6" ht="30.95" hidden="1" customHeight="1">
      <c r="A1528" s="625"/>
      <c r="B1528" s="419" t="s">
        <v>250</v>
      </c>
      <c r="C1528" s="420"/>
      <c r="D1528" s="564" t="e">
        <f>VLOOKUP(D1526,주주총괄!$A$5:$J$8,5,0)</f>
        <v>#N/A</v>
      </c>
      <c r="E1528" s="565"/>
      <c r="F1528" s="627"/>
    </row>
    <row r="1529" spans="1:6" ht="30.95" hidden="1" customHeight="1">
      <c r="A1529" s="625"/>
      <c r="B1529" s="419" t="s">
        <v>23</v>
      </c>
      <c r="C1529" s="420"/>
      <c r="D1529" s="25"/>
      <c r="E1529" s="62" t="s">
        <v>151</v>
      </c>
      <c r="F1529" s="161"/>
    </row>
    <row r="1530" spans="1:6" ht="30.95" hidden="1" customHeight="1">
      <c r="A1530" s="210" t="s">
        <v>59</v>
      </c>
      <c r="B1530" s="205" t="e">
        <f>VLOOKUP(D1526,주주총괄!$A$5:$J$8,6,0)</f>
        <v>#N/A</v>
      </c>
      <c r="C1530" s="274" t="e">
        <f>VLOOKUP(D1526,주주총괄!$A$5:$J$8,7,0)</f>
        <v>#N/A</v>
      </c>
      <c r="D1530" s="275" t="e">
        <f>VLOOKUP(D1526,주주총괄!$A$5:$J$8,8,0)</f>
        <v>#N/A</v>
      </c>
      <c r="E1530" s="620" t="str">
        <f>"(액면가액: "&amp;TEXT(주주총괄!$L$4,"###,###원)")</f>
        <v>(액면가액: 100원)</v>
      </c>
      <c r="F1530" s="621"/>
    </row>
    <row r="1531" spans="1:6" ht="30.95" hidden="1" customHeight="1">
      <c r="A1531" s="211" t="s">
        <v>19</v>
      </c>
      <c r="B1531" s="618"/>
      <c r="C1531" s="618"/>
      <c r="D1531" s="618"/>
      <c r="E1531" s="618"/>
      <c r="F1531" s="619"/>
    </row>
    <row r="1532" spans="1:6" ht="30.95" hidden="1" customHeight="1">
      <c r="A1532" s="612" t="s">
        <v>41</v>
      </c>
      <c r="B1532" s="612"/>
      <c r="C1532" s="612"/>
      <c r="D1532" s="612"/>
      <c r="E1532" s="612"/>
      <c r="F1532" s="612"/>
    </row>
    <row r="1533" spans="1:6" ht="30.95" hidden="1" customHeight="1">
      <c r="A1533" s="128"/>
      <c r="B1533" s="128"/>
      <c r="C1533" s="128"/>
      <c r="D1533" s="128"/>
      <c r="E1533" s="128"/>
      <c r="F1533" s="128"/>
    </row>
    <row r="1534" spans="1:6" ht="30.95" hidden="1" customHeight="1">
      <c r="A1534" s="622" t="s">
        <v>249</v>
      </c>
      <c r="B1534" s="623"/>
      <c r="C1534" s="623"/>
      <c r="D1534" s="198" t="str">
        <f>표지!$O$3&amp;" "&amp;표지!$O$4</f>
        <v>20○○회합100○○○ 회생</v>
      </c>
      <c r="E1534" s="160" t="s">
        <v>261</v>
      </c>
      <c r="F1534" s="199" t="str">
        <f>표지!$O$5</f>
        <v>○○○○ 주식회사</v>
      </c>
    </row>
    <row r="1535" spans="1:6" ht="30.95" hidden="1" customHeight="1">
      <c r="A1535" s="624" t="s">
        <v>125</v>
      </c>
      <c r="B1535" s="423"/>
      <c r="C1535" s="423"/>
      <c r="D1535" s="276">
        <v>171</v>
      </c>
      <c r="E1535" s="170" t="s">
        <v>190</v>
      </c>
      <c r="F1535" s="111"/>
    </row>
    <row r="1536" spans="1:6" ht="30.95" hidden="1" customHeight="1">
      <c r="A1536" s="625" t="s">
        <v>183</v>
      </c>
      <c r="B1536" s="419" t="s">
        <v>118</v>
      </c>
      <c r="C1536" s="420"/>
      <c r="D1536" s="419" t="e">
        <f>VLOOKUP(D1535,주주총괄!$A$5:$J$8,4,0)</f>
        <v>#N/A</v>
      </c>
      <c r="E1536" s="420"/>
      <c r="F1536" s="626"/>
    </row>
    <row r="1537" spans="1:6" ht="30.95" hidden="1" customHeight="1">
      <c r="A1537" s="625"/>
      <c r="B1537" s="419" t="s">
        <v>250</v>
      </c>
      <c r="C1537" s="420"/>
      <c r="D1537" s="564" t="e">
        <f>VLOOKUP(D1535,주주총괄!$A$5:$J$8,5,0)</f>
        <v>#N/A</v>
      </c>
      <c r="E1537" s="565"/>
      <c r="F1537" s="627"/>
    </row>
    <row r="1538" spans="1:6" ht="30.95" hidden="1" customHeight="1">
      <c r="A1538" s="625"/>
      <c r="B1538" s="419" t="s">
        <v>23</v>
      </c>
      <c r="C1538" s="420"/>
      <c r="D1538" s="25"/>
      <c r="E1538" s="62" t="s">
        <v>151</v>
      </c>
      <c r="F1538" s="161"/>
    </row>
    <row r="1539" spans="1:6" ht="30.95" hidden="1" customHeight="1">
      <c r="A1539" s="210" t="s">
        <v>59</v>
      </c>
      <c r="B1539" s="205" t="e">
        <f>VLOOKUP(D1535,주주총괄!$A$5:$J$8,6,0)</f>
        <v>#N/A</v>
      </c>
      <c r="C1539" s="274" t="e">
        <f>VLOOKUP(D1535,주주총괄!$A$5:$J$8,7,0)</f>
        <v>#N/A</v>
      </c>
      <c r="D1539" s="275" t="e">
        <f>VLOOKUP(D1535,주주총괄!$A$5:$J$8,8,0)</f>
        <v>#N/A</v>
      </c>
      <c r="E1539" s="620" t="str">
        <f>"(액면가액: "&amp;TEXT(주주총괄!$L$4,"###,###원)")</f>
        <v>(액면가액: 100원)</v>
      </c>
      <c r="F1539" s="621"/>
    </row>
    <row r="1540" spans="1:6" ht="30.95" hidden="1" customHeight="1">
      <c r="A1540" s="211" t="s">
        <v>19</v>
      </c>
      <c r="B1540" s="618"/>
      <c r="C1540" s="618"/>
      <c r="D1540" s="618"/>
      <c r="E1540" s="618"/>
      <c r="F1540" s="619"/>
    </row>
    <row r="1541" spans="1:6" ht="30.95" hidden="1" customHeight="1">
      <c r="A1541" s="612" t="s">
        <v>41</v>
      </c>
      <c r="B1541" s="612"/>
      <c r="C1541" s="612"/>
      <c r="D1541" s="612"/>
      <c r="E1541" s="612"/>
      <c r="F1541" s="612"/>
    </row>
    <row r="1542" spans="1:6" ht="30.95" hidden="1" customHeight="1">
      <c r="A1542" s="128"/>
      <c r="B1542" s="128"/>
      <c r="C1542" s="128"/>
      <c r="D1542" s="128"/>
      <c r="E1542" s="128"/>
      <c r="F1542" s="128"/>
    </row>
    <row r="1543" spans="1:6" ht="30.95" hidden="1" customHeight="1">
      <c r="A1543" s="622" t="s">
        <v>249</v>
      </c>
      <c r="B1543" s="623"/>
      <c r="C1543" s="623"/>
      <c r="D1543" s="198" t="str">
        <f>표지!$O$3&amp;" "&amp;표지!$O$4</f>
        <v>20○○회합100○○○ 회생</v>
      </c>
      <c r="E1543" s="160" t="s">
        <v>261</v>
      </c>
      <c r="F1543" s="199" t="str">
        <f>표지!$O$5</f>
        <v>○○○○ 주식회사</v>
      </c>
    </row>
    <row r="1544" spans="1:6" ht="30.95" hidden="1" customHeight="1">
      <c r="A1544" s="624" t="s">
        <v>125</v>
      </c>
      <c r="B1544" s="423"/>
      <c r="C1544" s="423"/>
      <c r="D1544" s="276">
        <v>172</v>
      </c>
      <c r="E1544" s="170" t="s">
        <v>190</v>
      </c>
      <c r="F1544" s="111"/>
    </row>
    <row r="1545" spans="1:6" ht="30.95" hidden="1" customHeight="1">
      <c r="A1545" s="625" t="s">
        <v>183</v>
      </c>
      <c r="B1545" s="419" t="s">
        <v>118</v>
      </c>
      <c r="C1545" s="420"/>
      <c r="D1545" s="419" t="e">
        <f>VLOOKUP(D1544,주주총괄!$A$5:$J$8,4,0)</f>
        <v>#N/A</v>
      </c>
      <c r="E1545" s="420"/>
      <c r="F1545" s="626"/>
    </row>
    <row r="1546" spans="1:6" ht="30.95" hidden="1" customHeight="1">
      <c r="A1546" s="625"/>
      <c r="B1546" s="419" t="s">
        <v>250</v>
      </c>
      <c r="C1546" s="420"/>
      <c r="D1546" s="564" t="e">
        <f>VLOOKUP(D1544,주주총괄!$A$5:$J$8,5,0)</f>
        <v>#N/A</v>
      </c>
      <c r="E1546" s="565"/>
      <c r="F1546" s="627"/>
    </row>
    <row r="1547" spans="1:6" ht="30.95" hidden="1" customHeight="1">
      <c r="A1547" s="625"/>
      <c r="B1547" s="419" t="s">
        <v>23</v>
      </c>
      <c r="C1547" s="420"/>
      <c r="D1547" s="25"/>
      <c r="E1547" s="62" t="s">
        <v>151</v>
      </c>
      <c r="F1547" s="161"/>
    </row>
    <row r="1548" spans="1:6" ht="30.95" hidden="1" customHeight="1">
      <c r="A1548" s="210" t="s">
        <v>59</v>
      </c>
      <c r="B1548" s="205" t="e">
        <f>VLOOKUP(D1544,주주총괄!$A$5:$J$8,6,0)</f>
        <v>#N/A</v>
      </c>
      <c r="C1548" s="274" t="e">
        <f>VLOOKUP(D1544,주주총괄!$A$5:$J$8,7,0)</f>
        <v>#N/A</v>
      </c>
      <c r="D1548" s="275" t="e">
        <f>VLOOKUP(D1544,주주총괄!$A$5:$J$8,8,0)</f>
        <v>#N/A</v>
      </c>
      <c r="E1548" s="620" t="str">
        <f>"(액면가액: "&amp;TEXT(주주총괄!$L$4,"###,###원)")</f>
        <v>(액면가액: 100원)</v>
      </c>
      <c r="F1548" s="621"/>
    </row>
    <row r="1549" spans="1:6" ht="30.95" hidden="1" customHeight="1">
      <c r="A1549" s="211" t="s">
        <v>19</v>
      </c>
      <c r="B1549" s="618"/>
      <c r="C1549" s="618"/>
      <c r="D1549" s="618"/>
      <c r="E1549" s="618"/>
      <c r="F1549" s="619"/>
    </row>
    <row r="1550" spans="1:6" ht="30.95" hidden="1" customHeight="1">
      <c r="A1550" s="612" t="s">
        <v>41</v>
      </c>
      <c r="B1550" s="612"/>
      <c r="C1550" s="612"/>
      <c r="D1550" s="612"/>
      <c r="E1550" s="612"/>
      <c r="F1550" s="612"/>
    </row>
    <row r="1551" spans="1:6" ht="30.95" hidden="1" customHeight="1">
      <c r="A1551" s="128"/>
      <c r="B1551" s="128"/>
      <c r="C1551" s="128"/>
      <c r="D1551" s="128"/>
      <c r="E1551" s="128"/>
      <c r="F1551" s="128"/>
    </row>
    <row r="1552" spans="1:6" ht="30.95" hidden="1" customHeight="1">
      <c r="A1552" s="622" t="s">
        <v>249</v>
      </c>
      <c r="B1552" s="623"/>
      <c r="C1552" s="623"/>
      <c r="D1552" s="198" t="str">
        <f>표지!$O$3&amp;" "&amp;표지!$O$4</f>
        <v>20○○회합100○○○ 회생</v>
      </c>
      <c r="E1552" s="160" t="s">
        <v>261</v>
      </c>
      <c r="F1552" s="199" t="str">
        <f>표지!$O$5</f>
        <v>○○○○ 주식회사</v>
      </c>
    </row>
    <row r="1553" spans="1:6" ht="30.95" hidden="1" customHeight="1">
      <c r="A1553" s="624" t="s">
        <v>125</v>
      </c>
      <c r="B1553" s="423"/>
      <c r="C1553" s="423"/>
      <c r="D1553" s="276">
        <v>173</v>
      </c>
      <c r="E1553" s="170" t="s">
        <v>190</v>
      </c>
      <c r="F1553" s="111"/>
    </row>
    <row r="1554" spans="1:6" ht="30.95" hidden="1" customHeight="1">
      <c r="A1554" s="625" t="s">
        <v>183</v>
      </c>
      <c r="B1554" s="419" t="s">
        <v>118</v>
      </c>
      <c r="C1554" s="420"/>
      <c r="D1554" s="419" t="e">
        <f>VLOOKUP(D1553,주주총괄!$A$5:$J$8,4,0)</f>
        <v>#N/A</v>
      </c>
      <c r="E1554" s="420"/>
      <c r="F1554" s="626"/>
    </row>
    <row r="1555" spans="1:6" ht="30.95" hidden="1" customHeight="1">
      <c r="A1555" s="625"/>
      <c r="B1555" s="419" t="s">
        <v>250</v>
      </c>
      <c r="C1555" s="420"/>
      <c r="D1555" s="564" t="e">
        <f>VLOOKUP(D1553,주주총괄!$A$5:$J$8,5,0)</f>
        <v>#N/A</v>
      </c>
      <c r="E1555" s="565"/>
      <c r="F1555" s="627"/>
    </row>
    <row r="1556" spans="1:6" ht="30.95" hidden="1" customHeight="1">
      <c r="A1556" s="625"/>
      <c r="B1556" s="419" t="s">
        <v>23</v>
      </c>
      <c r="C1556" s="420"/>
      <c r="D1556" s="25"/>
      <c r="E1556" s="62" t="s">
        <v>151</v>
      </c>
      <c r="F1556" s="161"/>
    </row>
    <row r="1557" spans="1:6" ht="30.95" hidden="1" customHeight="1">
      <c r="A1557" s="210" t="s">
        <v>59</v>
      </c>
      <c r="B1557" s="205" t="e">
        <f>VLOOKUP(D1553,주주총괄!$A$5:$J$8,6,0)</f>
        <v>#N/A</v>
      </c>
      <c r="C1557" s="274" t="e">
        <f>VLOOKUP(D1553,주주총괄!$A$5:$J$8,7,0)</f>
        <v>#N/A</v>
      </c>
      <c r="D1557" s="275" t="e">
        <f>VLOOKUP(D1553,주주총괄!$A$5:$J$8,8,0)</f>
        <v>#N/A</v>
      </c>
      <c r="E1557" s="620" t="str">
        <f>"(액면가액: "&amp;TEXT(주주총괄!$L$4,"###,###원)")</f>
        <v>(액면가액: 100원)</v>
      </c>
      <c r="F1557" s="621"/>
    </row>
    <row r="1558" spans="1:6" ht="30.95" hidden="1" customHeight="1">
      <c r="A1558" s="211" t="s">
        <v>19</v>
      </c>
      <c r="B1558" s="618"/>
      <c r="C1558" s="618"/>
      <c r="D1558" s="618"/>
      <c r="E1558" s="618"/>
      <c r="F1558" s="619"/>
    </row>
    <row r="1559" spans="1:6" ht="30.95" hidden="1" customHeight="1">
      <c r="A1559" s="612" t="s">
        <v>41</v>
      </c>
      <c r="B1559" s="612"/>
      <c r="C1559" s="612"/>
      <c r="D1559" s="612"/>
      <c r="E1559" s="612"/>
      <c r="F1559" s="612"/>
    </row>
    <row r="1560" spans="1:6" ht="30.95" hidden="1" customHeight="1">
      <c r="A1560" s="128"/>
      <c r="B1560" s="128"/>
      <c r="C1560" s="128"/>
      <c r="D1560" s="128"/>
      <c r="E1560" s="128"/>
      <c r="F1560" s="128"/>
    </row>
    <row r="1561" spans="1:6" ht="30.95" hidden="1" customHeight="1">
      <c r="A1561" s="622" t="s">
        <v>249</v>
      </c>
      <c r="B1561" s="623"/>
      <c r="C1561" s="623"/>
      <c r="D1561" s="198" t="str">
        <f>표지!$O$3&amp;" "&amp;표지!$O$4</f>
        <v>20○○회합100○○○ 회생</v>
      </c>
      <c r="E1561" s="160" t="s">
        <v>261</v>
      </c>
      <c r="F1561" s="199" t="str">
        <f>표지!$O$5</f>
        <v>○○○○ 주식회사</v>
      </c>
    </row>
    <row r="1562" spans="1:6" ht="30.95" hidden="1" customHeight="1">
      <c r="A1562" s="624" t="s">
        <v>125</v>
      </c>
      <c r="B1562" s="423"/>
      <c r="C1562" s="423"/>
      <c r="D1562" s="276">
        <v>174</v>
      </c>
      <c r="E1562" s="170" t="s">
        <v>190</v>
      </c>
      <c r="F1562" s="111"/>
    </row>
    <row r="1563" spans="1:6" ht="30.95" hidden="1" customHeight="1">
      <c r="A1563" s="625" t="s">
        <v>183</v>
      </c>
      <c r="B1563" s="419" t="s">
        <v>118</v>
      </c>
      <c r="C1563" s="420"/>
      <c r="D1563" s="419" t="e">
        <f>VLOOKUP(D1562,주주총괄!$A$5:$J$8,4,0)</f>
        <v>#N/A</v>
      </c>
      <c r="E1563" s="420"/>
      <c r="F1563" s="626"/>
    </row>
    <row r="1564" spans="1:6" ht="30.95" hidden="1" customHeight="1">
      <c r="A1564" s="625"/>
      <c r="B1564" s="419" t="s">
        <v>250</v>
      </c>
      <c r="C1564" s="420"/>
      <c r="D1564" s="564" t="e">
        <f>VLOOKUP(D1562,주주총괄!$A$5:$J$8,5,0)</f>
        <v>#N/A</v>
      </c>
      <c r="E1564" s="565"/>
      <c r="F1564" s="627"/>
    </row>
    <row r="1565" spans="1:6" ht="30.95" hidden="1" customHeight="1">
      <c r="A1565" s="625"/>
      <c r="B1565" s="419" t="s">
        <v>23</v>
      </c>
      <c r="C1565" s="420"/>
      <c r="D1565" s="25"/>
      <c r="E1565" s="62" t="s">
        <v>151</v>
      </c>
      <c r="F1565" s="161"/>
    </row>
    <row r="1566" spans="1:6" ht="30.95" hidden="1" customHeight="1">
      <c r="A1566" s="210" t="s">
        <v>59</v>
      </c>
      <c r="B1566" s="205" t="e">
        <f>VLOOKUP(D1562,주주총괄!$A$5:$J$8,6,0)</f>
        <v>#N/A</v>
      </c>
      <c r="C1566" s="274" t="e">
        <f>VLOOKUP(D1562,주주총괄!$A$5:$J$8,7,0)</f>
        <v>#N/A</v>
      </c>
      <c r="D1566" s="275" t="e">
        <f>VLOOKUP(D1562,주주총괄!$A$5:$J$8,8,0)</f>
        <v>#N/A</v>
      </c>
      <c r="E1566" s="620" t="str">
        <f>"(액면가액: "&amp;TEXT(주주총괄!$L$4,"###,###원)")</f>
        <v>(액면가액: 100원)</v>
      </c>
      <c r="F1566" s="621"/>
    </row>
    <row r="1567" spans="1:6" ht="30.95" hidden="1" customHeight="1">
      <c r="A1567" s="211" t="s">
        <v>19</v>
      </c>
      <c r="B1567" s="618"/>
      <c r="C1567" s="618"/>
      <c r="D1567" s="618"/>
      <c r="E1567" s="618"/>
      <c r="F1567" s="619"/>
    </row>
    <row r="1568" spans="1:6" ht="30.95" hidden="1" customHeight="1">
      <c r="A1568" s="612" t="s">
        <v>41</v>
      </c>
      <c r="B1568" s="612"/>
      <c r="C1568" s="612"/>
      <c r="D1568" s="612"/>
      <c r="E1568" s="612"/>
      <c r="F1568" s="612"/>
    </row>
    <row r="1569" spans="1:6" ht="30.95" hidden="1" customHeight="1">
      <c r="A1569" s="128"/>
      <c r="B1569" s="128"/>
      <c r="C1569" s="128"/>
      <c r="D1569" s="128"/>
      <c r="E1569" s="128"/>
      <c r="F1569" s="128"/>
    </row>
    <row r="1570" spans="1:6" ht="30.95" hidden="1" customHeight="1">
      <c r="A1570" s="622" t="s">
        <v>249</v>
      </c>
      <c r="B1570" s="623"/>
      <c r="C1570" s="623"/>
      <c r="D1570" s="198" t="str">
        <f>표지!$O$3&amp;" "&amp;표지!$O$4</f>
        <v>20○○회합100○○○ 회생</v>
      </c>
      <c r="E1570" s="160" t="s">
        <v>261</v>
      </c>
      <c r="F1570" s="199" t="str">
        <f>표지!$O$5</f>
        <v>○○○○ 주식회사</v>
      </c>
    </row>
    <row r="1571" spans="1:6" ht="30.95" hidden="1" customHeight="1">
      <c r="A1571" s="624" t="s">
        <v>125</v>
      </c>
      <c r="B1571" s="423"/>
      <c r="C1571" s="423"/>
      <c r="D1571" s="276">
        <v>175</v>
      </c>
      <c r="E1571" s="170" t="s">
        <v>190</v>
      </c>
      <c r="F1571" s="111"/>
    </row>
    <row r="1572" spans="1:6" ht="30.95" hidden="1" customHeight="1">
      <c r="A1572" s="625" t="s">
        <v>183</v>
      </c>
      <c r="B1572" s="419" t="s">
        <v>118</v>
      </c>
      <c r="C1572" s="420"/>
      <c r="D1572" s="419" t="e">
        <f>VLOOKUP(D1571,주주총괄!$A$5:$J$8,4,0)</f>
        <v>#N/A</v>
      </c>
      <c r="E1572" s="420"/>
      <c r="F1572" s="626"/>
    </row>
    <row r="1573" spans="1:6" ht="30.95" hidden="1" customHeight="1">
      <c r="A1573" s="625"/>
      <c r="B1573" s="419" t="s">
        <v>250</v>
      </c>
      <c r="C1573" s="420"/>
      <c r="D1573" s="564" t="e">
        <f>VLOOKUP(D1571,주주총괄!$A$5:$J$8,5,0)</f>
        <v>#N/A</v>
      </c>
      <c r="E1573" s="565"/>
      <c r="F1573" s="627"/>
    </row>
    <row r="1574" spans="1:6" ht="30.95" hidden="1" customHeight="1">
      <c r="A1574" s="625"/>
      <c r="B1574" s="419" t="s">
        <v>23</v>
      </c>
      <c r="C1574" s="420"/>
      <c r="D1574" s="25"/>
      <c r="E1574" s="62" t="s">
        <v>151</v>
      </c>
      <c r="F1574" s="161"/>
    </row>
    <row r="1575" spans="1:6" ht="30.95" hidden="1" customHeight="1">
      <c r="A1575" s="210" t="s">
        <v>59</v>
      </c>
      <c r="B1575" s="205" t="e">
        <f>VLOOKUP(D1571,주주총괄!$A$5:$J$8,6,0)</f>
        <v>#N/A</v>
      </c>
      <c r="C1575" s="274" t="e">
        <f>VLOOKUP(D1571,주주총괄!$A$5:$J$8,7,0)</f>
        <v>#N/A</v>
      </c>
      <c r="D1575" s="275" t="e">
        <f>VLOOKUP(D1571,주주총괄!$A$5:$J$8,8,0)</f>
        <v>#N/A</v>
      </c>
      <c r="E1575" s="620" t="str">
        <f>"(액면가액: "&amp;TEXT(주주총괄!$L$4,"###,###원)")</f>
        <v>(액면가액: 100원)</v>
      </c>
      <c r="F1575" s="621"/>
    </row>
    <row r="1576" spans="1:6" ht="30.95" hidden="1" customHeight="1">
      <c r="A1576" s="211" t="s">
        <v>19</v>
      </c>
      <c r="B1576" s="618"/>
      <c r="C1576" s="618"/>
      <c r="D1576" s="618"/>
      <c r="E1576" s="618"/>
      <c r="F1576" s="619"/>
    </row>
    <row r="1577" spans="1:6" ht="30.95" hidden="1" customHeight="1">
      <c r="A1577" s="612" t="s">
        <v>41</v>
      </c>
      <c r="B1577" s="612"/>
      <c r="C1577" s="612"/>
      <c r="D1577" s="612"/>
      <c r="E1577" s="612"/>
      <c r="F1577" s="612"/>
    </row>
    <row r="1578" spans="1:6" ht="30.95" hidden="1" customHeight="1">
      <c r="A1578" s="128"/>
      <c r="B1578" s="128"/>
      <c r="C1578" s="128"/>
      <c r="D1578" s="128"/>
      <c r="E1578" s="128"/>
      <c r="F1578" s="128"/>
    </row>
    <row r="1579" spans="1:6" ht="30.95" hidden="1" customHeight="1">
      <c r="A1579" s="622" t="s">
        <v>249</v>
      </c>
      <c r="B1579" s="623"/>
      <c r="C1579" s="623"/>
      <c r="D1579" s="198" t="str">
        <f>표지!$O$3&amp;" "&amp;표지!$O$4</f>
        <v>20○○회합100○○○ 회생</v>
      </c>
      <c r="E1579" s="160" t="s">
        <v>261</v>
      </c>
      <c r="F1579" s="199" t="str">
        <f>표지!$O$5</f>
        <v>○○○○ 주식회사</v>
      </c>
    </row>
    <row r="1580" spans="1:6" ht="30.95" hidden="1" customHeight="1">
      <c r="A1580" s="624" t="s">
        <v>125</v>
      </c>
      <c r="B1580" s="423"/>
      <c r="C1580" s="423"/>
      <c r="D1580" s="276">
        <v>176</v>
      </c>
      <c r="E1580" s="170" t="s">
        <v>190</v>
      </c>
      <c r="F1580" s="111"/>
    </row>
    <row r="1581" spans="1:6" ht="30.95" hidden="1" customHeight="1">
      <c r="A1581" s="625" t="s">
        <v>183</v>
      </c>
      <c r="B1581" s="419" t="s">
        <v>118</v>
      </c>
      <c r="C1581" s="420"/>
      <c r="D1581" s="419" t="e">
        <f>VLOOKUP(D1580,주주총괄!$A$5:$J$8,4,0)</f>
        <v>#N/A</v>
      </c>
      <c r="E1581" s="420"/>
      <c r="F1581" s="626"/>
    </row>
    <row r="1582" spans="1:6" ht="30.95" hidden="1" customHeight="1">
      <c r="A1582" s="625"/>
      <c r="B1582" s="419" t="s">
        <v>250</v>
      </c>
      <c r="C1582" s="420"/>
      <c r="D1582" s="564" t="e">
        <f>VLOOKUP(D1580,주주총괄!$A$5:$J$8,5,0)</f>
        <v>#N/A</v>
      </c>
      <c r="E1582" s="565"/>
      <c r="F1582" s="627"/>
    </row>
    <row r="1583" spans="1:6" ht="30.95" hidden="1" customHeight="1">
      <c r="A1583" s="625"/>
      <c r="B1583" s="419" t="s">
        <v>23</v>
      </c>
      <c r="C1583" s="420"/>
      <c r="D1583" s="25"/>
      <c r="E1583" s="62" t="s">
        <v>151</v>
      </c>
      <c r="F1583" s="161"/>
    </row>
    <row r="1584" spans="1:6" ht="30.95" hidden="1" customHeight="1">
      <c r="A1584" s="210" t="s">
        <v>59</v>
      </c>
      <c r="B1584" s="205" t="e">
        <f>VLOOKUP(D1580,주주총괄!$A$5:$J$8,6,0)</f>
        <v>#N/A</v>
      </c>
      <c r="C1584" s="274" t="e">
        <f>VLOOKUP(D1580,주주총괄!$A$5:$J$8,7,0)</f>
        <v>#N/A</v>
      </c>
      <c r="D1584" s="275" t="e">
        <f>VLOOKUP(D1580,주주총괄!$A$5:$J$8,8,0)</f>
        <v>#N/A</v>
      </c>
      <c r="E1584" s="620" t="str">
        <f>"(액면가액: "&amp;TEXT(주주총괄!$L$4,"###,###원)")</f>
        <v>(액면가액: 100원)</v>
      </c>
      <c r="F1584" s="621"/>
    </row>
    <row r="1585" spans="1:6" ht="30.95" hidden="1" customHeight="1">
      <c r="A1585" s="211" t="s">
        <v>19</v>
      </c>
      <c r="B1585" s="618"/>
      <c r="C1585" s="618"/>
      <c r="D1585" s="618"/>
      <c r="E1585" s="618"/>
      <c r="F1585" s="619"/>
    </row>
    <row r="1586" spans="1:6" ht="30.95" hidden="1" customHeight="1">
      <c r="A1586" s="612" t="s">
        <v>41</v>
      </c>
      <c r="B1586" s="612"/>
      <c r="C1586" s="612"/>
      <c r="D1586" s="612"/>
      <c r="E1586" s="612"/>
      <c r="F1586" s="612"/>
    </row>
    <row r="1587" spans="1:6" ht="30.95" hidden="1" customHeight="1">
      <c r="A1587" s="128"/>
      <c r="B1587" s="128"/>
      <c r="C1587" s="128"/>
      <c r="D1587" s="128"/>
      <c r="E1587" s="128"/>
      <c r="F1587" s="128"/>
    </row>
    <row r="1588" spans="1:6" ht="30.95" hidden="1" customHeight="1">
      <c r="A1588" s="622" t="s">
        <v>249</v>
      </c>
      <c r="B1588" s="623"/>
      <c r="C1588" s="623"/>
      <c r="D1588" s="198" t="str">
        <f>표지!$O$3&amp;" "&amp;표지!$O$4</f>
        <v>20○○회합100○○○ 회생</v>
      </c>
      <c r="E1588" s="160" t="s">
        <v>261</v>
      </c>
      <c r="F1588" s="199" t="str">
        <f>표지!$O$5</f>
        <v>○○○○ 주식회사</v>
      </c>
    </row>
    <row r="1589" spans="1:6" ht="30.95" hidden="1" customHeight="1">
      <c r="A1589" s="624" t="s">
        <v>125</v>
      </c>
      <c r="B1589" s="423"/>
      <c r="C1589" s="423"/>
      <c r="D1589" s="276">
        <v>177</v>
      </c>
      <c r="E1589" s="170" t="s">
        <v>190</v>
      </c>
      <c r="F1589" s="111"/>
    </row>
    <row r="1590" spans="1:6" ht="30.95" hidden="1" customHeight="1">
      <c r="A1590" s="625" t="s">
        <v>183</v>
      </c>
      <c r="B1590" s="419" t="s">
        <v>118</v>
      </c>
      <c r="C1590" s="420"/>
      <c r="D1590" s="419" t="e">
        <f>VLOOKUP(D1589,주주총괄!$A$5:$J$8,4,0)</f>
        <v>#N/A</v>
      </c>
      <c r="E1590" s="420"/>
      <c r="F1590" s="626"/>
    </row>
    <row r="1591" spans="1:6" ht="30.95" hidden="1" customHeight="1">
      <c r="A1591" s="625"/>
      <c r="B1591" s="419" t="s">
        <v>250</v>
      </c>
      <c r="C1591" s="420"/>
      <c r="D1591" s="564" t="e">
        <f>VLOOKUP(D1589,주주총괄!$A$5:$J$8,5,0)</f>
        <v>#N/A</v>
      </c>
      <c r="E1591" s="565"/>
      <c r="F1591" s="627"/>
    </row>
    <row r="1592" spans="1:6" ht="30.95" hidden="1" customHeight="1">
      <c r="A1592" s="625"/>
      <c r="B1592" s="419" t="s">
        <v>23</v>
      </c>
      <c r="C1592" s="420"/>
      <c r="D1592" s="25"/>
      <c r="E1592" s="62" t="s">
        <v>151</v>
      </c>
      <c r="F1592" s="161"/>
    </row>
    <row r="1593" spans="1:6" ht="30.95" hidden="1" customHeight="1">
      <c r="A1593" s="210" t="s">
        <v>59</v>
      </c>
      <c r="B1593" s="205" t="e">
        <f>VLOOKUP(D1589,주주총괄!$A$5:$J$8,6,0)</f>
        <v>#N/A</v>
      </c>
      <c r="C1593" s="274" t="e">
        <f>VLOOKUP(D1589,주주총괄!$A$5:$J$8,7,0)</f>
        <v>#N/A</v>
      </c>
      <c r="D1593" s="275" t="e">
        <f>VLOOKUP(D1589,주주총괄!$A$5:$J$8,8,0)</f>
        <v>#N/A</v>
      </c>
      <c r="E1593" s="620" t="str">
        <f>"(액면가액: "&amp;TEXT(주주총괄!$L$4,"###,###원)")</f>
        <v>(액면가액: 100원)</v>
      </c>
      <c r="F1593" s="621"/>
    </row>
    <row r="1594" spans="1:6" ht="30.95" hidden="1" customHeight="1">
      <c r="A1594" s="211" t="s">
        <v>19</v>
      </c>
      <c r="B1594" s="618"/>
      <c r="C1594" s="618"/>
      <c r="D1594" s="618"/>
      <c r="E1594" s="618"/>
      <c r="F1594" s="619"/>
    </row>
    <row r="1595" spans="1:6" ht="30.95" hidden="1" customHeight="1">
      <c r="A1595" s="612" t="s">
        <v>41</v>
      </c>
      <c r="B1595" s="612"/>
      <c r="C1595" s="612"/>
      <c r="D1595" s="612"/>
      <c r="E1595" s="612"/>
      <c r="F1595" s="612"/>
    </row>
    <row r="1596" spans="1:6" ht="30.95" hidden="1" customHeight="1">
      <c r="A1596" s="128"/>
      <c r="B1596" s="128"/>
      <c r="C1596" s="128"/>
      <c r="D1596" s="128"/>
      <c r="E1596" s="128"/>
      <c r="F1596" s="128"/>
    </row>
    <row r="1597" spans="1:6" ht="30.95" hidden="1" customHeight="1">
      <c r="A1597" s="622" t="s">
        <v>249</v>
      </c>
      <c r="B1597" s="623"/>
      <c r="C1597" s="623"/>
      <c r="D1597" s="198" t="str">
        <f>표지!$O$3&amp;" "&amp;표지!$O$4</f>
        <v>20○○회합100○○○ 회생</v>
      </c>
      <c r="E1597" s="160" t="s">
        <v>261</v>
      </c>
      <c r="F1597" s="199" t="str">
        <f>표지!$O$5</f>
        <v>○○○○ 주식회사</v>
      </c>
    </row>
    <row r="1598" spans="1:6" ht="30.95" hidden="1" customHeight="1">
      <c r="A1598" s="624" t="s">
        <v>125</v>
      </c>
      <c r="B1598" s="423"/>
      <c r="C1598" s="423"/>
      <c r="D1598" s="276">
        <v>178</v>
      </c>
      <c r="E1598" s="170" t="s">
        <v>190</v>
      </c>
      <c r="F1598" s="111"/>
    </row>
    <row r="1599" spans="1:6" ht="30.95" hidden="1" customHeight="1">
      <c r="A1599" s="625" t="s">
        <v>183</v>
      </c>
      <c r="B1599" s="419" t="s">
        <v>118</v>
      </c>
      <c r="C1599" s="420"/>
      <c r="D1599" s="419" t="e">
        <f>VLOOKUP(D1598,주주총괄!$A$5:$J$8,4,0)</f>
        <v>#N/A</v>
      </c>
      <c r="E1599" s="420"/>
      <c r="F1599" s="626"/>
    </row>
    <row r="1600" spans="1:6" ht="30.95" hidden="1" customHeight="1">
      <c r="A1600" s="625"/>
      <c r="B1600" s="419" t="s">
        <v>250</v>
      </c>
      <c r="C1600" s="420"/>
      <c r="D1600" s="564" t="e">
        <f>VLOOKUP(D1598,주주총괄!$A$5:$J$8,5,0)</f>
        <v>#N/A</v>
      </c>
      <c r="E1600" s="565"/>
      <c r="F1600" s="627"/>
    </row>
    <row r="1601" spans="1:6" ht="30.95" hidden="1" customHeight="1">
      <c r="A1601" s="625"/>
      <c r="B1601" s="419" t="s">
        <v>23</v>
      </c>
      <c r="C1601" s="420"/>
      <c r="D1601" s="25"/>
      <c r="E1601" s="62" t="s">
        <v>151</v>
      </c>
      <c r="F1601" s="161"/>
    </row>
    <row r="1602" spans="1:6" ht="30.95" hidden="1" customHeight="1">
      <c r="A1602" s="210" t="s">
        <v>59</v>
      </c>
      <c r="B1602" s="205" t="e">
        <f>VLOOKUP(D1598,주주총괄!$A$5:$J$8,6,0)</f>
        <v>#N/A</v>
      </c>
      <c r="C1602" s="274" t="e">
        <f>VLOOKUP(D1598,주주총괄!$A$5:$J$8,7,0)</f>
        <v>#N/A</v>
      </c>
      <c r="D1602" s="275" t="e">
        <f>VLOOKUP(D1598,주주총괄!$A$5:$J$8,8,0)</f>
        <v>#N/A</v>
      </c>
      <c r="E1602" s="620" t="str">
        <f>"(액면가액: "&amp;TEXT(주주총괄!$L$4,"###,###원)")</f>
        <v>(액면가액: 100원)</v>
      </c>
      <c r="F1602" s="621"/>
    </row>
    <row r="1603" spans="1:6" ht="30.95" hidden="1" customHeight="1">
      <c r="A1603" s="211" t="s">
        <v>19</v>
      </c>
      <c r="B1603" s="618"/>
      <c r="C1603" s="618"/>
      <c r="D1603" s="618"/>
      <c r="E1603" s="618"/>
      <c r="F1603" s="619"/>
    </row>
    <row r="1604" spans="1:6" ht="30.95" hidden="1" customHeight="1">
      <c r="A1604" s="612" t="s">
        <v>41</v>
      </c>
      <c r="B1604" s="612"/>
      <c r="C1604" s="612"/>
      <c r="D1604" s="612"/>
      <c r="E1604" s="612"/>
      <c r="F1604" s="612"/>
    </row>
    <row r="1605" spans="1:6" ht="30.95" hidden="1" customHeight="1">
      <c r="A1605" s="128"/>
      <c r="B1605" s="128"/>
      <c r="C1605" s="128"/>
      <c r="D1605" s="128"/>
      <c r="E1605" s="128"/>
      <c r="F1605" s="128"/>
    </row>
    <row r="1606" spans="1:6" ht="30.95" hidden="1" customHeight="1">
      <c r="A1606" s="622" t="s">
        <v>249</v>
      </c>
      <c r="B1606" s="623"/>
      <c r="C1606" s="623"/>
      <c r="D1606" s="198" t="str">
        <f>표지!$O$3&amp;" "&amp;표지!$O$4</f>
        <v>20○○회합100○○○ 회생</v>
      </c>
      <c r="E1606" s="160" t="s">
        <v>261</v>
      </c>
      <c r="F1606" s="199" t="str">
        <f>표지!$O$5</f>
        <v>○○○○ 주식회사</v>
      </c>
    </row>
    <row r="1607" spans="1:6" ht="30.95" hidden="1" customHeight="1">
      <c r="A1607" s="624" t="s">
        <v>125</v>
      </c>
      <c r="B1607" s="423"/>
      <c r="C1607" s="423"/>
      <c r="D1607" s="276">
        <v>179</v>
      </c>
      <c r="E1607" s="170" t="s">
        <v>190</v>
      </c>
      <c r="F1607" s="111"/>
    </row>
    <row r="1608" spans="1:6" ht="30.95" hidden="1" customHeight="1">
      <c r="A1608" s="625" t="s">
        <v>183</v>
      </c>
      <c r="B1608" s="419" t="s">
        <v>118</v>
      </c>
      <c r="C1608" s="420"/>
      <c r="D1608" s="419" t="e">
        <f>VLOOKUP(D1607,주주총괄!$A$5:$J$8,4,0)</f>
        <v>#N/A</v>
      </c>
      <c r="E1608" s="420"/>
      <c r="F1608" s="626"/>
    </row>
    <row r="1609" spans="1:6" ht="30.95" hidden="1" customHeight="1">
      <c r="A1609" s="625"/>
      <c r="B1609" s="419" t="s">
        <v>250</v>
      </c>
      <c r="C1609" s="420"/>
      <c r="D1609" s="564" t="e">
        <f>VLOOKUP(D1607,주주총괄!$A$5:$J$8,5,0)</f>
        <v>#N/A</v>
      </c>
      <c r="E1609" s="565"/>
      <c r="F1609" s="627"/>
    </row>
    <row r="1610" spans="1:6" ht="30.95" hidden="1" customHeight="1">
      <c r="A1610" s="625"/>
      <c r="B1610" s="419" t="s">
        <v>23</v>
      </c>
      <c r="C1610" s="420"/>
      <c r="D1610" s="25"/>
      <c r="E1610" s="62" t="s">
        <v>151</v>
      </c>
      <c r="F1610" s="161"/>
    </row>
    <row r="1611" spans="1:6" ht="30.95" hidden="1" customHeight="1">
      <c r="A1611" s="210" t="s">
        <v>59</v>
      </c>
      <c r="B1611" s="205" t="e">
        <f>VLOOKUP(D1607,주주총괄!$A$5:$J$8,6,0)</f>
        <v>#N/A</v>
      </c>
      <c r="C1611" s="274" t="e">
        <f>VLOOKUP(D1607,주주총괄!$A$5:$J$8,7,0)</f>
        <v>#N/A</v>
      </c>
      <c r="D1611" s="275" t="e">
        <f>VLOOKUP(D1607,주주총괄!$A$5:$J$8,8,0)</f>
        <v>#N/A</v>
      </c>
      <c r="E1611" s="620" t="str">
        <f>"(액면가액: "&amp;TEXT(주주총괄!$L$4,"###,###원)")</f>
        <v>(액면가액: 100원)</v>
      </c>
      <c r="F1611" s="621"/>
    </row>
    <row r="1612" spans="1:6" ht="30.95" hidden="1" customHeight="1">
      <c r="A1612" s="211" t="s">
        <v>19</v>
      </c>
      <c r="B1612" s="618"/>
      <c r="C1612" s="618"/>
      <c r="D1612" s="618"/>
      <c r="E1612" s="618"/>
      <c r="F1612" s="619"/>
    </row>
    <row r="1613" spans="1:6" ht="30.95" hidden="1" customHeight="1">
      <c r="A1613" s="612" t="s">
        <v>41</v>
      </c>
      <c r="B1613" s="612"/>
      <c r="C1613" s="612"/>
      <c r="D1613" s="612"/>
      <c r="E1613" s="612"/>
      <c r="F1613" s="612"/>
    </row>
    <row r="1614" spans="1:6" ht="30.95" hidden="1" customHeight="1">
      <c r="A1614" s="128"/>
      <c r="B1614" s="128"/>
      <c r="C1614" s="128"/>
      <c r="D1614" s="128"/>
      <c r="E1614" s="128"/>
      <c r="F1614" s="128"/>
    </row>
    <row r="1615" spans="1:6" ht="30.95" hidden="1" customHeight="1">
      <c r="A1615" s="622" t="s">
        <v>249</v>
      </c>
      <c r="B1615" s="623"/>
      <c r="C1615" s="623"/>
      <c r="D1615" s="198" t="str">
        <f>표지!$O$3&amp;" "&amp;표지!$O$4</f>
        <v>20○○회합100○○○ 회생</v>
      </c>
      <c r="E1615" s="160" t="s">
        <v>261</v>
      </c>
      <c r="F1615" s="199" t="str">
        <f>표지!$O$5</f>
        <v>○○○○ 주식회사</v>
      </c>
    </row>
    <row r="1616" spans="1:6" ht="30.95" hidden="1" customHeight="1">
      <c r="A1616" s="624" t="s">
        <v>125</v>
      </c>
      <c r="B1616" s="423"/>
      <c r="C1616" s="423"/>
      <c r="D1616" s="276">
        <v>180</v>
      </c>
      <c r="E1616" s="170" t="s">
        <v>190</v>
      </c>
      <c r="F1616" s="111"/>
    </row>
    <row r="1617" spans="1:6" ht="30.95" hidden="1" customHeight="1">
      <c r="A1617" s="625" t="s">
        <v>183</v>
      </c>
      <c r="B1617" s="419" t="s">
        <v>118</v>
      </c>
      <c r="C1617" s="420"/>
      <c r="D1617" s="419" t="e">
        <f>VLOOKUP(D1616,주주총괄!$A$5:$J$8,4,0)</f>
        <v>#N/A</v>
      </c>
      <c r="E1617" s="420"/>
      <c r="F1617" s="626"/>
    </row>
    <row r="1618" spans="1:6" ht="30.95" hidden="1" customHeight="1">
      <c r="A1618" s="625"/>
      <c r="B1618" s="419" t="s">
        <v>250</v>
      </c>
      <c r="C1618" s="420"/>
      <c r="D1618" s="564" t="e">
        <f>VLOOKUP(D1616,주주총괄!$A$5:$J$8,5,0)</f>
        <v>#N/A</v>
      </c>
      <c r="E1618" s="565"/>
      <c r="F1618" s="627"/>
    </row>
    <row r="1619" spans="1:6" ht="30.95" hidden="1" customHeight="1">
      <c r="A1619" s="625"/>
      <c r="B1619" s="419" t="s">
        <v>23</v>
      </c>
      <c r="C1619" s="420"/>
      <c r="D1619" s="25"/>
      <c r="E1619" s="62" t="s">
        <v>151</v>
      </c>
      <c r="F1619" s="161"/>
    </row>
    <row r="1620" spans="1:6" ht="30.95" hidden="1" customHeight="1">
      <c r="A1620" s="210" t="s">
        <v>59</v>
      </c>
      <c r="B1620" s="205" t="e">
        <f>VLOOKUP(D1616,주주총괄!$A$5:$J$8,6,0)</f>
        <v>#N/A</v>
      </c>
      <c r="C1620" s="274" t="e">
        <f>VLOOKUP(D1616,주주총괄!$A$5:$J$8,7,0)</f>
        <v>#N/A</v>
      </c>
      <c r="D1620" s="275" t="e">
        <f>VLOOKUP(D1616,주주총괄!$A$5:$J$8,8,0)</f>
        <v>#N/A</v>
      </c>
      <c r="E1620" s="620" t="str">
        <f>"(액면가액: "&amp;TEXT(주주총괄!$L$4,"###,###원)")</f>
        <v>(액면가액: 100원)</v>
      </c>
      <c r="F1620" s="621"/>
    </row>
    <row r="1621" spans="1:6" ht="30.95" hidden="1" customHeight="1">
      <c r="A1621" s="211" t="s">
        <v>19</v>
      </c>
      <c r="B1621" s="618"/>
      <c r="C1621" s="618"/>
      <c r="D1621" s="618"/>
      <c r="E1621" s="618"/>
      <c r="F1621" s="619"/>
    </row>
    <row r="1622" spans="1:6" ht="30.95" hidden="1" customHeight="1">
      <c r="A1622" s="612" t="s">
        <v>41</v>
      </c>
      <c r="B1622" s="612"/>
      <c r="C1622" s="612"/>
      <c r="D1622" s="612"/>
      <c r="E1622" s="612"/>
      <c r="F1622" s="612"/>
    </row>
    <row r="1623" spans="1:6" ht="30.95" hidden="1" customHeight="1">
      <c r="A1623" s="128"/>
      <c r="B1623" s="128"/>
      <c r="C1623" s="128"/>
      <c r="D1623" s="128"/>
      <c r="E1623" s="128"/>
      <c r="F1623" s="128"/>
    </row>
    <row r="1624" spans="1:6" ht="30.95" hidden="1" customHeight="1">
      <c r="A1624" s="622" t="s">
        <v>249</v>
      </c>
      <c r="B1624" s="623"/>
      <c r="C1624" s="623"/>
      <c r="D1624" s="198" t="str">
        <f>표지!$O$3&amp;" "&amp;표지!$O$4</f>
        <v>20○○회합100○○○ 회생</v>
      </c>
      <c r="E1624" s="160" t="s">
        <v>261</v>
      </c>
      <c r="F1624" s="199" t="str">
        <f>표지!$O$5</f>
        <v>○○○○ 주식회사</v>
      </c>
    </row>
    <row r="1625" spans="1:6" ht="30.95" hidden="1" customHeight="1">
      <c r="A1625" s="624" t="s">
        <v>125</v>
      </c>
      <c r="B1625" s="423"/>
      <c r="C1625" s="423"/>
      <c r="D1625" s="276">
        <v>181</v>
      </c>
      <c r="E1625" s="170" t="s">
        <v>190</v>
      </c>
      <c r="F1625" s="111"/>
    </row>
    <row r="1626" spans="1:6" ht="30.95" hidden="1" customHeight="1">
      <c r="A1626" s="625" t="s">
        <v>183</v>
      </c>
      <c r="B1626" s="419" t="s">
        <v>118</v>
      </c>
      <c r="C1626" s="420"/>
      <c r="D1626" s="419" t="e">
        <f>VLOOKUP(D1625,주주총괄!$A$5:$J$8,4,0)</f>
        <v>#N/A</v>
      </c>
      <c r="E1626" s="420"/>
      <c r="F1626" s="626"/>
    </row>
    <row r="1627" spans="1:6" ht="30.95" hidden="1" customHeight="1">
      <c r="A1627" s="625"/>
      <c r="B1627" s="419" t="s">
        <v>250</v>
      </c>
      <c r="C1627" s="420"/>
      <c r="D1627" s="564" t="e">
        <f>VLOOKUP(D1625,주주총괄!$A$5:$J$8,5,0)</f>
        <v>#N/A</v>
      </c>
      <c r="E1627" s="565"/>
      <c r="F1627" s="627"/>
    </row>
    <row r="1628" spans="1:6" ht="30.95" hidden="1" customHeight="1">
      <c r="A1628" s="625"/>
      <c r="B1628" s="419" t="s">
        <v>23</v>
      </c>
      <c r="C1628" s="420"/>
      <c r="D1628" s="25"/>
      <c r="E1628" s="62" t="s">
        <v>151</v>
      </c>
      <c r="F1628" s="161"/>
    </row>
    <row r="1629" spans="1:6" ht="30.95" hidden="1" customHeight="1">
      <c r="A1629" s="210" t="s">
        <v>59</v>
      </c>
      <c r="B1629" s="205" t="e">
        <f>VLOOKUP(D1625,주주총괄!$A$5:$J$8,6,0)</f>
        <v>#N/A</v>
      </c>
      <c r="C1629" s="274" t="e">
        <f>VLOOKUP(D1625,주주총괄!$A$5:$J$8,7,0)</f>
        <v>#N/A</v>
      </c>
      <c r="D1629" s="275" t="e">
        <f>VLOOKUP(D1625,주주총괄!$A$5:$J$8,8,0)</f>
        <v>#N/A</v>
      </c>
      <c r="E1629" s="620" t="str">
        <f>"(액면가액: "&amp;TEXT(주주총괄!$L$4,"###,###원)")</f>
        <v>(액면가액: 100원)</v>
      </c>
      <c r="F1629" s="621"/>
    </row>
    <row r="1630" spans="1:6" ht="30.95" hidden="1" customHeight="1">
      <c r="A1630" s="211" t="s">
        <v>19</v>
      </c>
      <c r="B1630" s="618"/>
      <c r="C1630" s="618"/>
      <c r="D1630" s="618"/>
      <c r="E1630" s="618"/>
      <c r="F1630" s="619"/>
    </row>
    <row r="1631" spans="1:6" ht="30.95" hidden="1" customHeight="1">
      <c r="A1631" s="612" t="s">
        <v>41</v>
      </c>
      <c r="B1631" s="612"/>
      <c r="C1631" s="612"/>
      <c r="D1631" s="612"/>
      <c r="E1631" s="612"/>
      <c r="F1631" s="612"/>
    </row>
    <row r="1632" spans="1:6" ht="30.95" hidden="1" customHeight="1">
      <c r="A1632" s="128"/>
      <c r="B1632" s="128"/>
      <c r="C1632" s="128"/>
      <c r="D1632" s="128"/>
      <c r="E1632" s="128"/>
      <c r="F1632" s="128"/>
    </row>
    <row r="1633" spans="1:6" ht="30.95" hidden="1" customHeight="1">
      <c r="A1633" s="622" t="s">
        <v>249</v>
      </c>
      <c r="B1633" s="623"/>
      <c r="C1633" s="623"/>
      <c r="D1633" s="198" t="str">
        <f>표지!$O$3&amp;" "&amp;표지!$O$4</f>
        <v>20○○회합100○○○ 회생</v>
      </c>
      <c r="E1633" s="160" t="s">
        <v>261</v>
      </c>
      <c r="F1633" s="199" t="str">
        <f>표지!$O$5</f>
        <v>○○○○ 주식회사</v>
      </c>
    </row>
    <row r="1634" spans="1:6" ht="30.95" hidden="1" customHeight="1">
      <c r="A1634" s="624" t="s">
        <v>125</v>
      </c>
      <c r="B1634" s="423"/>
      <c r="C1634" s="423"/>
      <c r="D1634" s="276">
        <v>182</v>
      </c>
      <c r="E1634" s="170" t="s">
        <v>190</v>
      </c>
      <c r="F1634" s="111"/>
    </row>
    <row r="1635" spans="1:6" ht="30.95" hidden="1" customHeight="1">
      <c r="A1635" s="625" t="s">
        <v>183</v>
      </c>
      <c r="B1635" s="419" t="s">
        <v>118</v>
      </c>
      <c r="C1635" s="420"/>
      <c r="D1635" s="419" t="e">
        <f>VLOOKUP(D1634,주주총괄!$A$5:$J$8,4,0)</f>
        <v>#N/A</v>
      </c>
      <c r="E1635" s="420"/>
      <c r="F1635" s="626"/>
    </row>
    <row r="1636" spans="1:6" ht="30.95" hidden="1" customHeight="1">
      <c r="A1636" s="625"/>
      <c r="B1636" s="419" t="s">
        <v>250</v>
      </c>
      <c r="C1636" s="420"/>
      <c r="D1636" s="564" t="e">
        <f>VLOOKUP(D1634,주주총괄!$A$5:$J$8,5,0)</f>
        <v>#N/A</v>
      </c>
      <c r="E1636" s="565"/>
      <c r="F1636" s="627"/>
    </row>
    <row r="1637" spans="1:6" ht="30.95" hidden="1" customHeight="1">
      <c r="A1637" s="625"/>
      <c r="B1637" s="419" t="s">
        <v>23</v>
      </c>
      <c r="C1637" s="420"/>
      <c r="D1637" s="25"/>
      <c r="E1637" s="62" t="s">
        <v>151</v>
      </c>
      <c r="F1637" s="161"/>
    </row>
    <row r="1638" spans="1:6" ht="30.95" hidden="1" customHeight="1">
      <c r="A1638" s="210" t="s">
        <v>59</v>
      </c>
      <c r="B1638" s="205" t="e">
        <f>VLOOKUP(D1634,주주총괄!$A$5:$J$8,6,0)</f>
        <v>#N/A</v>
      </c>
      <c r="C1638" s="274" t="e">
        <f>VLOOKUP(D1634,주주총괄!$A$5:$J$8,7,0)</f>
        <v>#N/A</v>
      </c>
      <c r="D1638" s="275" t="e">
        <f>VLOOKUP(D1634,주주총괄!$A$5:$J$8,8,0)</f>
        <v>#N/A</v>
      </c>
      <c r="E1638" s="620" t="str">
        <f>"(액면가액: "&amp;TEXT(주주총괄!$L$4,"###,###원)")</f>
        <v>(액면가액: 100원)</v>
      </c>
      <c r="F1638" s="621"/>
    </row>
    <row r="1639" spans="1:6" ht="30.95" hidden="1" customHeight="1">
      <c r="A1639" s="211" t="s">
        <v>19</v>
      </c>
      <c r="B1639" s="618"/>
      <c r="C1639" s="618"/>
      <c r="D1639" s="618"/>
      <c r="E1639" s="618"/>
      <c r="F1639" s="619"/>
    </row>
    <row r="1640" spans="1:6" ht="30.95" hidden="1" customHeight="1">
      <c r="A1640" s="612" t="s">
        <v>41</v>
      </c>
      <c r="B1640" s="612"/>
      <c r="C1640" s="612"/>
      <c r="D1640" s="612"/>
      <c r="E1640" s="612"/>
      <c r="F1640" s="612"/>
    </row>
    <row r="1641" spans="1:6" ht="30.95" hidden="1" customHeight="1">
      <c r="A1641" s="128"/>
      <c r="B1641" s="128"/>
      <c r="C1641" s="128"/>
      <c r="D1641" s="128"/>
      <c r="E1641" s="128"/>
      <c r="F1641" s="128"/>
    </row>
    <row r="1642" spans="1:6" ht="30.95" hidden="1" customHeight="1">
      <c r="A1642" s="622" t="s">
        <v>249</v>
      </c>
      <c r="B1642" s="623"/>
      <c r="C1642" s="623"/>
      <c r="D1642" s="198" t="str">
        <f>표지!$O$3&amp;" "&amp;표지!$O$4</f>
        <v>20○○회합100○○○ 회생</v>
      </c>
      <c r="E1642" s="160" t="s">
        <v>261</v>
      </c>
      <c r="F1642" s="199" t="str">
        <f>표지!$O$5</f>
        <v>○○○○ 주식회사</v>
      </c>
    </row>
    <row r="1643" spans="1:6" ht="30.95" hidden="1" customHeight="1">
      <c r="A1643" s="624" t="s">
        <v>125</v>
      </c>
      <c r="B1643" s="423"/>
      <c r="C1643" s="423"/>
      <c r="D1643" s="276">
        <v>183</v>
      </c>
      <c r="E1643" s="170" t="s">
        <v>190</v>
      </c>
      <c r="F1643" s="111"/>
    </row>
    <row r="1644" spans="1:6" ht="30.95" hidden="1" customHeight="1">
      <c r="A1644" s="625" t="s">
        <v>183</v>
      </c>
      <c r="B1644" s="419" t="s">
        <v>118</v>
      </c>
      <c r="C1644" s="420"/>
      <c r="D1644" s="419" t="e">
        <f>VLOOKUP(D1643,주주총괄!$A$5:$J$8,4,0)</f>
        <v>#N/A</v>
      </c>
      <c r="E1644" s="420"/>
      <c r="F1644" s="626"/>
    </row>
    <row r="1645" spans="1:6" ht="30.95" hidden="1" customHeight="1">
      <c r="A1645" s="625"/>
      <c r="B1645" s="419" t="s">
        <v>250</v>
      </c>
      <c r="C1645" s="420"/>
      <c r="D1645" s="564" t="e">
        <f>VLOOKUP(D1643,주주총괄!$A$5:$J$8,5,0)</f>
        <v>#N/A</v>
      </c>
      <c r="E1645" s="565"/>
      <c r="F1645" s="627"/>
    </row>
    <row r="1646" spans="1:6" ht="30.95" hidden="1" customHeight="1">
      <c r="A1646" s="625"/>
      <c r="B1646" s="419" t="s">
        <v>23</v>
      </c>
      <c r="C1646" s="420"/>
      <c r="D1646" s="25"/>
      <c r="E1646" s="62" t="s">
        <v>151</v>
      </c>
      <c r="F1646" s="161"/>
    </row>
    <row r="1647" spans="1:6" ht="30.95" hidden="1" customHeight="1">
      <c r="A1647" s="210" t="s">
        <v>59</v>
      </c>
      <c r="B1647" s="205" t="e">
        <f>VLOOKUP(D1643,주주총괄!$A$5:$J$8,6,0)</f>
        <v>#N/A</v>
      </c>
      <c r="C1647" s="274" t="e">
        <f>VLOOKUP(D1643,주주총괄!$A$5:$J$8,7,0)</f>
        <v>#N/A</v>
      </c>
      <c r="D1647" s="275" t="e">
        <f>VLOOKUP(D1643,주주총괄!$A$5:$J$8,8,0)</f>
        <v>#N/A</v>
      </c>
      <c r="E1647" s="620" t="str">
        <f>"(액면가액: "&amp;TEXT(주주총괄!$L$4,"###,###원)")</f>
        <v>(액면가액: 100원)</v>
      </c>
      <c r="F1647" s="621"/>
    </row>
    <row r="1648" spans="1:6" ht="30.95" hidden="1" customHeight="1">
      <c r="A1648" s="211" t="s">
        <v>19</v>
      </c>
      <c r="B1648" s="618"/>
      <c r="C1648" s="618"/>
      <c r="D1648" s="618"/>
      <c r="E1648" s="618"/>
      <c r="F1648" s="619"/>
    </row>
    <row r="1649" spans="1:6" ht="30.95" hidden="1" customHeight="1">
      <c r="A1649" s="612" t="s">
        <v>41</v>
      </c>
      <c r="B1649" s="612"/>
      <c r="C1649" s="612"/>
      <c r="D1649" s="612"/>
      <c r="E1649" s="612"/>
      <c r="F1649" s="612"/>
    </row>
    <row r="1650" spans="1:6" ht="30.95" hidden="1" customHeight="1">
      <c r="A1650" s="128"/>
      <c r="B1650" s="128"/>
      <c r="C1650" s="128"/>
      <c r="D1650" s="128"/>
      <c r="E1650" s="128"/>
      <c r="F1650" s="128"/>
    </row>
    <row r="1651" spans="1:6" ht="30.95" hidden="1" customHeight="1">
      <c r="A1651" s="622" t="s">
        <v>249</v>
      </c>
      <c r="B1651" s="623"/>
      <c r="C1651" s="623"/>
      <c r="D1651" s="198" t="str">
        <f>표지!$O$3&amp;" "&amp;표지!$O$4</f>
        <v>20○○회합100○○○ 회생</v>
      </c>
      <c r="E1651" s="160" t="s">
        <v>261</v>
      </c>
      <c r="F1651" s="199" t="str">
        <f>표지!$O$5</f>
        <v>○○○○ 주식회사</v>
      </c>
    </row>
    <row r="1652" spans="1:6" ht="30.95" hidden="1" customHeight="1">
      <c r="A1652" s="624" t="s">
        <v>125</v>
      </c>
      <c r="B1652" s="423"/>
      <c r="C1652" s="423"/>
      <c r="D1652" s="276">
        <v>184</v>
      </c>
      <c r="E1652" s="170" t="s">
        <v>190</v>
      </c>
      <c r="F1652" s="111"/>
    </row>
    <row r="1653" spans="1:6" ht="30.95" hidden="1" customHeight="1">
      <c r="A1653" s="625" t="s">
        <v>183</v>
      </c>
      <c r="B1653" s="419" t="s">
        <v>118</v>
      </c>
      <c r="C1653" s="420"/>
      <c r="D1653" s="419" t="e">
        <f>VLOOKUP(D1652,주주총괄!$A$5:$J$8,4,0)</f>
        <v>#N/A</v>
      </c>
      <c r="E1653" s="420"/>
      <c r="F1653" s="626"/>
    </row>
    <row r="1654" spans="1:6" ht="30.95" hidden="1" customHeight="1">
      <c r="A1654" s="625"/>
      <c r="B1654" s="419" t="s">
        <v>250</v>
      </c>
      <c r="C1654" s="420"/>
      <c r="D1654" s="564" t="e">
        <f>VLOOKUP(D1652,주주총괄!$A$5:$J$8,5,0)</f>
        <v>#N/A</v>
      </c>
      <c r="E1654" s="565"/>
      <c r="F1654" s="627"/>
    </row>
    <row r="1655" spans="1:6" ht="30.95" hidden="1" customHeight="1">
      <c r="A1655" s="625"/>
      <c r="B1655" s="419" t="s">
        <v>23</v>
      </c>
      <c r="C1655" s="420"/>
      <c r="D1655" s="25"/>
      <c r="E1655" s="62" t="s">
        <v>151</v>
      </c>
      <c r="F1655" s="161"/>
    </row>
    <row r="1656" spans="1:6" ht="30.95" hidden="1" customHeight="1">
      <c r="A1656" s="210" t="s">
        <v>59</v>
      </c>
      <c r="B1656" s="205" t="e">
        <f>VLOOKUP(D1652,주주총괄!$A$5:$J$8,6,0)</f>
        <v>#N/A</v>
      </c>
      <c r="C1656" s="274" t="e">
        <f>VLOOKUP(D1652,주주총괄!$A$5:$J$8,7,0)</f>
        <v>#N/A</v>
      </c>
      <c r="D1656" s="275" t="e">
        <f>VLOOKUP(D1652,주주총괄!$A$5:$J$8,8,0)</f>
        <v>#N/A</v>
      </c>
      <c r="E1656" s="620" t="str">
        <f>"(액면가액: "&amp;TEXT(주주총괄!$L$4,"###,###원)")</f>
        <v>(액면가액: 100원)</v>
      </c>
      <c r="F1656" s="621"/>
    </row>
    <row r="1657" spans="1:6" ht="30.95" hidden="1" customHeight="1">
      <c r="A1657" s="211" t="s">
        <v>19</v>
      </c>
      <c r="B1657" s="618"/>
      <c r="C1657" s="618"/>
      <c r="D1657" s="618"/>
      <c r="E1657" s="618"/>
      <c r="F1657" s="619"/>
    </row>
    <row r="1658" spans="1:6" ht="30.95" hidden="1" customHeight="1">
      <c r="A1658" s="612" t="s">
        <v>41</v>
      </c>
      <c r="B1658" s="612"/>
      <c r="C1658" s="612"/>
      <c r="D1658" s="612"/>
      <c r="E1658" s="612"/>
      <c r="F1658" s="612"/>
    </row>
    <row r="1659" spans="1:6" ht="30.95" hidden="1" customHeight="1">
      <c r="A1659" s="128"/>
      <c r="B1659" s="128"/>
      <c r="C1659" s="128"/>
      <c r="D1659" s="128"/>
      <c r="E1659" s="128"/>
      <c r="F1659" s="128"/>
    </row>
    <row r="1660" spans="1:6" ht="30.95" hidden="1" customHeight="1">
      <c r="A1660" s="622" t="s">
        <v>249</v>
      </c>
      <c r="B1660" s="623"/>
      <c r="C1660" s="623"/>
      <c r="D1660" s="198" t="str">
        <f>표지!$O$3&amp;" "&amp;표지!$O$4</f>
        <v>20○○회합100○○○ 회생</v>
      </c>
      <c r="E1660" s="160" t="s">
        <v>261</v>
      </c>
      <c r="F1660" s="199" t="str">
        <f>표지!$O$5</f>
        <v>○○○○ 주식회사</v>
      </c>
    </row>
    <row r="1661" spans="1:6" ht="30.95" hidden="1" customHeight="1">
      <c r="A1661" s="624" t="s">
        <v>125</v>
      </c>
      <c r="B1661" s="423"/>
      <c r="C1661" s="423"/>
      <c r="D1661" s="276">
        <v>185</v>
      </c>
      <c r="E1661" s="170" t="s">
        <v>190</v>
      </c>
      <c r="F1661" s="111"/>
    </row>
    <row r="1662" spans="1:6" ht="30.95" hidden="1" customHeight="1">
      <c r="A1662" s="625" t="s">
        <v>183</v>
      </c>
      <c r="B1662" s="419" t="s">
        <v>118</v>
      </c>
      <c r="C1662" s="420"/>
      <c r="D1662" s="419" t="e">
        <f>VLOOKUP(D1661,주주총괄!$A$5:$J$8,4,0)</f>
        <v>#N/A</v>
      </c>
      <c r="E1662" s="420"/>
      <c r="F1662" s="626"/>
    </row>
    <row r="1663" spans="1:6" ht="30.95" hidden="1" customHeight="1">
      <c r="A1663" s="625"/>
      <c r="B1663" s="419" t="s">
        <v>250</v>
      </c>
      <c r="C1663" s="420"/>
      <c r="D1663" s="564" t="e">
        <f>VLOOKUP(D1661,주주총괄!$A$5:$J$8,5,0)</f>
        <v>#N/A</v>
      </c>
      <c r="E1663" s="565"/>
      <c r="F1663" s="627"/>
    </row>
    <row r="1664" spans="1:6" ht="30.95" hidden="1" customHeight="1">
      <c r="A1664" s="625"/>
      <c r="B1664" s="419" t="s">
        <v>23</v>
      </c>
      <c r="C1664" s="420"/>
      <c r="D1664" s="25"/>
      <c r="E1664" s="62" t="s">
        <v>151</v>
      </c>
      <c r="F1664" s="161"/>
    </row>
    <row r="1665" spans="1:6" ht="30.95" hidden="1" customHeight="1">
      <c r="A1665" s="210" t="s">
        <v>59</v>
      </c>
      <c r="B1665" s="205" t="e">
        <f>VLOOKUP(D1661,주주총괄!$A$5:$J$8,6,0)</f>
        <v>#N/A</v>
      </c>
      <c r="C1665" s="274" t="e">
        <f>VLOOKUP(D1661,주주총괄!$A$5:$J$8,7,0)</f>
        <v>#N/A</v>
      </c>
      <c r="D1665" s="275" t="e">
        <f>VLOOKUP(D1661,주주총괄!$A$5:$J$8,8,0)</f>
        <v>#N/A</v>
      </c>
      <c r="E1665" s="620" t="str">
        <f>"(액면가액: "&amp;TEXT(주주총괄!$L$4,"###,###원)")</f>
        <v>(액면가액: 100원)</v>
      </c>
      <c r="F1665" s="621"/>
    </row>
    <row r="1666" spans="1:6" ht="30.95" hidden="1" customHeight="1">
      <c r="A1666" s="211" t="s">
        <v>19</v>
      </c>
      <c r="B1666" s="618"/>
      <c r="C1666" s="618"/>
      <c r="D1666" s="618"/>
      <c r="E1666" s="618"/>
      <c r="F1666" s="619"/>
    </row>
    <row r="1667" spans="1:6" ht="30.95" hidden="1" customHeight="1">
      <c r="A1667" s="612" t="s">
        <v>41</v>
      </c>
      <c r="B1667" s="612"/>
      <c r="C1667" s="612"/>
      <c r="D1667" s="612"/>
      <c r="E1667" s="612"/>
      <c r="F1667" s="612"/>
    </row>
    <row r="1668" spans="1:6" ht="30.95" hidden="1" customHeight="1">
      <c r="A1668" s="128"/>
      <c r="B1668" s="128"/>
      <c r="C1668" s="128"/>
      <c r="D1668" s="128"/>
      <c r="E1668" s="128"/>
      <c r="F1668" s="128"/>
    </row>
    <row r="1669" spans="1:6" ht="30.95" hidden="1" customHeight="1">
      <c r="A1669" s="622" t="s">
        <v>249</v>
      </c>
      <c r="B1669" s="623"/>
      <c r="C1669" s="623"/>
      <c r="D1669" s="198" t="str">
        <f>표지!$O$3&amp;" "&amp;표지!$O$4</f>
        <v>20○○회합100○○○ 회생</v>
      </c>
      <c r="E1669" s="160" t="s">
        <v>261</v>
      </c>
      <c r="F1669" s="199" t="str">
        <f>표지!$O$5</f>
        <v>○○○○ 주식회사</v>
      </c>
    </row>
    <row r="1670" spans="1:6" ht="30.95" hidden="1" customHeight="1">
      <c r="A1670" s="624" t="s">
        <v>125</v>
      </c>
      <c r="B1670" s="423"/>
      <c r="C1670" s="423"/>
      <c r="D1670" s="276">
        <v>186</v>
      </c>
      <c r="E1670" s="170" t="s">
        <v>190</v>
      </c>
      <c r="F1670" s="111"/>
    </row>
    <row r="1671" spans="1:6" ht="30.95" hidden="1" customHeight="1">
      <c r="A1671" s="625" t="s">
        <v>183</v>
      </c>
      <c r="B1671" s="419" t="s">
        <v>118</v>
      </c>
      <c r="C1671" s="420"/>
      <c r="D1671" s="419" t="e">
        <f>VLOOKUP(D1670,주주총괄!$A$5:$J$8,4,0)</f>
        <v>#N/A</v>
      </c>
      <c r="E1671" s="420"/>
      <c r="F1671" s="626"/>
    </row>
    <row r="1672" spans="1:6" ht="30.95" hidden="1" customHeight="1">
      <c r="A1672" s="625"/>
      <c r="B1672" s="419" t="s">
        <v>250</v>
      </c>
      <c r="C1672" s="420"/>
      <c r="D1672" s="564" t="e">
        <f>VLOOKUP(D1670,주주총괄!$A$5:$J$8,5,0)</f>
        <v>#N/A</v>
      </c>
      <c r="E1672" s="565"/>
      <c r="F1672" s="627"/>
    </row>
    <row r="1673" spans="1:6" ht="30.95" hidden="1" customHeight="1">
      <c r="A1673" s="625"/>
      <c r="B1673" s="419" t="s">
        <v>23</v>
      </c>
      <c r="C1673" s="420"/>
      <c r="D1673" s="25"/>
      <c r="E1673" s="62" t="s">
        <v>151</v>
      </c>
      <c r="F1673" s="161"/>
    </row>
    <row r="1674" spans="1:6" ht="30.95" hidden="1" customHeight="1">
      <c r="A1674" s="210" t="s">
        <v>59</v>
      </c>
      <c r="B1674" s="205" t="e">
        <f>VLOOKUP(D1670,주주총괄!$A$5:$J$8,6,0)</f>
        <v>#N/A</v>
      </c>
      <c r="C1674" s="274" t="e">
        <f>VLOOKUP(D1670,주주총괄!$A$5:$J$8,7,0)</f>
        <v>#N/A</v>
      </c>
      <c r="D1674" s="275" t="e">
        <f>VLOOKUP(D1670,주주총괄!$A$5:$J$8,8,0)</f>
        <v>#N/A</v>
      </c>
      <c r="E1674" s="620" t="str">
        <f>"(액면가액: "&amp;TEXT(주주총괄!$L$4,"###,###원)")</f>
        <v>(액면가액: 100원)</v>
      </c>
      <c r="F1674" s="621"/>
    </row>
    <row r="1675" spans="1:6" ht="30.95" hidden="1" customHeight="1">
      <c r="A1675" s="211" t="s">
        <v>19</v>
      </c>
      <c r="B1675" s="618"/>
      <c r="C1675" s="618"/>
      <c r="D1675" s="618"/>
      <c r="E1675" s="618"/>
      <c r="F1675" s="619"/>
    </row>
    <row r="1676" spans="1:6" ht="30.95" hidden="1" customHeight="1">
      <c r="A1676" s="612" t="s">
        <v>41</v>
      </c>
      <c r="B1676" s="612"/>
      <c r="C1676" s="612"/>
      <c r="D1676" s="612"/>
      <c r="E1676" s="612"/>
      <c r="F1676" s="612"/>
    </row>
    <row r="1677" spans="1:6" ht="30.95" hidden="1" customHeight="1">
      <c r="A1677" s="128"/>
      <c r="B1677" s="128"/>
      <c r="C1677" s="128"/>
      <c r="D1677" s="128"/>
      <c r="E1677" s="128"/>
      <c r="F1677" s="128"/>
    </row>
    <row r="1678" spans="1:6" ht="30.95" hidden="1" customHeight="1">
      <c r="A1678" s="622" t="s">
        <v>249</v>
      </c>
      <c r="B1678" s="623"/>
      <c r="C1678" s="623"/>
      <c r="D1678" s="198" t="str">
        <f>표지!$O$3&amp;" "&amp;표지!$O$4</f>
        <v>20○○회합100○○○ 회생</v>
      </c>
      <c r="E1678" s="160" t="s">
        <v>261</v>
      </c>
      <c r="F1678" s="199" t="str">
        <f>표지!$O$5</f>
        <v>○○○○ 주식회사</v>
      </c>
    </row>
    <row r="1679" spans="1:6" ht="30.95" hidden="1" customHeight="1">
      <c r="A1679" s="624" t="s">
        <v>125</v>
      </c>
      <c r="B1679" s="423"/>
      <c r="C1679" s="423"/>
      <c r="D1679" s="276">
        <v>187</v>
      </c>
      <c r="E1679" s="170" t="s">
        <v>190</v>
      </c>
      <c r="F1679" s="111"/>
    </row>
    <row r="1680" spans="1:6" ht="30.95" hidden="1" customHeight="1">
      <c r="A1680" s="625" t="s">
        <v>183</v>
      </c>
      <c r="B1680" s="419" t="s">
        <v>118</v>
      </c>
      <c r="C1680" s="420"/>
      <c r="D1680" s="419" t="e">
        <f>VLOOKUP(D1679,주주총괄!$A$5:$J$8,4,0)</f>
        <v>#N/A</v>
      </c>
      <c r="E1680" s="420"/>
      <c r="F1680" s="626"/>
    </row>
    <row r="1681" spans="1:6" ht="30.95" hidden="1" customHeight="1">
      <c r="A1681" s="625"/>
      <c r="B1681" s="419" t="s">
        <v>250</v>
      </c>
      <c r="C1681" s="420"/>
      <c r="D1681" s="564" t="e">
        <f>VLOOKUP(D1679,주주총괄!$A$5:$J$8,5,0)</f>
        <v>#N/A</v>
      </c>
      <c r="E1681" s="565"/>
      <c r="F1681" s="627"/>
    </row>
    <row r="1682" spans="1:6" ht="30.95" hidden="1" customHeight="1">
      <c r="A1682" s="625"/>
      <c r="B1682" s="419" t="s">
        <v>23</v>
      </c>
      <c r="C1682" s="420"/>
      <c r="D1682" s="25"/>
      <c r="E1682" s="62" t="s">
        <v>151</v>
      </c>
      <c r="F1682" s="161"/>
    </row>
    <row r="1683" spans="1:6" ht="30.95" hidden="1" customHeight="1">
      <c r="A1683" s="210" t="s">
        <v>59</v>
      </c>
      <c r="B1683" s="205" t="e">
        <f>VLOOKUP(D1679,주주총괄!$A$5:$J$8,6,0)</f>
        <v>#N/A</v>
      </c>
      <c r="C1683" s="274" t="e">
        <f>VLOOKUP(D1679,주주총괄!$A$5:$J$8,7,0)</f>
        <v>#N/A</v>
      </c>
      <c r="D1683" s="275" t="e">
        <f>VLOOKUP(D1679,주주총괄!$A$5:$J$8,8,0)</f>
        <v>#N/A</v>
      </c>
      <c r="E1683" s="620" t="str">
        <f>"(액면가액: "&amp;TEXT(주주총괄!$L$4,"###,###원)")</f>
        <v>(액면가액: 100원)</v>
      </c>
      <c r="F1683" s="621"/>
    </row>
    <row r="1684" spans="1:6" ht="30.95" hidden="1" customHeight="1">
      <c r="A1684" s="211" t="s">
        <v>19</v>
      </c>
      <c r="B1684" s="618"/>
      <c r="C1684" s="618"/>
      <c r="D1684" s="618"/>
      <c r="E1684" s="618"/>
      <c r="F1684" s="619"/>
    </row>
    <row r="1685" spans="1:6" ht="30.95" hidden="1" customHeight="1">
      <c r="A1685" s="612" t="s">
        <v>41</v>
      </c>
      <c r="B1685" s="612"/>
      <c r="C1685" s="612"/>
      <c r="D1685" s="612"/>
      <c r="E1685" s="612"/>
      <c r="F1685" s="612"/>
    </row>
    <row r="1686" spans="1:6" ht="30.95" hidden="1" customHeight="1">
      <c r="A1686" s="128"/>
      <c r="B1686" s="128"/>
      <c r="C1686" s="128"/>
      <c r="D1686" s="128"/>
      <c r="E1686" s="128"/>
      <c r="F1686" s="128"/>
    </row>
    <row r="1687" spans="1:6" ht="30.95" hidden="1" customHeight="1">
      <c r="A1687" s="622" t="s">
        <v>249</v>
      </c>
      <c r="B1687" s="623"/>
      <c r="C1687" s="623"/>
      <c r="D1687" s="198" t="str">
        <f>표지!$O$3&amp;" "&amp;표지!$O$4</f>
        <v>20○○회합100○○○ 회생</v>
      </c>
      <c r="E1687" s="160" t="s">
        <v>261</v>
      </c>
      <c r="F1687" s="199" t="str">
        <f>표지!$O$5</f>
        <v>○○○○ 주식회사</v>
      </c>
    </row>
    <row r="1688" spans="1:6" ht="30.95" hidden="1" customHeight="1">
      <c r="A1688" s="624" t="s">
        <v>125</v>
      </c>
      <c r="B1688" s="423"/>
      <c r="C1688" s="423"/>
      <c r="D1688" s="276">
        <v>188</v>
      </c>
      <c r="E1688" s="170" t="s">
        <v>190</v>
      </c>
      <c r="F1688" s="111"/>
    </row>
    <row r="1689" spans="1:6" ht="30.95" hidden="1" customHeight="1">
      <c r="A1689" s="625" t="s">
        <v>183</v>
      </c>
      <c r="B1689" s="419" t="s">
        <v>118</v>
      </c>
      <c r="C1689" s="420"/>
      <c r="D1689" s="419" t="e">
        <f>VLOOKUP(D1688,주주총괄!$A$5:$J$8,4,0)</f>
        <v>#N/A</v>
      </c>
      <c r="E1689" s="420"/>
      <c r="F1689" s="626"/>
    </row>
    <row r="1690" spans="1:6" ht="30.95" hidden="1" customHeight="1">
      <c r="A1690" s="625"/>
      <c r="B1690" s="419" t="s">
        <v>250</v>
      </c>
      <c r="C1690" s="420"/>
      <c r="D1690" s="564" t="e">
        <f>VLOOKUP(D1688,주주총괄!$A$5:$J$8,5,0)</f>
        <v>#N/A</v>
      </c>
      <c r="E1690" s="565"/>
      <c r="F1690" s="627"/>
    </row>
    <row r="1691" spans="1:6" ht="30.95" hidden="1" customHeight="1">
      <c r="A1691" s="625"/>
      <c r="B1691" s="419" t="s">
        <v>23</v>
      </c>
      <c r="C1691" s="420"/>
      <c r="D1691" s="25"/>
      <c r="E1691" s="62" t="s">
        <v>151</v>
      </c>
      <c r="F1691" s="161"/>
    </row>
    <row r="1692" spans="1:6" ht="30.95" hidden="1" customHeight="1">
      <c r="A1692" s="210" t="s">
        <v>59</v>
      </c>
      <c r="B1692" s="205" t="e">
        <f>VLOOKUP(D1688,주주총괄!$A$5:$J$8,6,0)</f>
        <v>#N/A</v>
      </c>
      <c r="C1692" s="274" t="e">
        <f>VLOOKUP(D1688,주주총괄!$A$5:$J$8,7,0)</f>
        <v>#N/A</v>
      </c>
      <c r="D1692" s="275" t="e">
        <f>VLOOKUP(D1688,주주총괄!$A$5:$J$8,8,0)</f>
        <v>#N/A</v>
      </c>
      <c r="E1692" s="620" t="str">
        <f>"(액면가액: "&amp;TEXT(주주총괄!$L$4,"###,###원)")</f>
        <v>(액면가액: 100원)</v>
      </c>
      <c r="F1692" s="621"/>
    </row>
    <row r="1693" spans="1:6" ht="30.95" hidden="1" customHeight="1">
      <c r="A1693" s="211" t="s">
        <v>19</v>
      </c>
      <c r="B1693" s="618"/>
      <c r="C1693" s="618"/>
      <c r="D1693" s="618"/>
      <c r="E1693" s="618"/>
      <c r="F1693" s="619"/>
    </row>
    <row r="1694" spans="1:6" ht="30.95" hidden="1" customHeight="1">
      <c r="A1694" s="612" t="s">
        <v>41</v>
      </c>
      <c r="B1694" s="612"/>
      <c r="C1694" s="612"/>
      <c r="D1694" s="612"/>
      <c r="E1694" s="612"/>
      <c r="F1694" s="612"/>
    </row>
    <row r="1695" spans="1:6" ht="30.95" hidden="1" customHeight="1">
      <c r="A1695" s="128"/>
      <c r="B1695" s="128"/>
      <c r="C1695" s="128"/>
      <c r="D1695" s="128"/>
      <c r="E1695" s="128"/>
      <c r="F1695" s="128"/>
    </row>
    <row r="1696" spans="1:6" ht="30.95" hidden="1" customHeight="1">
      <c r="A1696" s="622" t="s">
        <v>249</v>
      </c>
      <c r="B1696" s="623"/>
      <c r="C1696" s="623"/>
      <c r="D1696" s="198" t="str">
        <f>표지!$O$3&amp;" "&amp;표지!$O$4</f>
        <v>20○○회합100○○○ 회생</v>
      </c>
      <c r="E1696" s="160" t="s">
        <v>261</v>
      </c>
      <c r="F1696" s="199" t="str">
        <f>표지!$O$5</f>
        <v>○○○○ 주식회사</v>
      </c>
    </row>
    <row r="1697" spans="1:6" ht="30.95" hidden="1" customHeight="1">
      <c r="A1697" s="624" t="s">
        <v>125</v>
      </c>
      <c r="B1697" s="423"/>
      <c r="C1697" s="423"/>
      <c r="D1697" s="276">
        <v>189</v>
      </c>
      <c r="E1697" s="170" t="s">
        <v>190</v>
      </c>
      <c r="F1697" s="111"/>
    </row>
    <row r="1698" spans="1:6" ht="30.95" hidden="1" customHeight="1">
      <c r="A1698" s="625" t="s">
        <v>183</v>
      </c>
      <c r="B1698" s="419" t="s">
        <v>118</v>
      </c>
      <c r="C1698" s="420"/>
      <c r="D1698" s="419" t="e">
        <f>VLOOKUP(D1697,주주총괄!$A$5:$J$8,4,0)</f>
        <v>#N/A</v>
      </c>
      <c r="E1698" s="420"/>
      <c r="F1698" s="626"/>
    </row>
    <row r="1699" spans="1:6" ht="30.95" hidden="1" customHeight="1">
      <c r="A1699" s="625"/>
      <c r="B1699" s="419" t="s">
        <v>250</v>
      </c>
      <c r="C1699" s="420"/>
      <c r="D1699" s="564" t="e">
        <f>VLOOKUP(D1697,주주총괄!$A$5:$J$8,5,0)</f>
        <v>#N/A</v>
      </c>
      <c r="E1699" s="565"/>
      <c r="F1699" s="627"/>
    </row>
    <row r="1700" spans="1:6" ht="30.95" hidden="1" customHeight="1">
      <c r="A1700" s="625"/>
      <c r="B1700" s="419" t="s">
        <v>23</v>
      </c>
      <c r="C1700" s="420"/>
      <c r="D1700" s="25"/>
      <c r="E1700" s="62" t="s">
        <v>151</v>
      </c>
      <c r="F1700" s="161"/>
    </row>
    <row r="1701" spans="1:6" ht="30.95" hidden="1" customHeight="1">
      <c r="A1701" s="210" t="s">
        <v>59</v>
      </c>
      <c r="B1701" s="205" t="e">
        <f>VLOOKUP(D1697,주주총괄!$A$5:$J$8,6,0)</f>
        <v>#N/A</v>
      </c>
      <c r="C1701" s="274" t="e">
        <f>VLOOKUP(D1697,주주총괄!$A$5:$J$8,7,0)</f>
        <v>#N/A</v>
      </c>
      <c r="D1701" s="275" t="e">
        <f>VLOOKUP(D1697,주주총괄!$A$5:$J$8,8,0)</f>
        <v>#N/A</v>
      </c>
      <c r="E1701" s="620" t="str">
        <f>"(액면가액: "&amp;TEXT(주주총괄!$L$4,"###,###원)")</f>
        <v>(액면가액: 100원)</v>
      </c>
      <c r="F1701" s="621"/>
    </row>
    <row r="1702" spans="1:6" ht="30.95" hidden="1" customHeight="1">
      <c r="A1702" s="211" t="s">
        <v>19</v>
      </c>
      <c r="B1702" s="618"/>
      <c r="C1702" s="618"/>
      <c r="D1702" s="618"/>
      <c r="E1702" s="618"/>
      <c r="F1702" s="619"/>
    </row>
    <row r="1703" spans="1:6" ht="30.95" hidden="1" customHeight="1">
      <c r="A1703" s="612" t="s">
        <v>41</v>
      </c>
      <c r="B1703" s="612"/>
      <c r="C1703" s="612"/>
      <c r="D1703" s="612"/>
      <c r="E1703" s="612"/>
      <c r="F1703" s="612"/>
    </row>
    <row r="1704" spans="1:6" ht="30.95" hidden="1" customHeight="1">
      <c r="A1704" s="128"/>
      <c r="B1704" s="128"/>
      <c r="C1704" s="128"/>
      <c r="D1704" s="128"/>
      <c r="E1704" s="128"/>
      <c r="F1704" s="128"/>
    </row>
    <row r="1705" spans="1:6" ht="30.95" hidden="1" customHeight="1">
      <c r="A1705" s="622" t="s">
        <v>249</v>
      </c>
      <c r="B1705" s="623"/>
      <c r="C1705" s="623"/>
      <c r="D1705" s="198" t="str">
        <f>표지!$O$3&amp;" "&amp;표지!$O$4</f>
        <v>20○○회합100○○○ 회생</v>
      </c>
      <c r="E1705" s="160" t="s">
        <v>261</v>
      </c>
      <c r="F1705" s="199" t="str">
        <f>표지!$O$5</f>
        <v>○○○○ 주식회사</v>
      </c>
    </row>
    <row r="1706" spans="1:6" ht="30.95" hidden="1" customHeight="1">
      <c r="A1706" s="624" t="s">
        <v>125</v>
      </c>
      <c r="B1706" s="423"/>
      <c r="C1706" s="423"/>
      <c r="D1706" s="276">
        <v>190</v>
      </c>
      <c r="E1706" s="170" t="s">
        <v>190</v>
      </c>
      <c r="F1706" s="111"/>
    </row>
    <row r="1707" spans="1:6" ht="30.95" hidden="1" customHeight="1">
      <c r="A1707" s="625" t="s">
        <v>183</v>
      </c>
      <c r="B1707" s="419" t="s">
        <v>118</v>
      </c>
      <c r="C1707" s="420"/>
      <c r="D1707" s="419" t="e">
        <f>VLOOKUP(D1706,주주총괄!$A$5:$J$8,4,0)</f>
        <v>#N/A</v>
      </c>
      <c r="E1707" s="420"/>
      <c r="F1707" s="626"/>
    </row>
    <row r="1708" spans="1:6" ht="30.95" hidden="1" customHeight="1">
      <c r="A1708" s="625"/>
      <c r="B1708" s="419" t="s">
        <v>250</v>
      </c>
      <c r="C1708" s="420"/>
      <c r="D1708" s="564" t="e">
        <f>VLOOKUP(D1706,주주총괄!$A$5:$J$8,5,0)</f>
        <v>#N/A</v>
      </c>
      <c r="E1708" s="565"/>
      <c r="F1708" s="627"/>
    </row>
    <row r="1709" spans="1:6" ht="30.95" hidden="1" customHeight="1">
      <c r="A1709" s="625"/>
      <c r="B1709" s="419" t="s">
        <v>23</v>
      </c>
      <c r="C1709" s="420"/>
      <c r="D1709" s="25"/>
      <c r="E1709" s="62" t="s">
        <v>151</v>
      </c>
      <c r="F1709" s="161"/>
    </row>
    <row r="1710" spans="1:6" ht="30.95" hidden="1" customHeight="1">
      <c r="A1710" s="210" t="s">
        <v>59</v>
      </c>
      <c r="B1710" s="205" t="e">
        <f>VLOOKUP(D1706,주주총괄!$A$5:$J$8,6,0)</f>
        <v>#N/A</v>
      </c>
      <c r="C1710" s="274" t="e">
        <f>VLOOKUP(D1706,주주총괄!$A$5:$J$8,7,0)</f>
        <v>#N/A</v>
      </c>
      <c r="D1710" s="275" t="e">
        <f>VLOOKUP(D1706,주주총괄!$A$5:$J$8,8,0)</f>
        <v>#N/A</v>
      </c>
      <c r="E1710" s="620" t="str">
        <f>"(액면가액: "&amp;TEXT(주주총괄!$L$4,"###,###원)")</f>
        <v>(액면가액: 100원)</v>
      </c>
      <c r="F1710" s="621"/>
    </row>
    <row r="1711" spans="1:6" ht="30.95" hidden="1" customHeight="1">
      <c r="A1711" s="211" t="s">
        <v>19</v>
      </c>
      <c r="B1711" s="618"/>
      <c r="C1711" s="618"/>
      <c r="D1711" s="618"/>
      <c r="E1711" s="618"/>
      <c r="F1711" s="619"/>
    </row>
    <row r="1712" spans="1:6" ht="30.95" hidden="1" customHeight="1">
      <c r="A1712" s="612" t="s">
        <v>41</v>
      </c>
      <c r="B1712" s="612"/>
      <c r="C1712" s="612"/>
      <c r="D1712" s="612"/>
      <c r="E1712" s="612"/>
      <c r="F1712" s="612"/>
    </row>
    <row r="1713" spans="1:6" ht="30.95" hidden="1" customHeight="1">
      <c r="A1713" s="128"/>
      <c r="B1713" s="128"/>
      <c r="C1713" s="128"/>
      <c r="D1713" s="128"/>
      <c r="E1713" s="128"/>
      <c r="F1713" s="128"/>
    </row>
    <row r="1714" spans="1:6" ht="30.95" hidden="1" customHeight="1">
      <c r="A1714" s="622" t="s">
        <v>249</v>
      </c>
      <c r="B1714" s="623"/>
      <c r="C1714" s="623"/>
      <c r="D1714" s="198" t="str">
        <f>표지!$O$3&amp;" "&amp;표지!$O$4</f>
        <v>20○○회합100○○○ 회생</v>
      </c>
      <c r="E1714" s="160" t="s">
        <v>261</v>
      </c>
      <c r="F1714" s="199" t="str">
        <f>표지!$O$5</f>
        <v>○○○○ 주식회사</v>
      </c>
    </row>
    <row r="1715" spans="1:6" ht="30.95" hidden="1" customHeight="1">
      <c r="A1715" s="624" t="s">
        <v>125</v>
      </c>
      <c r="B1715" s="423"/>
      <c r="C1715" s="423"/>
      <c r="D1715" s="276">
        <v>191</v>
      </c>
      <c r="E1715" s="170" t="s">
        <v>190</v>
      </c>
      <c r="F1715" s="111"/>
    </row>
    <row r="1716" spans="1:6" ht="30.95" hidden="1" customHeight="1">
      <c r="A1716" s="625" t="s">
        <v>183</v>
      </c>
      <c r="B1716" s="419" t="s">
        <v>118</v>
      </c>
      <c r="C1716" s="420"/>
      <c r="D1716" s="419" t="e">
        <f>VLOOKUP(D1715,주주총괄!$A$5:$J$8,4,0)</f>
        <v>#N/A</v>
      </c>
      <c r="E1716" s="420"/>
      <c r="F1716" s="626"/>
    </row>
    <row r="1717" spans="1:6" ht="30.95" hidden="1" customHeight="1">
      <c r="A1717" s="625"/>
      <c r="B1717" s="419" t="s">
        <v>250</v>
      </c>
      <c r="C1717" s="420"/>
      <c r="D1717" s="564" t="e">
        <f>VLOOKUP(D1715,주주총괄!$A$5:$J$8,5,0)</f>
        <v>#N/A</v>
      </c>
      <c r="E1717" s="565"/>
      <c r="F1717" s="627"/>
    </row>
    <row r="1718" spans="1:6" ht="30.95" hidden="1" customHeight="1">
      <c r="A1718" s="625"/>
      <c r="B1718" s="419" t="s">
        <v>23</v>
      </c>
      <c r="C1718" s="420"/>
      <c r="D1718" s="25"/>
      <c r="E1718" s="62" t="s">
        <v>151</v>
      </c>
      <c r="F1718" s="161"/>
    </row>
    <row r="1719" spans="1:6" ht="30.95" hidden="1" customHeight="1">
      <c r="A1719" s="210" t="s">
        <v>59</v>
      </c>
      <c r="B1719" s="205" t="e">
        <f>VLOOKUP(D1715,주주총괄!$A$5:$J$8,6,0)</f>
        <v>#N/A</v>
      </c>
      <c r="C1719" s="274" t="e">
        <f>VLOOKUP(D1715,주주총괄!$A$5:$J$8,7,0)</f>
        <v>#N/A</v>
      </c>
      <c r="D1719" s="275" t="e">
        <f>VLOOKUP(D1715,주주총괄!$A$5:$J$8,8,0)</f>
        <v>#N/A</v>
      </c>
      <c r="E1719" s="620" t="str">
        <f>"(액면가액: "&amp;TEXT(주주총괄!$L$4,"###,###원)")</f>
        <v>(액면가액: 100원)</v>
      </c>
      <c r="F1719" s="621"/>
    </row>
    <row r="1720" spans="1:6" ht="30.95" hidden="1" customHeight="1">
      <c r="A1720" s="211" t="s">
        <v>19</v>
      </c>
      <c r="B1720" s="618"/>
      <c r="C1720" s="618"/>
      <c r="D1720" s="618"/>
      <c r="E1720" s="618"/>
      <c r="F1720" s="619"/>
    </row>
    <row r="1721" spans="1:6" ht="30.95" hidden="1" customHeight="1">
      <c r="A1721" s="612" t="s">
        <v>41</v>
      </c>
      <c r="B1721" s="612"/>
      <c r="C1721" s="612"/>
      <c r="D1721" s="612"/>
      <c r="E1721" s="612"/>
      <c r="F1721" s="612"/>
    </row>
    <row r="1722" spans="1:6" ht="30.95" hidden="1" customHeight="1">
      <c r="A1722" s="128"/>
      <c r="B1722" s="128"/>
      <c r="C1722" s="128"/>
      <c r="D1722" s="128"/>
      <c r="E1722" s="128"/>
      <c r="F1722" s="128"/>
    </row>
    <row r="1723" spans="1:6" ht="30.95" hidden="1" customHeight="1">
      <c r="A1723" s="622" t="s">
        <v>249</v>
      </c>
      <c r="B1723" s="623"/>
      <c r="C1723" s="623"/>
      <c r="D1723" s="198" t="str">
        <f>표지!$O$3&amp;" "&amp;표지!$O$4</f>
        <v>20○○회합100○○○ 회생</v>
      </c>
      <c r="E1723" s="160" t="s">
        <v>261</v>
      </c>
      <c r="F1723" s="199" t="str">
        <f>표지!$O$5</f>
        <v>○○○○ 주식회사</v>
      </c>
    </row>
    <row r="1724" spans="1:6" ht="30.95" hidden="1" customHeight="1">
      <c r="A1724" s="624" t="s">
        <v>125</v>
      </c>
      <c r="B1724" s="423"/>
      <c r="C1724" s="423"/>
      <c r="D1724" s="276">
        <v>192</v>
      </c>
      <c r="E1724" s="170" t="s">
        <v>190</v>
      </c>
      <c r="F1724" s="111"/>
    </row>
    <row r="1725" spans="1:6" ht="30.95" hidden="1" customHeight="1">
      <c r="A1725" s="625" t="s">
        <v>183</v>
      </c>
      <c r="B1725" s="419" t="s">
        <v>118</v>
      </c>
      <c r="C1725" s="420"/>
      <c r="D1725" s="419" t="e">
        <f>VLOOKUP(D1724,주주총괄!$A$5:$J$8,4,0)</f>
        <v>#N/A</v>
      </c>
      <c r="E1725" s="420"/>
      <c r="F1725" s="626"/>
    </row>
    <row r="1726" spans="1:6" ht="30.95" hidden="1" customHeight="1">
      <c r="A1726" s="625"/>
      <c r="B1726" s="419" t="s">
        <v>250</v>
      </c>
      <c r="C1726" s="420"/>
      <c r="D1726" s="564" t="e">
        <f>VLOOKUP(D1724,주주총괄!$A$5:$J$8,5,0)</f>
        <v>#N/A</v>
      </c>
      <c r="E1726" s="565"/>
      <c r="F1726" s="627"/>
    </row>
    <row r="1727" spans="1:6" ht="30.95" hidden="1" customHeight="1">
      <c r="A1727" s="625"/>
      <c r="B1727" s="419" t="s">
        <v>23</v>
      </c>
      <c r="C1727" s="420"/>
      <c r="D1727" s="25"/>
      <c r="E1727" s="62" t="s">
        <v>151</v>
      </c>
      <c r="F1727" s="161"/>
    </row>
    <row r="1728" spans="1:6" ht="30.95" hidden="1" customHeight="1">
      <c r="A1728" s="210" t="s">
        <v>59</v>
      </c>
      <c r="B1728" s="205" t="e">
        <f>VLOOKUP(D1724,주주총괄!$A$5:$J$8,6,0)</f>
        <v>#N/A</v>
      </c>
      <c r="C1728" s="274" t="e">
        <f>VLOOKUP(D1724,주주총괄!$A$5:$J$8,7,0)</f>
        <v>#N/A</v>
      </c>
      <c r="D1728" s="275" t="e">
        <f>VLOOKUP(D1724,주주총괄!$A$5:$J$8,8,0)</f>
        <v>#N/A</v>
      </c>
      <c r="E1728" s="620" t="str">
        <f>"(액면가액: "&amp;TEXT(주주총괄!$L$4,"###,###원)")</f>
        <v>(액면가액: 100원)</v>
      </c>
      <c r="F1728" s="621"/>
    </row>
    <row r="1729" spans="1:6" ht="30.95" hidden="1" customHeight="1">
      <c r="A1729" s="211" t="s">
        <v>19</v>
      </c>
      <c r="B1729" s="618"/>
      <c r="C1729" s="618"/>
      <c r="D1729" s="618"/>
      <c r="E1729" s="618"/>
      <c r="F1729" s="619"/>
    </row>
    <row r="1730" spans="1:6" ht="30.95" hidden="1" customHeight="1">
      <c r="A1730" s="612" t="s">
        <v>41</v>
      </c>
      <c r="B1730" s="612"/>
      <c r="C1730" s="612"/>
      <c r="D1730" s="612"/>
      <c r="E1730" s="612"/>
      <c r="F1730" s="612"/>
    </row>
    <row r="1731" spans="1:6" ht="30.95" hidden="1" customHeight="1">
      <c r="A1731" s="128"/>
      <c r="B1731" s="128"/>
      <c r="C1731" s="128"/>
      <c r="D1731" s="128"/>
      <c r="E1731" s="128"/>
      <c r="F1731" s="128"/>
    </row>
    <row r="1732" spans="1:6" ht="30.95" hidden="1" customHeight="1">
      <c r="A1732" s="622" t="s">
        <v>249</v>
      </c>
      <c r="B1732" s="623"/>
      <c r="C1732" s="623"/>
      <c r="D1732" s="198" t="str">
        <f>표지!$O$3&amp;" "&amp;표지!$O$4</f>
        <v>20○○회합100○○○ 회생</v>
      </c>
      <c r="E1732" s="160" t="s">
        <v>261</v>
      </c>
      <c r="F1732" s="199" t="str">
        <f>표지!$O$5</f>
        <v>○○○○ 주식회사</v>
      </c>
    </row>
    <row r="1733" spans="1:6" ht="30.95" hidden="1" customHeight="1">
      <c r="A1733" s="624" t="s">
        <v>125</v>
      </c>
      <c r="B1733" s="423"/>
      <c r="C1733" s="423"/>
      <c r="D1733" s="276">
        <v>193</v>
      </c>
      <c r="E1733" s="170" t="s">
        <v>190</v>
      </c>
      <c r="F1733" s="111"/>
    </row>
    <row r="1734" spans="1:6" ht="30.95" hidden="1" customHeight="1">
      <c r="A1734" s="625" t="s">
        <v>183</v>
      </c>
      <c r="B1734" s="419" t="s">
        <v>118</v>
      </c>
      <c r="C1734" s="420"/>
      <c r="D1734" s="419" t="e">
        <f>VLOOKUP(D1733,주주총괄!$A$5:$J$8,4,0)</f>
        <v>#N/A</v>
      </c>
      <c r="E1734" s="420"/>
      <c r="F1734" s="626"/>
    </row>
    <row r="1735" spans="1:6" ht="30.95" hidden="1" customHeight="1">
      <c r="A1735" s="625"/>
      <c r="B1735" s="419" t="s">
        <v>250</v>
      </c>
      <c r="C1735" s="420"/>
      <c r="D1735" s="564" t="e">
        <f>VLOOKUP(D1733,주주총괄!$A$5:$J$8,5,0)</f>
        <v>#N/A</v>
      </c>
      <c r="E1735" s="565"/>
      <c r="F1735" s="627"/>
    </row>
    <row r="1736" spans="1:6" ht="30.95" hidden="1" customHeight="1">
      <c r="A1736" s="625"/>
      <c r="B1736" s="419" t="s">
        <v>23</v>
      </c>
      <c r="C1736" s="420"/>
      <c r="D1736" s="25"/>
      <c r="E1736" s="62" t="s">
        <v>151</v>
      </c>
      <c r="F1736" s="161"/>
    </row>
    <row r="1737" spans="1:6" ht="30.95" hidden="1" customHeight="1">
      <c r="A1737" s="210" t="s">
        <v>59</v>
      </c>
      <c r="B1737" s="205" t="e">
        <f>VLOOKUP(D1733,주주총괄!$A$5:$J$8,6,0)</f>
        <v>#N/A</v>
      </c>
      <c r="C1737" s="274" t="e">
        <f>VLOOKUP(D1733,주주총괄!$A$5:$J$8,7,0)</f>
        <v>#N/A</v>
      </c>
      <c r="D1737" s="275" t="e">
        <f>VLOOKUP(D1733,주주총괄!$A$5:$J$8,8,0)</f>
        <v>#N/A</v>
      </c>
      <c r="E1737" s="620" t="str">
        <f>"(액면가액: "&amp;TEXT(주주총괄!$L$4,"###,###원)")</f>
        <v>(액면가액: 100원)</v>
      </c>
      <c r="F1737" s="621"/>
    </row>
    <row r="1738" spans="1:6" ht="30.95" hidden="1" customHeight="1">
      <c r="A1738" s="211" t="s">
        <v>19</v>
      </c>
      <c r="B1738" s="618"/>
      <c r="C1738" s="618"/>
      <c r="D1738" s="618"/>
      <c r="E1738" s="618"/>
      <c r="F1738" s="619"/>
    </row>
    <row r="1739" spans="1:6" ht="30.95" hidden="1" customHeight="1">
      <c r="A1739" s="612" t="s">
        <v>41</v>
      </c>
      <c r="B1739" s="612"/>
      <c r="C1739" s="612"/>
      <c r="D1739" s="612"/>
      <c r="E1739" s="612"/>
      <c r="F1739" s="612"/>
    </row>
    <row r="1740" spans="1:6" ht="30.95" hidden="1" customHeight="1">
      <c r="A1740" s="128"/>
      <c r="B1740" s="128"/>
      <c r="C1740" s="128"/>
      <c r="D1740" s="128"/>
      <c r="E1740" s="128"/>
      <c r="F1740" s="128"/>
    </row>
    <row r="1741" spans="1:6" ht="30.95" hidden="1" customHeight="1">
      <c r="A1741" s="622" t="s">
        <v>249</v>
      </c>
      <c r="B1741" s="623"/>
      <c r="C1741" s="623"/>
      <c r="D1741" s="198" t="str">
        <f>표지!$O$3&amp;" "&amp;표지!$O$4</f>
        <v>20○○회합100○○○ 회생</v>
      </c>
      <c r="E1741" s="160" t="s">
        <v>261</v>
      </c>
      <c r="F1741" s="199" t="str">
        <f>표지!$O$5</f>
        <v>○○○○ 주식회사</v>
      </c>
    </row>
    <row r="1742" spans="1:6" ht="30.95" hidden="1" customHeight="1">
      <c r="A1742" s="624" t="s">
        <v>125</v>
      </c>
      <c r="B1742" s="423"/>
      <c r="C1742" s="423"/>
      <c r="D1742" s="276">
        <v>194</v>
      </c>
      <c r="E1742" s="170" t="s">
        <v>190</v>
      </c>
      <c r="F1742" s="111"/>
    </row>
    <row r="1743" spans="1:6" ht="30.95" hidden="1" customHeight="1">
      <c r="A1743" s="625" t="s">
        <v>183</v>
      </c>
      <c r="B1743" s="419" t="s">
        <v>118</v>
      </c>
      <c r="C1743" s="420"/>
      <c r="D1743" s="419" t="e">
        <f>VLOOKUP(D1742,주주총괄!$A$5:$J$8,4,0)</f>
        <v>#N/A</v>
      </c>
      <c r="E1743" s="420"/>
      <c r="F1743" s="626"/>
    </row>
    <row r="1744" spans="1:6" ht="30.95" hidden="1" customHeight="1">
      <c r="A1744" s="625"/>
      <c r="B1744" s="419" t="s">
        <v>250</v>
      </c>
      <c r="C1744" s="420"/>
      <c r="D1744" s="564" t="e">
        <f>VLOOKUP(D1742,주주총괄!$A$5:$J$8,5,0)</f>
        <v>#N/A</v>
      </c>
      <c r="E1744" s="565"/>
      <c r="F1744" s="627"/>
    </row>
    <row r="1745" spans="1:14" ht="30.95" hidden="1" customHeight="1">
      <c r="A1745" s="625"/>
      <c r="B1745" s="419" t="s">
        <v>23</v>
      </c>
      <c r="C1745" s="420"/>
      <c r="D1745" s="25"/>
      <c r="E1745" s="62" t="s">
        <v>151</v>
      </c>
      <c r="F1745" s="161"/>
    </row>
    <row r="1746" spans="1:14" ht="30.95" hidden="1" customHeight="1">
      <c r="A1746" s="210" t="s">
        <v>59</v>
      </c>
      <c r="B1746" s="205" t="e">
        <f>VLOOKUP(D1742,주주총괄!$A$5:$J$8,6,0)</f>
        <v>#N/A</v>
      </c>
      <c r="C1746" s="274" t="e">
        <f>VLOOKUP(D1742,주주총괄!$A$5:$J$8,7,0)</f>
        <v>#N/A</v>
      </c>
      <c r="D1746" s="275" t="e">
        <f>VLOOKUP(D1742,주주총괄!$A$5:$J$8,8,0)</f>
        <v>#N/A</v>
      </c>
      <c r="E1746" s="620" t="str">
        <f>"(액면가액: "&amp;TEXT(주주총괄!$L$4,"###,###원)")</f>
        <v>(액면가액: 100원)</v>
      </c>
      <c r="F1746" s="621"/>
    </row>
    <row r="1747" spans="1:14" ht="30.95" hidden="1" customHeight="1">
      <c r="A1747" s="211" t="s">
        <v>19</v>
      </c>
      <c r="B1747" s="618"/>
      <c r="C1747" s="618"/>
      <c r="D1747" s="618"/>
      <c r="E1747" s="618"/>
      <c r="F1747" s="619"/>
    </row>
    <row r="1748" spans="1:14" ht="30.95" hidden="1" customHeight="1">
      <c r="A1748" s="612" t="s">
        <v>41</v>
      </c>
      <c r="B1748" s="612"/>
      <c r="C1748" s="612"/>
      <c r="D1748" s="612"/>
      <c r="E1748" s="612"/>
      <c r="F1748" s="612"/>
    </row>
    <row r="1749" spans="1:14" ht="30.95" hidden="1" customHeight="1">
      <c r="A1749" s="128"/>
      <c r="B1749" s="128"/>
      <c r="C1749" s="128"/>
      <c r="D1749" s="128"/>
      <c r="E1749" s="128"/>
      <c r="F1749" s="128"/>
      <c r="N1749" s="20">
        <v>320652410</v>
      </c>
    </row>
    <row r="1750" spans="1:14" ht="30.95" hidden="1" customHeight="1">
      <c r="A1750" s="622" t="s">
        <v>249</v>
      </c>
      <c r="B1750" s="623"/>
      <c r="C1750" s="623"/>
      <c r="D1750" s="198" t="str">
        <f>표지!$O$3&amp;" "&amp;표지!$O$4</f>
        <v>20○○회합100○○○ 회생</v>
      </c>
      <c r="E1750" s="160" t="s">
        <v>261</v>
      </c>
      <c r="F1750" s="199" t="str">
        <f>표지!$O$5</f>
        <v>○○○○ 주식회사</v>
      </c>
    </row>
    <row r="1751" spans="1:14" ht="30.95" hidden="1" customHeight="1">
      <c r="A1751" s="624" t="s">
        <v>125</v>
      </c>
      <c r="B1751" s="423"/>
      <c r="C1751" s="423"/>
      <c r="D1751" s="276">
        <v>195</v>
      </c>
      <c r="E1751" s="170" t="s">
        <v>190</v>
      </c>
      <c r="F1751" s="111"/>
    </row>
    <row r="1752" spans="1:14" ht="30.95" hidden="1" customHeight="1">
      <c r="A1752" s="625" t="s">
        <v>183</v>
      </c>
      <c r="B1752" s="419" t="s">
        <v>118</v>
      </c>
      <c r="C1752" s="420"/>
      <c r="D1752" s="419" t="e">
        <f>VLOOKUP(D1751,주주총괄!$A$5:$J$8,4,0)</f>
        <v>#N/A</v>
      </c>
      <c r="E1752" s="420"/>
      <c r="F1752" s="626"/>
    </row>
    <row r="1753" spans="1:14" ht="30.95" hidden="1" customHeight="1">
      <c r="A1753" s="625"/>
      <c r="B1753" s="419" t="s">
        <v>250</v>
      </c>
      <c r="C1753" s="420"/>
      <c r="D1753" s="564" t="e">
        <f>VLOOKUP(D1751,주주총괄!$A$5:$J$8,5,0)</f>
        <v>#N/A</v>
      </c>
      <c r="E1753" s="565"/>
      <c r="F1753" s="627"/>
    </row>
    <row r="1754" spans="1:14" ht="30.95" hidden="1" customHeight="1">
      <c r="A1754" s="625"/>
      <c r="B1754" s="419" t="s">
        <v>23</v>
      </c>
      <c r="C1754" s="420"/>
      <c r="D1754" s="25"/>
      <c r="E1754" s="62" t="s">
        <v>151</v>
      </c>
      <c r="F1754" s="161"/>
    </row>
    <row r="1755" spans="1:14" ht="30.95" hidden="1" customHeight="1">
      <c r="A1755" s="210" t="s">
        <v>59</v>
      </c>
      <c r="B1755" s="205" t="e">
        <f>VLOOKUP(D1751,주주총괄!$A$5:$J$8,6,0)</f>
        <v>#N/A</v>
      </c>
      <c r="C1755" s="274" t="e">
        <f>VLOOKUP(D1751,주주총괄!$A$5:$J$8,7,0)</f>
        <v>#N/A</v>
      </c>
      <c r="D1755" s="275" t="e">
        <f>VLOOKUP(D1751,주주총괄!$A$5:$J$8,8,0)</f>
        <v>#N/A</v>
      </c>
      <c r="E1755" s="620" t="str">
        <f>"(액면가액: "&amp;TEXT(주주총괄!$L$4,"###,###원)")</f>
        <v>(액면가액: 100원)</v>
      </c>
      <c r="F1755" s="621"/>
    </row>
    <row r="1756" spans="1:14" ht="30.95" hidden="1" customHeight="1">
      <c r="A1756" s="211" t="s">
        <v>19</v>
      </c>
      <c r="B1756" s="618"/>
      <c r="C1756" s="618"/>
      <c r="D1756" s="618"/>
      <c r="E1756" s="618"/>
      <c r="F1756" s="619"/>
    </row>
  </sheetData>
  <mergeCells count="2146">
    <mergeCell ref="B1756:F1756"/>
    <mergeCell ref="E1755:F1755"/>
    <mergeCell ref="A1748:F1748"/>
    <mergeCell ref="A1750:C1750"/>
    <mergeCell ref="A1751:C1751"/>
    <mergeCell ref="A1752:A1754"/>
    <mergeCell ref="B1752:C1752"/>
    <mergeCell ref="D1752:F1752"/>
    <mergeCell ref="B1753:C1753"/>
    <mergeCell ref="D1753:F1753"/>
    <mergeCell ref="B1754:C1754"/>
    <mergeCell ref="B1738:F1738"/>
    <mergeCell ref="E1737:F1737"/>
    <mergeCell ref="A1730:F1730"/>
    <mergeCell ref="A1732:C1732"/>
    <mergeCell ref="A1733:C1733"/>
    <mergeCell ref="A1734:A1736"/>
    <mergeCell ref="B1734:C1734"/>
    <mergeCell ref="D1734:F1734"/>
    <mergeCell ref="B1735:C1735"/>
    <mergeCell ref="D1735:F1735"/>
    <mergeCell ref="B1736:C1736"/>
    <mergeCell ref="B1747:F1747"/>
    <mergeCell ref="E1746:F1746"/>
    <mergeCell ref="A1739:F1739"/>
    <mergeCell ref="A1741:C1741"/>
    <mergeCell ref="A1742:C1742"/>
    <mergeCell ref="A1743:A1745"/>
    <mergeCell ref="B1743:C1743"/>
    <mergeCell ref="D1743:F1743"/>
    <mergeCell ref="B1744:C1744"/>
    <mergeCell ref="D1744:F1744"/>
    <mergeCell ref="B1745:C1745"/>
    <mergeCell ref="B1720:F1720"/>
    <mergeCell ref="E1719:F1719"/>
    <mergeCell ref="A1712:F1712"/>
    <mergeCell ref="A1714:C1714"/>
    <mergeCell ref="A1715:C1715"/>
    <mergeCell ref="A1716:A1718"/>
    <mergeCell ref="B1716:C1716"/>
    <mergeCell ref="D1716:F1716"/>
    <mergeCell ref="B1717:C1717"/>
    <mergeCell ref="D1717:F1717"/>
    <mergeCell ref="B1718:C1718"/>
    <mergeCell ref="B1729:F1729"/>
    <mergeCell ref="E1728:F1728"/>
    <mergeCell ref="A1721:F1721"/>
    <mergeCell ref="A1723:C1723"/>
    <mergeCell ref="A1724:C1724"/>
    <mergeCell ref="A1725:A1727"/>
    <mergeCell ref="B1725:C1725"/>
    <mergeCell ref="D1725:F1725"/>
    <mergeCell ref="B1726:C1726"/>
    <mergeCell ref="D1726:F1726"/>
    <mergeCell ref="B1727:C1727"/>
    <mergeCell ref="B1702:F1702"/>
    <mergeCell ref="E1701:F1701"/>
    <mergeCell ref="A1694:F1694"/>
    <mergeCell ref="A1696:C1696"/>
    <mergeCell ref="A1697:C1697"/>
    <mergeCell ref="A1698:A1700"/>
    <mergeCell ref="B1698:C1698"/>
    <mergeCell ref="D1698:F1698"/>
    <mergeCell ref="B1699:C1699"/>
    <mergeCell ref="D1699:F1699"/>
    <mergeCell ref="B1700:C1700"/>
    <mergeCell ref="B1711:F1711"/>
    <mergeCell ref="E1710:F1710"/>
    <mergeCell ref="A1703:F1703"/>
    <mergeCell ref="A1705:C1705"/>
    <mergeCell ref="A1706:C1706"/>
    <mergeCell ref="A1707:A1709"/>
    <mergeCell ref="B1707:C1707"/>
    <mergeCell ref="D1707:F1707"/>
    <mergeCell ref="B1708:C1708"/>
    <mergeCell ref="D1708:F1708"/>
    <mergeCell ref="B1709:C1709"/>
    <mergeCell ref="B1684:F1684"/>
    <mergeCell ref="E1683:F1683"/>
    <mergeCell ref="A1676:F1676"/>
    <mergeCell ref="A1678:C1678"/>
    <mergeCell ref="A1679:C1679"/>
    <mergeCell ref="A1680:A1682"/>
    <mergeCell ref="B1680:C1680"/>
    <mergeCell ref="D1680:F1680"/>
    <mergeCell ref="B1681:C1681"/>
    <mergeCell ref="D1681:F1681"/>
    <mergeCell ref="B1682:C1682"/>
    <mergeCell ref="B1693:F1693"/>
    <mergeCell ref="E1692:F1692"/>
    <mergeCell ref="A1685:F1685"/>
    <mergeCell ref="A1687:C1687"/>
    <mergeCell ref="A1688:C1688"/>
    <mergeCell ref="A1689:A1691"/>
    <mergeCell ref="B1689:C1689"/>
    <mergeCell ref="D1689:F1689"/>
    <mergeCell ref="B1690:C1690"/>
    <mergeCell ref="D1690:F1690"/>
    <mergeCell ref="B1691:C1691"/>
    <mergeCell ref="B1666:F1666"/>
    <mergeCell ref="E1665:F1665"/>
    <mergeCell ref="A1658:F1658"/>
    <mergeCell ref="A1660:C1660"/>
    <mergeCell ref="A1661:C1661"/>
    <mergeCell ref="A1662:A1664"/>
    <mergeCell ref="B1662:C1662"/>
    <mergeCell ref="D1662:F1662"/>
    <mergeCell ref="B1663:C1663"/>
    <mergeCell ref="D1663:F1663"/>
    <mergeCell ref="B1664:C1664"/>
    <mergeCell ref="B1675:F1675"/>
    <mergeCell ref="E1674:F1674"/>
    <mergeCell ref="A1667:F1667"/>
    <mergeCell ref="A1669:C1669"/>
    <mergeCell ref="A1670:C1670"/>
    <mergeCell ref="A1671:A1673"/>
    <mergeCell ref="B1671:C1671"/>
    <mergeCell ref="D1671:F1671"/>
    <mergeCell ref="B1672:C1672"/>
    <mergeCell ref="D1672:F1672"/>
    <mergeCell ref="B1673:C1673"/>
    <mergeCell ref="B1648:F1648"/>
    <mergeCell ref="E1647:F1647"/>
    <mergeCell ref="A1640:F1640"/>
    <mergeCell ref="A1642:C1642"/>
    <mergeCell ref="A1643:C1643"/>
    <mergeCell ref="A1644:A1646"/>
    <mergeCell ref="B1644:C1644"/>
    <mergeCell ref="D1644:F1644"/>
    <mergeCell ref="B1645:C1645"/>
    <mergeCell ref="D1645:F1645"/>
    <mergeCell ref="B1646:C1646"/>
    <mergeCell ref="B1657:F1657"/>
    <mergeCell ref="E1656:F1656"/>
    <mergeCell ref="A1649:F1649"/>
    <mergeCell ref="A1651:C1651"/>
    <mergeCell ref="A1652:C1652"/>
    <mergeCell ref="A1653:A1655"/>
    <mergeCell ref="B1653:C1653"/>
    <mergeCell ref="D1653:F1653"/>
    <mergeCell ref="B1654:C1654"/>
    <mergeCell ref="D1654:F1654"/>
    <mergeCell ref="B1655:C1655"/>
    <mergeCell ref="B1630:F1630"/>
    <mergeCell ref="E1629:F1629"/>
    <mergeCell ref="A1622:F1622"/>
    <mergeCell ref="A1624:C1624"/>
    <mergeCell ref="A1625:C1625"/>
    <mergeCell ref="A1626:A1628"/>
    <mergeCell ref="B1626:C1626"/>
    <mergeCell ref="D1626:F1626"/>
    <mergeCell ref="B1627:C1627"/>
    <mergeCell ref="D1627:F1627"/>
    <mergeCell ref="B1628:C1628"/>
    <mergeCell ref="B1639:F1639"/>
    <mergeCell ref="E1638:F1638"/>
    <mergeCell ref="A1631:F1631"/>
    <mergeCell ref="A1633:C1633"/>
    <mergeCell ref="A1634:C1634"/>
    <mergeCell ref="A1635:A1637"/>
    <mergeCell ref="B1635:C1635"/>
    <mergeCell ref="D1635:F1635"/>
    <mergeCell ref="B1636:C1636"/>
    <mergeCell ref="D1636:F1636"/>
    <mergeCell ref="B1637:C1637"/>
    <mergeCell ref="B1612:F1612"/>
    <mergeCell ref="E1611:F1611"/>
    <mergeCell ref="A1604:F1604"/>
    <mergeCell ref="A1606:C1606"/>
    <mergeCell ref="A1607:C1607"/>
    <mergeCell ref="A1608:A1610"/>
    <mergeCell ref="B1608:C1608"/>
    <mergeCell ref="D1608:F1608"/>
    <mergeCell ref="B1609:C1609"/>
    <mergeCell ref="D1609:F1609"/>
    <mergeCell ref="B1610:C1610"/>
    <mergeCell ref="B1621:F1621"/>
    <mergeCell ref="E1620:F1620"/>
    <mergeCell ref="A1613:F1613"/>
    <mergeCell ref="A1615:C1615"/>
    <mergeCell ref="A1616:C1616"/>
    <mergeCell ref="A1617:A1619"/>
    <mergeCell ref="B1617:C1617"/>
    <mergeCell ref="D1617:F1617"/>
    <mergeCell ref="B1618:C1618"/>
    <mergeCell ref="D1618:F1618"/>
    <mergeCell ref="B1619:C1619"/>
    <mergeCell ref="B1594:F1594"/>
    <mergeCell ref="E1593:F1593"/>
    <mergeCell ref="A1586:F1586"/>
    <mergeCell ref="A1588:C1588"/>
    <mergeCell ref="A1589:C1589"/>
    <mergeCell ref="A1590:A1592"/>
    <mergeCell ref="B1590:C1590"/>
    <mergeCell ref="D1590:F1590"/>
    <mergeCell ref="B1591:C1591"/>
    <mergeCell ref="D1591:F1591"/>
    <mergeCell ref="B1592:C1592"/>
    <mergeCell ref="B1603:F1603"/>
    <mergeCell ref="E1602:F1602"/>
    <mergeCell ref="A1595:F1595"/>
    <mergeCell ref="A1597:C1597"/>
    <mergeCell ref="A1598:C1598"/>
    <mergeCell ref="A1599:A1601"/>
    <mergeCell ref="B1599:C1599"/>
    <mergeCell ref="D1599:F1599"/>
    <mergeCell ref="B1600:C1600"/>
    <mergeCell ref="D1600:F1600"/>
    <mergeCell ref="B1601:C1601"/>
    <mergeCell ref="B1576:F1576"/>
    <mergeCell ref="E1575:F1575"/>
    <mergeCell ref="A1568:F1568"/>
    <mergeCell ref="A1570:C1570"/>
    <mergeCell ref="A1571:C1571"/>
    <mergeCell ref="A1572:A1574"/>
    <mergeCell ref="B1572:C1572"/>
    <mergeCell ref="D1572:F1572"/>
    <mergeCell ref="B1573:C1573"/>
    <mergeCell ref="D1573:F1573"/>
    <mergeCell ref="B1574:C1574"/>
    <mergeCell ref="B1585:F1585"/>
    <mergeCell ref="E1584:F1584"/>
    <mergeCell ref="A1577:F1577"/>
    <mergeCell ref="A1579:C1579"/>
    <mergeCell ref="A1580:C1580"/>
    <mergeCell ref="A1581:A1583"/>
    <mergeCell ref="B1581:C1581"/>
    <mergeCell ref="D1581:F1581"/>
    <mergeCell ref="B1582:C1582"/>
    <mergeCell ref="D1582:F1582"/>
    <mergeCell ref="B1583:C1583"/>
    <mergeCell ref="B1558:F1558"/>
    <mergeCell ref="E1557:F1557"/>
    <mergeCell ref="A1550:F1550"/>
    <mergeCell ref="A1552:C1552"/>
    <mergeCell ref="A1553:C1553"/>
    <mergeCell ref="A1554:A1556"/>
    <mergeCell ref="B1554:C1554"/>
    <mergeCell ref="D1554:F1554"/>
    <mergeCell ref="B1555:C1555"/>
    <mergeCell ref="D1555:F1555"/>
    <mergeCell ref="B1556:C1556"/>
    <mergeCell ref="B1567:F1567"/>
    <mergeCell ref="E1566:F1566"/>
    <mergeCell ref="A1559:F1559"/>
    <mergeCell ref="A1561:C1561"/>
    <mergeCell ref="A1562:C1562"/>
    <mergeCell ref="A1563:A1565"/>
    <mergeCell ref="B1563:C1563"/>
    <mergeCell ref="D1563:F1563"/>
    <mergeCell ref="B1564:C1564"/>
    <mergeCell ref="D1564:F1564"/>
    <mergeCell ref="B1565:C1565"/>
    <mergeCell ref="B1540:F1540"/>
    <mergeCell ref="E1539:F1539"/>
    <mergeCell ref="A1532:F1532"/>
    <mergeCell ref="A1534:C1534"/>
    <mergeCell ref="A1535:C1535"/>
    <mergeCell ref="A1536:A1538"/>
    <mergeCell ref="B1536:C1536"/>
    <mergeCell ref="D1536:F1536"/>
    <mergeCell ref="B1537:C1537"/>
    <mergeCell ref="D1537:F1537"/>
    <mergeCell ref="B1538:C1538"/>
    <mergeCell ref="B1549:F1549"/>
    <mergeCell ref="E1548:F1548"/>
    <mergeCell ref="A1541:F1541"/>
    <mergeCell ref="A1543:C1543"/>
    <mergeCell ref="A1544:C1544"/>
    <mergeCell ref="A1545:A1547"/>
    <mergeCell ref="B1545:C1545"/>
    <mergeCell ref="D1545:F1545"/>
    <mergeCell ref="B1546:C1546"/>
    <mergeCell ref="D1546:F1546"/>
    <mergeCell ref="B1547:C1547"/>
    <mergeCell ref="B1522:F1522"/>
    <mergeCell ref="E1521:F1521"/>
    <mergeCell ref="A1514:F1514"/>
    <mergeCell ref="A1516:C1516"/>
    <mergeCell ref="A1517:C1517"/>
    <mergeCell ref="A1518:A1520"/>
    <mergeCell ref="B1518:C1518"/>
    <mergeCell ref="D1518:F1518"/>
    <mergeCell ref="B1519:C1519"/>
    <mergeCell ref="D1519:F1519"/>
    <mergeCell ref="B1520:C1520"/>
    <mergeCell ref="B1531:F1531"/>
    <mergeCell ref="E1530:F1530"/>
    <mergeCell ref="A1523:F1523"/>
    <mergeCell ref="A1525:C1525"/>
    <mergeCell ref="A1526:C1526"/>
    <mergeCell ref="A1527:A1529"/>
    <mergeCell ref="B1527:C1527"/>
    <mergeCell ref="D1527:F1527"/>
    <mergeCell ref="B1528:C1528"/>
    <mergeCell ref="D1528:F1528"/>
    <mergeCell ref="B1529:C1529"/>
    <mergeCell ref="B1504:F1504"/>
    <mergeCell ref="E1503:F1503"/>
    <mergeCell ref="A1496:F1496"/>
    <mergeCell ref="A1498:C1498"/>
    <mergeCell ref="A1499:C1499"/>
    <mergeCell ref="A1500:A1502"/>
    <mergeCell ref="B1500:C1500"/>
    <mergeCell ref="D1500:F1500"/>
    <mergeCell ref="B1501:C1501"/>
    <mergeCell ref="D1501:F1501"/>
    <mergeCell ref="B1502:C1502"/>
    <mergeCell ref="B1513:F1513"/>
    <mergeCell ref="E1512:F1512"/>
    <mergeCell ref="A1505:F1505"/>
    <mergeCell ref="A1507:C1507"/>
    <mergeCell ref="A1508:C1508"/>
    <mergeCell ref="A1509:A1511"/>
    <mergeCell ref="B1509:C1509"/>
    <mergeCell ref="D1509:F1509"/>
    <mergeCell ref="B1510:C1510"/>
    <mergeCell ref="D1510:F1510"/>
    <mergeCell ref="B1511:C1511"/>
    <mergeCell ref="B1486:F1486"/>
    <mergeCell ref="E1485:F1485"/>
    <mergeCell ref="A1478:F1478"/>
    <mergeCell ref="A1480:C1480"/>
    <mergeCell ref="A1481:C1481"/>
    <mergeCell ref="A1482:A1484"/>
    <mergeCell ref="B1482:C1482"/>
    <mergeCell ref="D1482:F1482"/>
    <mergeCell ref="B1483:C1483"/>
    <mergeCell ref="D1483:F1483"/>
    <mergeCell ref="B1484:C1484"/>
    <mergeCell ref="B1495:F1495"/>
    <mergeCell ref="E1494:F1494"/>
    <mergeCell ref="A1487:F1487"/>
    <mergeCell ref="A1489:C1489"/>
    <mergeCell ref="A1490:C1490"/>
    <mergeCell ref="A1491:A1493"/>
    <mergeCell ref="B1491:C1491"/>
    <mergeCell ref="D1491:F1491"/>
    <mergeCell ref="B1492:C1492"/>
    <mergeCell ref="D1492:F1492"/>
    <mergeCell ref="B1493:C1493"/>
    <mergeCell ref="B1468:F1468"/>
    <mergeCell ref="E1467:F1467"/>
    <mergeCell ref="A1460:F1460"/>
    <mergeCell ref="A1462:C1462"/>
    <mergeCell ref="A1463:C1463"/>
    <mergeCell ref="A1464:A1466"/>
    <mergeCell ref="B1464:C1464"/>
    <mergeCell ref="D1464:F1464"/>
    <mergeCell ref="B1465:C1465"/>
    <mergeCell ref="D1465:F1465"/>
    <mergeCell ref="B1466:C1466"/>
    <mergeCell ref="B1477:F1477"/>
    <mergeCell ref="E1476:F1476"/>
    <mergeCell ref="A1469:F1469"/>
    <mergeCell ref="A1471:C1471"/>
    <mergeCell ref="A1472:C1472"/>
    <mergeCell ref="A1473:A1475"/>
    <mergeCell ref="B1473:C1473"/>
    <mergeCell ref="D1473:F1473"/>
    <mergeCell ref="B1474:C1474"/>
    <mergeCell ref="D1474:F1474"/>
    <mergeCell ref="B1475:C1475"/>
    <mergeCell ref="B1450:F1450"/>
    <mergeCell ref="E1449:F1449"/>
    <mergeCell ref="A1442:F1442"/>
    <mergeCell ref="A1444:C1444"/>
    <mergeCell ref="A1445:C1445"/>
    <mergeCell ref="A1446:A1448"/>
    <mergeCell ref="B1446:C1446"/>
    <mergeCell ref="D1446:F1446"/>
    <mergeCell ref="B1447:C1447"/>
    <mergeCell ref="D1447:F1447"/>
    <mergeCell ref="B1448:C1448"/>
    <mergeCell ref="B1459:F1459"/>
    <mergeCell ref="E1458:F1458"/>
    <mergeCell ref="A1451:F1451"/>
    <mergeCell ref="A1453:C1453"/>
    <mergeCell ref="A1454:C1454"/>
    <mergeCell ref="A1455:A1457"/>
    <mergeCell ref="B1455:C1455"/>
    <mergeCell ref="D1455:F1455"/>
    <mergeCell ref="B1456:C1456"/>
    <mergeCell ref="D1456:F1456"/>
    <mergeCell ref="B1457:C1457"/>
    <mergeCell ref="B1432:F1432"/>
    <mergeCell ref="E1431:F1431"/>
    <mergeCell ref="A1424:F1424"/>
    <mergeCell ref="A1426:C1426"/>
    <mergeCell ref="A1427:C1427"/>
    <mergeCell ref="A1428:A1430"/>
    <mergeCell ref="B1428:C1428"/>
    <mergeCell ref="D1428:F1428"/>
    <mergeCell ref="B1429:C1429"/>
    <mergeCell ref="D1429:F1429"/>
    <mergeCell ref="B1430:C1430"/>
    <mergeCell ref="B1441:F1441"/>
    <mergeCell ref="E1440:F1440"/>
    <mergeCell ref="A1433:F1433"/>
    <mergeCell ref="A1435:C1435"/>
    <mergeCell ref="A1436:C1436"/>
    <mergeCell ref="A1437:A1439"/>
    <mergeCell ref="B1437:C1437"/>
    <mergeCell ref="D1437:F1437"/>
    <mergeCell ref="B1438:C1438"/>
    <mergeCell ref="D1438:F1438"/>
    <mergeCell ref="B1439:C1439"/>
    <mergeCell ref="B1414:F1414"/>
    <mergeCell ref="E1413:F1413"/>
    <mergeCell ref="A1406:F1406"/>
    <mergeCell ref="A1408:C1408"/>
    <mergeCell ref="A1409:C1409"/>
    <mergeCell ref="A1410:A1412"/>
    <mergeCell ref="B1410:C1410"/>
    <mergeCell ref="D1410:F1410"/>
    <mergeCell ref="B1411:C1411"/>
    <mergeCell ref="D1411:F1411"/>
    <mergeCell ref="B1412:C1412"/>
    <mergeCell ref="B1423:F1423"/>
    <mergeCell ref="E1422:F1422"/>
    <mergeCell ref="A1415:F1415"/>
    <mergeCell ref="A1417:C1417"/>
    <mergeCell ref="A1418:C1418"/>
    <mergeCell ref="A1419:A1421"/>
    <mergeCell ref="B1419:C1419"/>
    <mergeCell ref="D1419:F1419"/>
    <mergeCell ref="B1420:C1420"/>
    <mergeCell ref="D1420:F1420"/>
    <mergeCell ref="B1421:C1421"/>
    <mergeCell ref="B1396:F1396"/>
    <mergeCell ref="E1395:F1395"/>
    <mergeCell ref="A1388:F1388"/>
    <mergeCell ref="A1390:C1390"/>
    <mergeCell ref="A1391:C1391"/>
    <mergeCell ref="A1392:A1394"/>
    <mergeCell ref="B1392:C1392"/>
    <mergeCell ref="D1392:F1392"/>
    <mergeCell ref="B1393:C1393"/>
    <mergeCell ref="D1393:F1393"/>
    <mergeCell ref="B1394:C1394"/>
    <mergeCell ref="B1405:F1405"/>
    <mergeCell ref="E1404:F1404"/>
    <mergeCell ref="A1397:F1397"/>
    <mergeCell ref="A1399:C1399"/>
    <mergeCell ref="A1400:C1400"/>
    <mergeCell ref="A1401:A1403"/>
    <mergeCell ref="B1401:C1401"/>
    <mergeCell ref="D1401:F1401"/>
    <mergeCell ref="B1402:C1402"/>
    <mergeCell ref="D1402:F1402"/>
    <mergeCell ref="B1403:C1403"/>
    <mergeCell ref="B1378:F1378"/>
    <mergeCell ref="E1377:F1377"/>
    <mergeCell ref="A1370:F1370"/>
    <mergeCell ref="A1372:C1372"/>
    <mergeCell ref="A1373:C1373"/>
    <mergeCell ref="A1374:A1376"/>
    <mergeCell ref="B1374:C1374"/>
    <mergeCell ref="D1374:F1374"/>
    <mergeCell ref="B1375:C1375"/>
    <mergeCell ref="D1375:F1375"/>
    <mergeCell ref="B1376:C1376"/>
    <mergeCell ref="B1387:F1387"/>
    <mergeCell ref="E1386:F1386"/>
    <mergeCell ref="A1379:F1379"/>
    <mergeCell ref="A1381:C1381"/>
    <mergeCell ref="A1382:C1382"/>
    <mergeCell ref="A1383:A1385"/>
    <mergeCell ref="B1383:C1383"/>
    <mergeCell ref="D1383:F1383"/>
    <mergeCell ref="B1384:C1384"/>
    <mergeCell ref="D1384:F1384"/>
    <mergeCell ref="B1385:C1385"/>
    <mergeCell ref="B1360:F1360"/>
    <mergeCell ref="E1359:F1359"/>
    <mergeCell ref="A1352:F1352"/>
    <mergeCell ref="A1354:C1354"/>
    <mergeCell ref="A1355:C1355"/>
    <mergeCell ref="A1356:A1358"/>
    <mergeCell ref="B1356:C1356"/>
    <mergeCell ref="D1356:F1356"/>
    <mergeCell ref="B1357:C1357"/>
    <mergeCell ref="D1357:F1357"/>
    <mergeCell ref="B1358:C1358"/>
    <mergeCell ref="B1369:F1369"/>
    <mergeCell ref="E1368:F1368"/>
    <mergeCell ref="A1361:F1361"/>
    <mergeCell ref="A1363:C1363"/>
    <mergeCell ref="A1364:C1364"/>
    <mergeCell ref="A1365:A1367"/>
    <mergeCell ref="B1365:C1365"/>
    <mergeCell ref="D1365:F1365"/>
    <mergeCell ref="B1366:C1366"/>
    <mergeCell ref="D1366:F1366"/>
    <mergeCell ref="B1367:C1367"/>
    <mergeCell ref="B1342:F1342"/>
    <mergeCell ref="E1341:F1341"/>
    <mergeCell ref="A1334:F1334"/>
    <mergeCell ref="A1336:C1336"/>
    <mergeCell ref="A1337:C1337"/>
    <mergeCell ref="A1338:A1340"/>
    <mergeCell ref="B1338:C1338"/>
    <mergeCell ref="D1338:F1338"/>
    <mergeCell ref="B1339:C1339"/>
    <mergeCell ref="D1339:F1339"/>
    <mergeCell ref="B1340:C1340"/>
    <mergeCell ref="B1351:F1351"/>
    <mergeCell ref="E1350:F1350"/>
    <mergeCell ref="A1343:F1343"/>
    <mergeCell ref="A1345:C1345"/>
    <mergeCell ref="A1346:C1346"/>
    <mergeCell ref="A1347:A1349"/>
    <mergeCell ref="B1347:C1347"/>
    <mergeCell ref="D1347:F1347"/>
    <mergeCell ref="B1348:C1348"/>
    <mergeCell ref="D1348:F1348"/>
    <mergeCell ref="B1349:C1349"/>
    <mergeCell ref="B1324:F1324"/>
    <mergeCell ref="E1323:F1323"/>
    <mergeCell ref="A1316:F1316"/>
    <mergeCell ref="A1318:C1318"/>
    <mergeCell ref="A1319:C1319"/>
    <mergeCell ref="A1320:A1322"/>
    <mergeCell ref="B1320:C1320"/>
    <mergeCell ref="D1320:F1320"/>
    <mergeCell ref="B1321:C1321"/>
    <mergeCell ref="D1321:F1321"/>
    <mergeCell ref="B1322:C1322"/>
    <mergeCell ref="B1333:F1333"/>
    <mergeCell ref="E1332:F1332"/>
    <mergeCell ref="A1325:F1325"/>
    <mergeCell ref="A1327:C1327"/>
    <mergeCell ref="A1328:C1328"/>
    <mergeCell ref="A1329:A1331"/>
    <mergeCell ref="B1329:C1329"/>
    <mergeCell ref="D1329:F1329"/>
    <mergeCell ref="B1330:C1330"/>
    <mergeCell ref="D1330:F1330"/>
    <mergeCell ref="B1331:C1331"/>
    <mergeCell ref="B1306:F1306"/>
    <mergeCell ref="E1305:F1305"/>
    <mergeCell ref="A1298:F1298"/>
    <mergeCell ref="A1300:C1300"/>
    <mergeCell ref="A1301:C1301"/>
    <mergeCell ref="A1302:A1304"/>
    <mergeCell ref="B1302:C1302"/>
    <mergeCell ref="D1302:F1302"/>
    <mergeCell ref="B1303:C1303"/>
    <mergeCell ref="D1303:F1303"/>
    <mergeCell ref="B1304:C1304"/>
    <mergeCell ref="B1315:F1315"/>
    <mergeCell ref="E1314:F1314"/>
    <mergeCell ref="A1307:F1307"/>
    <mergeCell ref="A1309:C1309"/>
    <mergeCell ref="A1310:C1310"/>
    <mergeCell ref="A1311:A1313"/>
    <mergeCell ref="B1311:C1311"/>
    <mergeCell ref="D1311:F1311"/>
    <mergeCell ref="B1312:C1312"/>
    <mergeCell ref="D1312:F1312"/>
    <mergeCell ref="B1313:C1313"/>
    <mergeCell ref="B1288:F1288"/>
    <mergeCell ref="E1287:F1287"/>
    <mergeCell ref="A1280:F1280"/>
    <mergeCell ref="A1282:C1282"/>
    <mergeCell ref="A1283:C1283"/>
    <mergeCell ref="A1284:A1286"/>
    <mergeCell ref="B1284:C1284"/>
    <mergeCell ref="D1284:F1284"/>
    <mergeCell ref="B1285:C1285"/>
    <mergeCell ref="D1285:F1285"/>
    <mergeCell ref="B1286:C1286"/>
    <mergeCell ref="B1297:F1297"/>
    <mergeCell ref="E1296:F1296"/>
    <mergeCell ref="A1289:F1289"/>
    <mergeCell ref="A1291:C1291"/>
    <mergeCell ref="A1292:C1292"/>
    <mergeCell ref="A1293:A1295"/>
    <mergeCell ref="B1293:C1293"/>
    <mergeCell ref="D1293:F1293"/>
    <mergeCell ref="B1294:C1294"/>
    <mergeCell ref="D1294:F1294"/>
    <mergeCell ref="B1295:C1295"/>
    <mergeCell ref="B1270:F1270"/>
    <mergeCell ref="E1269:F1269"/>
    <mergeCell ref="A1262:F1262"/>
    <mergeCell ref="A1264:C1264"/>
    <mergeCell ref="A1265:C1265"/>
    <mergeCell ref="A1266:A1268"/>
    <mergeCell ref="B1266:C1266"/>
    <mergeCell ref="D1266:F1266"/>
    <mergeCell ref="B1267:C1267"/>
    <mergeCell ref="D1267:F1267"/>
    <mergeCell ref="B1268:C1268"/>
    <mergeCell ref="B1279:F1279"/>
    <mergeCell ref="E1278:F1278"/>
    <mergeCell ref="A1271:F1271"/>
    <mergeCell ref="A1273:C1273"/>
    <mergeCell ref="A1274:C1274"/>
    <mergeCell ref="A1275:A1277"/>
    <mergeCell ref="B1275:C1275"/>
    <mergeCell ref="D1275:F1275"/>
    <mergeCell ref="B1276:C1276"/>
    <mergeCell ref="D1276:F1276"/>
    <mergeCell ref="B1277:C1277"/>
    <mergeCell ref="B1252:F1252"/>
    <mergeCell ref="E1251:F1251"/>
    <mergeCell ref="A1244:F1244"/>
    <mergeCell ref="A1246:C1246"/>
    <mergeCell ref="A1247:C1247"/>
    <mergeCell ref="A1248:A1250"/>
    <mergeCell ref="B1248:C1248"/>
    <mergeCell ref="D1248:F1248"/>
    <mergeCell ref="B1249:C1249"/>
    <mergeCell ref="D1249:F1249"/>
    <mergeCell ref="B1250:C1250"/>
    <mergeCell ref="B1261:F1261"/>
    <mergeCell ref="E1260:F1260"/>
    <mergeCell ref="A1253:F1253"/>
    <mergeCell ref="A1255:C1255"/>
    <mergeCell ref="A1256:C1256"/>
    <mergeCell ref="A1257:A1259"/>
    <mergeCell ref="B1257:C1257"/>
    <mergeCell ref="D1257:F1257"/>
    <mergeCell ref="B1258:C1258"/>
    <mergeCell ref="D1258:F1258"/>
    <mergeCell ref="B1259:C1259"/>
    <mergeCell ref="B1234:F1234"/>
    <mergeCell ref="E1233:F1233"/>
    <mergeCell ref="A1226:F1226"/>
    <mergeCell ref="A1228:C1228"/>
    <mergeCell ref="A1229:C1229"/>
    <mergeCell ref="A1230:A1232"/>
    <mergeCell ref="B1230:C1230"/>
    <mergeCell ref="D1230:F1230"/>
    <mergeCell ref="B1231:C1231"/>
    <mergeCell ref="D1231:F1231"/>
    <mergeCell ref="B1232:C1232"/>
    <mergeCell ref="B1243:F1243"/>
    <mergeCell ref="E1242:F1242"/>
    <mergeCell ref="A1235:F1235"/>
    <mergeCell ref="A1237:C1237"/>
    <mergeCell ref="A1238:C1238"/>
    <mergeCell ref="A1239:A1241"/>
    <mergeCell ref="B1239:C1239"/>
    <mergeCell ref="D1239:F1239"/>
    <mergeCell ref="B1240:C1240"/>
    <mergeCell ref="D1240:F1240"/>
    <mergeCell ref="B1241:C1241"/>
    <mergeCell ref="B1216:F1216"/>
    <mergeCell ref="E1215:F1215"/>
    <mergeCell ref="A1208:F1208"/>
    <mergeCell ref="A1210:C1210"/>
    <mergeCell ref="A1211:C1211"/>
    <mergeCell ref="A1212:A1214"/>
    <mergeCell ref="B1212:C1212"/>
    <mergeCell ref="D1212:F1212"/>
    <mergeCell ref="B1213:C1213"/>
    <mergeCell ref="D1213:F1213"/>
    <mergeCell ref="B1214:C1214"/>
    <mergeCell ref="B1225:F1225"/>
    <mergeCell ref="E1224:F1224"/>
    <mergeCell ref="A1217:F1217"/>
    <mergeCell ref="A1219:C1219"/>
    <mergeCell ref="A1220:C1220"/>
    <mergeCell ref="A1221:A1223"/>
    <mergeCell ref="B1221:C1221"/>
    <mergeCell ref="D1221:F1221"/>
    <mergeCell ref="B1222:C1222"/>
    <mergeCell ref="D1222:F1222"/>
    <mergeCell ref="B1223:C1223"/>
    <mergeCell ref="B1198:F1198"/>
    <mergeCell ref="E1197:F1197"/>
    <mergeCell ref="A1190:F1190"/>
    <mergeCell ref="A1192:C1192"/>
    <mergeCell ref="A1193:C1193"/>
    <mergeCell ref="A1194:A1196"/>
    <mergeCell ref="B1194:C1194"/>
    <mergeCell ref="D1194:F1194"/>
    <mergeCell ref="B1195:C1195"/>
    <mergeCell ref="D1195:F1195"/>
    <mergeCell ref="B1196:C1196"/>
    <mergeCell ref="B1207:F1207"/>
    <mergeCell ref="E1206:F1206"/>
    <mergeCell ref="A1199:F1199"/>
    <mergeCell ref="A1201:C1201"/>
    <mergeCell ref="A1202:C1202"/>
    <mergeCell ref="A1203:A1205"/>
    <mergeCell ref="B1203:C1203"/>
    <mergeCell ref="D1203:F1203"/>
    <mergeCell ref="B1204:C1204"/>
    <mergeCell ref="D1204:F1204"/>
    <mergeCell ref="B1205:C1205"/>
    <mergeCell ref="B1180:F1180"/>
    <mergeCell ref="E1179:F1179"/>
    <mergeCell ref="A1172:F1172"/>
    <mergeCell ref="A1174:C1174"/>
    <mergeCell ref="A1175:C1175"/>
    <mergeCell ref="A1176:A1178"/>
    <mergeCell ref="B1176:C1176"/>
    <mergeCell ref="D1176:F1176"/>
    <mergeCell ref="B1177:C1177"/>
    <mergeCell ref="D1177:F1177"/>
    <mergeCell ref="B1178:C1178"/>
    <mergeCell ref="B1189:F1189"/>
    <mergeCell ref="E1188:F1188"/>
    <mergeCell ref="A1181:F1181"/>
    <mergeCell ref="A1183:C1183"/>
    <mergeCell ref="A1184:C1184"/>
    <mergeCell ref="A1185:A1187"/>
    <mergeCell ref="B1185:C1185"/>
    <mergeCell ref="D1185:F1185"/>
    <mergeCell ref="B1186:C1186"/>
    <mergeCell ref="D1186:F1186"/>
    <mergeCell ref="B1187:C1187"/>
    <mergeCell ref="B1162:F1162"/>
    <mergeCell ref="E1161:F1161"/>
    <mergeCell ref="A1154:F1154"/>
    <mergeCell ref="A1156:C1156"/>
    <mergeCell ref="A1157:C1157"/>
    <mergeCell ref="A1158:A1160"/>
    <mergeCell ref="B1158:C1158"/>
    <mergeCell ref="D1158:F1158"/>
    <mergeCell ref="B1159:C1159"/>
    <mergeCell ref="D1159:F1159"/>
    <mergeCell ref="B1160:C1160"/>
    <mergeCell ref="B1171:F1171"/>
    <mergeCell ref="E1170:F1170"/>
    <mergeCell ref="A1163:F1163"/>
    <mergeCell ref="A1165:C1165"/>
    <mergeCell ref="A1166:C1166"/>
    <mergeCell ref="A1167:A1169"/>
    <mergeCell ref="B1167:C1167"/>
    <mergeCell ref="D1167:F1167"/>
    <mergeCell ref="B1168:C1168"/>
    <mergeCell ref="D1168:F1168"/>
    <mergeCell ref="B1169:C1169"/>
    <mergeCell ref="B1144:F1144"/>
    <mergeCell ref="E1143:F1143"/>
    <mergeCell ref="A1136:F1136"/>
    <mergeCell ref="A1138:C1138"/>
    <mergeCell ref="A1139:C1139"/>
    <mergeCell ref="A1140:A1142"/>
    <mergeCell ref="B1140:C1140"/>
    <mergeCell ref="D1140:F1140"/>
    <mergeCell ref="B1141:C1141"/>
    <mergeCell ref="D1141:F1141"/>
    <mergeCell ref="B1142:C1142"/>
    <mergeCell ref="B1153:F1153"/>
    <mergeCell ref="E1152:F1152"/>
    <mergeCell ref="A1145:F1145"/>
    <mergeCell ref="A1147:C1147"/>
    <mergeCell ref="A1148:C1148"/>
    <mergeCell ref="A1149:A1151"/>
    <mergeCell ref="B1149:C1149"/>
    <mergeCell ref="D1149:F1149"/>
    <mergeCell ref="B1150:C1150"/>
    <mergeCell ref="D1150:F1150"/>
    <mergeCell ref="B1151:C1151"/>
    <mergeCell ref="B1126:F1126"/>
    <mergeCell ref="E1125:F1125"/>
    <mergeCell ref="A1118:F1118"/>
    <mergeCell ref="A1120:C1120"/>
    <mergeCell ref="A1121:C1121"/>
    <mergeCell ref="A1122:A1124"/>
    <mergeCell ref="B1122:C1122"/>
    <mergeCell ref="D1122:F1122"/>
    <mergeCell ref="B1123:C1123"/>
    <mergeCell ref="D1123:F1123"/>
    <mergeCell ref="B1124:C1124"/>
    <mergeCell ref="B1135:F1135"/>
    <mergeCell ref="E1134:F1134"/>
    <mergeCell ref="A1127:F1127"/>
    <mergeCell ref="A1129:C1129"/>
    <mergeCell ref="A1130:C1130"/>
    <mergeCell ref="A1131:A1133"/>
    <mergeCell ref="B1131:C1131"/>
    <mergeCell ref="D1131:F1131"/>
    <mergeCell ref="B1132:C1132"/>
    <mergeCell ref="D1132:F1132"/>
    <mergeCell ref="B1133:C1133"/>
    <mergeCell ref="B1108:F1108"/>
    <mergeCell ref="E1107:F1107"/>
    <mergeCell ref="A1100:F1100"/>
    <mergeCell ref="A1102:C1102"/>
    <mergeCell ref="A1103:C1103"/>
    <mergeCell ref="A1104:A1106"/>
    <mergeCell ref="B1104:C1104"/>
    <mergeCell ref="D1104:F1104"/>
    <mergeCell ref="B1105:C1105"/>
    <mergeCell ref="D1105:F1105"/>
    <mergeCell ref="B1106:C1106"/>
    <mergeCell ref="B1117:F1117"/>
    <mergeCell ref="E1116:F1116"/>
    <mergeCell ref="A1109:F1109"/>
    <mergeCell ref="A1111:C1111"/>
    <mergeCell ref="A1112:C1112"/>
    <mergeCell ref="A1113:A1115"/>
    <mergeCell ref="B1113:C1113"/>
    <mergeCell ref="D1113:F1113"/>
    <mergeCell ref="B1114:C1114"/>
    <mergeCell ref="D1114:F1114"/>
    <mergeCell ref="B1115:C1115"/>
    <mergeCell ref="B1090:F1090"/>
    <mergeCell ref="E1089:F1089"/>
    <mergeCell ref="A1082:F1082"/>
    <mergeCell ref="A1084:C1084"/>
    <mergeCell ref="A1085:C1085"/>
    <mergeCell ref="A1086:A1088"/>
    <mergeCell ref="B1086:C1086"/>
    <mergeCell ref="D1086:F1086"/>
    <mergeCell ref="B1087:C1087"/>
    <mergeCell ref="D1087:F1087"/>
    <mergeCell ref="B1088:C1088"/>
    <mergeCell ref="B1099:F1099"/>
    <mergeCell ref="E1098:F1098"/>
    <mergeCell ref="A1091:F1091"/>
    <mergeCell ref="A1093:C1093"/>
    <mergeCell ref="A1094:C1094"/>
    <mergeCell ref="A1095:A1097"/>
    <mergeCell ref="B1095:C1095"/>
    <mergeCell ref="D1095:F1095"/>
    <mergeCell ref="B1096:C1096"/>
    <mergeCell ref="D1096:F1096"/>
    <mergeCell ref="B1097:C1097"/>
    <mergeCell ref="B1072:F1072"/>
    <mergeCell ref="E1071:F1071"/>
    <mergeCell ref="A1064:F1064"/>
    <mergeCell ref="A1066:C1066"/>
    <mergeCell ref="A1067:C1067"/>
    <mergeCell ref="A1068:A1070"/>
    <mergeCell ref="B1068:C1068"/>
    <mergeCell ref="D1068:F1068"/>
    <mergeCell ref="B1069:C1069"/>
    <mergeCell ref="D1069:F1069"/>
    <mergeCell ref="B1070:C1070"/>
    <mergeCell ref="B1081:F1081"/>
    <mergeCell ref="E1080:F1080"/>
    <mergeCell ref="A1073:F1073"/>
    <mergeCell ref="A1075:C1075"/>
    <mergeCell ref="A1076:C1076"/>
    <mergeCell ref="A1077:A1079"/>
    <mergeCell ref="B1077:C1077"/>
    <mergeCell ref="D1077:F1077"/>
    <mergeCell ref="B1078:C1078"/>
    <mergeCell ref="D1078:F1078"/>
    <mergeCell ref="B1079:C1079"/>
    <mergeCell ref="B1054:F1054"/>
    <mergeCell ref="E1053:F1053"/>
    <mergeCell ref="A1046:F1046"/>
    <mergeCell ref="A1048:C1048"/>
    <mergeCell ref="A1049:C1049"/>
    <mergeCell ref="A1050:A1052"/>
    <mergeCell ref="B1050:C1050"/>
    <mergeCell ref="D1050:F1050"/>
    <mergeCell ref="B1051:C1051"/>
    <mergeCell ref="D1051:F1051"/>
    <mergeCell ref="B1052:C1052"/>
    <mergeCell ref="B1063:F1063"/>
    <mergeCell ref="E1062:F1062"/>
    <mergeCell ref="A1055:F1055"/>
    <mergeCell ref="A1057:C1057"/>
    <mergeCell ref="A1058:C1058"/>
    <mergeCell ref="A1059:A1061"/>
    <mergeCell ref="B1059:C1059"/>
    <mergeCell ref="D1059:F1059"/>
    <mergeCell ref="B1060:C1060"/>
    <mergeCell ref="D1060:F1060"/>
    <mergeCell ref="B1061:C1061"/>
    <mergeCell ref="B1036:F1036"/>
    <mergeCell ref="E1035:F1035"/>
    <mergeCell ref="A1028:F1028"/>
    <mergeCell ref="A1030:C1030"/>
    <mergeCell ref="A1031:C1031"/>
    <mergeCell ref="A1032:A1034"/>
    <mergeCell ref="B1032:C1032"/>
    <mergeCell ref="D1032:F1032"/>
    <mergeCell ref="B1033:C1033"/>
    <mergeCell ref="D1033:F1033"/>
    <mergeCell ref="B1034:C1034"/>
    <mergeCell ref="B1045:F1045"/>
    <mergeCell ref="E1044:F1044"/>
    <mergeCell ref="A1037:F1037"/>
    <mergeCell ref="A1039:C1039"/>
    <mergeCell ref="A1040:C1040"/>
    <mergeCell ref="A1041:A1043"/>
    <mergeCell ref="B1041:C1041"/>
    <mergeCell ref="D1041:F1041"/>
    <mergeCell ref="B1042:C1042"/>
    <mergeCell ref="D1042:F1042"/>
    <mergeCell ref="B1043:C1043"/>
    <mergeCell ref="B1018:F1018"/>
    <mergeCell ref="E1017:F1017"/>
    <mergeCell ref="A1010:F1010"/>
    <mergeCell ref="A1012:C1012"/>
    <mergeCell ref="A1013:C1013"/>
    <mergeCell ref="A1014:A1016"/>
    <mergeCell ref="B1014:C1014"/>
    <mergeCell ref="D1014:F1014"/>
    <mergeCell ref="B1015:C1015"/>
    <mergeCell ref="D1015:F1015"/>
    <mergeCell ref="B1016:C1016"/>
    <mergeCell ref="B1027:F1027"/>
    <mergeCell ref="E1026:F1026"/>
    <mergeCell ref="A1019:F1019"/>
    <mergeCell ref="A1021:C1021"/>
    <mergeCell ref="A1022:C1022"/>
    <mergeCell ref="A1023:A1025"/>
    <mergeCell ref="B1023:C1023"/>
    <mergeCell ref="D1023:F1023"/>
    <mergeCell ref="B1024:C1024"/>
    <mergeCell ref="D1024:F1024"/>
    <mergeCell ref="B1025:C1025"/>
    <mergeCell ref="B1000:F1000"/>
    <mergeCell ref="E999:F999"/>
    <mergeCell ref="A992:F992"/>
    <mergeCell ref="A994:C994"/>
    <mergeCell ref="A995:C995"/>
    <mergeCell ref="A996:A998"/>
    <mergeCell ref="B996:C996"/>
    <mergeCell ref="D996:F996"/>
    <mergeCell ref="B997:C997"/>
    <mergeCell ref="D997:F997"/>
    <mergeCell ref="B998:C998"/>
    <mergeCell ref="B1009:F1009"/>
    <mergeCell ref="E1008:F1008"/>
    <mergeCell ref="A1001:F1001"/>
    <mergeCell ref="A1003:C1003"/>
    <mergeCell ref="A1004:C1004"/>
    <mergeCell ref="A1005:A1007"/>
    <mergeCell ref="B1005:C1005"/>
    <mergeCell ref="D1005:F1005"/>
    <mergeCell ref="B1006:C1006"/>
    <mergeCell ref="D1006:F1006"/>
    <mergeCell ref="B1007:C1007"/>
    <mergeCell ref="B982:F982"/>
    <mergeCell ref="E981:F981"/>
    <mergeCell ref="A974:F974"/>
    <mergeCell ref="A976:C976"/>
    <mergeCell ref="A977:C977"/>
    <mergeCell ref="A978:A980"/>
    <mergeCell ref="B978:C978"/>
    <mergeCell ref="D978:F978"/>
    <mergeCell ref="B979:C979"/>
    <mergeCell ref="D979:F979"/>
    <mergeCell ref="B980:C980"/>
    <mergeCell ref="B991:F991"/>
    <mergeCell ref="E990:F990"/>
    <mergeCell ref="A983:F983"/>
    <mergeCell ref="A985:C985"/>
    <mergeCell ref="A986:C986"/>
    <mergeCell ref="A987:A989"/>
    <mergeCell ref="B987:C987"/>
    <mergeCell ref="D987:F987"/>
    <mergeCell ref="B988:C988"/>
    <mergeCell ref="D988:F988"/>
    <mergeCell ref="B989:C989"/>
    <mergeCell ref="B964:F964"/>
    <mergeCell ref="E963:F963"/>
    <mergeCell ref="A956:F956"/>
    <mergeCell ref="A958:C958"/>
    <mergeCell ref="A959:C959"/>
    <mergeCell ref="A960:A962"/>
    <mergeCell ref="B960:C960"/>
    <mergeCell ref="D960:F960"/>
    <mergeCell ref="B961:C961"/>
    <mergeCell ref="D961:F961"/>
    <mergeCell ref="B962:C962"/>
    <mergeCell ref="B973:F973"/>
    <mergeCell ref="E972:F972"/>
    <mergeCell ref="A965:F965"/>
    <mergeCell ref="A967:C967"/>
    <mergeCell ref="A968:C968"/>
    <mergeCell ref="A969:A971"/>
    <mergeCell ref="B969:C969"/>
    <mergeCell ref="D969:F969"/>
    <mergeCell ref="B970:C970"/>
    <mergeCell ref="D970:F970"/>
    <mergeCell ref="B971:C971"/>
    <mergeCell ref="B946:F946"/>
    <mergeCell ref="E945:F945"/>
    <mergeCell ref="A938:F938"/>
    <mergeCell ref="A940:C940"/>
    <mergeCell ref="A941:C941"/>
    <mergeCell ref="A942:A944"/>
    <mergeCell ref="B942:C942"/>
    <mergeCell ref="D942:F942"/>
    <mergeCell ref="B943:C943"/>
    <mergeCell ref="D943:F943"/>
    <mergeCell ref="B944:C944"/>
    <mergeCell ref="B955:F955"/>
    <mergeCell ref="E954:F954"/>
    <mergeCell ref="A947:F947"/>
    <mergeCell ref="A949:C949"/>
    <mergeCell ref="A950:C950"/>
    <mergeCell ref="A951:A953"/>
    <mergeCell ref="B951:C951"/>
    <mergeCell ref="D951:F951"/>
    <mergeCell ref="B952:C952"/>
    <mergeCell ref="D952:F952"/>
    <mergeCell ref="B953:C953"/>
    <mergeCell ref="B928:F928"/>
    <mergeCell ref="E927:F927"/>
    <mergeCell ref="A920:F920"/>
    <mergeCell ref="A922:C922"/>
    <mergeCell ref="A923:C923"/>
    <mergeCell ref="A924:A926"/>
    <mergeCell ref="B924:C924"/>
    <mergeCell ref="D924:F924"/>
    <mergeCell ref="B925:C925"/>
    <mergeCell ref="D925:F925"/>
    <mergeCell ref="B926:C926"/>
    <mergeCell ref="B937:F937"/>
    <mergeCell ref="E936:F936"/>
    <mergeCell ref="A929:F929"/>
    <mergeCell ref="A931:C931"/>
    <mergeCell ref="A932:C932"/>
    <mergeCell ref="A933:A935"/>
    <mergeCell ref="B933:C933"/>
    <mergeCell ref="D933:F933"/>
    <mergeCell ref="B934:C934"/>
    <mergeCell ref="D934:F934"/>
    <mergeCell ref="B935:C935"/>
    <mergeCell ref="B910:F910"/>
    <mergeCell ref="E909:F909"/>
    <mergeCell ref="A902:F902"/>
    <mergeCell ref="A904:C904"/>
    <mergeCell ref="A905:C905"/>
    <mergeCell ref="A906:A908"/>
    <mergeCell ref="B906:C906"/>
    <mergeCell ref="D906:F906"/>
    <mergeCell ref="B907:C907"/>
    <mergeCell ref="D907:F907"/>
    <mergeCell ref="B908:C908"/>
    <mergeCell ref="B919:F919"/>
    <mergeCell ref="E918:F918"/>
    <mergeCell ref="A911:F911"/>
    <mergeCell ref="A913:C913"/>
    <mergeCell ref="A914:C914"/>
    <mergeCell ref="A915:A917"/>
    <mergeCell ref="B915:C915"/>
    <mergeCell ref="D915:F915"/>
    <mergeCell ref="B916:C916"/>
    <mergeCell ref="D916:F916"/>
    <mergeCell ref="B917:C917"/>
    <mergeCell ref="B892:F892"/>
    <mergeCell ref="E891:F891"/>
    <mergeCell ref="A884:F884"/>
    <mergeCell ref="A886:C886"/>
    <mergeCell ref="A887:C887"/>
    <mergeCell ref="A888:A890"/>
    <mergeCell ref="B888:C888"/>
    <mergeCell ref="D888:F888"/>
    <mergeCell ref="B889:C889"/>
    <mergeCell ref="D889:F889"/>
    <mergeCell ref="B890:C890"/>
    <mergeCell ref="B901:F901"/>
    <mergeCell ref="E900:F900"/>
    <mergeCell ref="A893:F893"/>
    <mergeCell ref="A895:C895"/>
    <mergeCell ref="A896:C896"/>
    <mergeCell ref="A897:A899"/>
    <mergeCell ref="B897:C897"/>
    <mergeCell ref="D897:F897"/>
    <mergeCell ref="B898:C898"/>
    <mergeCell ref="D898:F898"/>
    <mergeCell ref="B899:C899"/>
    <mergeCell ref="B874:F874"/>
    <mergeCell ref="E873:F873"/>
    <mergeCell ref="A866:F866"/>
    <mergeCell ref="A868:C868"/>
    <mergeCell ref="A869:C869"/>
    <mergeCell ref="A870:A872"/>
    <mergeCell ref="B870:C870"/>
    <mergeCell ref="D870:F870"/>
    <mergeCell ref="B871:C871"/>
    <mergeCell ref="D871:F871"/>
    <mergeCell ref="B872:C872"/>
    <mergeCell ref="B883:F883"/>
    <mergeCell ref="E882:F882"/>
    <mergeCell ref="A875:F875"/>
    <mergeCell ref="A877:C877"/>
    <mergeCell ref="A878:C878"/>
    <mergeCell ref="A879:A881"/>
    <mergeCell ref="B879:C879"/>
    <mergeCell ref="D879:F879"/>
    <mergeCell ref="B880:C880"/>
    <mergeCell ref="D880:F880"/>
    <mergeCell ref="B881:C881"/>
    <mergeCell ref="B856:F856"/>
    <mergeCell ref="E855:F855"/>
    <mergeCell ref="A848:F848"/>
    <mergeCell ref="A850:C850"/>
    <mergeCell ref="A851:C851"/>
    <mergeCell ref="A852:A854"/>
    <mergeCell ref="B852:C852"/>
    <mergeCell ref="D852:F852"/>
    <mergeCell ref="B853:C853"/>
    <mergeCell ref="D853:F853"/>
    <mergeCell ref="B854:C854"/>
    <mergeCell ref="B865:F865"/>
    <mergeCell ref="E864:F864"/>
    <mergeCell ref="A857:F857"/>
    <mergeCell ref="A859:C859"/>
    <mergeCell ref="A860:C860"/>
    <mergeCell ref="A861:A863"/>
    <mergeCell ref="B861:C861"/>
    <mergeCell ref="D861:F861"/>
    <mergeCell ref="B862:C862"/>
    <mergeCell ref="D862:F862"/>
    <mergeCell ref="B863:C863"/>
    <mergeCell ref="B838:F838"/>
    <mergeCell ref="E837:F837"/>
    <mergeCell ref="A830:F830"/>
    <mergeCell ref="A832:C832"/>
    <mergeCell ref="A833:C833"/>
    <mergeCell ref="A834:A836"/>
    <mergeCell ref="B834:C834"/>
    <mergeCell ref="D834:F834"/>
    <mergeCell ref="B835:C835"/>
    <mergeCell ref="D835:F835"/>
    <mergeCell ref="B836:C836"/>
    <mergeCell ref="B847:F847"/>
    <mergeCell ref="E846:F846"/>
    <mergeCell ref="A839:F839"/>
    <mergeCell ref="A841:C841"/>
    <mergeCell ref="A842:C842"/>
    <mergeCell ref="A843:A845"/>
    <mergeCell ref="B843:C843"/>
    <mergeCell ref="D843:F843"/>
    <mergeCell ref="B844:C844"/>
    <mergeCell ref="D844:F844"/>
    <mergeCell ref="B845:C845"/>
    <mergeCell ref="B820:F820"/>
    <mergeCell ref="E819:F819"/>
    <mergeCell ref="A812:F812"/>
    <mergeCell ref="A814:C814"/>
    <mergeCell ref="A815:C815"/>
    <mergeCell ref="A816:A818"/>
    <mergeCell ref="B816:C816"/>
    <mergeCell ref="D816:F816"/>
    <mergeCell ref="B817:C817"/>
    <mergeCell ref="D817:F817"/>
    <mergeCell ref="B818:C818"/>
    <mergeCell ref="B829:F829"/>
    <mergeCell ref="E828:F828"/>
    <mergeCell ref="A821:F821"/>
    <mergeCell ref="A823:C823"/>
    <mergeCell ref="A824:C824"/>
    <mergeCell ref="A825:A827"/>
    <mergeCell ref="B825:C825"/>
    <mergeCell ref="D825:F825"/>
    <mergeCell ref="B826:C826"/>
    <mergeCell ref="D826:F826"/>
    <mergeCell ref="B827:C827"/>
    <mergeCell ref="B802:F802"/>
    <mergeCell ref="E801:F801"/>
    <mergeCell ref="A794:F794"/>
    <mergeCell ref="A796:C796"/>
    <mergeCell ref="A797:C797"/>
    <mergeCell ref="A798:A800"/>
    <mergeCell ref="B798:C798"/>
    <mergeCell ref="D798:F798"/>
    <mergeCell ref="B799:C799"/>
    <mergeCell ref="D799:F799"/>
    <mergeCell ref="B800:C800"/>
    <mergeCell ref="B811:F811"/>
    <mergeCell ref="E810:F810"/>
    <mergeCell ref="A803:F803"/>
    <mergeCell ref="A805:C805"/>
    <mergeCell ref="A806:C806"/>
    <mergeCell ref="A807:A809"/>
    <mergeCell ref="B807:C807"/>
    <mergeCell ref="D807:F807"/>
    <mergeCell ref="B808:C808"/>
    <mergeCell ref="D808:F808"/>
    <mergeCell ref="B809:C809"/>
    <mergeCell ref="B784:F784"/>
    <mergeCell ref="E783:F783"/>
    <mergeCell ref="A776:F776"/>
    <mergeCell ref="A778:C778"/>
    <mergeCell ref="A779:C779"/>
    <mergeCell ref="A780:A782"/>
    <mergeCell ref="B780:C780"/>
    <mergeCell ref="D780:F780"/>
    <mergeCell ref="B781:C781"/>
    <mergeCell ref="D781:F781"/>
    <mergeCell ref="B782:C782"/>
    <mergeCell ref="B793:F793"/>
    <mergeCell ref="E792:F792"/>
    <mergeCell ref="A785:F785"/>
    <mergeCell ref="A787:C787"/>
    <mergeCell ref="A788:C788"/>
    <mergeCell ref="A789:A791"/>
    <mergeCell ref="B789:C789"/>
    <mergeCell ref="D789:F789"/>
    <mergeCell ref="B790:C790"/>
    <mergeCell ref="D790:F790"/>
    <mergeCell ref="B791:C791"/>
    <mergeCell ref="B766:F766"/>
    <mergeCell ref="E765:F765"/>
    <mergeCell ref="A758:F758"/>
    <mergeCell ref="A760:C760"/>
    <mergeCell ref="A761:C761"/>
    <mergeCell ref="A762:A764"/>
    <mergeCell ref="B762:C762"/>
    <mergeCell ref="D762:F762"/>
    <mergeCell ref="B763:C763"/>
    <mergeCell ref="D763:F763"/>
    <mergeCell ref="B764:C764"/>
    <mergeCell ref="B775:F775"/>
    <mergeCell ref="E774:F774"/>
    <mergeCell ref="A767:F767"/>
    <mergeCell ref="A769:C769"/>
    <mergeCell ref="A770:C770"/>
    <mergeCell ref="A771:A773"/>
    <mergeCell ref="B771:C771"/>
    <mergeCell ref="D771:F771"/>
    <mergeCell ref="B772:C772"/>
    <mergeCell ref="D772:F772"/>
    <mergeCell ref="B773:C773"/>
    <mergeCell ref="B748:F748"/>
    <mergeCell ref="E747:F747"/>
    <mergeCell ref="A740:F740"/>
    <mergeCell ref="A742:C742"/>
    <mergeCell ref="A743:C743"/>
    <mergeCell ref="A744:A746"/>
    <mergeCell ref="B744:C744"/>
    <mergeCell ref="D744:F744"/>
    <mergeCell ref="B745:C745"/>
    <mergeCell ref="D745:F745"/>
    <mergeCell ref="B746:C746"/>
    <mergeCell ref="B757:F757"/>
    <mergeCell ref="E756:F756"/>
    <mergeCell ref="A749:F749"/>
    <mergeCell ref="A751:C751"/>
    <mergeCell ref="A752:C752"/>
    <mergeCell ref="A753:A755"/>
    <mergeCell ref="B753:C753"/>
    <mergeCell ref="D753:F753"/>
    <mergeCell ref="B754:C754"/>
    <mergeCell ref="D754:F754"/>
    <mergeCell ref="B755:C755"/>
    <mergeCell ref="B730:F730"/>
    <mergeCell ref="E729:F729"/>
    <mergeCell ref="A722:F722"/>
    <mergeCell ref="A724:C724"/>
    <mergeCell ref="A725:C725"/>
    <mergeCell ref="A726:A728"/>
    <mergeCell ref="B726:C726"/>
    <mergeCell ref="D726:F726"/>
    <mergeCell ref="B727:C727"/>
    <mergeCell ref="D727:F727"/>
    <mergeCell ref="B728:C728"/>
    <mergeCell ref="B739:F739"/>
    <mergeCell ref="E738:F738"/>
    <mergeCell ref="A731:F731"/>
    <mergeCell ref="A733:C733"/>
    <mergeCell ref="A734:C734"/>
    <mergeCell ref="A735:A737"/>
    <mergeCell ref="B735:C735"/>
    <mergeCell ref="D735:F735"/>
    <mergeCell ref="B736:C736"/>
    <mergeCell ref="D736:F736"/>
    <mergeCell ref="B737:C737"/>
    <mergeCell ref="B712:F712"/>
    <mergeCell ref="E711:F711"/>
    <mergeCell ref="A704:F704"/>
    <mergeCell ref="A706:C706"/>
    <mergeCell ref="A707:C707"/>
    <mergeCell ref="A708:A710"/>
    <mergeCell ref="B708:C708"/>
    <mergeCell ref="D708:F708"/>
    <mergeCell ref="B709:C709"/>
    <mergeCell ref="D709:F709"/>
    <mergeCell ref="B710:C710"/>
    <mergeCell ref="B721:F721"/>
    <mergeCell ref="E720:F720"/>
    <mergeCell ref="A713:F713"/>
    <mergeCell ref="A715:C715"/>
    <mergeCell ref="A716:C716"/>
    <mergeCell ref="A717:A719"/>
    <mergeCell ref="B717:C717"/>
    <mergeCell ref="D717:F717"/>
    <mergeCell ref="B718:C718"/>
    <mergeCell ref="D718:F718"/>
    <mergeCell ref="B719:C719"/>
    <mergeCell ref="B694:F694"/>
    <mergeCell ref="E693:F693"/>
    <mergeCell ref="A686:F686"/>
    <mergeCell ref="A688:C688"/>
    <mergeCell ref="A689:C689"/>
    <mergeCell ref="A690:A692"/>
    <mergeCell ref="B690:C690"/>
    <mergeCell ref="D690:F690"/>
    <mergeCell ref="B691:C691"/>
    <mergeCell ref="D691:F691"/>
    <mergeCell ref="B692:C692"/>
    <mergeCell ref="B703:F703"/>
    <mergeCell ref="E702:F702"/>
    <mergeCell ref="A695:F695"/>
    <mergeCell ref="A697:C697"/>
    <mergeCell ref="A698:C698"/>
    <mergeCell ref="A699:A701"/>
    <mergeCell ref="B699:C699"/>
    <mergeCell ref="D699:F699"/>
    <mergeCell ref="B700:C700"/>
    <mergeCell ref="D700:F700"/>
    <mergeCell ref="B701:C701"/>
    <mergeCell ref="B676:F676"/>
    <mergeCell ref="E675:F675"/>
    <mergeCell ref="A668:F668"/>
    <mergeCell ref="A670:C670"/>
    <mergeCell ref="A671:C671"/>
    <mergeCell ref="A672:A674"/>
    <mergeCell ref="B672:C672"/>
    <mergeCell ref="D672:F672"/>
    <mergeCell ref="B673:C673"/>
    <mergeCell ref="D673:F673"/>
    <mergeCell ref="B674:C674"/>
    <mergeCell ref="B685:F685"/>
    <mergeCell ref="E684:F684"/>
    <mergeCell ref="A677:F677"/>
    <mergeCell ref="A679:C679"/>
    <mergeCell ref="A680:C680"/>
    <mergeCell ref="A681:A683"/>
    <mergeCell ref="B681:C681"/>
    <mergeCell ref="D681:F681"/>
    <mergeCell ref="B682:C682"/>
    <mergeCell ref="D682:F682"/>
    <mergeCell ref="B683:C683"/>
    <mergeCell ref="B658:F658"/>
    <mergeCell ref="E657:F657"/>
    <mergeCell ref="A650:F650"/>
    <mergeCell ref="A652:C652"/>
    <mergeCell ref="A653:C653"/>
    <mergeCell ref="A654:A656"/>
    <mergeCell ref="B654:C654"/>
    <mergeCell ref="D654:F654"/>
    <mergeCell ref="B655:C655"/>
    <mergeCell ref="D655:F655"/>
    <mergeCell ref="B656:C656"/>
    <mergeCell ref="B667:F667"/>
    <mergeCell ref="E666:F666"/>
    <mergeCell ref="A659:F659"/>
    <mergeCell ref="A661:C661"/>
    <mergeCell ref="A662:C662"/>
    <mergeCell ref="A663:A665"/>
    <mergeCell ref="B663:C663"/>
    <mergeCell ref="D663:F663"/>
    <mergeCell ref="B664:C664"/>
    <mergeCell ref="D664:F664"/>
    <mergeCell ref="B665:C665"/>
    <mergeCell ref="B640:F640"/>
    <mergeCell ref="E639:F639"/>
    <mergeCell ref="A632:F632"/>
    <mergeCell ref="A634:C634"/>
    <mergeCell ref="A635:C635"/>
    <mergeCell ref="A636:A638"/>
    <mergeCell ref="B636:C636"/>
    <mergeCell ref="D636:F636"/>
    <mergeCell ref="B637:C637"/>
    <mergeCell ref="D637:F637"/>
    <mergeCell ref="B638:C638"/>
    <mergeCell ref="B649:F649"/>
    <mergeCell ref="E648:F648"/>
    <mergeCell ref="A641:F641"/>
    <mergeCell ref="A643:C643"/>
    <mergeCell ref="A644:C644"/>
    <mergeCell ref="A645:A647"/>
    <mergeCell ref="B645:C645"/>
    <mergeCell ref="D645:F645"/>
    <mergeCell ref="B646:C646"/>
    <mergeCell ref="D646:F646"/>
    <mergeCell ref="B647:C647"/>
    <mergeCell ref="B622:F622"/>
    <mergeCell ref="E621:F621"/>
    <mergeCell ref="A614:F614"/>
    <mergeCell ref="A616:C616"/>
    <mergeCell ref="A617:C617"/>
    <mergeCell ref="A618:A620"/>
    <mergeCell ref="B618:C618"/>
    <mergeCell ref="D618:F618"/>
    <mergeCell ref="B619:C619"/>
    <mergeCell ref="D619:F619"/>
    <mergeCell ref="B620:C620"/>
    <mergeCell ref="B631:F631"/>
    <mergeCell ref="E630:F630"/>
    <mergeCell ref="A623:F623"/>
    <mergeCell ref="A625:C625"/>
    <mergeCell ref="A626:C626"/>
    <mergeCell ref="A627:A629"/>
    <mergeCell ref="B627:C627"/>
    <mergeCell ref="D627:F627"/>
    <mergeCell ref="B628:C628"/>
    <mergeCell ref="D628:F628"/>
    <mergeCell ref="B629:C629"/>
    <mergeCell ref="B604:F604"/>
    <mergeCell ref="E603:F603"/>
    <mergeCell ref="A596:F596"/>
    <mergeCell ref="A598:C598"/>
    <mergeCell ref="A599:C599"/>
    <mergeCell ref="A600:A602"/>
    <mergeCell ref="B600:C600"/>
    <mergeCell ref="D600:F600"/>
    <mergeCell ref="B601:C601"/>
    <mergeCell ref="D601:F601"/>
    <mergeCell ref="B602:C602"/>
    <mergeCell ref="B613:F613"/>
    <mergeCell ref="E612:F612"/>
    <mergeCell ref="A605:F605"/>
    <mergeCell ref="A607:C607"/>
    <mergeCell ref="A608:C608"/>
    <mergeCell ref="A609:A611"/>
    <mergeCell ref="B609:C609"/>
    <mergeCell ref="D609:F609"/>
    <mergeCell ref="B610:C610"/>
    <mergeCell ref="D610:F610"/>
    <mergeCell ref="B611:C611"/>
    <mergeCell ref="B586:F586"/>
    <mergeCell ref="E585:F585"/>
    <mergeCell ref="A578:F578"/>
    <mergeCell ref="A580:C580"/>
    <mergeCell ref="A581:C581"/>
    <mergeCell ref="A582:A584"/>
    <mergeCell ref="B582:C582"/>
    <mergeCell ref="D582:F582"/>
    <mergeCell ref="B583:C583"/>
    <mergeCell ref="D583:F583"/>
    <mergeCell ref="B584:C584"/>
    <mergeCell ref="B595:F595"/>
    <mergeCell ref="E594:F594"/>
    <mergeCell ref="A587:F587"/>
    <mergeCell ref="A589:C589"/>
    <mergeCell ref="A590:C590"/>
    <mergeCell ref="A591:A593"/>
    <mergeCell ref="B591:C591"/>
    <mergeCell ref="D591:F591"/>
    <mergeCell ref="B592:C592"/>
    <mergeCell ref="D592:F592"/>
    <mergeCell ref="B593:C593"/>
    <mergeCell ref="B568:F568"/>
    <mergeCell ref="E567:F567"/>
    <mergeCell ref="A560:F560"/>
    <mergeCell ref="A562:C562"/>
    <mergeCell ref="A563:C563"/>
    <mergeCell ref="A564:A566"/>
    <mergeCell ref="B564:C564"/>
    <mergeCell ref="D564:F564"/>
    <mergeCell ref="B565:C565"/>
    <mergeCell ref="D565:F565"/>
    <mergeCell ref="B566:C566"/>
    <mergeCell ref="B577:F577"/>
    <mergeCell ref="E576:F576"/>
    <mergeCell ref="A569:F569"/>
    <mergeCell ref="A571:C571"/>
    <mergeCell ref="A572:C572"/>
    <mergeCell ref="A573:A575"/>
    <mergeCell ref="B573:C573"/>
    <mergeCell ref="D573:F573"/>
    <mergeCell ref="B574:C574"/>
    <mergeCell ref="D574:F574"/>
    <mergeCell ref="B575:C575"/>
    <mergeCell ref="B550:F550"/>
    <mergeCell ref="E549:F549"/>
    <mergeCell ref="A542:F542"/>
    <mergeCell ref="A544:C544"/>
    <mergeCell ref="A545:C545"/>
    <mergeCell ref="A546:A548"/>
    <mergeCell ref="B546:C546"/>
    <mergeCell ref="D546:F546"/>
    <mergeCell ref="B547:C547"/>
    <mergeCell ref="D547:F547"/>
    <mergeCell ref="B548:C548"/>
    <mergeCell ref="B559:F559"/>
    <mergeCell ref="E558:F558"/>
    <mergeCell ref="A551:F551"/>
    <mergeCell ref="A553:C553"/>
    <mergeCell ref="A554:C554"/>
    <mergeCell ref="A555:A557"/>
    <mergeCell ref="B555:C555"/>
    <mergeCell ref="D555:F555"/>
    <mergeCell ref="B556:C556"/>
    <mergeCell ref="D556:F556"/>
    <mergeCell ref="B557:C557"/>
    <mergeCell ref="B532:F532"/>
    <mergeCell ref="E531:F531"/>
    <mergeCell ref="A524:F524"/>
    <mergeCell ref="A526:C526"/>
    <mergeCell ref="A527:C527"/>
    <mergeCell ref="A528:A530"/>
    <mergeCell ref="B528:C528"/>
    <mergeCell ref="D528:F528"/>
    <mergeCell ref="B529:C529"/>
    <mergeCell ref="D529:F529"/>
    <mergeCell ref="B530:C530"/>
    <mergeCell ref="B541:F541"/>
    <mergeCell ref="E540:F540"/>
    <mergeCell ref="A533:F533"/>
    <mergeCell ref="A535:C535"/>
    <mergeCell ref="A536:C536"/>
    <mergeCell ref="A537:A539"/>
    <mergeCell ref="B537:C537"/>
    <mergeCell ref="D537:F537"/>
    <mergeCell ref="B538:C538"/>
    <mergeCell ref="D538:F538"/>
    <mergeCell ref="B539:C539"/>
    <mergeCell ref="B514:F514"/>
    <mergeCell ref="E513:F513"/>
    <mergeCell ref="A506:F506"/>
    <mergeCell ref="A508:C508"/>
    <mergeCell ref="A509:C509"/>
    <mergeCell ref="A510:A512"/>
    <mergeCell ref="B510:C510"/>
    <mergeCell ref="D510:F510"/>
    <mergeCell ref="B511:C511"/>
    <mergeCell ref="D511:F511"/>
    <mergeCell ref="B512:C512"/>
    <mergeCell ref="B523:F523"/>
    <mergeCell ref="E522:F522"/>
    <mergeCell ref="A515:F515"/>
    <mergeCell ref="A517:C517"/>
    <mergeCell ref="A518:C518"/>
    <mergeCell ref="A519:A521"/>
    <mergeCell ref="B519:C519"/>
    <mergeCell ref="D519:F519"/>
    <mergeCell ref="B520:C520"/>
    <mergeCell ref="D520:F520"/>
    <mergeCell ref="B521:C521"/>
    <mergeCell ref="B496:F496"/>
    <mergeCell ref="E495:F495"/>
    <mergeCell ref="A488:F488"/>
    <mergeCell ref="A490:C490"/>
    <mergeCell ref="A491:C491"/>
    <mergeCell ref="A492:A494"/>
    <mergeCell ref="B492:C492"/>
    <mergeCell ref="D492:F492"/>
    <mergeCell ref="B493:C493"/>
    <mergeCell ref="D493:F493"/>
    <mergeCell ref="B494:C494"/>
    <mergeCell ref="B505:F505"/>
    <mergeCell ref="E504:F504"/>
    <mergeCell ref="A497:F497"/>
    <mergeCell ref="A499:C499"/>
    <mergeCell ref="A500:C500"/>
    <mergeCell ref="A501:A503"/>
    <mergeCell ref="B501:C501"/>
    <mergeCell ref="D501:F501"/>
    <mergeCell ref="B502:C502"/>
    <mergeCell ref="D502:F502"/>
    <mergeCell ref="B503:C503"/>
    <mergeCell ref="B478:F478"/>
    <mergeCell ref="E477:F477"/>
    <mergeCell ref="A470:F470"/>
    <mergeCell ref="A472:C472"/>
    <mergeCell ref="A473:C473"/>
    <mergeCell ref="A474:A476"/>
    <mergeCell ref="B474:C474"/>
    <mergeCell ref="D474:F474"/>
    <mergeCell ref="B475:C475"/>
    <mergeCell ref="D475:F475"/>
    <mergeCell ref="B476:C476"/>
    <mergeCell ref="B487:F487"/>
    <mergeCell ref="E486:F486"/>
    <mergeCell ref="A479:F479"/>
    <mergeCell ref="A481:C481"/>
    <mergeCell ref="A482:C482"/>
    <mergeCell ref="A483:A485"/>
    <mergeCell ref="B483:C483"/>
    <mergeCell ref="D483:F483"/>
    <mergeCell ref="B484:C484"/>
    <mergeCell ref="D484:F484"/>
    <mergeCell ref="B485:C485"/>
    <mergeCell ref="B460:F460"/>
    <mergeCell ref="E459:F459"/>
    <mergeCell ref="A452:F452"/>
    <mergeCell ref="A454:C454"/>
    <mergeCell ref="A455:C455"/>
    <mergeCell ref="A456:A458"/>
    <mergeCell ref="B456:C456"/>
    <mergeCell ref="D456:F456"/>
    <mergeCell ref="B457:C457"/>
    <mergeCell ref="D457:F457"/>
    <mergeCell ref="B458:C458"/>
    <mergeCell ref="B469:F469"/>
    <mergeCell ref="E468:F468"/>
    <mergeCell ref="A461:F461"/>
    <mergeCell ref="A463:C463"/>
    <mergeCell ref="A464:C464"/>
    <mergeCell ref="A465:A467"/>
    <mergeCell ref="B465:C465"/>
    <mergeCell ref="D465:F465"/>
    <mergeCell ref="B466:C466"/>
    <mergeCell ref="D466:F466"/>
    <mergeCell ref="B467:C467"/>
    <mergeCell ref="B442:F442"/>
    <mergeCell ref="E441:F441"/>
    <mergeCell ref="A434:F434"/>
    <mergeCell ref="A436:C436"/>
    <mergeCell ref="A437:C437"/>
    <mergeCell ref="A438:A440"/>
    <mergeCell ref="B438:C438"/>
    <mergeCell ref="D438:F438"/>
    <mergeCell ref="B439:C439"/>
    <mergeCell ref="D439:F439"/>
    <mergeCell ref="B440:C440"/>
    <mergeCell ref="B451:F451"/>
    <mergeCell ref="E450:F450"/>
    <mergeCell ref="A443:F443"/>
    <mergeCell ref="A445:C445"/>
    <mergeCell ref="A446:C446"/>
    <mergeCell ref="A447:A449"/>
    <mergeCell ref="B447:C447"/>
    <mergeCell ref="D447:F447"/>
    <mergeCell ref="B448:C448"/>
    <mergeCell ref="D448:F448"/>
    <mergeCell ref="B449:C449"/>
    <mergeCell ref="B424:F424"/>
    <mergeCell ref="E423:F423"/>
    <mergeCell ref="A416:F416"/>
    <mergeCell ref="A418:C418"/>
    <mergeCell ref="A419:C419"/>
    <mergeCell ref="A420:A422"/>
    <mergeCell ref="B420:C420"/>
    <mergeCell ref="D420:F420"/>
    <mergeCell ref="B421:C421"/>
    <mergeCell ref="D421:F421"/>
    <mergeCell ref="B422:C422"/>
    <mergeCell ref="B433:F433"/>
    <mergeCell ref="E432:F432"/>
    <mergeCell ref="A425:F425"/>
    <mergeCell ref="A427:C427"/>
    <mergeCell ref="A428:C428"/>
    <mergeCell ref="A429:A431"/>
    <mergeCell ref="B429:C429"/>
    <mergeCell ref="D429:F429"/>
    <mergeCell ref="B430:C430"/>
    <mergeCell ref="D430:F430"/>
    <mergeCell ref="B431:C431"/>
    <mergeCell ref="B406:F406"/>
    <mergeCell ref="E405:F405"/>
    <mergeCell ref="A398:F398"/>
    <mergeCell ref="A400:C400"/>
    <mergeCell ref="A401:C401"/>
    <mergeCell ref="A402:A404"/>
    <mergeCell ref="B402:C402"/>
    <mergeCell ref="D402:F402"/>
    <mergeCell ref="B403:C403"/>
    <mergeCell ref="D403:F403"/>
    <mergeCell ref="B404:C404"/>
    <mergeCell ref="B415:F415"/>
    <mergeCell ref="E414:F414"/>
    <mergeCell ref="A407:F407"/>
    <mergeCell ref="A409:C409"/>
    <mergeCell ref="A410:C410"/>
    <mergeCell ref="A411:A413"/>
    <mergeCell ref="B411:C411"/>
    <mergeCell ref="D411:F411"/>
    <mergeCell ref="B412:C412"/>
    <mergeCell ref="D412:F412"/>
    <mergeCell ref="B413:C413"/>
    <mergeCell ref="B388:F388"/>
    <mergeCell ref="E387:F387"/>
    <mergeCell ref="A380:F380"/>
    <mergeCell ref="A382:C382"/>
    <mergeCell ref="A383:C383"/>
    <mergeCell ref="A384:A386"/>
    <mergeCell ref="B384:C384"/>
    <mergeCell ref="D384:F384"/>
    <mergeCell ref="B385:C385"/>
    <mergeCell ref="D385:F385"/>
    <mergeCell ref="B386:C386"/>
    <mergeCell ref="B397:F397"/>
    <mergeCell ref="E396:F396"/>
    <mergeCell ref="A389:F389"/>
    <mergeCell ref="A391:C391"/>
    <mergeCell ref="A392:C392"/>
    <mergeCell ref="A393:A395"/>
    <mergeCell ref="B393:C393"/>
    <mergeCell ref="D393:F393"/>
    <mergeCell ref="B394:C394"/>
    <mergeCell ref="D394:F394"/>
    <mergeCell ref="B395:C395"/>
    <mergeCell ref="B370:F370"/>
    <mergeCell ref="E369:F369"/>
    <mergeCell ref="A362:F362"/>
    <mergeCell ref="A364:C364"/>
    <mergeCell ref="A365:C365"/>
    <mergeCell ref="A366:A368"/>
    <mergeCell ref="B366:C366"/>
    <mergeCell ref="D366:F366"/>
    <mergeCell ref="B367:C367"/>
    <mergeCell ref="D367:F367"/>
    <mergeCell ref="B368:C368"/>
    <mergeCell ref="B379:F379"/>
    <mergeCell ref="E378:F378"/>
    <mergeCell ref="A371:F371"/>
    <mergeCell ref="A373:C373"/>
    <mergeCell ref="A374:C374"/>
    <mergeCell ref="A375:A377"/>
    <mergeCell ref="B375:C375"/>
    <mergeCell ref="D375:F375"/>
    <mergeCell ref="B376:C376"/>
    <mergeCell ref="D376:F376"/>
    <mergeCell ref="B377:C377"/>
    <mergeCell ref="B352:F352"/>
    <mergeCell ref="E351:F351"/>
    <mergeCell ref="A344:F344"/>
    <mergeCell ref="A346:C346"/>
    <mergeCell ref="A347:C347"/>
    <mergeCell ref="A348:A350"/>
    <mergeCell ref="B348:C348"/>
    <mergeCell ref="D348:F348"/>
    <mergeCell ref="B349:C349"/>
    <mergeCell ref="D349:F349"/>
    <mergeCell ref="B350:C350"/>
    <mergeCell ref="B361:F361"/>
    <mergeCell ref="E360:F360"/>
    <mergeCell ref="A353:F353"/>
    <mergeCell ref="A355:C355"/>
    <mergeCell ref="A356:C356"/>
    <mergeCell ref="A357:A359"/>
    <mergeCell ref="B357:C357"/>
    <mergeCell ref="D357:F357"/>
    <mergeCell ref="B358:C358"/>
    <mergeCell ref="D358:F358"/>
    <mergeCell ref="B359:C359"/>
    <mergeCell ref="B334:F334"/>
    <mergeCell ref="E333:F333"/>
    <mergeCell ref="A326:F326"/>
    <mergeCell ref="A328:C328"/>
    <mergeCell ref="A329:C329"/>
    <mergeCell ref="A330:A332"/>
    <mergeCell ref="B330:C330"/>
    <mergeCell ref="D330:F330"/>
    <mergeCell ref="B331:C331"/>
    <mergeCell ref="D331:F331"/>
    <mergeCell ref="B332:C332"/>
    <mergeCell ref="B343:F343"/>
    <mergeCell ref="E342:F342"/>
    <mergeCell ref="A335:F335"/>
    <mergeCell ref="A337:C337"/>
    <mergeCell ref="A338:C338"/>
    <mergeCell ref="A339:A341"/>
    <mergeCell ref="B339:C339"/>
    <mergeCell ref="D339:F339"/>
    <mergeCell ref="B340:C340"/>
    <mergeCell ref="D340:F340"/>
    <mergeCell ref="B341:C341"/>
    <mergeCell ref="B316:F316"/>
    <mergeCell ref="E315:F315"/>
    <mergeCell ref="A308:F308"/>
    <mergeCell ref="A310:C310"/>
    <mergeCell ref="A311:C311"/>
    <mergeCell ref="A312:A314"/>
    <mergeCell ref="B312:C312"/>
    <mergeCell ref="D312:F312"/>
    <mergeCell ref="B313:C313"/>
    <mergeCell ref="D313:F313"/>
    <mergeCell ref="B314:C314"/>
    <mergeCell ref="B325:F325"/>
    <mergeCell ref="E324:F324"/>
    <mergeCell ref="A317:F317"/>
    <mergeCell ref="A319:C319"/>
    <mergeCell ref="A320:C320"/>
    <mergeCell ref="A321:A323"/>
    <mergeCell ref="B321:C321"/>
    <mergeCell ref="D321:F321"/>
    <mergeCell ref="B322:C322"/>
    <mergeCell ref="D322:F322"/>
    <mergeCell ref="B323:C323"/>
    <mergeCell ref="B298:F298"/>
    <mergeCell ref="E297:F297"/>
    <mergeCell ref="A290:F290"/>
    <mergeCell ref="A292:C292"/>
    <mergeCell ref="A293:C293"/>
    <mergeCell ref="A294:A296"/>
    <mergeCell ref="B294:C294"/>
    <mergeCell ref="D294:F294"/>
    <mergeCell ref="B295:C295"/>
    <mergeCell ref="D295:F295"/>
    <mergeCell ref="B296:C296"/>
    <mergeCell ref="B307:F307"/>
    <mergeCell ref="E306:F306"/>
    <mergeCell ref="A299:F299"/>
    <mergeCell ref="A301:C301"/>
    <mergeCell ref="A302:C302"/>
    <mergeCell ref="A303:A305"/>
    <mergeCell ref="B303:C303"/>
    <mergeCell ref="D303:F303"/>
    <mergeCell ref="B304:C304"/>
    <mergeCell ref="D304:F304"/>
    <mergeCell ref="B305:C305"/>
    <mergeCell ref="B280:F280"/>
    <mergeCell ref="E279:F279"/>
    <mergeCell ref="A272:F272"/>
    <mergeCell ref="A274:C274"/>
    <mergeCell ref="A275:C275"/>
    <mergeCell ref="A276:A278"/>
    <mergeCell ref="B276:C276"/>
    <mergeCell ref="D276:F276"/>
    <mergeCell ref="B277:C277"/>
    <mergeCell ref="D277:F277"/>
    <mergeCell ref="B278:C278"/>
    <mergeCell ref="B289:F289"/>
    <mergeCell ref="E288:F288"/>
    <mergeCell ref="A281:F281"/>
    <mergeCell ref="A283:C283"/>
    <mergeCell ref="A284:C284"/>
    <mergeCell ref="A285:A287"/>
    <mergeCell ref="B285:C285"/>
    <mergeCell ref="D285:F285"/>
    <mergeCell ref="B286:C286"/>
    <mergeCell ref="D286:F286"/>
    <mergeCell ref="B287:C287"/>
    <mergeCell ref="B262:F262"/>
    <mergeCell ref="E261:F261"/>
    <mergeCell ref="A254:F254"/>
    <mergeCell ref="A256:C256"/>
    <mergeCell ref="A257:C257"/>
    <mergeCell ref="A258:A260"/>
    <mergeCell ref="B258:C258"/>
    <mergeCell ref="D258:F258"/>
    <mergeCell ref="B259:C259"/>
    <mergeCell ref="D259:F259"/>
    <mergeCell ref="B260:C260"/>
    <mergeCell ref="B271:F271"/>
    <mergeCell ref="E270:F270"/>
    <mergeCell ref="A263:F263"/>
    <mergeCell ref="A265:C265"/>
    <mergeCell ref="A266:C266"/>
    <mergeCell ref="A267:A269"/>
    <mergeCell ref="B267:C267"/>
    <mergeCell ref="D267:F267"/>
    <mergeCell ref="B268:C268"/>
    <mergeCell ref="D268:F268"/>
    <mergeCell ref="B269:C269"/>
    <mergeCell ref="B244:F244"/>
    <mergeCell ref="E243:F243"/>
    <mergeCell ref="A236:F236"/>
    <mergeCell ref="A238:C238"/>
    <mergeCell ref="A239:C239"/>
    <mergeCell ref="A240:A242"/>
    <mergeCell ref="B240:C240"/>
    <mergeCell ref="D240:F240"/>
    <mergeCell ref="B241:C241"/>
    <mergeCell ref="D241:F241"/>
    <mergeCell ref="B242:C242"/>
    <mergeCell ref="B253:F253"/>
    <mergeCell ref="E252:F252"/>
    <mergeCell ref="A245:F245"/>
    <mergeCell ref="A247:C247"/>
    <mergeCell ref="A248:C248"/>
    <mergeCell ref="A249:A251"/>
    <mergeCell ref="B249:C249"/>
    <mergeCell ref="D249:F249"/>
    <mergeCell ref="B250:C250"/>
    <mergeCell ref="D250:F250"/>
    <mergeCell ref="B251:C251"/>
    <mergeCell ref="B226:F226"/>
    <mergeCell ref="E225:F225"/>
    <mergeCell ref="A218:F218"/>
    <mergeCell ref="A220:C220"/>
    <mergeCell ref="A221:C221"/>
    <mergeCell ref="A222:A224"/>
    <mergeCell ref="B222:C222"/>
    <mergeCell ref="D222:F222"/>
    <mergeCell ref="B223:C223"/>
    <mergeCell ref="D223:F223"/>
    <mergeCell ref="B224:C224"/>
    <mergeCell ref="B235:F235"/>
    <mergeCell ref="E234:F234"/>
    <mergeCell ref="A227:F227"/>
    <mergeCell ref="A229:C229"/>
    <mergeCell ref="A230:C230"/>
    <mergeCell ref="A231:A233"/>
    <mergeCell ref="B231:C231"/>
    <mergeCell ref="D231:F231"/>
    <mergeCell ref="B232:C232"/>
    <mergeCell ref="D232:F232"/>
    <mergeCell ref="B233:C233"/>
    <mergeCell ref="B208:F208"/>
    <mergeCell ref="E207:F207"/>
    <mergeCell ref="A200:F200"/>
    <mergeCell ref="A202:C202"/>
    <mergeCell ref="A203:C203"/>
    <mergeCell ref="A204:A206"/>
    <mergeCell ref="B204:C204"/>
    <mergeCell ref="D204:F204"/>
    <mergeCell ref="B205:C205"/>
    <mergeCell ref="D205:F205"/>
    <mergeCell ref="B206:C206"/>
    <mergeCell ref="B217:F217"/>
    <mergeCell ref="E216:F216"/>
    <mergeCell ref="A209:F209"/>
    <mergeCell ref="A211:C211"/>
    <mergeCell ref="A212:C212"/>
    <mergeCell ref="A213:A215"/>
    <mergeCell ref="B213:C213"/>
    <mergeCell ref="D213:F213"/>
    <mergeCell ref="B214:C214"/>
    <mergeCell ref="D214:F214"/>
    <mergeCell ref="B215:C215"/>
    <mergeCell ref="B190:F190"/>
    <mergeCell ref="E189:F189"/>
    <mergeCell ref="A182:F182"/>
    <mergeCell ref="A184:C184"/>
    <mergeCell ref="A185:C185"/>
    <mergeCell ref="A186:A188"/>
    <mergeCell ref="B186:C186"/>
    <mergeCell ref="D186:F186"/>
    <mergeCell ref="B187:C187"/>
    <mergeCell ref="D187:F187"/>
    <mergeCell ref="B188:C188"/>
    <mergeCell ref="B199:F199"/>
    <mergeCell ref="E198:F198"/>
    <mergeCell ref="A191:F191"/>
    <mergeCell ref="A193:C193"/>
    <mergeCell ref="A194:C194"/>
    <mergeCell ref="A195:A197"/>
    <mergeCell ref="B195:C195"/>
    <mergeCell ref="D195:F195"/>
    <mergeCell ref="B196:C196"/>
    <mergeCell ref="D196:F196"/>
    <mergeCell ref="B197:C197"/>
    <mergeCell ref="B172:F172"/>
    <mergeCell ref="E171:F171"/>
    <mergeCell ref="A164:F164"/>
    <mergeCell ref="A166:C166"/>
    <mergeCell ref="A167:C167"/>
    <mergeCell ref="A168:A170"/>
    <mergeCell ref="B168:C168"/>
    <mergeCell ref="D168:F168"/>
    <mergeCell ref="B169:C169"/>
    <mergeCell ref="D169:F169"/>
    <mergeCell ref="B170:C170"/>
    <mergeCell ref="B181:F181"/>
    <mergeCell ref="E180:F180"/>
    <mergeCell ref="A173:F173"/>
    <mergeCell ref="A175:C175"/>
    <mergeCell ref="A176:C176"/>
    <mergeCell ref="A177:A179"/>
    <mergeCell ref="B177:C177"/>
    <mergeCell ref="D177:F177"/>
    <mergeCell ref="B178:C178"/>
    <mergeCell ref="D178:F178"/>
    <mergeCell ref="B179:C179"/>
    <mergeCell ref="B154:F154"/>
    <mergeCell ref="E153:F153"/>
    <mergeCell ref="A146:F146"/>
    <mergeCell ref="A148:C148"/>
    <mergeCell ref="A149:C149"/>
    <mergeCell ref="A150:A152"/>
    <mergeCell ref="B150:C150"/>
    <mergeCell ref="D150:F150"/>
    <mergeCell ref="B151:C151"/>
    <mergeCell ref="D151:F151"/>
    <mergeCell ref="B152:C152"/>
    <mergeCell ref="B163:F163"/>
    <mergeCell ref="E162:F162"/>
    <mergeCell ref="A155:F155"/>
    <mergeCell ref="A157:C157"/>
    <mergeCell ref="A158:C158"/>
    <mergeCell ref="A159:A161"/>
    <mergeCell ref="B159:C159"/>
    <mergeCell ref="D159:F159"/>
    <mergeCell ref="B160:C160"/>
    <mergeCell ref="D160:F160"/>
    <mergeCell ref="B161:C161"/>
    <mergeCell ref="B136:F136"/>
    <mergeCell ref="E135:F135"/>
    <mergeCell ref="A128:F128"/>
    <mergeCell ref="A130:C130"/>
    <mergeCell ref="A131:C131"/>
    <mergeCell ref="A132:A134"/>
    <mergeCell ref="B132:C132"/>
    <mergeCell ref="D132:F132"/>
    <mergeCell ref="B133:C133"/>
    <mergeCell ref="D133:F133"/>
    <mergeCell ref="B134:C134"/>
    <mergeCell ref="B145:F145"/>
    <mergeCell ref="E144:F144"/>
    <mergeCell ref="A137:F137"/>
    <mergeCell ref="A139:C139"/>
    <mergeCell ref="A140:C140"/>
    <mergeCell ref="A141:A143"/>
    <mergeCell ref="B141:C141"/>
    <mergeCell ref="D141:F141"/>
    <mergeCell ref="B142:C142"/>
    <mergeCell ref="D142:F142"/>
    <mergeCell ref="B143:C143"/>
    <mergeCell ref="B118:F118"/>
    <mergeCell ref="E117:F117"/>
    <mergeCell ref="A110:F110"/>
    <mergeCell ref="A112:C112"/>
    <mergeCell ref="A113:C113"/>
    <mergeCell ref="A114:A116"/>
    <mergeCell ref="B114:C114"/>
    <mergeCell ref="D114:F114"/>
    <mergeCell ref="B115:C115"/>
    <mergeCell ref="D115:F115"/>
    <mergeCell ref="B116:C116"/>
    <mergeCell ref="B127:F127"/>
    <mergeCell ref="E126:F126"/>
    <mergeCell ref="A119:F119"/>
    <mergeCell ref="A121:C121"/>
    <mergeCell ref="A122:C122"/>
    <mergeCell ref="A123:A125"/>
    <mergeCell ref="B123:C123"/>
    <mergeCell ref="D123:F123"/>
    <mergeCell ref="B124:C124"/>
    <mergeCell ref="D124:F124"/>
    <mergeCell ref="B125:C125"/>
    <mergeCell ref="B100:F100"/>
    <mergeCell ref="E99:F99"/>
    <mergeCell ref="A92:F92"/>
    <mergeCell ref="A94:C94"/>
    <mergeCell ref="A95:C95"/>
    <mergeCell ref="A96:A98"/>
    <mergeCell ref="B96:C96"/>
    <mergeCell ref="D96:F96"/>
    <mergeCell ref="B97:C97"/>
    <mergeCell ref="D97:F97"/>
    <mergeCell ref="B98:C98"/>
    <mergeCell ref="B109:F109"/>
    <mergeCell ref="E108:F108"/>
    <mergeCell ref="A101:F101"/>
    <mergeCell ref="A103:C103"/>
    <mergeCell ref="A104:C104"/>
    <mergeCell ref="A105:A107"/>
    <mergeCell ref="B105:C105"/>
    <mergeCell ref="D105:F105"/>
    <mergeCell ref="B106:C106"/>
    <mergeCell ref="D106:F106"/>
    <mergeCell ref="B107:C107"/>
    <mergeCell ref="B82:F82"/>
    <mergeCell ref="E81:F81"/>
    <mergeCell ref="A74:F74"/>
    <mergeCell ref="A76:C76"/>
    <mergeCell ref="A77:C77"/>
    <mergeCell ref="A78:A80"/>
    <mergeCell ref="B78:C78"/>
    <mergeCell ref="D78:F78"/>
    <mergeCell ref="B79:C79"/>
    <mergeCell ref="D79:F79"/>
    <mergeCell ref="B80:C80"/>
    <mergeCell ref="B91:F91"/>
    <mergeCell ref="E90:F90"/>
    <mergeCell ref="A83:F83"/>
    <mergeCell ref="A85:C85"/>
    <mergeCell ref="A86:C86"/>
    <mergeCell ref="A87:A89"/>
    <mergeCell ref="B87:C87"/>
    <mergeCell ref="D87:F87"/>
    <mergeCell ref="B88:C88"/>
    <mergeCell ref="D88:F88"/>
    <mergeCell ref="B89:C89"/>
    <mergeCell ref="B64:F64"/>
    <mergeCell ref="E63:F63"/>
    <mergeCell ref="A56:F56"/>
    <mergeCell ref="A58:C58"/>
    <mergeCell ref="A59:C59"/>
    <mergeCell ref="A60:A62"/>
    <mergeCell ref="B60:C60"/>
    <mergeCell ref="D60:F60"/>
    <mergeCell ref="B61:C61"/>
    <mergeCell ref="D61:F61"/>
    <mergeCell ref="B62:C62"/>
    <mergeCell ref="B73:F73"/>
    <mergeCell ref="E72:F72"/>
    <mergeCell ref="A65:F65"/>
    <mergeCell ref="A67:C67"/>
    <mergeCell ref="A68:C68"/>
    <mergeCell ref="A69:A71"/>
    <mergeCell ref="B69:C69"/>
    <mergeCell ref="D69:F69"/>
    <mergeCell ref="B70:C70"/>
    <mergeCell ref="D70:F70"/>
    <mergeCell ref="B71:C71"/>
    <mergeCell ref="B46:F46"/>
    <mergeCell ref="E45:F45"/>
    <mergeCell ref="A38:F38"/>
    <mergeCell ref="A40:C40"/>
    <mergeCell ref="A41:C41"/>
    <mergeCell ref="A42:A44"/>
    <mergeCell ref="B42:C42"/>
    <mergeCell ref="D42:F42"/>
    <mergeCell ref="B43:C43"/>
    <mergeCell ref="D43:F43"/>
    <mergeCell ref="B44:C44"/>
    <mergeCell ref="B55:F55"/>
    <mergeCell ref="E54:F54"/>
    <mergeCell ref="A47:F47"/>
    <mergeCell ref="A49:C49"/>
    <mergeCell ref="A50:C50"/>
    <mergeCell ref="A51:A53"/>
    <mergeCell ref="B51:C51"/>
    <mergeCell ref="D51:F51"/>
    <mergeCell ref="B52:C52"/>
    <mergeCell ref="D52:F52"/>
    <mergeCell ref="B53:C53"/>
    <mergeCell ref="B28:F28"/>
    <mergeCell ref="E27:F27"/>
    <mergeCell ref="A20:F20"/>
    <mergeCell ref="A22:C22"/>
    <mergeCell ref="A23:C23"/>
    <mergeCell ref="A24:A26"/>
    <mergeCell ref="B24:C24"/>
    <mergeCell ref="D24:F24"/>
    <mergeCell ref="B25:C25"/>
    <mergeCell ref="D25:F25"/>
    <mergeCell ref="B26:C26"/>
    <mergeCell ref="B37:F37"/>
    <mergeCell ref="E36:F36"/>
    <mergeCell ref="A29:F29"/>
    <mergeCell ref="A31:C31"/>
    <mergeCell ref="A32:C32"/>
    <mergeCell ref="A33:A35"/>
    <mergeCell ref="B33:C33"/>
    <mergeCell ref="D33:F33"/>
    <mergeCell ref="B34:C34"/>
    <mergeCell ref="D34:F34"/>
    <mergeCell ref="B35:C35"/>
    <mergeCell ref="B10:F10"/>
    <mergeCell ref="A1:F1"/>
    <mergeCell ref="E9:F9"/>
    <mergeCell ref="A2:F2"/>
    <mergeCell ref="A4:C4"/>
    <mergeCell ref="A5:C5"/>
    <mergeCell ref="A6:A8"/>
    <mergeCell ref="B6:C6"/>
    <mergeCell ref="D6:F6"/>
    <mergeCell ref="B7:C7"/>
    <mergeCell ref="D7:F7"/>
    <mergeCell ref="B8:C8"/>
    <mergeCell ref="B19:F19"/>
    <mergeCell ref="E18:F18"/>
    <mergeCell ref="A11:F11"/>
    <mergeCell ref="A13:C13"/>
    <mergeCell ref="A14:C14"/>
    <mergeCell ref="A15:A17"/>
    <mergeCell ref="B15:C15"/>
    <mergeCell ref="D15:F15"/>
    <mergeCell ref="B16:C16"/>
    <mergeCell ref="D16:F16"/>
    <mergeCell ref="B17:C17"/>
  </mergeCells>
  <phoneticPr fontId="27" type="noConversion"/>
  <printOptions horizontalCentered="1"/>
  <pageMargins left="0.78736108541488647" right="0.78736108541488647" top="0.98416668176651001" bottom="0.7086111307144165" header="0.51180553436279297" footer="0.51180553436279297"/>
  <pageSetup paperSize="9" fitToHeight="0" orientation="landscape" r:id="rId1"/>
  <headerFooter>
    <oddFooter>&amp;C&amp;"맑은 고딕,Regular"&amp;P</oddFooter>
  </headerFooter>
  <rowBreaks count="100" manualBreakCount="100">
    <brk id="1" max="1048575" man="1"/>
    <brk id="10" max="1048575" man="1"/>
    <brk id="19" max="1048575" man="1"/>
    <brk id="28" max="1048575" man="1"/>
    <brk id="46" max="1048575" man="1"/>
    <brk id="55" max="1048575" man="1"/>
    <brk id="73" max="1048575" man="1"/>
    <brk id="91" max="1048575" man="1"/>
    <brk id="109" max="1048575" man="1"/>
    <brk id="127" max="1048575" man="1"/>
    <brk id="145" max="1048575" man="1"/>
    <brk id="163" max="1048575" man="1"/>
    <brk id="181" max="1048575" man="1"/>
    <brk id="199" max="1048575" man="1"/>
    <brk id="217" max="1048575" man="1"/>
    <brk id="235" max="1048575" man="1"/>
    <brk id="253" max="1048575" man="1"/>
    <brk id="271" max="1048575" man="1"/>
    <brk id="289" max="1048575" man="1"/>
    <brk id="307" max="1048575" man="1"/>
    <brk id="325" max="1048575" man="1"/>
    <brk id="343" max="1048575" man="1"/>
    <brk id="361" max="1048575" man="1"/>
    <brk id="379" max="1048575" man="1"/>
    <brk id="397" max="1048575" man="1"/>
    <brk id="415" max="1048575" man="1"/>
    <brk id="433" max="1048575" man="1"/>
    <brk id="451" max="1048575" man="1"/>
    <brk id="469" max="1048575" man="1"/>
    <brk id="487" max="1048575" man="1"/>
    <brk id="505" max="1048575" man="1"/>
    <brk id="523" max="1048575" man="1"/>
    <brk id="541" max="1048575" man="1"/>
    <brk id="559" max="1048575" man="1"/>
    <brk id="577" max="1048575" man="1"/>
    <brk id="595" max="1048575" man="1"/>
    <brk id="613" max="1048575" man="1"/>
    <brk id="631" max="1048575" man="1"/>
    <brk id="649" max="1048575" man="1"/>
    <brk id="667" max="1048575" man="1"/>
    <brk id="685" max="1048575" man="1"/>
    <brk id="703" max="1048575" man="1"/>
    <brk id="721" max="1048575" man="1"/>
    <brk id="739" max="1048575" man="1"/>
    <brk id="757" max="1048575" man="1"/>
    <brk id="775" max="1048575" man="1"/>
    <brk id="793" max="1048575" man="1"/>
    <brk id="811" max="1048575" man="1"/>
    <brk id="829" max="1048575" man="1"/>
    <brk id="847" max="1048575" man="1"/>
    <brk id="865" max="1048575" man="1"/>
    <brk id="883" max="1048575" man="1"/>
    <brk id="901" max="1048575" man="1"/>
    <brk id="919" max="1048575" man="1"/>
    <brk id="937" max="1048575" man="1"/>
    <brk id="955" max="1048575" man="1"/>
    <brk id="973" max="1048575" man="1"/>
    <brk id="991" max="1048575" man="1"/>
    <brk id="1009" max="1048575" man="1"/>
    <brk id="1027" max="1048575" man="1"/>
    <brk id="1045" max="1048575" man="1"/>
    <brk id="1063" max="1048575" man="1"/>
    <brk id="1081" max="1048575" man="1"/>
    <brk id="1099" max="1048575" man="1"/>
    <brk id="1117" max="1048575" man="1"/>
    <brk id="1135" max="1048575" man="1"/>
    <brk id="1153" max="1048575" man="1"/>
    <brk id="1171" max="1048575" man="1"/>
    <brk id="1189" max="1048575" man="1"/>
    <brk id="1207" max="1048575" man="1"/>
    <brk id="1225" max="1048575" man="1"/>
    <brk id="1243" max="1048575" man="1"/>
    <brk id="1261" max="1048575" man="1"/>
    <brk id="1279" max="1048575" man="1"/>
    <brk id="1297" max="1048575" man="1"/>
    <brk id="1315" max="1048575" man="1"/>
    <brk id="1333" max="1048575" man="1"/>
    <brk id="1351" max="1048575" man="1"/>
    <brk id="1369" max="1048575" man="1"/>
    <brk id="1387" max="1048575" man="1"/>
    <brk id="1405" max="1048575" man="1"/>
    <brk id="1423" max="1048575" man="1"/>
    <brk id="1441" max="1048575" man="1"/>
    <brk id="1459" max="1048575" man="1"/>
    <brk id="1477" max="1048575" man="1"/>
    <brk id="1495" max="1048575" man="1"/>
    <brk id="1513" max="1048575" man="1"/>
    <brk id="1531" max="1048575" man="1"/>
    <brk id="1549" max="1048575" man="1"/>
    <brk id="1567" max="1048575" man="1"/>
    <brk id="1585" max="1048575" man="1"/>
    <brk id="1603" max="1048575" man="1"/>
    <brk id="1621" max="1048575" man="1"/>
    <brk id="1639" max="1048575" man="1"/>
    <brk id="1657" max="1048575" man="1"/>
    <brk id="1675" max="1048575" man="1"/>
    <brk id="1693" max="1048575" man="1"/>
    <brk id="1711" max="1048575" man="1"/>
    <brk id="1729" max="1048575" man="1"/>
    <brk id="1747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이름이 지정된 범위</vt:lpstr>
      </vt:variant>
      <vt:variant>
        <vt:i4>18</vt:i4>
      </vt:variant>
    </vt:vector>
  </HeadingPairs>
  <TitlesOfParts>
    <vt:vector size="32" baseType="lpstr">
      <vt:lpstr>표지</vt:lpstr>
      <vt:lpstr>목차</vt:lpstr>
      <vt:lpstr>목록작성기준</vt:lpstr>
      <vt:lpstr>목록총괄표</vt:lpstr>
      <vt:lpstr>담보권총괄표</vt:lpstr>
      <vt:lpstr>담보배분표</vt:lpstr>
      <vt:lpstr>담보권자의 목록</vt:lpstr>
      <vt:lpstr>회생채권자요약</vt:lpstr>
      <vt:lpstr>회생채권총괄</vt:lpstr>
      <vt:lpstr>회생채권개별</vt:lpstr>
      <vt:lpstr>조세총괄</vt:lpstr>
      <vt:lpstr>조세목록</vt:lpstr>
      <vt:lpstr>주주총괄</vt:lpstr>
      <vt:lpstr>주주목록</vt:lpstr>
      <vt:lpstr>'담보권자의 목록'!Print_Area</vt:lpstr>
      <vt:lpstr>담보권총괄표!Print_Area</vt:lpstr>
      <vt:lpstr>담보배분표!Print_Area</vt:lpstr>
      <vt:lpstr>목록작성기준!Print_Area</vt:lpstr>
      <vt:lpstr>목록총괄표!Print_Area</vt:lpstr>
      <vt:lpstr>목차!Print_Area</vt:lpstr>
      <vt:lpstr>조세목록!Print_Area</vt:lpstr>
      <vt:lpstr>조세총괄!Print_Area</vt:lpstr>
      <vt:lpstr>주주목록!Print_Area</vt:lpstr>
      <vt:lpstr>주주총괄!Print_Area</vt:lpstr>
      <vt:lpstr>표지!Print_Area</vt:lpstr>
      <vt:lpstr>회생채권개별!Print_Area</vt:lpstr>
      <vt:lpstr>회생채권총괄!Print_Area</vt:lpstr>
      <vt:lpstr>'담보권자의 목록'!Print_Titles</vt:lpstr>
      <vt:lpstr>담보권총괄표!Print_Titles</vt:lpstr>
      <vt:lpstr>조세총괄!Print_Titles</vt:lpstr>
      <vt:lpstr>주주총괄!Print_Titles</vt:lpstr>
      <vt:lpstr>회생채권총괄!Print_Titles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</dc:creator>
  <cp:lastModifiedBy>user</cp:lastModifiedBy>
  <cp:revision>48</cp:revision>
  <cp:lastPrinted>2024-08-09T07:24:36Z</cp:lastPrinted>
  <dcterms:created xsi:type="dcterms:W3CDTF">2004-10-03T01:28:14Z</dcterms:created>
  <dcterms:modified xsi:type="dcterms:W3CDTF">2024-10-16T01:28:12Z</dcterms:modified>
  <cp:version>1100.0100.01</cp:version>
</cp:coreProperties>
</file>