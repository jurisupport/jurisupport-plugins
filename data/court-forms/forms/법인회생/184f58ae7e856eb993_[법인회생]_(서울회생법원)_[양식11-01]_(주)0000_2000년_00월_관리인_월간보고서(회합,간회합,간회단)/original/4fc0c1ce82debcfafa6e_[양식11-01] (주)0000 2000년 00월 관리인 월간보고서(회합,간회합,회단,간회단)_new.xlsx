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24226"/>
  <mc:AlternateContent xmlns:mc="http://schemas.openxmlformats.org/markup-compatibility/2006">
    <mc:Choice Requires="x15">
      <x15ac:absPath xmlns:x15ac="http://schemas.microsoft.com/office/spreadsheetml/2010/11/ac" url="C:\Users\Administrator\Desktop\문서함\양식집 재정비(2024. 10)_판사님 Review후\"/>
    </mc:Choice>
  </mc:AlternateContent>
  <bookViews>
    <workbookView xWindow="13470" yWindow="45" windowWidth="15465" windowHeight="13050" tabRatio="837" activeTab="6"/>
  </bookViews>
  <sheets>
    <sheet name="표지" sheetId="1" r:id="rId1"/>
    <sheet name="목차" sheetId="2" r:id="rId2"/>
    <sheet name="1. 매출실적과 입금실적(전체)" sheetId="3" r:id="rId3"/>
    <sheet name="2-1.자금수지표(총괄)" sheetId="4" r:id="rId4"/>
    <sheet name="2-2.자금수지 실적 명세표" sheetId="5" r:id="rId5"/>
    <sheet name="3,4 어음수표 및 주요 업무사항" sheetId="6" r:id="rId6"/>
    <sheet name="5.허가사항 내역" sheetId="7" r:id="rId7"/>
    <sheet name="7.공익채권" sheetId="8" r:id="rId8"/>
    <sheet name="8.시재현황" sheetId="9" r:id="rId9"/>
    <sheet name="기업외화" sheetId="23" state="hidden" r:id="rId10"/>
    <sheet name="Sheet1" sheetId="10" state="hidden" r:id="rId11"/>
    <sheet name="Sheet2" sheetId="32" state="hidden" r:id="rId12"/>
    <sheet name="농협(5353-83)" sheetId="38" r:id="rId13"/>
    <sheet name="농협(5360-63)" sheetId="42" r:id="rId14"/>
    <sheet name="농협(8661-53)" sheetId="41" r:id="rId15"/>
    <sheet name="신한(609835)" sheetId="45" r:id="rId16"/>
    <sheet name="국민(006781)" sheetId="44" r:id="rId17"/>
    <sheet name="하나(13904)" sheetId="43" r:id="rId18"/>
    <sheet name="기업(04-018)" sheetId="46" r:id="rId19"/>
    <sheet name="기업(94-001)" sheetId="47" r:id="rId20"/>
    <sheet name="4대보험" sheetId="60" r:id="rId21"/>
    <sheet name="계정과목" sheetId="33" r:id="rId22"/>
  </sheets>
  <definedNames>
    <definedName name="_xlnm._FilterDatabase" localSheetId="5" hidden="1">'3,4 어음수표 및 주요 업무사항'!$A$55:$AN$84</definedName>
    <definedName name="_xlnm._FilterDatabase" localSheetId="6" hidden="1">'5.허가사항 내역'!$A$120:$AN$166</definedName>
    <definedName name="_xlnm._FilterDatabase" localSheetId="0" hidden="1">표지!$H$1:$I$10</definedName>
    <definedName name="_xlnm.Print_Area" localSheetId="2">'1. 매출실적과 입금실적(전체)'!$B$1:$M$25</definedName>
    <definedName name="_xlnm.Print_Area" localSheetId="3">'2-1.자금수지표(총괄)'!$A$1:$J$26</definedName>
    <definedName name="_xlnm.Print_Area" localSheetId="4">'2-2.자금수지 실적 명세표'!$A$1:$E$56</definedName>
    <definedName name="_xlnm.Print_Area" localSheetId="5">'3,4 어음수표 및 주요 업무사항'!$A$1:$H$84</definedName>
    <definedName name="_xlnm.Print_Area" localSheetId="6">'5.허가사항 내역'!$A$1:$G$166</definedName>
    <definedName name="_xlnm.Print_Area" localSheetId="7">'7.공익채권'!$A$1:$J$21</definedName>
    <definedName name="_xlnm.Print_Area" localSheetId="8">'8.시재현황'!$A$1:$G$19</definedName>
    <definedName name="_xlnm.Print_Area" localSheetId="1">목차!$A$1:$B$26</definedName>
    <definedName name="_xlnm.Print_Area" localSheetId="0">표지!$A$1:$J$11</definedName>
    <definedName name="_xlnm.Print_Titles" localSheetId="6">'5.허가사항 내역'!$118:$118</definedName>
    <definedName name="기업기업">'2-1.자금수지표(총괄)'!#REF!</definedName>
    <definedName name="기업은행">'2-1.자금수지표(총괄)'!#REF!</definedName>
    <definedName name="입금실적" localSheetId="6">'5.허가사항 내역'!#REF!</definedName>
    <definedName name="입금실적" localSheetId="16">'3,4 어음수표 및 주요 업무사항'!#REF!</definedName>
    <definedName name="입금실적" localSheetId="18">'3,4 어음수표 및 주요 업무사항'!#REF!</definedName>
    <definedName name="입금실적" localSheetId="19">'3,4 어음수표 및 주요 업무사항'!#REF!</definedName>
    <definedName name="입금실적" localSheetId="15">'3,4 어음수표 및 주요 업무사항'!#REF!</definedName>
    <definedName name="입금실적">'3,4 어음수표 및 주요 업무사항'!#REF!</definedName>
    <definedName name="통장" localSheetId="6">'2-1.자금수지표(총괄)'!#REF!</definedName>
    <definedName name="통장" localSheetId="16">'2-1.자금수지표(총괄)'!#REF!</definedName>
    <definedName name="통장" localSheetId="18">'2-1.자금수지표(총괄)'!#REF!</definedName>
    <definedName name="통장" localSheetId="19">'2-1.자금수지표(총괄)'!#REF!</definedName>
    <definedName name="통장" localSheetId="15">'2-1.자금수지표(총괄)'!#REF!</definedName>
    <definedName name="통장">'2-1.자금수지표(총괄)'!#REF!</definedName>
    <definedName name="허가사항내역" localSheetId="16">'2-1.자금수지표(총괄)'!#REF!</definedName>
    <definedName name="허가사항내역" localSheetId="18">'2-1.자금수지표(총괄)'!#REF!</definedName>
    <definedName name="허가사항내역" localSheetId="19">'2-1.자금수지표(총괄)'!#REF!</definedName>
    <definedName name="허가사항내역" localSheetId="15">'2-1.자금수지표(총괄)'!#REF!</definedName>
    <definedName name="허가사항내역">'2-1.자금수지표(총괄)'!#REF!</definedName>
    <definedName name="현금" localSheetId="6">'2-1.자금수지표(총괄)'!#REF!</definedName>
    <definedName name="현금" localSheetId="16">'2-1.자금수지표(총괄)'!#REF!</definedName>
    <definedName name="현금" localSheetId="18">'2-1.자금수지표(총괄)'!#REF!</definedName>
    <definedName name="현금" localSheetId="19">'2-1.자금수지표(총괄)'!#REF!</definedName>
    <definedName name="현금" localSheetId="15">'2-1.자금수지표(총괄)'!#REF!</definedName>
    <definedName name="현금">'2-1.자금수지표(총괄)'!#REF!</definedName>
  </definedNames>
  <calcPr calcId="162913"/>
  <pivotCaches>
    <pivotCache cacheId="0" r:id="rId23"/>
  </pivotCaches>
</workbook>
</file>

<file path=xl/calcChain.xml><?xml version="1.0" encoding="utf-8"?>
<calcChain xmlns="http://schemas.openxmlformats.org/spreadsheetml/2006/main">
  <c r="H23" i="4" l="1"/>
  <c r="H19" i="4"/>
  <c r="H15" i="4"/>
  <c r="H11" i="4"/>
  <c r="E166" i="7" l="1"/>
  <c r="E98" i="7"/>
  <c r="H120" i="7" l="1"/>
  <c r="H77" i="7"/>
  <c r="J22" i="3" l="1"/>
  <c r="J21" i="3"/>
  <c r="J20" i="3"/>
  <c r="J18" i="3"/>
  <c r="J17" i="3"/>
  <c r="J16" i="3"/>
  <c r="J14" i="3"/>
  <c r="J13" i="3"/>
  <c r="J12" i="3"/>
  <c r="J10" i="3"/>
  <c r="J9" i="3"/>
  <c r="E22" i="3"/>
  <c r="E21" i="3"/>
  <c r="E20" i="3"/>
  <c r="E18" i="3"/>
  <c r="E17" i="3"/>
  <c r="E16" i="3"/>
  <c r="E14" i="3"/>
  <c r="E13" i="3"/>
  <c r="E12" i="3"/>
  <c r="E10" i="3"/>
  <c r="E9" i="3"/>
  <c r="C7" i="60" l="1"/>
  <c r="E6" i="60"/>
  <c r="C6" i="60" s="1"/>
  <c r="D6" i="60" s="1"/>
  <c r="E5" i="60"/>
  <c r="D5" i="60"/>
  <c r="C5" i="60"/>
  <c r="D4" i="60"/>
  <c r="B4" i="60"/>
  <c r="B8" i="60" s="1"/>
  <c r="E3" i="60"/>
  <c r="D3" i="60"/>
  <c r="C3" i="60"/>
  <c r="E2" i="60"/>
  <c r="D2" i="60"/>
  <c r="C2" i="60"/>
  <c r="C4" i="60" s="1"/>
  <c r="C8" i="60" l="1"/>
  <c r="D8" i="60"/>
  <c r="E82" i="6" l="1"/>
  <c r="C9" i="5" s="1"/>
  <c r="D9" i="5" s="1"/>
  <c r="C49" i="5"/>
  <c r="D49" i="5" s="1"/>
  <c r="C50" i="5"/>
  <c r="D50" i="5" s="1"/>
  <c r="C51" i="5"/>
  <c r="D51" i="5" s="1"/>
  <c r="C52" i="5"/>
  <c r="D52" i="5" s="1"/>
  <c r="C33" i="5"/>
  <c r="D33" i="5" s="1"/>
  <c r="C34" i="5"/>
  <c r="D34" i="5" s="1"/>
  <c r="C35" i="5"/>
  <c r="C36" i="5"/>
  <c r="D36" i="5" s="1"/>
  <c r="C37" i="5"/>
  <c r="D37" i="5" s="1"/>
  <c r="C38" i="5"/>
  <c r="D38" i="5" s="1"/>
  <c r="C39" i="5"/>
  <c r="D39" i="5" s="1"/>
  <c r="C41" i="5"/>
  <c r="D41" i="5" s="1"/>
  <c r="C42" i="5"/>
  <c r="C44" i="5"/>
  <c r="D44" i="5" s="1"/>
  <c r="C45" i="5"/>
  <c r="D45" i="5" s="1"/>
  <c r="C46" i="5"/>
  <c r="D46" i="5" s="1"/>
  <c r="C47" i="5"/>
  <c r="D47" i="5" s="1"/>
  <c r="C17" i="5"/>
  <c r="C18" i="5"/>
  <c r="D18" i="5" s="1"/>
  <c r="C19" i="5"/>
  <c r="D19" i="5" s="1"/>
  <c r="C20" i="5"/>
  <c r="D20" i="5" s="1"/>
  <c r="C21" i="5"/>
  <c r="C22" i="5"/>
  <c r="D22" i="5" s="1"/>
  <c r="C23" i="5"/>
  <c r="C25" i="5"/>
  <c r="D25" i="5" s="1"/>
  <c r="C26" i="5"/>
  <c r="D26" i="5" s="1"/>
  <c r="C27" i="5"/>
  <c r="D27" i="5" s="1"/>
  <c r="C28" i="5"/>
  <c r="C29" i="5"/>
  <c r="D29" i="5" s="1"/>
  <c r="C30" i="5"/>
  <c r="C31" i="5"/>
  <c r="C32" i="5"/>
  <c r="D32" i="5" s="1"/>
  <c r="C16" i="5"/>
  <c r="D16" i="5" s="1"/>
  <c r="C15" i="5"/>
  <c r="C14" i="5"/>
  <c r="C40" i="5"/>
  <c r="C48" i="5"/>
  <c r="D48" i="5" s="1"/>
  <c r="D74" i="7"/>
  <c r="E116" i="7"/>
  <c r="D73" i="7" s="1"/>
  <c r="C74" i="7"/>
  <c r="H101" i="7"/>
  <c r="C73" i="7" s="1"/>
  <c r="B64" i="7"/>
  <c r="C10" i="7" s="1"/>
  <c r="I21" i="8"/>
  <c r="H21" i="8"/>
  <c r="M22" i="3"/>
  <c r="M20" i="3"/>
  <c r="M18" i="3"/>
  <c r="M17" i="3"/>
  <c r="M16" i="3"/>
  <c r="M14" i="3"/>
  <c r="M13" i="3"/>
  <c r="M10" i="3"/>
  <c r="M9" i="3"/>
  <c r="I7" i="4"/>
  <c r="H22" i="3"/>
  <c r="H21" i="3"/>
  <c r="H18" i="3"/>
  <c r="H17" i="3"/>
  <c r="H16" i="3"/>
  <c r="H13" i="3"/>
  <c r="H10" i="3"/>
  <c r="H8" i="3"/>
  <c r="U7" i="3"/>
  <c r="N5" i="4" s="1"/>
  <c r="P5" i="4" s="1"/>
  <c r="R45" i="3"/>
  <c r="I20" i="9"/>
  <c r="C51" i="6"/>
  <c r="W40" i="6" s="1"/>
  <c r="U9" i="3"/>
  <c r="N6" i="4" s="1"/>
  <c r="D72" i="7"/>
  <c r="AC18" i="3"/>
  <c r="AO28" i="3"/>
  <c r="AP28" i="3"/>
  <c r="AQ28" i="3"/>
  <c r="AR28" i="3"/>
  <c r="AS28" i="3"/>
  <c r="AT28" i="3"/>
  <c r="AU28" i="3"/>
  <c r="AA28" i="3"/>
  <c r="AB28" i="3"/>
  <c r="AC28" i="3"/>
  <c r="AD28" i="3"/>
  <c r="AE28" i="3"/>
  <c r="AF28" i="3"/>
  <c r="AG28" i="3"/>
  <c r="AH28" i="3"/>
  <c r="AI28" i="3"/>
  <c r="AJ28" i="3"/>
  <c r="AK28" i="3"/>
  <c r="AL28" i="3"/>
  <c r="AM28" i="3"/>
  <c r="AN28" i="3"/>
  <c r="X24" i="3"/>
  <c r="Y24" i="3"/>
  <c r="Z24" i="3"/>
  <c r="X25" i="3"/>
  <c r="Y25" i="3"/>
  <c r="Z25" i="3"/>
  <c r="X26" i="3"/>
  <c r="Y26" i="3"/>
  <c r="Z26" i="3"/>
  <c r="X27" i="3"/>
  <c r="Y27" i="3"/>
  <c r="Z27" i="3"/>
  <c r="X5" i="3"/>
  <c r="Y5" i="3"/>
  <c r="Z5" i="3"/>
  <c r="X6" i="3"/>
  <c r="Y6" i="3"/>
  <c r="Z6" i="3"/>
  <c r="X7" i="3"/>
  <c r="Y7" i="3"/>
  <c r="Z7" i="3"/>
  <c r="X8" i="3"/>
  <c r="Y8" i="3"/>
  <c r="Z8" i="3"/>
  <c r="X9" i="3"/>
  <c r="Y9" i="3"/>
  <c r="Z9" i="3"/>
  <c r="X10" i="3"/>
  <c r="Y10" i="3"/>
  <c r="Z10" i="3"/>
  <c r="X11" i="3"/>
  <c r="Y11" i="3"/>
  <c r="Z11" i="3"/>
  <c r="X12" i="3"/>
  <c r="Y12" i="3"/>
  <c r="Z12" i="3"/>
  <c r="X13" i="3"/>
  <c r="Y13" i="3"/>
  <c r="Z13" i="3"/>
  <c r="X14" i="3"/>
  <c r="Y14" i="3"/>
  <c r="Z14" i="3"/>
  <c r="X15" i="3"/>
  <c r="Y15" i="3"/>
  <c r="Z15" i="3"/>
  <c r="X16" i="3"/>
  <c r="Y16" i="3"/>
  <c r="Z16" i="3"/>
  <c r="X17" i="3"/>
  <c r="Y17" i="3"/>
  <c r="Z17" i="3"/>
  <c r="X18" i="3"/>
  <c r="Y18" i="3"/>
  <c r="Z18" i="3"/>
  <c r="X19" i="3"/>
  <c r="Y19" i="3"/>
  <c r="Z19" i="3"/>
  <c r="X20" i="3"/>
  <c r="Y20" i="3"/>
  <c r="Z20" i="3"/>
  <c r="X21" i="3"/>
  <c r="Y21" i="3"/>
  <c r="Z21" i="3"/>
  <c r="X22" i="3"/>
  <c r="Y22" i="3"/>
  <c r="Z22" i="3"/>
  <c r="X23" i="3"/>
  <c r="Y23" i="3"/>
  <c r="Z23" i="3"/>
  <c r="Z4" i="3"/>
  <c r="Z28" i="3" s="1"/>
  <c r="Y4" i="3"/>
  <c r="X4" i="3"/>
  <c r="I14" i="8"/>
  <c r="I18" i="8" s="1"/>
  <c r="H14" i="8"/>
  <c r="G14" i="8"/>
  <c r="R36" i="3"/>
  <c r="R32" i="3"/>
  <c r="R25" i="3"/>
  <c r="C10" i="5"/>
  <c r="D10" i="5" s="1"/>
  <c r="D14" i="5"/>
  <c r="D15" i="5"/>
  <c r="D13" i="5"/>
  <c r="D11" i="3"/>
  <c r="D24" i="3" s="1"/>
  <c r="D43" i="5"/>
  <c r="D35" i="5"/>
  <c r="D40" i="5"/>
  <c r="D42" i="5"/>
  <c r="D30" i="5"/>
  <c r="D31" i="5"/>
  <c r="D17" i="5"/>
  <c r="D21" i="5"/>
  <c r="D28" i="5"/>
  <c r="A56" i="5"/>
  <c r="A26" i="4"/>
  <c r="C71" i="7"/>
  <c r="R12" i="3"/>
  <c r="R9" i="3"/>
  <c r="R10" i="3" s="1"/>
  <c r="R8" i="3"/>
  <c r="C13" i="7"/>
  <c r="C14" i="7"/>
  <c r="C8" i="7"/>
  <c r="H47" i="7"/>
  <c r="E85" i="7"/>
  <c r="D71" i="7" s="1"/>
  <c r="J14" i="8"/>
  <c r="B10" i="8"/>
  <c r="G9" i="8"/>
  <c r="G10" i="8" s="1"/>
  <c r="H88" i="7"/>
  <c r="C72" i="7" s="1"/>
  <c r="B12" i="5"/>
  <c r="C12" i="7"/>
  <c r="C11" i="7"/>
  <c r="B56" i="7"/>
  <c r="C9" i="7" s="1"/>
  <c r="A29" i="4"/>
  <c r="A59" i="5"/>
  <c r="J21" i="8"/>
  <c r="J15" i="8"/>
  <c r="D11" i="5"/>
  <c r="B41" i="7"/>
  <c r="C7" i="7" s="1"/>
  <c r="D18" i="9"/>
  <c r="G20" i="9" s="1"/>
  <c r="H20" i="9" s="1"/>
  <c r="B7" i="5"/>
  <c r="B54" i="5" s="1"/>
  <c r="E10" i="8"/>
  <c r="E19" i="8" s="1"/>
  <c r="L64" i="6"/>
  <c r="E13" i="6"/>
  <c r="G22" i="3"/>
  <c r="G21" i="3"/>
  <c r="G20" i="3"/>
  <c r="F23" i="3"/>
  <c r="F19" i="3"/>
  <c r="G17" i="3"/>
  <c r="G16" i="3"/>
  <c r="H14" i="3"/>
  <c r="G14" i="3"/>
  <c r="G13" i="3"/>
  <c r="I23" i="3"/>
  <c r="G18" i="3"/>
  <c r="G8" i="3"/>
  <c r="U5" i="3"/>
  <c r="N4" i="4" s="1"/>
  <c r="E56" i="7"/>
  <c r="D9" i="7" s="1"/>
  <c r="D11" i="7" s="1"/>
  <c r="J61" i="6"/>
  <c r="E81" i="6"/>
  <c r="W78" i="6" s="1"/>
  <c r="F11" i="4"/>
  <c r="L16" i="3"/>
  <c r="L14" i="3"/>
  <c r="L13" i="3"/>
  <c r="L22" i="3"/>
  <c r="L21" i="3"/>
  <c r="M21" i="3"/>
  <c r="F23" i="4"/>
  <c r="L20" i="3"/>
  <c r="K23" i="3"/>
  <c r="L18" i="3"/>
  <c r="K19" i="3"/>
  <c r="L17" i="3"/>
  <c r="F19" i="4"/>
  <c r="D30" i="9"/>
  <c r="L23" i="3"/>
  <c r="J54" i="6"/>
  <c r="G21" i="8"/>
  <c r="F10" i="8"/>
  <c r="E13" i="8"/>
  <c r="F13" i="8"/>
  <c r="E18" i="8"/>
  <c r="F18" i="8"/>
  <c r="A3" i="4"/>
  <c r="A2" i="5" s="1"/>
  <c r="D18" i="8"/>
  <c r="C18" i="8"/>
  <c r="B18" i="8"/>
  <c r="B19" i="8" s="1"/>
  <c r="J17" i="8"/>
  <c r="J16" i="8"/>
  <c r="J18" i="8" s="1"/>
  <c r="I16" i="8"/>
  <c r="H16" i="8"/>
  <c r="H18" i="8" s="1"/>
  <c r="G16" i="8"/>
  <c r="I13" i="8"/>
  <c r="H13" i="8"/>
  <c r="G13" i="8"/>
  <c r="D13" i="8"/>
  <c r="C13" i="8"/>
  <c r="B13" i="8"/>
  <c r="J12" i="8"/>
  <c r="J11" i="8"/>
  <c r="I10" i="8"/>
  <c r="H10" i="8"/>
  <c r="D10" i="8"/>
  <c r="C10" i="8"/>
  <c r="J8" i="8"/>
  <c r="I7" i="8"/>
  <c r="H7" i="8"/>
  <c r="G7" i="8"/>
  <c r="F7" i="8"/>
  <c r="E7" i="8"/>
  <c r="D7" i="8"/>
  <c r="D19" i="8" s="1"/>
  <c r="C7" i="8"/>
  <c r="C19" i="8" s="1"/>
  <c r="B7" i="8"/>
  <c r="J6" i="8"/>
  <c r="J5" i="8"/>
  <c r="J13" i="8"/>
  <c r="G18" i="8"/>
  <c r="J9" i="8"/>
  <c r="B27" i="7"/>
  <c r="C6" i="7" s="1"/>
  <c r="E27" i="7"/>
  <c r="D6" i="7" s="1"/>
  <c r="D8" i="7" s="1"/>
  <c r="A3" i="9"/>
  <c r="M23" i="4"/>
  <c r="L60" i="6"/>
  <c r="L59" i="6"/>
  <c r="I19" i="3"/>
  <c r="I15" i="3"/>
  <c r="I11" i="3"/>
  <c r="I24" i="3" s="1"/>
  <c r="F11" i="3"/>
  <c r="D23" i="3"/>
  <c r="D19" i="3"/>
  <c r="G19" i="3" s="1"/>
  <c r="D15" i="3"/>
  <c r="K11" i="3"/>
  <c r="G11" i="4"/>
  <c r="H8" i="4"/>
  <c r="G23" i="4"/>
  <c r="C24" i="5"/>
  <c r="J160" i="7"/>
  <c r="G19" i="4"/>
  <c r="L9" i="3"/>
  <c r="G9" i="3"/>
  <c r="D23" i="5"/>
  <c r="D38" i="9"/>
  <c r="L10" i="3"/>
  <c r="G10" i="3"/>
  <c r="L8" i="3"/>
  <c r="A117" i="7"/>
  <c r="C6" i="5" l="1"/>
  <c r="D6" i="5" s="1"/>
  <c r="B55" i="5"/>
  <c r="G11" i="3"/>
  <c r="I19" i="8"/>
  <c r="H19" i="8"/>
  <c r="Y28" i="3"/>
  <c r="C9" i="4"/>
  <c r="C21" i="4"/>
  <c r="C17" i="4"/>
  <c r="C13" i="4"/>
  <c r="C20" i="4"/>
  <c r="C16" i="4"/>
  <c r="C12" i="4"/>
  <c r="C22" i="4"/>
  <c r="C18" i="4"/>
  <c r="C14" i="4"/>
  <c r="C10" i="4"/>
  <c r="I25" i="3"/>
  <c r="D21" i="4"/>
  <c r="D10" i="4"/>
  <c r="J7" i="8"/>
  <c r="F19" i="8"/>
  <c r="J10" i="8"/>
  <c r="G19" i="8"/>
  <c r="R47" i="3"/>
  <c r="U11" i="3" s="1"/>
  <c r="N7" i="4" s="1"/>
  <c r="P7" i="4" s="1"/>
  <c r="D14" i="4" s="1"/>
  <c r="G23" i="3"/>
  <c r="X28" i="3"/>
  <c r="C12" i="5"/>
  <c r="D12" i="5" s="1"/>
  <c r="D12" i="7"/>
  <c r="D14" i="7" s="1"/>
  <c r="L11" i="3"/>
  <c r="R31" i="3"/>
  <c r="R48" i="3" s="1"/>
  <c r="J19" i="3"/>
  <c r="M19" i="3" s="1"/>
  <c r="J11" i="3"/>
  <c r="J24" i="3" s="1"/>
  <c r="E15" i="3"/>
  <c r="E23" i="3"/>
  <c r="H23" i="3" s="1"/>
  <c r="H20" i="3"/>
  <c r="M8" i="3"/>
  <c r="E19" i="3"/>
  <c r="H19" i="3" s="1"/>
  <c r="J23" i="3"/>
  <c r="E11" i="3"/>
  <c r="J15" i="3"/>
  <c r="P6" i="4"/>
  <c r="M23" i="3"/>
  <c r="F15" i="3"/>
  <c r="H12" i="3"/>
  <c r="G12" i="3"/>
  <c r="J19" i="8"/>
  <c r="M12" i="3"/>
  <c r="K15" i="3"/>
  <c r="L12" i="3"/>
  <c r="D75" i="7"/>
  <c r="D24" i="5"/>
  <c r="L19" i="3"/>
  <c r="R13" i="3"/>
  <c r="R19" i="3" s="1"/>
  <c r="R18" i="3" s="1"/>
  <c r="D25" i="3"/>
  <c r="H9" i="3"/>
  <c r="H9" i="4"/>
  <c r="M22" i="4"/>
  <c r="C8" i="5"/>
  <c r="M25" i="4"/>
  <c r="J62" i="6"/>
  <c r="O16" i="3" l="1"/>
  <c r="H11" i="3"/>
  <c r="E24" i="3"/>
  <c r="D20" i="4"/>
  <c r="D18" i="4"/>
  <c r="D13" i="4"/>
  <c r="D15" i="4" s="1"/>
  <c r="D22" i="4"/>
  <c r="U13" i="3"/>
  <c r="N8" i="4" s="1"/>
  <c r="D17" i="4"/>
  <c r="D9" i="4"/>
  <c r="D12" i="4"/>
  <c r="J25" i="3"/>
  <c r="D16" i="4"/>
  <c r="D19" i="4" s="1"/>
  <c r="F12" i="5"/>
  <c r="M11" i="3"/>
  <c r="D11" i="4"/>
  <c r="E25" i="3"/>
  <c r="C11" i="4"/>
  <c r="C24" i="4" s="1"/>
  <c r="E8" i="4"/>
  <c r="E9" i="4" s="1"/>
  <c r="I9" i="4" s="1"/>
  <c r="C15" i="4"/>
  <c r="C23" i="4"/>
  <c r="F15" i="4"/>
  <c r="K25" i="3"/>
  <c r="L15" i="3"/>
  <c r="M15" i="3"/>
  <c r="K24" i="3"/>
  <c r="H10" i="4"/>
  <c r="C19" i="4"/>
  <c r="D23" i="4"/>
  <c r="D8" i="5"/>
  <c r="C7" i="5"/>
  <c r="J161" i="7"/>
  <c r="J162" i="7"/>
  <c r="G15" i="3"/>
  <c r="H15" i="3"/>
  <c r="F25" i="3"/>
  <c r="F24" i="3"/>
  <c r="U14" i="3" l="1"/>
  <c r="D24" i="4"/>
  <c r="E11" i="4"/>
  <c r="I8" i="4"/>
  <c r="E15" i="4"/>
  <c r="E10" i="4"/>
  <c r="E12" i="4" s="1"/>
  <c r="E13" i="4" s="1"/>
  <c r="E14" i="4" s="1"/>
  <c r="E16" i="4" s="1"/>
  <c r="E17" i="4" s="1"/>
  <c r="E18" i="4" s="1"/>
  <c r="E20" i="4" s="1"/>
  <c r="E21" i="4" s="1"/>
  <c r="E22" i="4" s="1"/>
  <c r="C25" i="4"/>
  <c r="E24" i="4"/>
  <c r="E23" i="4"/>
  <c r="M24" i="3"/>
  <c r="L24" i="3"/>
  <c r="F24" i="4"/>
  <c r="F25" i="4"/>
  <c r="D25" i="4"/>
  <c r="H24" i="3"/>
  <c r="G24" i="3"/>
  <c r="G15" i="4"/>
  <c r="E19" i="4"/>
  <c r="G25" i="3"/>
  <c r="H25" i="3"/>
  <c r="D7" i="5"/>
  <c r="D54" i="5" s="1"/>
  <c r="D55" i="5" s="1"/>
  <c r="F7" i="5"/>
  <c r="C54" i="5"/>
  <c r="C55" i="5" s="1"/>
  <c r="H12" i="4"/>
  <c r="M25" i="3"/>
  <c r="L25" i="3"/>
  <c r="I10" i="4" l="1"/>
  <c r="E25" i="4"/>
  <c r="H13" i="4"/>
  <c r="I12" i="4"/>
  <c r="G55" i="5"/>
  <c r="G24" i="4"/>
  <c r="H24" i="4" s="1"/>
  <c r="I24" i="4" s="1"/>
  <c r="G25" i="4"/>
  <c r="H25" i="4" s="1"/>
  <c r="I25" i="4" l="1"/>
  <c r="I13" i="4"/>
  <c r="H14" i="4"/>
  <c r="H16" i="4" l="1"/>
  <c r="I14" i="4"/>
  <c r="H17" i="4" l="1"/>
  <c r="L19" i="4"/>
  <c r="I16" i="4"/>
  <c r="H18" i="4" l="1"/>
  <c r="K19" i="4"/>
  <c r="I17" i="4"/>
  <c r="I18" i="4" l="1"/>
  <c r="H20" i="4"/>
  <c r="L18" i="4"/>
  <c r="I20" i="4" l="1"/>
  <c r="H21" i="4"/>
  <c r="H22" i="4" l="1"/>
  <c r="I21" i="4"/>
  <c r="F55" i="5"/>
  <c r="I22" i="4" l="1"/>
  <c r="K22" i="4"/>
</calcChain>
</file>

<file path=xl/comments1.xml><?xml version="1.0" encoding="utf-8"?>
<comments xmlns="http://schemas.openxmlformats.org/spreadsheetml/2006/main">
  <authors>
    <author>user</author>
  </authors>
  <commentList>
    <comment ref="AH19" authorId="0" shapeId="0">
      <text>
        <r>
          <rPr>
            <b/>
            <sz val="9"/>
            <color indexed="81"/>
            <rFont val="Tahoma"/>
            <family val="2"/>
          </rPr>
          <t>user:</t>
        </r>
        <r>
          <rPr>
            <sz val="9"/>
            <color indexed="81"/>
            <rFont val="Tahoma"/>
            <family val="2"/>
          </rPr>
          <t xml:space="preserve">
</t>
        </r>
        <r>
          <rPr>
            <sz val="9"/>
            <color indexed="81"/>
            <rFont val="돋움"/>
            <family val="3"/>
            <charset val="129"/>
          </rPr>
          <t>조정</t>
        </r>
        <r>
          <rPr>
            <sz val="9"/>
            <color indexed="81"/>
            <rFont val="Tahoma"/>
            <family val="2"/>
          </rPr>
          <t xml:space="preserve"> +1,121</t>
        </r>
      </text>
    </comment>
    <comment ref="B24" authorId="0" shapeId="0">
      <text>
        <r>
          <rPr>
            <b/>
            <sz val="9"/>
            <color indexed="81"/>
            <rFont val="돋움"/>
            <family val="3"/>
            <charset val="129"/>
          </rPr>
          <t>보고월까지의</t>
        </r>
        <r>
          <rPr>
            <b/>
            <sz val="9"/>
            <color indexed="81"/>
            <rFont val="Tahoma"/>
            <family val="2"/>
          </rPr>
          <t xml:space="preserve"> </t>
        </r>
        <r>
          <rPr>
            <b/>
            <sz val="9"/>
            <color indexed="81"/>
            <rFont val="돋움"/>
            <family val="3"/>
            <charset val="129"/>
          </rPr>
          <t>누계이므로</t>
        </r>
        <r>
          <rPr>
            <b/>
            <sz val="9"/>
            <color indexed="81"/>
            <rFont val="Tahoma"/>
            <family val="2"/>
          </rPr>
          <t xml:space="preserve"> </t>
        </r>
        <r>
          <rPr>
            <b/>
            <sz val="9"/>
            <color indexed="81"/>
            <rFont val="돋움"/>
            <family val="3"/>
            <charset val="129"/>
          </rPr>
          <t>매월</t>
        </r>
        <r>
          <rPr>
            <b/>
            <sz val="9"/>
            <color indexed="81"/>
            <rFont val="Tahoma"/>
            <family val="2"/>
          </rPr>
          <t xml:space="preserve"> </t>
        </r>
        <r>
          <rPr>
            <b/>
            <sz val="9"/>
            <color indexed="81"/>
            <rFont val="돋움"/>
            <family val="3"/>
            <charset val="129"/>
          </rPr>
          <t>보고서</t>
        </r>
        <r>
          <rPr>
            <b/>
            <sz val="9"/>
            <color indexed="81"/>
            <rFont val="Tahoma"/>
            <family val="2"/>
          </rPr>
          <t xml:space="preserve"> </t>
        </r>
        <r>
          <rPr>
            <b/>
            <sz val="9"/>
            <color indexed="81"/>
            <rFont val="돋움"/>
            <family val="3"/>
            <charset val="129"/>
          </rPr>
          <t>작성시</t>
        </r>
        <r>
          <rPr>
            <b/>
            <sz val="9"/>
            <color indexed="81"/>
            <rFont val="Tahoma"/>
            <family val="2"/>
          </rPr>
          <t xml:space="preserve"> </t>
        </r>
        <r>
          <rPr>
            <b/>
            <sz val="9"/>
            <color indexed="81"/>
            <rFont val="돋움"/>
            <family val="3"/>
            <charset val="129"/>
          </rPr>
          <t>산식을</t>
        </r>
        <r>
          <rPr>
            <b/>
            <sz val="9"/>
            <color indexed="81"/>
            <rFont val="Tahoma"/>
            <family val="2"/>
          </rPr>
          <t xml:space="preserve"> </t>
        </r>
        <r>
          <rPr>
            <b/>
            <sz val="9"/>
            <color indexed="81"/>
            <rFont val="돋움"/>
            <family val="3"/>
            <charset val="129"/>
          </rPr>
          <t>수정하시기</t>
        </r>
        <r>
          <rPr>
            <b/>
            <sz val="9"/>
            <color indexed="81"/>
            <rFont val="Tahoma"/>
            <family val="2"/>
          </rPr>
          <t xml:space="preserve"> </t>
        </r>
        <r>
          <rPr>
            <b/>
            <sz val="9"/>
            <color indexed="81"/>
            <rFont val="돋움"/>
            <family val="3"/>
            <charset val="129"/>
          </rPr>
          <t>바랍니다</t>
        </r>
        <r>
          <rPr>
            <b/>
            <sz val="9"/>
            <color indexed="81"/>
            <rFont val="Tahoma"/>
            <family val="2"/>
          </rPr>
          <t>.</t>
        </r>
      </text>
    </comment>
  </commentList>
</comments>
</file>

<file path=xl/sharedStrings.xml><?xml version="1.0" encoding="utf-8"?>
<sst xmlns="http://schemas.openxmlformats.org/spreadsheetml/2006/main" count="2767" uniqueCount="1396">
  <si>
    <t>법원용</t>
  </si>
  <si>
    <t>1. 매출실적 및 입금실적</t>
    <phoneticPr fontId="13" type="noConversion"/>
  </si>
  <si>
    <t>2. 자금수지표(총괄)</t>
    <phoneticPr fontId="13" type="noConversion"/>
  </si>
  <si>
    <t>2-1. 자금수지표(총괄)</t>
    <phoneticPr fontId="13" type="noConversion"/>
  </si>
  <si>
    <t>2-2. 자금수지 실적명세표</t>
    <phoneticPr fontId="13" type="noConversion"/>
  </si>
  <si>
    <t>3-1. 어음 발행현황</t>
    <phoneticPr fontId="13" type="noConversion"/>
  </si>
  <si>
    <t>3-2. 수표 발행현황</t>
    <phoneticPr fontId="13" type="noConversion"/>
  </si>
  <si>
    <t>3-3. 당월 말 잔액의 월별 만기도래액</t>
    <phoneticPr fontId="13" type="noConversion"/>
  </si>
  <si>
    <t>4. 주요 업무사항</t>
    <phoneticPr fontId="13" type="noConversion"/>
  </si>
  <si>
    <t xml:space="preserve">4-2. 입금실적 현황 </t>
    <phoneticPr fontId="13" type="noConversion"/>
  </si>
  <si>
    <t xml:space="preserve">4-3. 회생절차진행 </t>
    <phoneticPr fontId="13" type="noConversion"/>
  </si>
  <si>
    <t xml:space="preserve">5-1. 허가사항 총괄표 </t>
    <phoneticPr fontId="13" type="noConversion"/>
  </si>
  <si>
    <t xml:space="preserve">5-2. 법원허가사항 명세 </t>
    <phoneticPr fontId="13" type="noConversion"/>
  </si>
  <si>
    <t xml:space="preserve">5-3. 관리위원 허가사항 명세 </t>
    <phoneticPr fontId="13" type="noConversion"/>
  </si>
  <si>
    <t>6. 금원지출 내역</t>
    <phoneticPr fontId="13" type="noConversion"/>
  </si>
  <si>
    <t>6-2. 법원 허가사항 지출</t>
    <phoneticPr fontId="13" type="noConversion"/>
  </si>
  <si>
    <t>6-3. 관리위원 허가사항 지출</t>
    <phoneticPr fontId="13" type="noConversion"/>
  </si>
  <si>
    <t>(단위 : 원)</t>
    <phoneticPr fontId="19" type="noConversion"/>
  </si>
  <si>
    <t>구  분</t>
  </si>
  <si>
    <t>매 출 실 적</t>
  </si>
  <si>
    <t>입 금 실 적</t>
  </si>
  <si>
    <t>달성율</t>
    <phoneticPr fontId="13" type="noConversion"/>
  </si>
  <si>
    <t>실적</t>
  </si>
  <si>
    <t>회생
계획</t>
    <phoneticPr fontId="13" type="noConversion"/>
  </si>
  <si>
    <t>전년
대비</t>
    <phoneticPr fontId="19" type="noConversion"/>
  </si>
  <si>
    <t>회생계획
대비</t>
    <phoneticPr fontId="19" type="noConversion"/>
  </si>
  <si>
    <t>전년
실적</t>
    <phoneticPr fontId="19" type="noConversion"/>
  </si>
  <si>
    <t>1월</t>
  </si>
  <si>
    <t>/</t>
  </si>
  <si>
    <t>2월</t>
  </si>
  <si>
    <t>3월</t>
  </si>
  <si>
    <t>분
기</t>
    <phoneticPr fontId="13" type="noConversion"/>
  </si>
  <si>
    <t>소계</t>
  </si>
  <si>
    <t>4월</t>
    <phoneticPr fontId="19" type="noConversion"/>
  </si>
  <si>
    <t>5월</t>
    <phoneticPr fontId="19" type="noConversion"/>
  </si>
  <si>
    <t>6월</t>
    <phoneticPr fontId="19" type="noConversion"/>
  </si>
  <si>
    <t>7월</t>
    <phoneticPr fontId="19" type="noConversion"/>
  </si>
  <si>
    <t>8월</t>
    <phoneticPr fontId="19" type="noConversion"/>
  </si>
  <si>
    <t>9월</t>
    <phoneticPr fontId="19" type="noConversion"/>
  </si>
  <si>
    <t>10월</t>
    <phoneticPr fontId="19" type="noConversion"/>
  </si>
  <si>
    <t>11월</t>
    <phoneticPr fontId="19" type="noConversion"/>
  </si>
  <si>
    <t>12월</t>
    <phoneticPr fontId="19" type="noConversion"/>
  </si>
  <si>
    <t>합계</t>
    <phoneticPr fontId="19" type="noConversion"/>
  </si>
  <si>
    <t>구분</t>
    <phoneticPr fontId="19" type="noConversion"/>
  </si>
  <si>
    <t>회생계획</t>
    <phoneticPr fontId="19" type="noConversion"/>
  </si>
  <si>
    <t>실   적</t>
    <phoneticPr fontId="19" type="noConversion"/>
  </si>
  <si>
    <t>달성율(%)</t>
    <phoneticPr fontId="19" type="noConversion"/>
  </si>
  <si>
    <t>비고</t>
    <phoneticPr fontId="19" type="noConversion"/>
  </si>
  <si>
    <t>분기</t>
    <phoneticPr fontId="19" type="noConversion"/>
  </si>
  <si>
    <t>월</t>
    <phoneticPr fontId="19" type="noConversion"/>
  </si>
  <si>
    <t>수입</t>
    <phoneticPr fontId="19" type="noConversion"/>
  </si>
  <si>
    <t>지출</t>
    <phoneticPr fontId="19" type="noConversion"/>
  </si>
  <si>
    <t>이월잔액
(자금수지)</t>
    <phoneticPr fontId="19" type="noConversion"/>
  </si>
  <si>
    <t>전기이월잔액</t>
    <phoneticPr fontId="19" type="noConversion"/>
  </si>
  <si>
    <t>/</t>
    <phoneticPr fontId="19" type="noConversion"/>
  </si>
  <si>
    <t>소계</t>
    <phoneticPr fontId="19" type="noConversion"/>
  </si>
  <si>
    <t>합계</t>
    <phoneticPr fontId="19" type="noConversion"/>
  </si>
  <si>
    <t>기타</t>
  </si>
  <si>
    <t>복리후생비</t>
  </si>
  <si>
    <t>소모품비</t>
  </si>
  <si>
    <t>여비교통비</t>
  </si>
  <si>
    <t>지급수수료</t>
  </si>
  <si>
    <t>차량유지비</t>
  </si>
  <si>
    <t>발행일</t>
  </si>
  <si>
    <t>지급처</t>
  </si>
  <si>
    <t>어음번호</t>
  </si>
  <si>
    <t>만기일</t>
  </si>
  <si>
    <t>거래일자</t>
  </si>
  <si>
    <t>상 호</t>
  </si>
  <si>
    <t xml:space="preserve">매 출 금 액 </t>
  </si>
  <si>
    <t>적 요</t>
  </si>
  <si>
    <t>비고</t>
    <phoneticPr fontId="13" type="noConversion"/>
  </si>
  <si>
    <t>합 계</t>
    <phoneticPr fontId="13" type="noConversion"/>
  </si>
  <si>
    <t>구 분</t>
  </si>
  <si>
    <t>입 금 일</t>
  </si>
  <si>
    <t>적요</t>
  </si>
  <si>
    <t>입 금 액</t>
  </si>
  <si>
    <t>합 계</t>
  </si>
  <si>
    <t>내 역</t>
    <phoneticPr fontId="13" type="noConversion"/>
  </si>
  <si>
    <t>허가건수</t>
  </si>
  <si>
    <t>금 액</t>
  </si>
  <si>
    <t>비 고</t>
  </si>
  <si>
    <t>재판부 허가사항</t>
    <phoneticPr fontId="13" type="noConversion"/>
  </si>
  <si>
    <t>금전관련</t>
  </si>
  <si>
    <t>기 타</t>
  </si>
  <si>
    <t>소 계</t>
  </si>
  <si>
    <t>관리위원
허가사항</t>
    <phoneticPr fontId="13" type="noConversion"/>
  </si>
  <si>
    <t>합계</t>
    <phoneticPr fontId="13" type="noConversion"/>
  </si>
  <si>
    <t>문서번호</t>
    <phoneticPr fontId="13" type="noConversion"/>
  </si>
  <si>
    <t>제목</t>
    <phoneticPr fontId="13" type="noConversion"/>
  </si>
  <si>
    <t>금액</t>
    <phoneticPr fontId="13" type="noConversion"/>
  </si>
  <si>
    <t>허가일자</t>
    <phoneticPr fontId="13" type="noConversion"/>
  </si>
  <si>
    <t>비 고</t>
    <phoneticPr fontId="13" type="noConversion"/>
  </si>
  <si>
    <t>허가일자</t>
  </si>
  <si>
    <t>문서번호</t>
  </si>
  <si>
    <t>건수</t>
    <phoneticPr fontId="13" type="noConversion"/>
  </si>
  <si>
    <t>1. 법원허가사항</t>
    <phoneticPr fontId="13" type="noConversion"/>
  </si>
  <si>
    <t>2. 관리위원 허가사항</t>
    <phoneticPr fontId="13" type="noConversion"/>
  </si>
  <si>
    <t>금원지출 합계</t>
    <phoneticPr fontId="13" type="noConversion"/>
  </si>
  <si>
    <t>일자</t>
  </si>
  <si>
    <t>계 정 과 목</t>
  </si>
  <si>
    <t xml:space="preserve">거래처  </t>
  </si>
  <si>
    <t>금액</t>
  </si>
  <si>
    <t>지출수단</t>
  </si>
  <si>
    <t>비고</t>
  </si>
  <si>
    <t>계정과목</t>
  </si>
  <si>
    <t>거래처</t>
  </si>
  <si>
    <t>구분</t>
    <phoneticPr fontId="13" type="noConversion"/>
  </si>
  <si>
    <t>구분</t>
    <phoneticPr fontId="13" type="noConversion"/>
  </si>
  <si>
    <t>예적금코드명</t>
    <phoneticPr fontId="13" type="noConversion"/>
  </si>
  <si>
    <t>계좌번호</t>
    <phoneticPr fontId="13" type="noConversion"/>
  </si>
  <si>
    <t>합  계</t>
    <phoneticPr fontId="13" type="noConversion"/>
  </si>
  <si>
    <t>구분</t>
    <phoneticPr fontId="19" type="noConversion"/>
  </si>
  <si>
    <t>금월실적</t>
    <phoneticPr fontId="19" type="noConversion"/>
  </si>
  <si>
    <t>증감</t>
    <phoneticPr fontId="19" type="noConversion"/>
  </si>
  <si>
    <t>비고</t>
    <phoneticPr fontId="19" type="noConversion"/>
  </si>
  <si>
    <t>전월이월잔액</t>
    <phoneticPr fontId="19" type="noConversion"/>
  </si>
  <si>
    <t>지출계</t>
    <phoneticPr fontId="19" type="noConversion"/>
  </si>
  <si>
    <t>차기이월잔액</t>
    <phoneticPr fontId="19" type="noConversion"/>
  </si>
  <si>
    <t>문서번호</t>
    <phoneticPr fontId="11" type="noConversion"/>
  </si>
  <si>
    <t>5. 허가사항 내역</t>
    <phoneticPr fontId="13" type="noConversion"/>
  </si>
  <si>
    <t>합 계</t>
    <phoneticPr fontId="11" type="noConversion"/>
  </si>
  <si>
    <t>현금</t>
    <phoneticPr fontId="13" type="noConversion"/>
  </si>
  <si>
    <t>행 레이블</t>
  </si>
  <si>
    <t>총합계</t>
  </si>
  <si>
    <t>통장</t>
    <phoneticPr fontId="11" type="noConversion"/>
  </si>
  <si>
    <t>전월실적</t>
    <phoneticPr fontId="19" type="noConversion"/>
  </si>
  <si>
    <t xml:space="preserve"> </t>
    <phoneticPr fontId="11" type="noConversion"/>
  </si>
  <si>
    <t>합계</t>
    <phoneticPr fontId="11" type="noConversion"/>
  </si>
  <si>
    <t>잔 액</t>
    <phoneticPr fontId="13" type="noConversion"/>
  </si>
  <si>
    <t>(단위 : 원 )</t>
    <phoneticPr fontId="13" type="noConversion"/>
  </si>
  <si>
    <t>(단위 : 원)</t>
    <phoneticPr fontId="13" type="noConversion"/>
  </si>
  <si>
    <t>2013. 10. 31 현금시재 소계</t>
    <phoneticPr fontId="13" type="noConversion"/>
  </si>
  <si>
    <t>2013. 10. 31. 보통예금 시재 소계</t>
    <phoneticPr fontId="13" type="noConversion"/>
  </si>
  <si>
    <t>5. 허가사항 내역</t>
    <phoneticPr fontId="13" type="noConversion"/>
  </si>
  <si>
    <t>5-1. 허가사항 총괄표</t>
  </si>
  <si>
    <t>(단위 : 원)</t>
  </si>
  <si>
    <t xml:space="preserve">5-2. 법원 허가사항 명세 </t>
    <phoneticPr fontId="13" type="noConversion"/>
  </si>
  <si>
    <t>가) 금전관련 허가사항</t>
    <phoneticPr fontId="13" type="noConversion"/>
  </si>
  <si>
    <t>비 고</t>
    <phoneticPr fontId="13" type="noConversion"/>
  </si>
  <si>
    <t>나) 보고 및 기타 허가사항</t>
    <phoneticPr fontId="13" type="noConversion"/>
  </si>
  <si>
    <t>5-3. 관리위원 허가사항 명세</t>
  </si>
  <si>
    <t>가) 금전관련 관리위원 허가사항</t>
    <phoneticPr fontId="13" type="noConversion"/>
  </si>
  <si>
    <t>비 고</t>
    <phoneticPr fontId="13" type="noConversion"/>
  </si>
  <si>
    <t>6. 금원지출 내역</t>
    <phoneticPr fontId="13" type="noConversion"/>
  </si>
  <si>
    <t xml:space="preserve"> 6-1. 금원지출 총괄표</t>
    <phoneticPr fontId="13" type="noConversion"/>
  </si>
  <si>
    <r>
      <t xml:space="preserve"> 6-2. 법원 허가사항 지출</t>
    </r>
    <r>
      <rPr>
        <sz val="12"/>
        <color indexed="8"/>
        <rFont val="Arial"/>
        <family val="2"/>
      </rPr>
      <t/>
    </r>
    <phoneticPr fontId="13" type="noConversion"/>
  </si>
  <si>
    <t>(단위 : 원)</t>
    <phoneticPr fontId="13" type="noConversion"/>
  </si>
  <si>
    <r>
      <t xml:space="preserve"> 6-3. 관리위원 허가사항 지출</t>
    </r>
    <r>
      <rPr>
        <sz val="12"/>
        <color indexed="8"/>
        <rFont val="Arial"/>
        <family val="2"/>
      </rPr>
      <t/>
    </r>
    <phoneticPr fontId="13" type="noConversion"/>
  </si>
  <si>
    <t xml:space="preserve"> 3-2. 수표 발행현황   ☑ 해당없음</t>
    <phoneticPr fontId="13" type="noConversion"/>
  </si>
  <si>
    <t xml:space="preserve"> 3-3. 당월 말 잔액의 월별 만기 도래액</t>
    <phoneticPr fontId="13" type="noConversion"/>
  </si>
  <si>
    <t>4. 주요 업무사항</t>
    <phoneticPr fontId="13" type="noConversion"/>
  </si>
  <si>
    <t xml:space="preserve">4-1. 매출실적 현황 </t>
    <phoneticPr fontId="13" type="noConversion"/>
  </si>
  <si>
    <t>(단위 : 원)</t>
    <phoneticPr fontId="13" type="noConversion"/>
  </si>
  <si>
    <t>4-2. 입금실적 현황</t>
    <phoneticPr fontId="13" type="noConversion"/>
  </si>
  <si>
    <t>4-3. 회생절차 진행</t>
  </si>
  <si>
    <t xml:space="preserve">  2-2. 자금수지실적명세표</t>
    <phoneticPr fontId="19" type="noConversion"/>
  </si>
  <si>
    <t>(단위 :  원)</t>
    <phoneticPr fontId="19" type="noConversion"/>
  </si>
  <si>
    <t>수 지 차</t>
    <phoneticPr fontId="19" type="noConversion"/>
  </si>
  <si>
    <t>2. 자금수지표(총괄)</t>
    <phoneticPr fontId="19" type="noConversion"/>
  </si>
  <si>
    <t xml:space="preserve">  2-1. 자금수지표(총괄)</t>
    <phoneticPr fontId="19" type="noConversion"/>
  </si>
  <si>
    <t>(단위 : 원)</t>
    <phoneticPr fontId="19" type="noConversion"/>
  </si>
  <si>
    <t>1. 매출실적과 입금실적</t>
    <phoneticPr fontId="19" type="noConversion"/>
  </si>
  <si>
    <t>3. 어음 · 수표 발행현황(해당없음)</t>
    <phoneticPr fontId="13" type="noConversion"/>
  </si>
  <si>
    <t>6-1. 금원지출 총괄표</t>
    <phoneticPr fontId="13" type="noConversion"/>
  </si>
  <si>
    <t xml:space="preserve"> </t>
  </si>
  <si>
    <t>거래일시</t>
  </si>
  <si>
    <t>접수일자</t>
    <phoneticPr fontId="13" type="noConversion"/>
  </si>
  <si>
    <t>거래후잔액</t>
  </si>
  <si>
    <t>예금주명 : (주)유스테크</t>
  </si>
  <si>
    <t>No</t>
  </si>
  <si>
    <t>출금</t>
  </si>
  <si>
    <t>입금</t>
  </si>
  <si>
    <t>2018-01-05 17:48:45</t>
  </si>
  <si>
    <t>외화송금출금</t>
  </si>
  <si>
    <t>합계</t>
  </si>
  <si>
    <t>매출</t>
  </si>
  <si>
    <t>합계 : 입 금 액</t>
  </si>
  <si>
    <t>환급금</t>
  </si>
  <si>
    <t>이자수익</t>
  </si>
  <si>
    <t>외화예금거래내역조회</t>
  </si>
  <si>
    <t>계좌번호 : 345-052147-56-00010</t>
  </si>
  <si>
    <t>예금종류 : 거주자외화보통예금</t>
  </si>
  <si>
    <t>조회기간 : 2018-01-01 ~ 2018-01-31</t>
  </si>
  <si>
    <t>통화</t>
  </si>
  <si>
    <t>수출계좌번호</t>
  </si>
  <si>
    <t>해외수입업자</t>
  </si>
  <si>
    <t>USD</t>
  </si>
  <si>
    <t>2018-01-25 17:24:00</t>
  </si>
  <si>
    <t>조회기간 : 2017-12-01 ~ 2017-12-31</t>
  </si>
  <si>
    <t>2017-12-07 11:14:01</t>
  </si>
  <si>
    <t>2017-12-08 09:13:13</t>
  </si>
  <si>
    <t>원화입금</t>
  </si>
  <si>
    <t>2017-12-20 13:03:37</t>
  </si>
  <si>
    <t>해외송금</t>
  </si>
  <si>
    <t>XINGKE ELECTRONICS (HK) CO.,LTD</t>
  </si>
  <si>
    <t>2017-12-24 09:35:39</t>
  </si>
  <si>
    <t>2017년결산</t>
  </si>
  <si>
    <t>2017-12-27 11:56:11</t>
  </si>
  <si>
    <t>2017-12-29 15:38:35</t>
  </si>
  <si>
    <t>CELLTECHNOLOGY CO.,LTD.</t>
  </si>
  <si>
    <t>2017-12-29 16:28:58</t>
  </si>
  <si>
    <t>(단위 : 원)</t>
    <phoneticPr fontId="13" type="noConversion"/>
  </si>
  <si>
    <t>구분</t>
    <phoneticPr fontId="13" type="noConversion"/>
  </si>
  <si>
    <t>전년도말</t>
    <phoneticPr fontId="13" type="noConversion"/>
  </si>
  <si>
    <t>전분기말</t>
    <phoneticPr fontId="13" type="noConversion"/>
  </si>
  <si>
    <t>전월말</t>
    <phoneticPr fontId="13" type="noConversion"/>
  </si>
  <si>
    <t>당월말</t>
    <phoneticPr fontId="13" type="noConversion"/>
  </si>
  <si>
    <t>개시결정일
(또는 인가일 대비증감)</t>
    <phoneticPr fontId="13" type="noConversion"/>
  </si>
  <si>
    <t>전년도말
대비증감</t>
    <phoneticPr fontId="13" type="noConversion"/>
  </si>
  <si>
    <t>전분기말
대비증감</t>
    <phoneticPr fontId="13" type="noConversion"/>
  </si>
  <si>
    <t>전월말
대비증감</t>
    <phoneticPr fontId="13" type="noConversion"/>
  </si>
  <si>
    <t>은행</t>
    <phoneticPr fontId="13" type="noConversion"/>
  </si>
  <si>
    <t>보험회사</t>
    <phoneticPr fontId="13" type="noConversion"/>
  </si>
  <si>
    <t>금융기관
공익채권 계</t>
    <phoneticPr fontId="13" type="noConversion"/>
  </si>
  <si>
    <t>어음채무</t>
    <phoneticPr fontId="13" type="noConversion"/>
  </si>
  <si>
    <t>매입채무</t>
    <phoneticPr fontId="13" type="noConversion"/>
  </si>
  <si>
    <t>상거래
공익채권계</t>
    <phoneticPr fontId="13" type="noConversion"/>
  </si>
  <si>
    <t>조세</t>
    <phoneticPr fontId="13" type="noConversion"/>
  </si>
  <si>
    <t>건강보험료</t>
    <phoneticPr fontId="13" type="noConversion"/>
  </si>
  <si>
    <t>제세공과금
공익채권 계</t>
    <phoneticPr fontId="13" type="noConversion"/>
  </si>
  <si>
    <t>미지급급여</t>
    <phoneticPr fontId="13" type="noConversion"/>
  </si>
  <si>
    <t>미지급퇴직금</t>
    <phoneticPr fontId="13" type="noConversion"/>
  </si>
  <si>
    <t>노무비</t>
    <phoneticPr fontId="11" type="noConversion"/>
  </si>
  <si>
    <t>기타</t>
    <phoneticPr fontId="13" type="noConversion"/>
  </si>
  <si>
    <t>기타
공익채권 계</t>
    <phoneticPr fontId="13" type="noConversion"/>
  </si>
  <si>
    <t>합계</t>
    <phoneticPr fontId="13" type="noConversion"/>
  </si>
  <si>
    <t>보유
매출채권 계</t>
    <phoneticPr fontId="13" type="noConversion"/>
  </si>
  <si>
    <t>기타</t>
    <phoneticPr fontId="11" type="noConversion"/>
  </si>
  <si>
    <t>(매출원가율)</t>
  </si>
  <si>
    <t>(매출총이익율)</t>
  </si>
  <si>
    <t>(판매관리비율)</t>
  </si>
  <si>
    <t>구분</t>
  </si>
  <si>
    <t>회생계획</t>
  </si>
  <si>
    <t>매출액</t>
  </si>
  <si>
    <t>매출원가</t>
  </si>
  <si>
    <t>매출총이익</t>
  </si>
  <si>
    <t>판매비와 관리비</t>
  </si>
  <si>
    <t>영업이익</t>
  </si>
  <si>
    <t>Ⅰ.자금의 원천</t>
    <phoneticPr fontId="19" type="noConversion"/>
  </si>
  <si>
    <t>기초의 현금</t>
    <phoneticPr fontId="19" type="noConversion"/>
  </si>
  <si>
    <t>자금의 원천 합계</t>
    <phoneticPr fontId="73" type="noConversion"/>
  </si>
  <si>
    <t>Ⅱ.자금의 운용</t>
    <phoneticPr fontId="73" type="noConversion"/>
  </si>
  <si>
    <t>1. 회생담보권</t>
  </si>
  <si>
    <t>대여금채권</t>
    <phoneticPr fontId="73" type="noConversion"/>
  </si>
  <si>
    <t>원금 및 개시전이자</t>
    <phoneticPr fontId="73" type="noConversion"/>
  </si>
  <si>
    <t>개시후이자</t>
    <phoneticPr fontId="73" type="noConversion"/>
  </si>
  <si>
    <t>2. 회생채권</t>
    <phoneticPr fontId="73" type="noConversion"/>
  </si>
  <si>
    <t>영업활동으로인한현금흐름</t>
  </si>
  <si>
    <t>세후영업이익</t>
  </si>
  <si>
    <t>감가상각비(유무형)</t>
  </si>
  <si>
    <t>순운전자본증감액</t>
  </si>
  <si>
    <t>퇴직금지급액</t>
  </si>
  <si>
    <t>투자활동으로인한현금흐름</t>
  </si>
  <si>
    <t>본사(공장토지건물)  처분</t>
  </si>
  <si>
    <t>임차보증금의 지급</t>
  </si>
  <si>
    <t>재무활동으로인한현금흐름</t>
  </si>
  <si>
    <t>대여금채권</t>
  </si>
  <si>
    <t>구상채권</t>
  </si>
  <si>
    <t>상거래채권</t>
  </si>
  <si>
    <t>소액상거래채권</t>
  </si>
  <si>
    <t>임차보증금반환채권</t>
  </si>
  <si>
    <t>미발생구상채권</t>
  </si>
  <si>
    <t>특수관계인채권</t>
  </si>
  <si>
    <t>3. 조세 등 채권</t>
    <phoneticPr fontId="73" type="noConversion"/>
  </si>
  <si>
    <t>4. 공익채권</t>
    <phoneticPr fontId="73" type="noConversion"/>
  </si>
  <si>
    <t>미지급급여 및 퇴직금</t>
    <phoneticPr fontId="73" type="noConversion"/>
  </si>
  <si>
    <t>자금의 운용 합계</t>
    <phoneticPr fontId="73" type="noConversion"/>
  </si>
  <si>
    <t>현금유출계</t>
    <phoneticPr fontId="19" type="noConversion"/>
  </si>
  <si>
    <t>Ⅲ. 차기자금 이월액</t>
    <phoneticPr fontId="73" type="noConversion"/>
  </si>
  <si>
    <t>월 수입</t>
  </si>
  <si>
    <t>월 수입</t>
    <phoneticPr fontId="73" type="noConversion"/>
  </si>
  <si>
    <t>월 지출</t>
    <phoneticPr fontId="73" type="noConversion"/>
  </si>
  <si>
    <t>12월 지출</t>
  </si>
  <si>
    <t>12월 지출</t>
    <phoneticPr fontId="73" type="noConversion"/>
  </si>
  <si>
    <t>기초현금</t>
  </si>
  <si>
    <t>기초현금</t>
    <phoneticPr fontId="73" type="noConversion"/>
  </si>
  <si>
    <t>이월잔액</t>
  </si>
  <si>
    <t>이월잔액</t>
    <phoneticPr fontId="73" type="noConversion"/>
  </si>
  <si>
    <t>합  계</t>
    <phoneticPr fontId="13" type="noConversion"/>
  </si>
  <si>
    <t>합   계</t>
    <phoneticPr fontId="13" type="noConversion"/>
  </si>
  <si>
    <t>시재</t>
    <phoneticPr fontId="11" type="noConversion"/>
  </si>
  <si>
    <t>3. 어음 · 수표 발행현황과 자금수지표</t>
    <phoneticPr fontId="13" type="noConversion"/>
  </si>
  <si>
    <t>통신비</t>
  </si>
  <si>
    <t>운반비</t>
  </si>
  <si>
    <t>교육훈련비</t>
  </si>
  <si>
    <t>건물관리비</t>
  </si>
  <si>
    <t>지급임차료</t>
  </si>
  <si>
    <t>가용자금 제외</t>
    <phoneticPr fontId="11" type="noConversion"/>
  </si>
  <si>
    <t>(단위 : 원)</t>
    <phoneticPr fontId="13" type="noConversion"/>
  </si>
  <si>
    <t>과  목</t>
    <phoneticPr fontId="11" type="noConversion"/>
  </si>
  <si>
    <t>과목별 소계</t>
    <phoneticPr fontId="11" type="noConversion"/>
  </si>
  <si>
    <t>예수금</t>
  </si>
  <si>
    <t>예납금</t>
  </si>
  <si>
    <t>폐기물처리비</t>
  </si>
  <si>
    <t>세금과공과</t>
  </si>
  <si>
    <t>전력비</t>
  </si>
  <si>
    <t>직원급여</t>
  </si>
  <si>
    <t>임원급여</t>
  </si>
  <si>
    <t>이자비용</t>
  </si>
  <si>
    <t>외주용역비</t>
  </si>
  <si>
    <t>합 계</t>
    <phoneticPr fontId="11" type="noConversion"/>
  </si>
  <si>
    <t>검증</t>
    <phoneticPr fontId="11" type="noConversion"/>
  </si>
  <si>
    <t>그달까지의 누계</t>
    <phoneticPr fontId="73" type="noConversion"/>
  </si>
  <si>
    <t>그달까지의
누계</t>
    <phoneticPr fontId="11" type="noConversion"/>
  </si>
  <si>
    <t xml:space="preserve">(註)1. 부가가치세는 매출실적 및 입금실적에서 제외할 것["자금수지표(총괄)와 상이한 점에 유의할 것]
2. 받을어음은 입금실적에서 제외할 것(실제 입금시 반영)
3. 달성율은 전년 및 회생계획과 대비한 실적의 비율을 %로 기재(예컨대, 10% 초과 달성한 경우에는 110%, 10%미달한 경우에는 90%로 기재. / 이하에서 '달성률'이라고 표현한 것은 이와 마찬가지로 표기하고, '증감률'이라고 표현한 것은 +10%, -10%식으로 기재하고, 단순히 '증감'이라고 표현한 것은 그 차액을 기재)
4. 그 달까지의 누계는 당월까지의 실적∙회생계획의 누계와 그 달성률을 표기할 것.
 </t>
    <phoneticPr fontId="73" type="noConversion"/>
  </si>
  <si>
    <r>
      <t>1. 부가가치세는 수입입액 및 지출금액에 포함할 것("매출실적과 입금실적"과 상이한 점에 유의할 것)
2. 전기 이월잔이 수입, 지출은 공란으로 하고 이월잔액만을 기재할 것.
3. 매월의 이월잔 란에느 그 달의 실제 이월잔고를 기재하고 소계, 누계 및 합계의 이월잔 란에는 그때까지의 수입 합계액과 지출 합계액의 차액, 즉 자금수지 실적을 기재할 것.
4. 그 달까지의 누계는 당월까지의 실적</t>
    </r>
    <r>
      <rPr>
        <sz val="11"/>
        <color rgb="FF0000FF"/>
        <rFont val="맑은 고딕"/>
        <family val="3"/>
        <charset val="129"/>
      </rPr>
      <t>∙</t>
    </r>
    <r>
      <rPr>
        <sz val="11"/>
        <color rgb="FF0000FF"/>
        <rFont val="돋움"/>
        <family val="3"/>
        <charset val="129"/>
      </rPr>
      <t>회생계획의 누계와 그 달성률을 표기할 것.</t>
    </r>
    <phoneticPr fontId="13" type="noConversion"/>
  </si>
  <si>
    <t>회생담보권</t>
    <phoneticPr fontId="11" type="noConversion"/>
  </si>
  <si>
    <t>회생채권</t>
    <phoneticPr fontId="11" type="noConversion"/>
  </si>
  <si>
    <t>공익채권</t>
    <phoneticPr fontId="11" type="noConversion"/>
  </si>
  <si>
    <t>이자수익</t>
    <phoneticPr fontId="11" type="noConversion"/>
  </si>
  <si>
    <t>수입계</t>
    <phoneticPr fontId="19" type="noConversion"/>
  </si>
  <si>
    <t xml:space="preserve"> 3-1. 어음 발행현황   ☑ 해당없음</t>
    <phoneticPr fontId="13" type="noConversion"/>
  </si>
  <si>
    <t>1. 부가가치세는 수입금액 및 지출금액에 포함할 것("매출실적과 입금실적"과 상이한 점에 유의할 것.
2. 전기 대비 증감요인분석 : 원인 규명하고 대책을 설명할 것.
3. 이월잔액 중 구속성예금 및 이를 공제한 가용시재액을 주석으로 별도 표기.
4. 받을어음은 주석으로 별도 표기하고, 위 수입금액에서는 제외할 것(실제 입금시 반영)</t>
    <phoneticPr fontId="11" type="noConversion"/>
  </si>
  <si>
    <t>일자</t>
    <phoneticPr fontId="11" type="noConversion"/>
  </si>
  <si>
    <t>예금잔액</t>
    <phoneticPr fontId="11" type="noConversion"/>
  </si>
  <si>
    <t>퇴직연금</t>
    <phoneticPr fontId="11" type="noConversion"/>
  </si>
  <si>
    <t>6-4. 300만원 초과 지출 내역</t>
    <phoneticPr fontId="13" type="noConversion"/>
  </si>
  <si>
    <t>6-5. 300만원 이하 지출 내역</t>
    <phoneticPr fontId="13" type="noConversion"/>
  </si>
  <si>
    <r>
      <t>6-5. 300만원 이하 지출내역</t>
    </r>
    <r>
      <rPr>
        <sz val="12"/>
        <color indexed="8"/>
        <rFont val="Arial"/>
        <family val="2"/>
      </rPr>
      <t/>
    </r>
    <phoneticPr fontId="13" type="noConversion"/>
  </si>
  <si>
    <t>기타입금</t>
    <phoneticPr fontId="11" type="noConversion"/>
  </si>
  <si>
    <t>매출</t>
    <phoneticPr fontId="13" type="noConversion"/>
  </si>
  <si>
    <t>월별 매출액 입금 현황</t>
    <phoneticPr fontId="73" type="noConversion"/>
  </si>
  <si>
    <t>년월</t>
    <phoneticPr fontId="73" type="noConversion"/>
  </si>
  <si>
    <t>매출입급
합계</t>
    <phoneticPr fontId="73" type="noConversion"/>
  </si>
  <si>
    <t>입급 합계</t>
    <phoneticPr fontId="73" type="noConversion"/>
  </si>
  <si>
    <t>출금합계</t>
    <phoneticPr fontId="73" type="noConversion"/>
  </si>
  <si>
    <t>매출입금</t>
    <phoneticPr fontId="73" type="noConversion"/>
  </si>
  <si>
    <t>예금이자 등 기타</t>
    <phoneticPr fontId="73" type="noConversion"/>
  </si>
  <si>
    <t>출금</t>
    <phoneticPr fontId="73" type="noConversion"/>
  </si>
  <si>
    <t>일용직급여</t>
  </si>
  <si>
    <t>재료비</t>
  </si>
  <si>
    <t>상품</t>
  </si>
  <si>
    <t>보험료</t>
  </si>
  <si>
    <t>방역비</t>
  </si>
  <si>
    <t>3. 300만원 초과 지출</t>
    <phoneticPr fontId="13" type="noConversion"/>
  </si>
  <si>
    <t>4. 300만원 이하 지출</t>
    <phoneticPr fontId="13" type="noConversion"/>
  </si>
  <si>
    <t>광고선전비</t>
  </si>
  <si>
    <t>도서인쇄비</t>
  </si>
  <si>
    <t>미지급급</t>
  </si>
  <si>
    <t>선수금</t>
  </si>
  <si>
    <t>접대비</t>
  </si>
  <si>
    <t>공구기구비품</t>
  </si>
  <si>
    <t>시재일치여부</t>
    <phoneticPr fontId="11" type="noConversion"/>
  </si>
  <si>
    <t>자금수지일치여부</t>
    <phoneticPr fontId="11" type="noConversion"/>
  </si>
  <si>
    <t>생계유지비</t>
    <phoneticPr fontId="11" type="noConversion"/>
  </si>
  <si>
    <t>수도광열비</t>
    <phoneticPr fontId="11" type="noConversion"/>
  </si>
  <si>
    <t>7. 공익채권 현황표</t>
    <phoneticPr fontId="13" type="noConversion"/>
  </si>
  <si>
    <t>8. 시재보유 현황</t>
    <phoneticPr fontId="13" type="noConversion"/>
  </si>
  <si>
    <t>9. 첨부서류</t>
    <phoneticPr fontId="13" type="noConversion"/>
  </si>
  <si>
    <r>
      <t>8. 시재보유 현황</t>
    </r>
    <r>
      <rPr>
        <b/>
        <sz val="15"/>
        <color indexed="8"/>
        <rFont val="Arial"/>
        <family val="2"/>
      </rPr>
      <t/>
    </r>
    <phoneticPr fontId="13" type="noConversion"/>
  </si>
  <si>
    <r>
      <t>(註) 1. 허가금액 초과, 제세공과금(</t>
    </r>
    <r>
      <rPr>
        <sz val="11"/>
        <color rgb="FFFF0000"/>
        <rFont val="돋움"/>
        <family val="3"/>
        <charset val="129"/>
      </rPr>
      <t>국세, 지방세, 전기료, 수도료, 가스료, 전화료, 국민연금</t>
    </r>
    <r>
      <rPr>
        <sz val="11"/>
        <color rgb="FF0000FF"/>
        <rFont val="돋움"/>
        <family val="3"/>
        <charset val="129"/>
      </rPr>
      <t>, 장애인고용분담금, 직업훈련분담금, 개발부담금)
2. 공익채권(</t>
    </r>
    <r>
      <rPr>
        <sz val="11"/>
        <color rgb="FFFF0000"/>
        <rFont val="돋움"/>
        <family val="3"/>
        <charset val="129"/>
      </rPr>
      <t>건강보험료, 고용보험료, 산재보험료</t>
    </r>
    <r>
      <rPr>
        <sz val="11"/>
        <color rgb="FF0000FF"/>
        <rFont val="돋움"/>
        <family val="3"/>
        <charset val="129"/>
      </rPr>
      <t>)</t>
    </r>
    <phoneticPr fontId="11" type="noConversion"/>
  </si>
  <si>
    <t>수선유지비</t>
    <phoneticPr fontId="11" type="noConversion"/>
  </si>
  <si>
    <t>세무법인한맘</t>
    <phoneticPr fontId="11" type="noConversion"/>
  </si>
  <si>
    <t>현제전자(박춘화)</t>
    <phoneticPr fontId="11" type="noConversion"/>
  </si>
  <si>
    <t>4-1. 매출실적 현황</t>
    <phoneticPr fontId="13" type="noConversion"/>
  </si>
  <si>
    <t>통장</t>
    <phoneticPr fontId="11" type="noConversion"/>
  </si>
  <si>
    <t>매출입금</t>
    <phoneticPr fontId="11" type="noConversion"/>
  </si>
  <si>
    <t>영업외 입금</t>
    <phoneticPr fontId="13" type="noConversion"/>
  </si>
  <si>
    <t>국민은행</t>
    <phoneticPr fontId="11" type="noConversion"/>
  </si>
  <si>
    <t>기업은행</t>
    <phoneticPr fontId="11" type="noConversion"/>
  </si>
  <si>
    <t>없</t>
    <phoneticPr fontId="13" type="noConversion"/>
  </si>
  <si>
    <t>음</t>
    <phoneticPr fontId="13" type="noConversion"/>
  </si>
  <si>
    <t>농협은행</t>
    <phoneticPr fontId="11" type="noConversion"/>
  </si>
  <si>
    <t>농협은행</t>
    <phoneticPr fontId="11" type="noConversion"/>
  </si>
  <si>
    <t>세금과공과</t>
    <phoneticPr fontId="11" type="noConversion"/>
  </si>
  <si>
    <t>고용보험료</t>
    <phoneticPr fontId="11" type="noConversion"/>
  </si>
  <si>
    <t>산재보험료</t>
    <phoneticPr fontId="11" type="noConversion"/>
  </si>
  <si>
    <t>국민건강보험공단</t>
    <phoneticPr fontId="11" type="noConversion"/>
  </si>
  <si>
    <t>2019-1월</t>
    <phoneticPr fontId="73" type="noConversion"/>
  </si>
  <si>
    <t>2019-2월</t>
  </si>
  <si>
    <t>2019-3월</t>
  </si>
  <si>
    <t>2019-4월</t>
  </si>
  <si>
    <t>2019-5월</t>
  </si>
  <si>
    <t>2019-6월</t>
  </si>
  <si>
    <t>2019-7월</t>
  </si>
  <si>
    <t>2019-8월</t>
  </si>
  <si>
    <t>2019-9월</t>
  </si>
  <si>
    <t>2019-10월</t>
  </si>
  <si>
    <t>2019-11월</t>
  </si>
  <si>
    <t>2019-12월</t>
  </si>
  <si>
    <t>2020-1월</t>
    <phoneticPr fontId="73" type="noConversion"/>
  </si>
  <si>
    <t>2020-2월</t>
  </si>
  <si>
    <t>2020-3월</t>
  </si>
  <si>
    <t>2020-4월</t>
  </si>
  <si>
    <t>2020-5월</t>
  </si>
  <si>
    <t>2020-6월</t>
  </si>
  <si>
    <t>계좌번호</t>
  </si>
  <si>
    <t>예금종류</t>
  </si>
  <si>
    <t>예금주명</t>
  </si>
  <si>
    <t>(단위: 원)</t>
  </si>
  <si>
    <t>출금금액</t>
  </si>
  <si>
    <t>입금금액</t>
  </si>
  <si>
    <t>거래내용</t>
  </si>
  <si>
    <t>거래기록사항</t>
  </si>
  <si>
    <t>거래점</t>
  </si>
  <si>
    <t>이체메모</t>
  </si>
  <si>
    <t>· 고객님이 요청하신 대로 위와 같이 처리되었습니다.
· 본 확인증은 고객님의 편의를 위하여 제공되는 것으로 법적 효력은 없습니다.
· 농협 인터넷뱅킹을 이용해 주셔서 대단히 감사합니다.</t>
  </si>
  <si>
    <t>1</t>
  </si>
  <si>
    <t/>
  </si>
  <si>
    <t>인터넷당행</t>
  </si>
  <si>
    <t>통지수수료</t>
  </si>
  <si>
    <t>UMS수수료</t>
  </si>
  <si>
    <t>PC하나은행</t>
  </si>
  <si>
    <t>PC우리은행</t>
  </si>
  <si>
    <t>NH체크</t>
  </si>
  <si>
    <t>E-국민은행</t>
  </si>
  <si>
    <t>E-하나은행</t>
  </si>
  <si>
    <t>E-우리은행</t>
  </si>
  <si>
    <t>자동납부</t>
  </si>
  <si>
    <t>E-신한은행</t>
  </si>
  <si>
    <t>잔액</t>
  </si>
  <si>
    <t>조회기간</t>
  </si>
  <si>
    <t>임차보증금 감소</t>
    <phoneticPr fontId="73" type="noConversion"/>
  </si>
  <si>
    <t>유형자산재투자</t>
    <phoneticPr fontId="73" type="noConversion"/>
  </si>
  <si>
    <t>단기금융상품회수</t>
    <phoneticPr fontId="73" type="noConversion"/>
  </si>
  <si>
    <t>차액</t>
    <phoneticPr fontId="73" type="noConversion"/>
  </si>
  <si>
    <t>월 지출</t>
    <phoneticPr fontId="11" type="noConversion"/>
  </si>
  <si>
    <t>차액</t>
    <phoneticPr fontId="11" type="noConversion"/>
  </si>
  <si>
    <t>부동산처분금액(12월)</t>
    <phoneticPr fontId="11" type="noConversion"/>
  </si>
  <si>
    <t>건강보험료</t>
    <phoneticPr fontId="11" type="noConversion"/>
  </si>
  <si>
    <t>연금보험료</t>
    <phoneticPr fontId="11" type="noConversion"/>
  </si>
  <si>
    <t>회사부담분</t>
    <phoneticPr fontId="11" type="noConversion"/>
  </si>
  <si>
    <t>예수금</t>
    <phoneticPr fontId="11" type="noConversion"/>
  </si>
  <si>
    <t>직원부담분</t>
    <phoneticPr fontId="11" type="noConversion"/>
  </si>
  <si>
    <t>직원부담분</t>
    <phoneticPr fontId="11" type="noConversion"/>
  </si>
  <si>
    <t>상여금</t>
    <phoneticPr fontId="11" type="noConversion"/>
  </si>
  <si>
    <t>상여금</t>
    <phoneticPr fontId="11" type="noConversion"/>
  </si>
  <si>
    <t>기업자유예탁금</t>
  </si>
  <si>
    <t>기업자유예탁금</t>
    <phoneticPr fontId="11" type="noConversion"/>
  </si>
  <si>
    <t>보통예금</t>
    <phoneticPr fontId="11" type="noConversion"/>
  </si>
  <si>
    <t>신한은행</t>
    <phoneticPr fontId="11" type="noConversion"/>
  </si>
  <si>
    <t>KB기업종합통장</t>
    <phoneticPr fontId="11" type="noConversion"/>
  </si>
  <si>
    <t>개시결정일(2020. 08. 31.)
기준</t>
    <phoneticPr fontId="13" type="noConversion"/>
  </si>
  <si>
    <t>입출금거래내역조회결과</t>
  </si>
  <si>
    <t>현재통장잔액</t>
  </si>
  <si>
    <t>현재지급가능잔액</t>
  </si>
  <si>
    <t>● 입출금거래내역</t>
  </si>
  <si>
    <t>농협 100280</t>
  </si>
  <si>
    <t>G-국민은행</t>
  </si>
  <si>
    <t>G-신한은행</t>
  </si>
  <si>
    <t>배양리두루치기</t>
  </si>
  <si>
    <t>CD이체</t>
  </si>
  <si>
    <t>IC효성</t>
  </si>
  <si>
    <t>창조에너지(주)벽제주유소</t>
  </si>
  <si>
    <t>G-기업은행</t>
  </si>
  <si>
    <t>목장주유소</t>
  </si>
  <si>
    <t>하나 0802787</t>
  </si>
  <si>
    <t>100280</t>
  </si>
  <si>
    <t>비즈니스온커뮤니</t>
  </si>
  <si>
    <t>농협000002</t>
  </si>
  <si>
    <t>G-하나은행</t>
  </si>
  <si>
    <t>G-우리은행</t>
  </si>
  <si>
    <t>이카운트월수수료</t>
  </si>
  <si>
    <t>KT텔레캅강북</t>
  </si>
  <si>
    <t>파주광탄분수178</t>
  </si>
  <si>
    <t>통신료</t>
  </si>
  <si>
    <t>농협001316</t>
  </si>
  <si>
    <t>센터이체</t>
  </si>
  <si>
    <t>농협000068</t>
  </si>
  <si>
    <t>현재잔액</t>
  </si>
  <si>
    <t>최종거래일자</t>
  </si>
  <si>
    <t>이자</t>
  </si>
  <si>
    <t>2020-7월</t>
  </si>
  <si>
    <t>2020-8월</t>
  </si>
  <si>
    <t>2020-9월</t>
  </si>
  <si>
    <t>2020-10월</t>
  </si>
  <si>
    <t>2020-11월</t>
  </si>
  <si>
    <t>2020-12월</t>
  </si>
  <si>
    <t>NH 5360-63</t>
    <phoneticPr fontId="73" type="noConversion"/>
  </si>
  <si>
    <t>NH 5353-83</t>
    <phoneticPr fontId="73" type="noConversion"/>
  </si>
  <si>
    <t>NH 8661-53</t>
    <phoneticPr fontId="73" type="noConversion"/>
  </si>
  <si>
    <t xml:space="preserve">SHB </t>
    <phoneticPr fontId="73" type="noConversion"/>
  </si>
  <si>
    <t>KB</t>
    <phoneticPr fontId="73" type="noConversion"/>
  </si>
  <si>
    <t>HANA</t>
    <phoneticPr fontId="73" type="noConversion"/>
  </si>
  <si>
    <t>IBK</t>
    <phoneticPr fontId="73" type="noConversion"/>
  </si>
  <si>
    <t>Total</t>
    <phoneticPr fontId="73" type="noConversion"/>
  </si>
  <si>
    <t>통장</t>
  </si>
  <si>
    <t>기업자유예금</t>
    <phoneticPr fontId="11" type="noConversion"/>
  </si>
  <si>
    <t>기업은행</t>
    <phoneticPr fontId="11" type="noConversion"/>
  </si>
  <si>
    <t>하나은행</t>
    <phoneticPr fontId="11" type="noConversion"/>
  </si>
  <si>
    <t>여비교통비</t>
    <phoneticPr fontId="11" type="noConversion"/>
  </si>
  <si>
    <t>원부재료비</t>
    <phoneticPr fontId="11" type="noConversion"/>
  </si>
  <si>
    <t>잡비</t>
    <phoneticPr fontId="11" type="noConversion"/>
  </si>
  <si>
    <t>회생채권</t>
    <phoneticPr fontId="11" type="noConversion"/>
  </si>
  <si>
    <t>회생채권</t>
    <phoneticPr fontId="11" type="noConversion"/>
  </si>
  <si>
    <t>기업이전관련 외주용역</t>
    <phoneticPr fontId="11" type="noConversion"/>
  </si>
  <si>
    <t>큰집설렁탕</t>
  </si>
  <si>
    <t>운전자금변동</t>
    <phoneticPr fontId="73" type="noConversion"/>
  </si>
  <si>
    <t>관리인, CRO 급여</t>
    <phoneticPr fontId="11" type="noConversion"/>
  </si>
  <si>
    <t>직원 식대 외</t>
    <phoneticPr fontId="11" type="noConversion"/>
  </si>
  <si>
    <t>용차비 외</t>
    <phoneticPr fontId="11" type="noConversion"/>
  </si>
  <si>
    <t>하이보</t>
  </si>
  <si>
    <t>하나 0811202</t>
  </si>
  <si>
    <t>CD타행</t>
  </si>
  <si>
    <t>우정사업본부(우체국)</t>
  </si>
  <si>
    <t>해동주유소</t>
  </si>
  <si>
    <t>217040</t>
  </si>
  <si>
    <t>스마트당행</t>
  </si>
  <si>
    <t>S-국민은행</t>
  </si>
  <si>
    <t>S-우리은행</t>
  </si>
  <si>
    <t>우리0845595</t>
  </si>
  <si>
    <t>신규일</t>
  </si>
  <si>
    <t>계좌별명</t>
  </si>
  <si>
    <t>잔액(원)</t>
  </si>
  <si>
    <t>서울중앙지방법원</t>
  </si>
  <si>
    <t>청구이의 소 인지대</t>
  </si>
  <si>
    <t>의정부지방법원 고양지원</t>
  </si>
  <si>
    <t>춘천지방법원 강릉지원</t>
  </si>
  <si>
    <t>파주세무서</t>
  </si>
  <si>
    <t>2020년 2기 부가가치세 일부 납부</t>
  </si>
  <si>
    <t>현장 일용직 급여</t>
    <phoneticPr fontId="11" type="noConversion"/>
  </si>
  <si>
    <t>김밥천국</t>
  </si>
  <si>
    <t>KCP-결제</t>
  </si>
  <si>
    <t>양평서울해장국큰아들집서초법원점</t>
  </si>
  <si>
    <t>G-카카오</t>
  </si>
  <si>
    <t>하나0813323</t>
  </si>
  <si>
    <t>4~5</t>
    <phoneticPr fontId="11" type="noConversion"/>
  </si>
  <si>
    <t>8~14</t>
    <phoneticPr fontId="11" type="noConversion"/>
  </si>
  <si>
    <t>류준영(바이투셀)</t>
  </si>
  <si>
    <t>국민 0197641</t>
  </si>
  <si>
    <t>우리 0845595</t>
  </si>
  <si>
    <t>김미정(대정프린텍)</t>
  </si>
  <si>
    <t>고양휴게소(문산)주유소</t>
  </si>
  <si>
    <t>(주)티머니개인택시영세</t>
  </si>
  <si>
    <t>농협은행</t>
    <phoneticPr fontId="19" type="noConversion"/>
  </si>
  <si>
    <t>2</t>
  </si>
  <si>
    <t>3</t>
  </si>
  <si>
    <t>계좌목록</t>
  </si>
  <si>
    <t>- 입출금</t>
  </si>
  <si>
    <t>계좌명(별칭)</t>
  </si>
  <si>
    <t>구계좌번호</t>
  </si>
  <si>
    <t>최종거래일/만기일</t>
  </si>
  <si>
    <t>기업자유예금</t>
  </si>
  <si>
    <t>2016-07-27</t>
  </si>
  <si>
    <t>2020-01-06</t>
  </si>
  <si>
    <t>1,651</t>
  </si>
  <si>
    <t>예금 거래내역 조회</t>
  </si>
  <si>
    <t>100-032-609835</t>
  </si>
  <si>
    <t>조회구분</t>
  </si>
  <si>
    <t>전체</t>
  </si>
  <si>
    <t>보통예금</t>
  </si>
  <si>
    <t>출금가능금액</t>
  </si>
  <si>
    <t>0 원</t>
  </si>
  <si>
    <t>고객명</t>
  </si>
  <si>
    <t>연장금액</t>
  </si>
  <si>
    <t>대출한도</t>
  </si>
  <si>
    <t>대출이자</t>
  </si>
  <si>
    <t>지급제한금액</t>
  </si>
  <si>
    <t>입금액</t>
  </si>
  <si>
    <t>출금액</t>
  </si>
  <si>
    <t>내용</t>
  </si>
  <si>
    <t>거래점명</t>
  </si>
  <si>
    <t>입금인코드</t>
  </si>
  <si>
    <t>0</t>
  </si>
  <si>
    <t>인천주</t>
  </si>
  <si>
    <t>용역비</t>
  </si>
  <si>
    <t>메리츠캐피탈</t>
  </si>
  <si>
    <t>카니발렌탈료</t>
  </si>
  <si>
    <t>2020-09-09</t>
  </si>
  <si>
    <t xml:space="preserve"> 2020. 07. 27. 개시 신청서접수
 2020. 07. 28. 포괄적금지명령/ 비용예납명령 / 대표자심문기일지정결정 / 보전처분결정
 2020. 08. 06. 심문기일(서울회생법원 4별관 421호 심문실 17:00)
 2020. 08. 31. 회생절차 개시결정 / 공고로 송달갈음 결정(개시결정) / 법원의 허가사항과 위임사항에 관한 결정(법률상관리인) / 주요사항통지명령
 2020. 09. 14. 채권자목록 제출
 2020. 10. 05  시부인표 제출
 2020. 10. 19  조사보고서 제출
 2020. 10. 26  주요사항 통지
 2020. 11. 16  회생계획안 제출
 2021. 02. 03  관계인 집회가결 회생계획 인가결정</t>
    <phoneticPr fontId="13" type="noConversion"/>
  </si>
  <si>
    <t>없            음</t>
    <phoneticPr fontId="11" type="noConversion"/>
  </si>
  <si>
    <t>1차연도(2021년)</t>
    <phoneticPr fontId="73" type="noConversion"/>
  </si>
  <si>
    <t>1차연도</t>
    <phoneticPr fontId="73" type="noConversion"/>
  </si>
  <si>
    <t>2021년</t>
    <phoneticPr fontId="73" type="noConversion"/>
  </si>
  <si>
    <t>법인세비용</t>
    <phoneticPr fontId="73" type="noConversion"/>
  </si>
  <si>
    <t>차량유류비 외</t>
    <phoneticPr fontId="11" type="noConversion"/>
  </si>
  <si>
    <t>의정부지방법원 고양지원</t>
    <phoneticPr fontId="11" type="noConversion"/>
  </si>
  <si>
    <t>금전공탁서</t>
    <phoneticPr fontId="11" type="noConversion"/>
  </si>
  <si>
    <t>의정부지방법원 고양지원</t>
    <phoneticPr fontId="11" type="noConversion"/>
  </si>
  <si>
    <t>금전공탁서</t>
    <phoneticPr fontId="11" type="noConversion"/>
  </si>
  <si>
    <t>공탁금&amp;퇴직연금</t>
    <phoneticPr fontId="11" type="noConversion"/>
  </si>
  <si>
    <t>가용자금 제외(압류 공탁금)</t>
    <phoneticPr fontId="11" type="noConversion"/>
  </si>
  <si>
    <t>배당사실증명서</t>
    <phoneticPr fontId="11" type="noConversion"/>
  </si>
  <si>
    <t>주식회사콩세유</t>
  </si>
  <si>
    <t>국민 0040100</t>
  </si>
  <si>
    <t>하이오아시스(주)매송휴게소</t>
  </si>
  <si>
    <t>우리 0202905</t>
  </si>
  <si>
    <t>우리0204932</t>
  </si>
  <si>
    <t>용차비</t>
  </si>
  <si>
    <t>국민0040100</t>
  </si>
  <si>
    <t>운송료</t>
  </si>
  <si>
    <t>3,223,487</t>
  </si>
  <si>
    <t>예금구분</t>
  </si>
  <si>
    <t>최종거래일</t>
  </si>
  <si>
    <t>퇴직연금 인쇄하기</t>
  </si>
  <si>
    <t>퇴직연금</t>
  </si>
  <si>
    <t>확정급여형퇴직연금(DB)</t>
  </si>
  <si>
    <t>2016-09-25</t>
  </si>
  <si>
    <t>2020-12-31</t>
  </si>
  <si>
    <t>기업이전관련 가구 구매 외</t>
    <phoneticPr fontId="11" type="noConversion"/>
  </si>
  <si>
    <t>기업이전관련 자재 등 구매</t>
    <phoneticPr fontId="11" type="noConversion"/>
  </si>
  <si>
    <t>직원 급여</t>
    <phoneticPr fontId="11" type="noConversion"/>
  </si>
  <si>
    <t>변호사 수수료 외</t>
    <phoneticPr fontId="11" type="noConversion"/>
  </si>
  <si>
    <t>예금이자</t>
  </si>
  <si>
    <t>농협 215066</t>
  </si>
  <si>
    <t>IC나이스</t>
  </si>
  <si>
    <t>용창영</t>
  </si>
  <si>
    <t>서울상공회의소</t>
  </si>
  <si>
    <t>국민0047872</t>
  </si>
  <si>
    <t>우리0202905</t>
  </si>
  <si>
    <t>3월 작업비 정산</t>
    <phoneticPr fontId="13" type="noConversion"/>
  </si>
  <si>
    <t>나) 보고 및 기타 관리위원 허가사항(기타신청서 포함)</t>
    <phoneticPr fontId="13" type="noConversion"/>
  </si>
  <si>
    <t>사용기간 2/10~3/09</t>
  </si>
  <si>
    <t>사용기간 1/10~2/09</t>
  </si>
  <si>
    <t>직원 식대</t>
  </si>
  <si>
    <t>기공 김형찬</t>
  </si>
  <si>
    <t>바이투셀(Buy to sell)</t>
  </si>
  <si>
    <t>사무집기 외</t>
  </si>
  <si>
    <t>3월 작업비 정산</t>
  </si>
  <si>
    <t>3월 물류비 정산</t>
  </si>
  <si>
    <t>3월 창고 임대료</t>
  </si>
  <si>
    <t>3월 전기요금 정산</t>
  </si>
  <si>
    <t>2021년 3월 관리인월간보고서 제출</t>
    <phoneticPr fontId="11" type="noConversion"/>
  </si>
  <si>
    <t>3월 임직원급여 지급 허가 신청</t>
    <phoneticPr fontId="11" type="noConversion"/>
  </si>
  <si>
    <t>2021/04/21 19:05:40</t>
  </si>
  <si>
    <t>센터일괄</t>
  </si>
  <si>
    <t>농협 000367</t>
  </si>
  <si>
    <t>출금취소건</t>
    <phoneticPr fontId="19" type="noConversion"/>
  </si>
  <si>
    <t>2021/04/22 11:09:14</t>
  </si>
  <si>
    <t>우리 0845540</t>
  </si>
  <si>
    <t>2021/04/23 11:07:01</t>
  </si>
  <si>
    <t>NH(5360-63)으로 이체</t>
    <phoneticPr fontId="19" type="noConversion"/>
  </si>
  <si>
    <t>2021/04/23 11:10:43</t>
  </si>
  <si>
    <t>계좌통합</t>
  </si>
  <si>
    <t>NH(5360-63)으로 이체</t>
    <phoneticPr fontId="19" type="noConversion"/>
  </si>
  <si>
    <t>2021/04/26 20:19:03</t>
  </si>
  <si>
    <t>BMW</t>
  </si>
  <si>
    <t>농협 000002</t>
  </si>
  <si>
    <t>환입예정</t>
    <phoneticPr fontId="19" type="noConversion"/>
  </si>
  <si>
    <t>2021/04/30 18:24:49</t>
  </si>
  <si>
    <t>(주)동원엔터프라이</t>
  </si>
  <si>
    <t>하나 0812159</t>
  </si>
  <si>
    <t>2021/04/30 20:10:35</t>
  </si>
  <si>
    <t>환입예정</t>
    <phoneticPr fontId="19" type="noConversion"/>
  </si>
  <si>
    <t>농협은행</t>
    <phoneticPr fontId="11" type="noConversion"/>
  </si>
  <si>
    <t>2021/04/01 06:06:22</t>
  </si>
  <si>
    <t>CU원당대로점</t>
  </si>
  <si>
    <t>2021/04/01 06:20:52</t>
  </si>
  <si>
    <t>2021/04/01 06:21:14</t>
  </si>
  <si>
    <t>2021/04/01 10:24:50</t>
  </si>
  <si>
    <t>세븐일레븐(판교백현점)</t>
  </si>
  <si>
    <t>2021/04/01 12:51:56</t>
  </si>
  <si>
    <t>2021/04/01 13:24:44</t>
  </si>
  <si>
    <t>쉐프의밥상</t>
  </si>
  <si>
    <t>2021/04/01 13:33:55</t>
  </si>
  <si>
    <t>위례고깃집</t>
  </si>
  <si>
    <t>2021/04/01 14:29:30</t>
  </si>
  <si>
    <t>판교에서 평택가구 이전알바비</t>
    <phoneticPr fontId="19" type="noConversion"/>
  </si>
  <si>
    <t>2021/04/01 16:22:03</t>
  </si>
  <si>
    <t>2021/04/01 16:34:56</t>
  </si>
  <si>
    <t>엉터리집</t>
  </si>
  <si>
    <t>2021/04/01 17:26:39</t>
  </si>
  <si>
    <t>2021/04/01 17:38:51</t>
  </si>
  <si>
    <t>짬뽕의달인</t>
  </si>
  <si>
    <t>2021/04/01 18:39:11</t>
  </si>
  <si>
    <t>어깨동무한의원</t>
  </si>
  <si>
    <t>2021/04/01 19:11:58</t>
  </si>
  <si>
    <t>2021/04/02 12:56:02</t>
  </si>
  <si>
    <t>개별화물 이춘원</t>
  </si>
  <si>
    <t>판교 사택이전용차비</t>
    <phoneticPr fontId="19" type="noConversion"/>
  </si>
  <si>
    <t>2021/04/02 12:56:03</t>
  </si>
  <si>
    <t>두래사다리차 강대기</t>
  </si>
  <si>
    <t>보관집기가정이사 사다리차사용</t>
    <phoneticPr fontId="19" type="noConversion"/>
  </si>
  <si>
    <t>2021/04/02 12:56:04</t>
  </si>
  <si>
    <t>양유빈</t>
  </si>
  <si>
    <t>판교 사택이사사다리차</t>
    <phoneticPr fontId="19" type="noConversion"/>
  </si>
  <si>
    <t>2021/04/02 12:56:05</t>
  </si>
  <si>
    <t>고말례</t>
  </si>
  <si>
    <t>보관집기가정이사 주방용역</t>
    <phoneticPr fontId="19" type="noConversion"/>
  </si>
  <si>
    <t>2021/04/02 12:56:06</t>
  </si>
  <si>
    <t>이영무</t>
  </si>
  <si>
    <t>김영호 보관집기 가정이사 용역</t>
    <phoneticPr fontId="19" type="noConversion"/>
  </si>
  <si>
    <t>2021/04/02 13:26:45</t>
  </si>
  <si>
    <t>가츠몽양재점</t>
  </si>
  <si>
    <t>2021/04/02 14:58:47</t>
  </si>
  <si>
    <t>2021/04/02 17:35:28</t>
  </si>
  <si>
    <t>아주방</t>
  </si>
  <si>
    <t>2021/04/02 17:48:15</t>
  </si>
  <si>
    <t>대륭포스트타워1차입주자대표운영위원</t>
  </si>
  <si>
    <t>2021/04/02 19:10:37</t>
  </si>
  <si>
    <t>2021/04/02 19:47:57</t>
  </si>
  <si>
    <t>2021/04/02 20:08:45</t>
  </si>
  <si>
    <t>emart24포이사거리점</t>
  </si>
  <si>
    <t>2021/04/03 00:49:16</t>
  </si>
  <si>
    <t>미래향</t>
  </si>
  <si>
    <t>2021/04/03 02:47:53</t>
  </si>
  <si>
    <t>30개월</t>
  </si>
  <si>
    <t>2021/04/03 12:52:00</t>
  </si>
  <si>
    <t>2021/04/03 18:27:42</t>
  </si>
  <si>
    <t>백암왕순대</t>
  </si>
  <si>
    <t>2021/04/03 22:24:09</t>
  </si>
  <si>
    <t>지중해의아침A</t>
  </si>
  <si>
    <t>2021/04/03 22:55:19</t>
  </si>
  <si>
    <t>네네치킨금왕점</t>
  </si>
  <si>
    <t>2021/04/05 09:36:19</t>
  </si>
  <si>
    <t>E-기업은행</t>
  </si>
  <si>
    <t>제이모바일</t>
  </si>
  <si>
    <t>기업 0032298</t>
  </si>
  <si>
    <t>2021/04/05 12:49:46</t>
  </si>
  <si>
    <t>2021/04/05 13:03:12</t>
  </si>
  <si>
    <t>4월3일 점심식대 결제</t>
    <phoneticPr fontId="19" type="noConversion"/>
  </si>
  <si>
    <t>2021/04/05 13:05:09</t>
  </si>
  <si>
    <t>2021/04/05 21:02:04</t>
  </si>
  <si>
    <t>대로집</t>
  </si>
  <si>
    <t>2021/04/05 21:51:30</t>
  </si>
  <si>
    <t>굿베이커리(불광점)</t>
  </si>
  <si>
    <t>2021/04/06 10:32:25</t>
  </si>
  <si>
    <t>2021/04/06 12:47:12</t>
  </si>
  <si>
    <t>2021/04/06 13:55:18</t>
  </si>
  <si>
    <t>강산유리샷시</t>
  </si>
  <si>
    <t>2021/04/06 14:51:34</t>
  </si>
  <si>
    <t>2021/04/06 16:45:00</t>
  </si>
  <si>
    <t>2021/04/07 12:35:33</t>
  </si>
  <si>
    <t>주식회사넷길이콩나물국밥</t>
  </si>
  <si>
    <t>2021/04/07 12:45:26</t>
  </si>
  <si>
    <t>무봉리순대국</t>
  </si>
  <si>
    <t>2021/04/07 13:11:30</t>
  </si>
  <si>
    <t>국민 0066044</t>
  </si>
  <si>
    <t>2021/04/07 13:50:59</t>
  </si>
  <si>
    <t>2021/04/07 14:48:58</t>
  </si>
  <si>
    <t>이리스</t>
  </si>
  <si>
    <t>2021/04/07 14:52:19</t>
  </si>
  <si>
    <t>2021/04/07 17:52:19</t>
  </si>
  <si>
    <t>7846분납보험</t>
  </si>
  <si>
    <t>2021/04/07 18:37:49</t>
  </si>
  <si>
    <t>2021/04/07 23:30:18</t>
  </si>
  <si>
    <t>2021/04/07 23:41:08</t>
  </si>
  <si>
    <t>2021/04/08 11:17:57</t>
  </si>
  <si>
    <t>2021/04/08 12:22:03</t>
  </si>
  <si>
    <t>2021/04/08 12:26:13</t>
  </si>
  <si>
    <t>2021/04/08 14:05:11</t>
  </si>
  <si>
    <t>2021/04/08 14:34:57</t>
  </si>
  <si>
    <t>2021/04/08 14:50:35</t>
  </si>
  <si>
    <t>2021/04/08 14:51:11</t>
  </si>
  <si>
    <t>2021/04/08 15:24:20</t>
  </si>
  <si>
    <t>판매집기 반납금</t>
    <phoneticPr fontId="19" type="noConversion"/>
  </si>
  <si>
    <t>2021/04/08 16:05:18</t>
  </si>
  <si>
    <t>2021/04/08 17:42:31</t>
  </si>
  <si>
    <t>2021/04/08 18:33:12</t>
  </si>
  <si>
    <t>농협 HYJ9589</t>
  </si>
  <si>
    <t>2021/04/09 10:10:46</t>
  </si>
  <si>
    <t>2021/04/09 10:53:03</t>
  </si>
  <si>
    <t>2021/04/09 11:52:15</t>
  </si>
  <si>
    <t>2021/04/09 12:31:00</t>
  </si>
  <si>
    <t>2021/04/09 13:37:29</t>
  </si>
  <si>
    <t>2021/04/09 14:52:36</t>
  </si>
  <si>
    <t>2021/04/09 15:10:45</t>
  </si>
  <si>
    <t>농협 001190</t>
  </si>
  <si>
    <t>2021/04/09 15:17:03</t>
  </si>
  <si>
    <t>폰카카오</t>
  </si>
  <si>
    <t>카카오뱅크 0900032</t>
  </si>
  <si>
    <t>2021/04/09 16:02:34</t>
  </si>
  <si>
    <t>제로페이결</t>
  </si>
  <si>
    <t>2021/04/09 17:14:44</t>
  </si>
  <si>
    <t>S-신협</t>
  </si>
  <si>
    <t>2021/04/09 17:18:54</t>
  </si>
  <si>
    <t>2021/04/09 17:22:14</t>
  </si>
  <si>
    <t>2021/04/09 19:23:24</t>
  </si>
  <si>
    <t>2021/04/10 15:44:57</t>
  </si>
  <si>
    <t>2021/04/10 16:30:24</t>
  </si>
  <si>
    <t>2021/04/11 17:38:00</t>
  </si>
  <si>
    <t>2021/04/11 20:45:11</t>
  </si>
  <si>
    <t>IC한네트</t>
  </si>
  <si>
    <t>농협 KCI1058</t>
  </si>
  <si>
    <t>2021/04/12 06:06:18</t>
  </si>
  <si>
    <t>2021/04/12 06:58:25</t>
  </si>
  <si>
    <t>2021/04/12 12:55:36</t>
  </si>
  <si>
    <t>2021/04/12 15:34:26</t>
  </si>
  <si>
    <t>2021/04/12 16:53:57</t>
  </si>
  <si>
    <t>2021/04/12 16:54:02</t>
  </si>
  <si>
    <t>2021/04/12 16:54:07</t>
  </si>
  <si>
    <t>2021/04/12 18:37:02</t>
  </si>
  <si>
    <t>2021/04/12 18:49:47</t>
  </si>
  <si>
    <t>2021/04/12 19:04:16</t>
  </si>
  <si>
    <t>2021/04/12 22:45:25</t>
  </si>
  <si>
    <t>2021/04/12 22:53:33</t>
  </si>
  <si>
    <t>2021/04/12 23:03:09</t>
  </si>
  <si>
    <t>2021/04/13 10:05:05</t>
  </si>
  <si>
    <t>가정이사 용역비</t>
    <phoneticPr fontId="19" type="noConversion"/>
  </si>
  <si>
    <t>2021/04/13 10:05:06</t>
  </si>
  <si>
    <t>가정이사 주방용역</t>
    <phoneticPr fontId="19" type="noConversion"/>
  </si>
  <si>
    <t>2021/04/13 11:17:58</t>
  </si>
  <si>
    <t>2021/04/13 13:01:15</t>
  </si>
  <si>
    <t>2021/04/13 13:55:21</t>
  </si>
  <si>
    <t>2021/04/13 13:55:23</t>
  </si>
  <si>
    <t>2021/04/13 17:15:49</t>
  </si>
  <si>
    <t>2021/04/13 19:01:43</t>
  </si>
  <si>
    <t>2021/04/14 12:37:27</t>
  </si>
  <si>
    <t>2021/04/14 13:28:07</t>
  </si>
  <si>
    <t>2021/04/14 16:21:44</t>
  </si>
  <si>
    <t>2021/04/14 17:59:22</t>
  </si>
  <si>
    <t>2021/04/15 11:21:54</t>
  </si>
  <si>
    <t>2021/04/15 11:25:23</t>
  </si>
  <si>
    <t>2021/04/15 11:46:27</t>
  </si>
  <si>
    <t>CD하나은행</t>
  </si>
  <si>
    <t>0802732</t>
  </si>
  <si>
    <t>2021/04/15 12:55:13</t>
  </si>
  <si>
    <t>2021/04/15 13:06:39</t>
  </si>
  <si>
    <t>2021/04/15 13:20:53</t>
  </si>
  <si>
    <t>2021/04/15 13:26:55</t>
  </si>
  <si>
    <t>2021/04/15 14:10:44</t>
  </si>
  <si>
    <t>2021/04/15 14:24:02</t>
  </si>
  <si>
    <t>2021/04/15 14:59:54</t>
  </si>
  <si>
    <t>PC국민은행</t>
  </si>
  <si>
    <t>2021/04/15 16:04:04</t>
  </si>
  <si>
    <t>3월전기세</t>
  </si>
  <si>
    <t>기업 0030685</t>
  </si>
  <si>
    <t>2021/04/15 16:04:06</t>
  </si>
  <si>
    <t>3월택배비</t>
  </si>
  <si>
    <t>2021/04/15 16:25:50</t>
  </si>
  <si>
    <t>2021/04/15 18:55:14</t>
  </si>
  <si>
    <t>2021/04/15 20:13:23</t>
  </si>
  <si>
    <t>2021/04/16 14:34:26</t>
  </si>
  <si>
    <t>2021/04/16 16:19:57</t>
  </si>
  <si>
    <t>03월 택배비</t>
  </si>
  <si>
    <t>2021/04/16 17:31:58</t>
  </si>
  <si>
    <t>2021/04/16 18:06:05</t>
  </si>
  <si>
    <t>2021/04/16 18:27:46</t>
  </si>
  <si>
    <t>2021/04/16 19:03:39</t>
  </si>
  <si>
    <t>2021/04/16 21:35:24</t>
  </si>
  <si>
    <t>2021/04/17 16:51:43</t>
  </si>
  <si>
    <t>241050</t>
  </si>
  <si>
    <t>2021/04/17 17:05:32</t>
  </si>
  <si>
    <t>2021/04/17 18:00:26</t>
  </si>
  <si>
    <t>2021/04/17 19:52:45</t>
  </si>
  <si>
    <t>2021/04/18 11:52:22</t>
  </si>
  <si>
    <t>2021/04/18 17:07:43</t>
  </si>
  <si>
    <t>2021/04/19 11:25:19</t>
  </si>
  <si>
    <t>수원s현장 발지사다리차
사용비용</t>
    <phoneticPr fontId="19" type="noConversion"/>
  </si>
  <si>
    <t>01월 창고 소모품비</t>
    <phoneticPr fontId="19" type="noConversion"/>
  </si>
  <si>
    <t>2021/04/19 11:25:20</t>
  </si>
  <si>
    <t>캐비넷구매비용</t>
    <phoneticPr fontId="19" type="noConversion"/>
  </si>
  <si>
    <t>2021/04/19 11:25:21</t>
  </si>
  <si>
    <t>03월 용차비 대금처리</t>
    <phoneticPr fontId="19" type="noConversion"/>
  </si>
  <si>
    <t>2021/04/19 12:48:04</t>
  </si>
  <si>
    <t>2021/04/19 13:08:53</t>
  </si>
  <si>
    <t>2021/04/19 13:10:07</t>
  </si>
  <si>
    <t>2021/04/19 18:34:24</t>
  </si>
  <si>
    <t>가정이사 주방용역 추가
작업수당</t>
    <phoneticPr fontId="19" type="noConversion"/>
  </si>
  <si>
    <t>2021/04/19 18:34:25</t>
  </si>
  <si>
    <t>의자구매 비용</t>
    <phoneticPr fontId="19" type="noConversion"/>
  </si>
  <si>
    <t>2021/04/20 11:32:34</t>
  </si>
  <si>
    <t>2021/04/20 12:30:49</t>
  </si>
  <si>
    <t>2021/04/20 12:33:20</t>
  </si>
  <si>
    <t>211085</t>
  </si>
  <si>
    <t>2021/04/20 12:54:24</t>
  </si>
  <si>
    <t>2021/04/20 13:37:26</t>
  </si>
  <si>
    <t>2021/04/20 15:59:51</t>
  </si>
  <si>
    <t>2021/04/20 16:28:12</t>
  </si>
  <si>
    <t>2021/04/20 18:15:07</t>
  </si>
  <si>
    <t>2021/04/20 18:15:08</t>
  </si>
  <si>
    <t>2021/04/20 18:59:12</t>
  </si>
  <si>
    <t>2021/04/20 20:12:47</t>
  </si>
  <si>
    <t>2021/04/20 20:13:07</t>
  </si>
  <si>
    <t>2021/04/20 20:14:34</t>
  </si>
  <si>
    <t>2021/04/21 09:56:07</t>
  </si>
  <si>
    <t>2021/04/21 09:57:35</t>
  </si>
  <si>
    <t>2021/04/21 09:57:37</t>
  </si>
  <si>
    <t>2021/04/21 11:54:38</t>
  </si>
  <si>
    <t>2021/04/21 12:31:48</t>
  </si>
  <si>
    <t>2021/04/21 12:53:33</t>
  </si>
  <si>
    <t>2021/04/21 13:22:10</t>
  </si>
  <si>
    <t>2021/04/21 13:40:23</t>
  </si>
  <si>
    <t>2021/04/21 16:16:36</t>
  </si>
  <si>
    <t>2021/04/21 16:20:39</t>
  </si>
  <si>
    <t>2021/04/21 17:46:31</t>
  </si>
  <si>
    <t>2021/04/21 17:50:46</t>
  </si>
  <si>
    <t>2021/04/21 20:03:12</t>
  </si>
  <si>
    <t>2021/04/21 22:14:17</t>
  </si>
  <si>
    <t>2021/04/21 22:24:06</t>
  </si>
  <si>
    <t>2021/04/21 22:27:31</t>
  </si>
  <si>
    <t>NCJ532R</t>
  </si>
  <si>
    <t>2021/04/22 09:44:15</t>
  </si>
  <si>
    <t>2021/04/22 12:54:32</t>
  </si>
  <si>
    <t>2021/04/22 13:02:02</t>
  </si>
  <si>
    <t>집기구매 비용</t>
    <phoneticPr fontId="19" type="noConversion"/>
  </si>
  <si>
    <t>2021/04/22 13:24:26</t>
  </si>
  <si>
    <t>2021/04/22 13:34:09</t>
  </si>
  <si>
    <t>자재구매 비용</t>
    <phoneticPr fontId="19" type="noConversion"/>
  </si>
  <si>
    <t>2021/04/22 14:38:40</t>
  </si>
  <si>
    <t>2021/04/22 14:46:22</t>
  </si>
  <si>
    <t>2021/04/22 16:29:46</t>
  </si>
  <si>
    <t>2021/04/22 16:35:00</t>
  </si>
  <si>
    <t>블라인드 구매비용</t>
    <phoneticPr fontId="19" type="noConversion"/>
  </si>
  <si>
    <t>2021/04/22 19:05:56</t>
  </si>
  <si>
    <t>2021/04/22 19:07:23</t>
  </si>
  <si>
    <t>215066</t>
  </si>
  <si>
    <t>NH(5353-83)에서 이체</t>
    <phoneticPr fontId="19" type="noConversion"/>
  </si>
  <si>
    <t>2021/04/23 11:27:10</t>
  </si>
  <si>
    <t>2021/04/23 11:29:00</t>
  </si>
  <si>
    <t>2021/04/23 11:29:01</t>
  </si>
  <si>
    <t>2021/04/23 12:48:43</t>
  </si>
  <si>
    <t>2021/04/23 13:37:40</t>
  </si>
  <si>
    <t>2021/04/23 16:38:40</t>
  </si>
  <si>
    <t>칼국수</t>
  </si>
  <si>
    <t>2021/04/23 17:54:17</t>
  </si>
  <si>
    <t>2021/04/23 18:04:10</t>
  </si>
  <si>
    <t>2021/04/23 20:25:21</t>
  </si>
  <si>
    <t>2021/04/23 20:30:12</t>
  </si>
  <si>
    <t>2021/04/23 21:02:04</t>
  </si>
  <si>
    <t>2021/04/23 21:16:57</t>
  </si>
  <si>
    <t>2021/04/24 14:54:55</t>
  </si>
  <si>
    <t>2021/04/24 14:59:48</t>
  </si>
  <si>
    <t>2021/04/25 13:15:53</t>
  </si>
  <si>
    <t>2021/04/25 20:41:32</t>
  </si>
  <si>
    <t>2021/04/25 20:51:35</t>
  </si>
  <si>
    <t>2021/04/26 10:02:37</t>
  </si>
  <si>
    <t>박현민</t>
  </si>
  <si>
    <t>카카오뱅크0900032</t>
  </si>
  <si>
    <t>2021/04/26 12:22:21</t>
  </si>
  <si>
    <t>2021/04/26 12:35:06</t>
  </si>
  <si>
    <t>2021/04/26 12:39:10</t>
  </si>
  <si>
    <t>2021/04/26 13:51:52</t>
  </si>
  <si>
    <t>2021/04/26 13:53:37</t>
  </si>
  <si>
    <t>2021/04/26 16:30:41</t>
  </si>
  <si>
    <t>2021/04/26 17:02:25</t>
  </si>
  <si>
    <t>E-국세</t>
  </si>
  <si>
    <t>001575</t>
  </si>
  <si>
    <t>2021/04/26 17:15:29</t>
  </si>
  <si>
    <t>미지급급여 잔여분</t>
    <phoneticPr fontId="19" type="noConversion"/>
  </si>
  <si>
    <t>2021/04/26 17:36:21</t>
  </si>
  <si>
    <t>2021/04/26 17:36:23</t>
  </si>
  <si>
    <t>2021/04/26 17:39:44</t>
  </si>
  <si>
    <t>2021/04/26 17:48:49</t>
  </si>
  <si>
    <t>2021/04/26 17:54:37</t>
  </si>
  <si>
    <t>집기매각비용</t>
  </si>
  <si>
    <t>케이티 구내식당 집기매각비용</t>
    <phoneticPr fontId="19" type="noConversion"/>
  </si>
  <si>
    <t>2021/04/26 19:48:25</t>
  </si>
  <si>
    <t>CD수협</t>
  </si>
  <si>
    <t>수협0070483</t>
  </si>
  <si>
    <t>2021/04/26 19:58:09</t>
  </si>
  <si>
    <t>2021/04/26 20:13:45</t>
  </si>
  <si>
    <t>2021/04/26 21:02:22</t>
  </si>
  <si>
    <t>2021/04/26 22:30:19</t>
  </si>
  <si>
    <t>2021/04/27 12:19:06</t>
  </si>
  <si>
    <t>2021/04/27 12:44:06</t>
  </si>
  <si>
    <t>2021/04/27 13:15:38</t>
  </si>
  <si>
    <t>2021/04/27 13:17:19</t>
  </si>
  <si>
    <t>2021/04/27 13:23:15</t>
  </si>
  <si>
    <t>2021/04/27 15:47:23</t>
  </si>
  <si>
    <t>2021/04/27 16:07:21</t>
  </si>
  <si>
    <t>2021/04/27 16:44:14</t>
  </si>
  <si>
    <t>미지급급여 일부</t>
    <phoneticPr fontId="19" type="noConversion"/>
  </si>
  <si>
    <t>2021/04/27 19:12:43</t>
  </si>
  <si>
    <t>KT4473899304</t>
  </si>
  <si>
    <t>2021/04/27 19:14:06</t>
  </si>
  <si>
    <t>KT8071557904</t>
  </si>
  <si>
    <t>2021/04/27 21:46:39</t>
  </si>
  <si>
    <t>2021/04/28 09:39:58</t>
  </si>
  <si>
    <t>2021/04/28 11:40:29</t>
  </si>
  <si>
    <t>2021/04/28 11:52:41</t>
  </si>
  <si>
    <t>FreewayMarket</t>
  </si>
  <si>
    <t>2021/04/28 12:07:51</t>
  </si>
  <si>
    <t>2021/04/28 13:37:18</t>
  </si>
  <si>
    <t>2021/04/28 15:02:32</t>
  </si>
  <si>
    <t>2021/04/28 15:07:16</t>
  </si>
  <si>
    <t>2021/04/28 16:00:09</t>
  </si>
  <si>
    <t>사다리차(이문동작업)</t>
    <phoneticPr fontId="19" type="noConversion"/>
  </si>
  <si>
    <t>2021/04/28 19:29:41</t>
  </si>
  <si>
    <t>2021/04/28 19:34:58</t>
  </si>
  <si>
    <t>2021/04/28 19:38:26</t>
  </si>
  <si>
    <t>2021/04/29 12:41:14</t>
  </si>
  <si>
    <t>신한0266598</t>
  </si>
  <si>
    <t>SHB(609835)에서 이체</t>
    <phoneticPr fontId="19" type="noConversion"/>
  </si>
  <si>
    <t>2021/04/29 12:52:27</t>
  </si>
  <si>
    <t>모빌ARS</t>
  </si>
  <si>
    <t>2021/04/29 16:43:19</t>
  </si>
  <si>
    <t>2021/04/29 18:14:11</t>
  </si>
  <si>
    <t>2021/04/29 20:30:00</t>
  </si>
  <si>
    <t>2021/04/29 20:31:12</t>
  </si>
  <si>
    <t>2021/04/29 20:32:08</t>
  </si>
  <si>
    <t>2021/04/29 20:33:02</t>
  </si>
  <si>
    <t>2021/04/30 10:12:46</t>
  </si>
  <si>
    <t>2021/04/30 10:51:27</t>
  </si>
  <si>
    <t>장충동 파주 용차비 2대</t>
    <phoneticPr fontId="19" type="noConversion"/>
  </si>
  <si>
    <t>2021/04/30 10:51:28</t>
  </si>
  <si>
    <t>장충동 파주 용차비</t>
    <phoneticPr fontId="19" type="noConversion"/>
  </si>
  <si>
    <t>2021/04/30 13:00:18</t>
  </si>
  <si>
    <t>2021/04/30 13:24:47</t>
  </si>
  <si>
    <t>2021/04/30 14:07:27</t>
  </si>
  <si>
    <t>2021/04/30 14:20:04</t>
  </si>
  <si>
    <t>2021/04/30 16:52:45</t>
  </si>
  <si>
    <t>2021/04/30 18:42:06</t>
  </si>
  <si>
    <t>국민0199568</t>
  </si>
  <si>
    <t>2021/04/30 19:15:48</t>
  </si>
  <si>
    <t>2021/04/30 20:09:24</t>
  </si>
  <si>
    <t>냉난방기 이전설치 비용</t>
    <phoneticPr fontId="19" type="noConversion"/>
  </si>
  <si>
    <t>2021/04/30 20:09:25</t>
  </si>
  <si>
    <t>폐기물처리비용</t>
    <phoneticPr fontId="19" type="noConversion"/>
  </si>
  <si>
    <t>농협은행</t>
    <phoneticPr fontId="19" type="noConversion"/>
  </si>
  <si>
    <t>2020/09/27 10:56:49</t>
  </si>
  <si>
    <t>농협 201058</t>
  </si>
  <si>
    <t>2021.05.03 10:26:40 현재</t>
  </si>
  <si>
    <t>2021.04.01~2021.04.30</t>
  </si>
  <si>
    <t>2021.04.27 17:40:57</t>
  </si>
  <si>
    <t>이자수</t>
  </si>
  <si>
    <t>3,208,523</t>
  </si>
  <si>
    <t>351002189051</t>
  </si>
  <si>
    <t>14,964</t>
  </si>
  <si>
    <t>2021.04.27 17:40:58</t>
  </si>
  <si>
    <t>10,491</t>
  </si>
  <si>
    <t>351002189075</t>
  </si>
  <si>
    <t>4,473</t>
  </si>
  <si>
    <t>2021.04.27 14:25:10</t>
  </si>
  <si>
    <t>정정</t>
  </si>
  <si>
    <t>-3,208,523</t>
  </si>
  <si>
    <t>3,212,996</t>
  </si>
  <si>
    <t>4</t>
  </si>
  <si>
    <t>2021.04.27 14:25:27</t>
  </si>
  <si>
    <t>-10,491</t>
  </si>
  <si>
    <t>5</t>
  </si>
  <si>
    <t>2021.04.29 12:41:13</t>
  </si>
  <si>
    <t>BZ뱅크</t>
  </si>
  <si>
    <t>3,222,987</t>
  </si>
  <si>
    <t>500</t>
  </si>
  <si>
    <t>6</t>
  </si>
  <si>
    <t>BZ수수</t>
  </si>
  <si>
    <t>입금건수 / 입금합계 : 0 건 / 0 원</t>
  </si>
  <si>
    <t>출금건수 / 출금합계 : 6 건 / 3,223,487 원</t>
  </si>
  <si>
    <t>신한은행</t>
    <phoneticPr fontId="11" type="noConversion"/>
  </si>
  <si>
    <t>예금신탁계좌조회</t>
  </si>
  <si>
    <t>입출금이 자유로운 예금계좌</t>
  </si>
  <si>
    <t>계좌명</t>
  </si>
  <si>
    <t>사업자응원통장-기업자유</t>
  </si>
  <si>
    <t>국민은행</t>
    <phoneticPr fontId="11" type="noConversion"/>
  </si>
  <si>
    <t>출력일시 : 2021-05-03 10:33:01</t>
  </si>
  <si>
    <t>하나은행</t>
    <phoneticPr fontId="11" type="noConversion"/>
  </si>
  <si>
    <t>거래내역조회_입출식 예금</t>
  </si>
  <si>
    <t>조회기준일 : 2021년 05월 03일 10:34</t>
  </si>
  <si>
    <t>예금종류 : 기업자유예금(기업섬김통장)</t>
  </si>
  <si>
    <t>현재잔액 : 179원</t>
  </si>
  <si>
    <t>출금가능금액 : 0원</t>
  </si>
  <si>
    <t>조회시작일자 : 2021-04-01</t>
  </si>
  <si>
    <t>조회종료일자 : 2021-04-30</t>
  </si>
  <si>
    <t>거래후 잔액</t>
  </si>
  <si>
    <t>상대계좌번호</t>
  </si>
  <si>
    <t>상대은행</t>
  </si>
  <si>
    <t>거래구분</t>
  </si>
  <si>
    <t>수표어음금액</t>
  </si>
  <si>
    <t>CMS코드</t>
  </si>
  <si>
    <t>상대계좌예금주명</t>
  </si>
  <si>
    <t>2021-04-19 07:17:36</t>
  </si>
  <si>
    <t>2021년결산</t>
  </si>
  <si>
    <t>기업은행</t>
    <phoneticPr fontId="11" type="noConversion"/>
  </si>
  <si>
    <r>
      <rPr>
        <sz val="11"/>
        <color rgb="FF575757"/>
        <rFont val="돋움"/>
        <family val="3"/>
        <charset val="129"/>
      </rPr>
      <t>기업은행</t>
    </r>
    <r>
      <rPr>
        <sz val="11"/>
        <color rgb="FF575757"/>
        <rFont val="Tahoma"/>
        <family val="2"/>
      </rPr>
      <t>(</t>
    </r>
    <r>
      <rPr>
        <sz val="11"/>
        <color rgb="FF575757"/>
        <rFont val="돋움"/>
        <family val="3"/>
        <charset val="129"/>
      </rPr>
      <t>퇴직연금</t>
    </r>
    <r>
      <rPr>
        <sz val="11"/>
        <color rgb="FF575757"/>
        <rFont val="Tahoma"/>
        <family val="2"/>
      </rPr>
      <t>)</t>
    </r>
    <phoneticPr fontId="11" type="noConversion"/>
  </si>
  <si>
    <t>1월 작업비 정산</t>
    <phoneticPr fontId="13" type="noConversion"/>
  </si>
  <si>
    <t>(주)파이오링크</t>
    <phoneticPr fontId="13" type="noConversion"/>
  </si>
  <si>
    <t>3월 물류비 정산</t>
    <phoneticPr fontId="13" type="noConversion"/>
  </si>
  <si>
    <t>4월 작업비 정산</t>
    <phoneticPr fontId="13" type="noConversion"/>
  </si>
  <si>
    <t>황라희(루루마켓)</t>
    <phoneticPr fontId="13" type="noConversion"/>
  </si>
  <si>
    <t>기타</t>
    <phoneticPr fontId="13" type="noConversion"/>
  </si>
  <si>
    <t>2021-04-01</t>
  </si>
  <si>
    <t>2021-04-05</t>
  </si>
  <si>
    <t>2021-04-06</t>
  </si>
  <si>
    <t>2021-04-09</t>
  </si>
  <si>
    <t>2021-04-12</t>
  </si>
  <si>
    <t>2021-04-13</t>
  </si>
  <si>
    <t>2021-04-14</t>
  </si>
  <si>
    <t>2021-04-20</t>
  </si>
  <si>
    <t>2021-04-23</t>
  </si>
  <si>
    <t>2021-04-26</t>
  </si>
  <si>
    <t>2021-04-27</t>
  </si>
  <si>
    <t>2021-04-29</t>
  </si>
  <si>
    <t>2021-04-30</t>
  </si>
  <si>
    <t>집기 납품</t>
  </si>
  <si>
    <t>사무실~Lay-out 작업</t>
  </si>
  <si>
    <t>03월 창고임대료</t>
  </si>
  <si>
    <t>03월 전기료</t>
  </si>
  <si>
    <t>개포현장 작업</t>
  </si>
  <si>
    <t>개포현장 집기~잠실현장 전출</t>
  </si>
  <si>
    <t>판교본사집기~평택집기이전 간</t>
  </si>
  <si>
    <t>판교본사 집기~평택 집기이전건</t>
  </si>
  <si>
    <t>4월 창고임대료</t>
  </si>
  <si>
    <t>서부금융센터~고객서비스 집기이전 작업 건</t>
  </si>
  <si>
    <t>각 지점 집기배송 작업 건</t>
  </si>
  <si>
    <t>각 지점 키폰 및 블라인드설치작업</t>
  </si>
  <si>
    <t>산업폐기  추가 작업</t>
  </si>
  <si>
    <t>문서 이전 및 폐기작업</t>
  </si>
  <si>
    <t>생명,성우,종이나라~집기 이전</t>
  </si>
  <si>
    <t>사무집기 판매</t>
    <phoneticPr fontId="13" type="noConversion"/>
  </si>
  <si>
    <t>매출취소 건</t>
    <phoneticPr fontId="19" type="noConversion"/>
  </si>
  <si>
    <t>취소건</t>
    <phoneticPr fontId="19" type="noConversion"/>
  </si>
  <si>
    <t>취소건</t>
    <phoneticPr fontId="19" type="noConversion"/>
  </si>
  <si>
    <t>2021-04-01</t>
    <phoneticPr fontId="11" type="noConversion"/>
  </si>
  <si>
    <t>2021년 3월 하반월 자금수지상황보고서 제출</t>
    <phoneticPr fontId="11" type="noConversion"/>
  </si>
  <si>
    <t>2021-04-03</t>
    <phoneticPr fontId="11" type="noConversion"/>
  </si>
  <si>
    <t>2021-04-04</t>
    <phoneticPr fontId="11" type="noConversion"/>
  </si>
  <si>
    <t>2021년 4월 상반월 자금수지상황보고서 제출</t>
    <phoneticPr fontId="11" type="noConversion"/>
  </si>
  <si>
    <t>2021-04-07</t>
    <phoneticPr fontId="11" type="noConversion"/>
  </si>
  <si>
    <t>공익채권 변제 결과 보고</t>
    <phoneticPr fontId="11" type="noConversion"/>
  </si>
  <si>
    <t>2021-04-02</t>
    <phoneticPr fontId="11" type="noConversion"/>
  </si>
  <si>
    <t>2021-04-05</t>
    <phoneticPr fontId="11" type="noConversion"/>
  </si>
  <si>
    <t>용역비 등 지급허가 신청</t>
    <phoneticPr fontId="11" type="noConversion"/>
  </si>
  <si>
    <t>2021-04-06</t>
    <phoneticPr fontId="11" type="noConversion"/>
  </si>
  <si>
    <t>공익채권 변제 허가 신청</t>
    <phoneticPr fontId="11" type="noConversion"/>
  </si>
  <si>
    <t>가산금 포함 18,437,200원 변제</t>
    <phoneticPr fontId="11" type="noConversion"/>
  </si>
  <si>
    <t>없    음</t>
    <phoneticPr fontId="11" type="noConversion"/>
  </si>
  <si>
    <t>4/7 취소건</t>
    <phoneticPr fontId="19" type="noConversion"/>
  </si>
  <si>
    <t>농협은행</t>
  </si>
  <si>
    <t>타행송금수수료</t>
  </si>
  <si>
    <t>3월 관리인 급여</t>
  </si>
  <si>
    <t>3월 직원 급여</t>
  </si>
  <si>
    <t>3월 직원급여</t>
  </si>
  <si>
    <t>2월 작업비 정산</t>
  </si>
  <si>
    <t>2020년 2기 부가가치세 납부</t>
    <phoneticPr fontId="11" type="noConversion"/>
  </si>
  <si>
    <t>2021-04-06</t>
    <phoneticPr fontId="11" type="noConversion"/>
  </si>
  <si>
    <t>사무실 4월 인터넷요금</t>
  </si>
  <si>
    <t>사무실 4월 전화요금</t>
  </si>
  <si>
    <t>냉난방기 이전설치 비용</t>
  </si>
  <si>
    <t>음료 및 간식</t>
  </si>
  <si>
    <t>음료</t>
  </si>
  <si>
    <t>음</t>
  </si>
  <si>
    <t>직원 진료비</t>
  </si>
  <si>
    <t>차량유류비</t>
  </si>
  <si>
    <t>사다리차 사용</t>
  </si>
  <si>
    <t>현장 일용직 급여</t>
  </si>
  <si>
    <t>주차비</t>
  </si>
  <si>
    <t>간식</t>
  </si>
  <si>
    <t>택배비</t>
  </si>
  <si>
    <t>매출 외</t>
    <phoneticPr fontId="13" type="noConversion"/>
  </si>
  <si>
    <t>차량유지비</t>
    <phoneticPr fontId="11" type="noConversion"/>
  </si>
  <si>
    <t>BMW</t>
    <phoneticPr fontId="11" type="noConversion"/>
  </si>
  <si>
    <t>렌탈료</t>
    <phoneticPr fontId="11" type="noConversion"/>
  </si>
  <si>
    <t>세금과공과</t>
    <phoneticPr fontId="11" type="noConversion"/>
  </si>
  <si>
    <t>동원철야작업 숙소비</t>
  </si>
  <si>
    <t>2020년 2기 부가가치세(허가 득함)</t>
    <phoneticPr fontId="11" type="noConversion"/>
  </si>
  <si>
    <t>숙소비 외</t>
    <phoneticPr fontId="11" type="noConversion"/>
  </si>
  <si>
    <t>서울회생법원 제**부(나)</t>
    <phoneticPr fontId="13" type="noConversion"/>
  </si>
  <si>
    <t>4월 전력비 납부 못함</t>
    <phoneticPr fontId="11" type="noConversion"/>
  </si>
  <si>
    <t>삼**중공업(주)</t>
  </si>
  <si>
    <t>삼**중공업 판교사택이사</t>
  </si>
  <si>
    <t>(주)삼**경제연구소</t>
  </si>
  <si>
    <t>삼**물산(주)</t>
  </si>
  <si>
    <t>삼**건설 이문동 가사사무실 청소작업</t>
  </si>
  <si>
    <t>삼**중공업주식회사</t>
  </si>
  <si>
    <t>삼**카드고객서비스</t>
  </si>
  <si>
    <t>삼**물산㈜</t>
  </si>
  <si>
    <t>**시스템(주)</t>
  </si>
  <si>
    <t>**시스템~임원사택 집기폐기 지원</t>
  </si>
  <si>
    <t>**시스템㈜</t>
  </si>
  <si>
    <t>주식회사 **컴코리아</t>
  </si>
  <si>
    <t>(주)**컴코리아</t>
  </si>
  <si>
    <t>***케이산업㈜</t>
  </si>
  <si>
    <t>***디어푸드 주식회사</t>
  </si>
  <si>
    <t>***본사~음성 집기 이전 작업</t>
  </si>
  <si>
    <t>(주)***홈푸드</t>
  </si>
  <si>
    <t>***홈푸드 일죽물류센터 유휴가구 집기배송</t>
  </si>
  <si>
    <t>***시스템즈(주)</t>
  </si>
  <si>
    <t>***건설산업㈜</t>
  </si>
  <si>
    <t>***로엑스(주)</t>
  </si>
  <si>
    <t>㈜***엔터프라이즈</t>
  </si>
  <si>
    <t>주식회사 ***리이프티브이</t>
  </si>
  <si>
    <t>(주)***엠앤에스</t>
  </si>
  <si>
    <t>(주)***신라</t>
  </si>
  <si>
    <t>***신라 집기이전작업</t>
  </si>
  <si>
    <t>***케이인터내셔날</t>
  </si>
  <si>
    <t>(주)***팩솔루션</t>
  </si>
  <si>
    <t>김**</t>
  </si>
  <si>
    <t>**표 부장</t>
  </si>
  <si>
    <t>**표부장</t>
  </si>
  <si>
    <t>**희주임</t>
  </si>
  <si>
    <t>김**과장</t>
  </si>
  <si>
    <t>손**(00고)</t>
  </si>
  <si>
    <t>(주)**시스템</t>
  </si>
  <si>
    <t>355-00**-***3-83</t>
  </si>
  <si>
    <t>355-00**-***3-83</t>
    <phoneticPr fontId="11" type="noConversion"/>
  </si>
  <si>
    <t>355-00**-***0-63</t>
  </si>
  <si>
    <t>355-00**-***0-63</t>
    <phoneticPr fontId="11" type="noConversion"/>
  </si>
  <si>
    <t>355-00**-***1-53</t>
  </si>
  <si>
    <t>355-00**-***1-53</t>
    <phoneticPr fontId="11" type="noConversion"/>
  </si>
  <si>
    <t>100-***-609***</t>
  </si>
  <si>
    <t>100-***-609***</t>
    <phoneticPr fontId="11" type="noConversion"/>
  </si>
  <si>
    <t>794***-04-00****</t>
    <phoneticPr fontId="11" type="noConversion"/>
  </si>
  <si>
    <t>145-****11-****4</t>
    <phoneticPr fontId="11" type="noConversion"/>
  </si>
  <si>
    <t>***-013***-04-***</t>
    <phoneticPr fontId="11" type="noConversion"/>
  </si>
  <si>
    <t>2020년 금 제3***호</t>
    <phoneticPr fontId="11" type="noConversion"/>
  </si>
  <si>
    <t>2020년 금 제***5호</t>
    <phoneticPr fontId="11" type="noConversion"/>
  </si>
  <si>
    <t>2020년 금 제***6호</t>
    <phoneticPr fontId="11" type="noConversion"/>
  </si>
  <si>
    <t>***-****67-*4-0**</t>
    <phoneticPr fontId="11" type="noConversion"/>
  </si>
  <si>
    <t>㈜***케이 가압류 배당 공탁금</t>
    <phoneticPr fontId="11" type="noConversion"/>
  </si>
  <si>
    <t>㈜**로지스틱스</t>
    <phoneticPr fontId="11" type="noConversion"/>
  </si>
  <si>
    <t>메리츠㈜**</t>
    <phoneticPr fontId="11" type="noConversion"/>
  </si>
  <si>
    <r>
      <rPr>
        <sz val="11"/>
        <color rgb="FF575757"/>
        <rFont val="돋움"/>
        <family val="3"/>
        <charset val="129"/>
      </rPr>
      <t>계좌번호</t>
    </r>
    <r>
      <rPr>
        <sz val="11"/>
        <color rgb="FF575757"/>
        <rFont val="Tahoma"/>
        <family val="2"/>
      </rPr>
      <t xml:space="preserve"> : ***-013***-04-***</t>
    </r>
    <phoneticPr fontId="11" type="noConversion"/>
  </si>
  <si>
    <t>납부액</t>
    <phoneticPr fontId="11" type="noConversion"/>
  </si>
  <si>
    <t>회사부담</t>
    <phoneticPr fontId="11" type="noConversion"/>
  </si>
  <si>
    <t>직원부담</t>
    <phoneticPr fontId="11" type="noConversion"/>
  </si>
  <si>
    <t>회사부담율</t>
    <phoneticPr fontId="11" type="noConversion"/>
  </si>
  <si>
    <t>직원부담율</t>
    <phoneticPr fontId="11" type="noConversion"/>
  </si>
  <si>
    <t>장기요양보험료</t>
    <phoneticPr fontId="11" type="noConversion"/>
  </si>
  <si>
    <t>소계</t>
    <phoneticPr fontId="11" type="noConversion"/>
  </si>
  <si>
    <t>국세청(파주세무서)</t>
    <phoneticPr fontId="11" type="noConversion"/>
  </si>
  <si>
    <t>* 4대보험료 요율 변경시 변경 요망</t>
    <phoneticPr fontId="11" type="noConversion"/>
  </si>
  <si>
    <t>* 형광표시부분만 입력</t>
    <phoneticPr fontId="11" type="noConversion"/>
  </si>
  <si>
    <t>20** 간회합100*** 간이회생</t>
    <phoneticPr fontId="13" type="noConversion"/>
  </si>
  <si>
    <t>20**. **. **. 회생절차 개시결정</t>
    <phoneticPr fontId="13" type="noConversion"/>
  </si>
  <si>
    <t>20**. **. **. 회생계획 인가결정</t>
    <phoneticPr fontId="11" type="noConversion"/>
  </si>
  <si>
    <t xml:space="preserve"> 월간보고서 (20**. 04.)
</t>
    <phoneticPr fontId="13" type="noConversion"/>
  </si>
  <si>
    <t xml:space="preserve"> - 20**년 4월 통장 사본</t>
    <phoneticPr fontId="13" type="noConversion"/>
  </si>
  <si>
    <t>(20**. 04. 01. ~ 20**. 04. 30.)</t>
    <phoneticPr fontId="13" type="noConversion"/>
  </si>
  <si>
    <t>20**년</t>
    <phoneticPr fontId="19" type="noConversion"/>
  </si>
  <si>
    <t>(20**. 04. 30. 기준)</t>
    <phoneticPr fontId="13" type="noConversion"/>
  </si>
  <si>
    <t>20**/04/01 ~ 20**/04/30</t>
    <phoneticPr fontId="11" type="noConversion"/>
  </si>
  <si>
    <t>현재시간 : 20**년 05월 03일 10시 02분 14초</t>
    <phoneticPr fontId="11" type="noConversion"/>
  </si>
  <si>
    <t>20**/04/01 ~ 20**/04/30</t>
    <phoneticPr fontId="19" type="noConversion"/>
  </si>
  <si>
    <t>현재시간 : 20**년 05월 03일 10시 04분 20초</t>
    <phoneticPr fontId="19" type="noConversion"/>
  </si>
  <si>
    <t>CU**대로점</t>
    <phoneticPr fontId="19" type="noConversion"/>
  </si>
  <si>
    <t>세븐일레븐(**백현점)</t>
    <phoneticPr fontId="19" type="noConversion"/>
  </si>
  <si>
    <t>**리두루치기</t>
    <phoneticPr fontId="19" type="noConversion"/>
  </si>
  <si>
    <t>**의밥상</t>
    <phoneticPr fontId="19" type="noConversion"/>
  </si>
  <si>
    <t>**고깃집</t>
    <phoneticPr fontId="19" type="noConversion"/>
  </si>
  <si>
    <t>용**</t>
    <phoneticPr fontId="19" type="noConversion"/>
  </si>
  <si>
    <t>***집</t>
    <phoneticPr fontId="19" type="noConversion"/>
  </si>
  <si>
    <t>**카드고객서비스</t>
    <phoneticPr fontId="19" type="noConversion"/>
  </si>
  <si>
    <t>**의달인</t>
    <phoneticPr fontId="19" type="noConversion"/>
  </si>
  <si>
    <t>****한의원</t>
    <phoneticPr fontId="19" type="noConversion"/>
  </si>
  <si>
    <t>**주유소</t>
    <phoneticPr fontId="19" type="noConversion"/>
  </si>
  <si>
    <t>개별화물 이**</t>
    <phoneticPr fontId="19" type="noConversion"/>
  </si>
  <si>
    <t>**사다리차 강**</t>
    <phoneticPr fontId="19" type="noConversion"/>
  </si>
  <si>
    <t>양**</t>
    <phoneticPr fontId="19" type="noConversion"/>
  </si>
  <si>
    <t>고**</t>
    <phoneticPr fontId="19" type="noConversion"/>
  </si>
  <si>
    <t>이**</t>
    <phoneticPr fontId="19" type="noConversion"/>
  </si>
  <si>
    <t>가츠몽**점</t>
    <phoneticPr fontId="19" type="noConversion"/>
  </si>
  <si>
    <t>**에너지㈜**주유소</t>
    <phoneticPr fontId="19" type="noConversion"/>
  </si>
  <si>
    <t>아**</t>
    <phoneticPr fontId="19" type="noConversion"/>
  </si>
  <si>
    <t>****타워입주자대표운영위원</t>
    <phoneticPr fontId="19" type="noConversion"/>
  </si>
  <si>
    <t>**향</t>
    <phoneticPr fontId="19" type="noConversion"/>
  </si>
  <si>
    <t>**천국</t>
    <phoneticPr fontId="19" type="noConversion"/>
  </si>
  <si>
    <t>emart24***거리점</t>
    <phoneticPr fontId="19" type="noConversion"/>
  </si>
  <si>
    <t>**서울해장국**집****점</t>
    <phoneticPr fontId="19" type="noConversion"/>
  </si>
  <si>
    <t>**왕순대</t>
    <phoneticPr fontId="19" type="noConversion"/>
  </si>
  <si>
    <t>***의아침A</t>
    <phoneticPr fontId="19" type="noConversion"/>
  </si>
  <si>
    <t>**치킨금왕점</t>
    <phoneticPr fontId="19" type="noConversion"/>
  </si>
  <si>
    <t>제이***</t>
    <phoneticPr fontId="19" type="noConversion"/>
  </si>
  <si>
    <t>㈜****스틱스</t>
    <phoneticPr fontId="19" type="noConversion"/>
  </si>
  <si>
    <t>**에너지(주)직영**주유소</t>
    <phoneticPr fontId="19" type="noConversion"/>
  </si>
  <si>
    <t>**석유㈜**주유소</t>
    <phoneticPr fontId="19" type="noConversion"/>
  </si>
  <si>
    <t>**버티칼</t>
    <phoneticPr fontId="19" type="noConversion"/>
  </si>
  <si>
    <t>**무집</t>
    <phoneticPr fontId="19" type="noConversion"/>
  </si>
  <si>
    <t>**산업㈜**(서울)휴게소</t>
    <phoneticPr fontId="19" type="noConversion"/>
  </si>
  <si>
    <t>**포장</t>
    <phoneticPr fontId="19" type="noConversion"/>
  </si>
  <si>
    <t>****(상)주유소</t>
    <phoneticPr fontId="19" type="noConversion"/>
  </si>
  <si>
    <t>**텍</t>
    <phoneticPr fontId="19" type="noConversion"/>
  </si>
  <si>
    <t>㈜**</t>
    <phoneticPr fontId="19" type="noConversion"/>
  </si>
  <si>
    <t>씨유(CU)**시장점</t>
    <phoneticPr fontId="19" type="noConversion"/>
  </si>
  <si>
    <t>**호텔</t>
    <phoneticPr fontId="19" type="noConversion"/>
  </si>
  <si>
    <t>씨유(CU)****후문점</t>
    <phoneticPr fontId="19" type="noConversion"/>
  </si>
  <si>
    <t>**토스트</t>
    <phoneticPr fontId="19" type="noConversion"/>
  </si>
  <si>
    <t>**약품(주)</t>
    <phoneticPr fontId="19" type="noConversion"/>
  </si>
  <si>
    <t>㈜**하휴게소</t>
    <phoneticPr fontId="19" type="noConversion"/>
  </si>
  <si>
    <t>㈜**팩솔루션</t>
    <phoneticPr fontId="19" type="noConversion"/>
  </si>
  <si>
    <t>**신도림TM점</t>
    <phoneticPr fontId="19" type="noConversion"/>
  </si>
  <si>
    <t>**짬뽕</t>
    <phoneticPr fontId="19" type="noConversion"/>
  </si>
  <si>
    <t>***하이플러스주식회사</t>
    <phoneticPr fontId="19" type="noConversion"/>
  </si>
  <si>
    <t>**(상주)휴게소</t>
    <phoneticPr fontId="19" type="noConversion"/>
  </si>
  <si>
    <t>**유통㈜**(부산)주유소</t>
    <phoneticPr fontId="19" type="noConversion"/>
  </si>
  <si>
    <t>기공 김**</t>
    <phoneticPr fontId="19" type="noConversion"/>
  </si>
  <si>
    <t>주식회사***</t>
    <phoneticPr fontId="19" type="noConversion"/>
  </si>
  <si>
    <t>**영(***셀)</t>
    <phoneticPr fontId="19" type="noConversion"/>
  </si>
  <si>
    <t>**오아시스㈜**휴게소</t>
    <phoneticPr fontId="19" type="noConversion"/>
  </si>
  <si>
    <t>**커리(**점)</t>
    <phoneticPr fontId="19" type="noConversion"/>
  </si>
  <si>
    <t>**집</t>
    <phoneticPr fontId="19" type="noConversion"/>
  </si>
  <si>
    <t>**설렁탕</t>
    <phoneticPr fontId="19" type="noConversion"/>
  </si>
  <si>
    <t>**유리샷시</t>
    <phoneticPr fontId="19" type="noConversion"/>
  </si>
  <si>
    <t>**휴게소(**)주유소</t>
    <phoneticPr fontId="19" type="noConversion"/>
  </si>
  <si>
    <t>**광탄분수178</t>
    <phoneticPr fontId="19" type="noConversion"/>
  </si>
  <si>
    <t>주식회사***콩나물국밥</t>
    <phoneticPr fontId="19" type="noConversion"/>
  </si>
  <si>
    <t>***순대국</t>
    <phoneticPr fontId="19" type="noConversion"/>
  </si>
  <si>
    <t>배**(**테크)</t>
    <phoneticPr fontId="19" type="noConversion"/>
  </si>
  <si>
    <t>**투셀</t>
    <phoneticPr fontId="19" type="noConversion"/>
  </si>
  <si>
    <t>**투셀 집기구매</t>
    <phoneticPr fontId="19" type="noConversion"/>
  </si>
  <si>
    <t>****에비뉴**KT점</t>
    <phoneticPr fontId="19" type="noConversion"/>
  </si>
  <si>
    <t>주식회사**익스프레스파크</t>
    <phoneticPr fontId="19" type="noConversion"/>
  </si>
  <si>
    <t>CU**캐슬</t>
    <phoneticPr fontId="19" type="noConversion"/>
  </si>
  <si>
    <t>**H에너지(주)직영**주유소</t>
    <phoneticPr fontId="19" type="noConversion"/>
  </si>
  <si>
    <t>류**(**투셀)</t>
    <phoneticPr fontId="19" type="noConversion"/>
  </si>
  <si>
    <t>**테크</t>
    <phoneticPr fontId="19" type="noConversion"/>
  </si>
  <si>
    <t>***153</t>
    <phoneticPr fontId="19" type="noConversion"/>
  </si>
  <si>
    <t>**에너지나**주유소</t>
    <phoneticPr fontId="19" type="noConversion"/>
  </si>
  <si>
    <t>김**(K</t>
    <phoneticPr fontId="19" type="noConversion"/>
  </si>
  <si>
    <t>호텔**</t>
    <phoneticPr fontId="19" type="noConversion"/>
  </si>
  <si>
    <t>**시스템</t>
    <phoneticPr fontId="19" type="noConversion"/>
  </si>
  <si>
    <t>**청기와감자탕</t>
    <phoneticPr fontId="19" type="noConversion"/>
  </si>
  <si>
    <t>**감자탕</t>
    <phoneticPr fontId="19" type="noConversion"/>
  </si>
  <si>
    <t>**식당</t>
    <phoneticPr fontId="19" type="noConversion"/>
  </si>
  <si>
    <t>***약국</t>
    <phoneticPr fontId="19" type="noConversion"/>
  </si>
  <si>
    <t>김**(**프린텍)</t>
    <phoneticPr fontId="19" type="noConversion"/>
  </si>
  <si>
    <t>황**</t>
    <phoneticPr fontId="19" type="noConversion"/>
  </si>
  <si>
    <t>한국도로공사</t>
    <phoneticPr fontId="19" type="noConversion"/>
  </si>
  <si>
    <t>김**</t>
    <phoneticPr fontId="19" type="noConversion"/>
  </si>
  <si>
    <t>**표</t>
    <phoneticPr fontId="19" type="noConversion"/>
  </si>
  <si>
    <t>**연</t>
    <phoneticPr fontId="19" type="noConversion"/>
  </si>
  <si>
    <t>지에스25**스타점</t>
    <phoneticPr fontId="19" type="noConversion"/>
  </si>
  <si>
    <t>**자연산막회</t>
    <phoneticPr fontId="19" type="noConversion"/>
  </si>
  <si>
    <t>**피자</t>
    <phoneticPr fontId="19" type="noConversion"/>
  </si>
  <si>
    <t>문**</t>
    <phoneticPr fontId="19" type="noConversion"/>
  </si>
  <si>
    <t>CU**점</t>
    <phoneticPr fontId="19" type="noConversion"/>
  </si>
  <si>
    <t>**순대국</t>
    <phoneticPr fontId="19" type="noConversion"/>
  </si>
  <si>
    <t>**20한우전문점</t>
    <phoneticPr fontId="19" type="noConversion"/>
  </si>
  <si>
    <t>㈜**컴코리</t>
    <phoneticPr fontId="19" type="noConversion"/>
  </si>
  <si>
    <t>이**03월급여</t>
    <phoneticPr fontId="19" type="noConversion"/>
  </si>
  <si>
    <t>김**미지급급여</t>
    <phoneticPr fontId="19" type="noConversion"/>
  </si>
  <si>
    <t>씨유(CU)****도서관점</t>
    <phoneticPr fontId="19" type="noConversion"/>
  </si>
  <si>
    <t>**에너지㈜**제주유소</t>
    <phoneticPr fontId="19" type="noConversion"/>
  </si>
  <si>
    <t>맥도날드***드리이브점</t>
    <phoneticPr fontId="19" type="noConversion"/>
  </si>
  <si>
    <t>**호</t>
    <phoneticPr fontId="19" type="noConversion"/>
  </si>
  <si>
    <t>**례</t>
    <phoneticPr fontId="19" type="noConversion"/>
  </si>
  <si>
    <t>**나</t>
    <phoneticPr fontId="19" type="noConversion"/>
  </si>
  <si>
    <t>**순대국***점</t>
    <phoneticPr fontId="19" type="noConversion"/>
  </si>
  <si>
    <t>**빌딩전기작업</t>
    <phoneticPr fontId="19" type="noConversion"/>
  </si>
  <si>
    <t>***부장3월급여</t>
    <phoneticPr fontId="19" type="noConversion"/>
  </si>
  <si>
    <t>세븐일레븐****로점</t>
    <phoneticPr fontId="19" type="noConversion"/>
  </si>
  <si>
    <t>**우사미</t>
    <phoneticPr fontId="19" type="noConversion"/>
  </si>
  <si>
    <t>***최고집칼국수</t>
    <phoneticPr fontId="19" type="noConversion"/>
  </si>
  <si>
    <t>**의원</t>
    <phoneticPr fontId="19" type="noConversion"/>
  </si>
  <si>
    <t>**약국</t>
    <phoneticPr fontId="19" type="noConversion"/>
  </si>
  <si>
    <t>004-김**</t>
    <phoneticPr fontId="19" type="noConversion"/>
  </si>
  <si>
    <t>**통산(주)</t>
    <phoneticPr fontId="19" type="noConversion"/>
  </si>
  <si>
    <t>한국도로공사**주유소</t>
    <phoneticPr fontId="19" type="noConversion"/>
  </si>
  <si>
    <t>㈜**산업**영업소</t>
    <phoneticPr fontId="19" type="noConversion"/>
  </si>
  <si>
    <t>**시스템즈(주)</t>
    <phoneticPr fontId="19" type="noConversion"/>
  </si>
  <si>
    <t>**중공업(주)</t>
    <phoneticPr fontId="19" type="noConversion"/>
  </si>
  <si>
    <t>㈜**석유**주유소</t>
    <phoneticPr fontId="19" type="noConversion"/>
  </si>
  <si>
    <t>주식회사****파크</t>
    <phoneticPr fontId="19" type="noConversion"/>
  </si>
  <si>
    <t>김**03월급여</t>
    <phoneticPr fontId="19" type="noConversion"/>
  </si>
  <si>
    <t>***인터내셔날</t>
    <phoneticPr fontId="19" type="noConversion"/>
  </si>
  <si>
    <t>***황소곱창구이</t>
    <phoneticPr fontId="19" type="noConversion"/>
  </si>
  <si>
    <t>020-박**</t>
    <phoneticPr fontId="19" type="noConversion"/>
  </si>
  <si>
    <t>**교자동대문점</t>
    <phoneticPr fontId="19" type="noConversion"/>
  </si>
  <si>
    <t>**나주곰탕</t>
    <phoneticPr fontId="19" type="noConversion"/>
  </si>
  <si>
    <t>메가커피**점</t>
    <phoneticPr fontId="19" type="noConversion"/>
  </si>
  <si>
    <t>**사다리차</t>
    <phoneticPr fontId="19" type="noConversion"/>
  </si>
  <si>
    <t>**유통</t>
    <phoneticPr fontId="19" type="noConversion"/>
  </si>
  <si>
    <t>**산업</t>
    <phoneticPr fontId="19" type="noConversion"/>
  </si>
  <si>
    <t>전국**화물</t>
    <phoneticPr fontId="19" type="noConversion"/>
  </si>
  <si>
    <t>**해변메밀막국수</t>
    <phoneticPr fontId="19" type="noConversion"/>
  </si>
  <si>
    <t>㈜**아웃</t>
    <phoneticPr fontId="19" type="noConversion"/>
  </si>
  <si>
    <t>**사무용가구</t>
    <phoneticPr fontId="19" type="noConversion"/>
  </si>
  <si>
    <t>주식회사***주유소</t>
    <phoneticPr fontId="19" type="noConversion"/>
  </si>
  <si>
    <t>**사골순대</t>
    <phoneticPr fontId="19" type="noConversion"/>
  </si>
  <si>
    <t>**추어탕</t>
    <phoneticPr fontId="19" type="noConversion"/>
  </si>
  <si>
    <t>주식회사**건설</t>
    <phoneticPr fontId="19" type="noConversion"/>
  </si>
  <si>
    <t>***산업</t>
    <phoneticPr fontId="19" type="noConversion"/>
  </si>
  <si>
    <t>맥도날드**맥드리이브점</t>
    <phoneticPr fontId="19" type="noConversion"/>
  </si>
  <si>
    <t>**이네</t>
    <phoneticPr fontId="19" type="noConversion"/>
  </si>
  <si>
    <t>**대국부평점</t>
    <phoneticPr fontId="19" type="noConversion"/>
  </si>
  <si>
    <t>**매운탕</t>
    <phoneticPr fontId="19" type="noConversion"/>
  </si>
  <si>
    <t>비앤비**천국</t>
    <phoneticPr fontId="19" type="noConversion"/>
  </si>
  <si>
    <t>㈜**아세븐**카페점</t>
    <phoneticPr fontId="19" type="noConversion"/>
  </si>
  <si>
    <t>***명태요리전문점</t>
    <phoneticPr fontId="19" type="noConversion"/>
  </si>
  <si>
    <t>***에비뉴**KT점</t>
    <phoneticPr fontId="19" type="noConversion"/>
  </si>
  <si>
    <t>박**</t>
    <phoneticPr fontId="19" type="noConversion"/>
  </si>
  <si>
    <t>**산업㈜**휴게소</t>
    <phoneticPr fontId="19" type="noConversion"/>
  </si>
  <si>
    <t>산*</t>
    <phoneticPr fontId="19" type="noConversion"/>
  </si>
  <si>
    <t>**물산(주)-</t>
    <phoneticPr fontId="19" type="noConversion"/>
  </si>
  <si>
    <t>김** 04월급여</t>
    <phoneticPr fontId="19" type="noConversion"/>
  </si>
  <si>
    <t>***02월작업분</t>
    <phoneticPr fontId="19" type="noConversion"/>
  </si>
  <si>
    <t>이**부장03월급여</t>
    <phoneticPr fontId="19" type="noConversion"/>
  </si>
  <si>
    <t>003-유**</t>
    <phoneticPr fontId="19" type="noConversion"/>
  </si>
  <si>
    <t>******4T003</t>
    <phoneticPr fontId="19" type="noConversion"/>
  </si>
  <si>
    <t>**갈매기살</t>
    <phoneticPr fontId="19" type="noConversion"/>
  </si>
  <si>
    <t>**도시락****점</t>
    <phoneticPr fontId="19" type="noConversion"/>
  </si>
  <si>
    <t>**원</t>
    <phoneticPr fontId="19" type="noConversion"/>
  </si>
  <si>
    <t>GS25***호점</t>
    <phoneticPr fontId="19" type="noConversion"/>
  </si>
  <si>
    <t>**</t>
    <phoneticPr fontId="19" type="noConversion"/>
  </si>
  <si>
    <t>KT*******</t>
    <phoneticPr fontId="19" type="noConversion"/>
  </si>
  <si>
    <t>****알오</t>
    <phoneticPr fontId="19" type="noConversion"/>
  </si>
  <si>
    <t>면**</t>
    <phoneticPr fontId="19" type="noConversion"/>
  </si>
  <si>
    <t>***비뉴**KT점</t>
    <phoneticPr fontId="19" type="noConversion"/>
  </si>
  <si>
    <t>㈜********서울만남의광</t>
    <phoneticPr fontId="19" type="noConversion"/>
  </si>
  <si>
    <t>***해장국</t>
    <phoneticPr fontId="19" type="noConversion"/>
  </si>
  <si>
    <t>㈜*****스</t>
    <phoneticPr fontId="19" type="noConversion"/>
  </si>
  <si>
    <t>003-****</t>
    <phoneticPr fontId="19" type="noConversion"/>
  </si>
  <si>
    <t>088-***</t>
    <phoneticPr fontId="19" type="noConversion"/>
  </si>
  <si>
    <t>090-***</t>
    <phoneticPr fontId="19" type="noConversion"/>
  </si>
  <si>
    <t>개별화물 황**</t>
    <phoneticPr fontId="19" type="noConversion"/>
  </si>
  <si>
    <t>**운수 노**</t>
    <phoneticPr fontId="19" type="noConversion"/>
  </si>
  <si>
    <t>개별용달 김**</t>
    <phoneticPr fontId="19" type="noConversion"/>
  </si>
  <si>
    <t>다**</t>
    <phoneticPr fontId="19" type="noConversion"/>
  </si>
  <si>
    <t>***링크</t>
    <phoneticPr fontId="19" type="noConversion"/>
  </si>
  <si>
    <t>**로엑스(주)</t>
    <phoneticPr fontId="19" type="noConversion"/>
  </si>
  <si>
    <t>세무사***</t>
    <phoneticPr fontId="19" type="noConversion"/>
  </si>
  <si>
    <t>**자원</t>
    <phoneticPr fontId="19" type="noConversion"/>
  </si>
  <si>
    <t>㈜*****스</t>
    <phoneticPr fontId="11" type="noConversion"/>
  </si>
  <si>
    <t>현재시간 : 20**년 05월 03일 10시 12분 43초</t>
    <phoneticPr fontId="11" type="noConversion"/>
  </si>
  <si>
    <t>20**/09/01 ~ 20**/04/30</t>
    <phoneticPr fontId="11" type="noConversion"/>
  </si>
  <si>
    <t>㈜*****스</t>
    <phoneticPr fontId="11" type="noConversion"/>
  </si>
  <si>
    <t>20*.04.29</t>
    <phoneticPr fontId="11" type="noConversion"/>
  </si>
  <si>
    <t>㈜****스</t>
    <phoneticPr fontId="11" type="noConversion"/>
  </si>
  <si>
    <r>
      <rPr>
        <sz val="11"/>
        <color rgb="FF575757"/>
        <rFont val="돋움"/>
        <family val="3"/>
        <charset val="129"/>
      </rPr>
      <t>예금주명</t>
    </r>
    <r>
      <rPr>
        <sz val="11"/>
        <color rgb="FF575757"/>
        <rFont val="Tahoma"/>
        <family val="2"/>
      </rPr>
      <t xml:space="preserve"> : </t>
    </r>
    <r>
      <rPr>
        <sz val="11"/>
        <color rgb="FF575757"/>
        <rFont val="돋움"/>
        <family val="3"/>
        <charset val="129"/>
      </rPr>
      <t>㈜</t>
    </r>
    <r>
      <rPr>
        <sz val="11"/>
        <color rgb="FF575757"/>
        <rFont val="Tahoma"/>
        <family val="2"/>
      </rPr>
      <t>*****</t>
    </r>
    <r>
      <rPr>
        <sz val="11"/>
        <color rgb="FF575757"/>
        <rFont val="돋움"/>
        <family val="3"/>
        <charset val="129"/>
      </rPr>
      <t>스</t>
    </r>
    <phoneticPr fontId="11" type="noConversion"/>
  </si>
  <si>
    <t>***-01****-9*-***</t>
    <phoneticPr fontId="11" type="noConversion"/>
  </si>
  <si>
    <r>
      <rPr>
        <b/>
        <sz val="11"/>
        <color indexed="8"/>
        <rFont val="맑은 고딕"/>
        <family val="3"/>
        <charset val="129"/>
      </rPr>
      <t>(</t>
    </r>
    <r>
      <rPr>
        <b/>
        <sz val="11"/>
        <color indexed="8"/>
        <rFont val="돋움"/>
        <family val="3"/>
        <charset val="129"/>
      </rPr>
      <t>註</t>
    </r>
    <r>
      <rPr>
        <b/>
        <sz val="11"/>
        <color indexed="8"/>
        <rFont val="맑은 고딕"/>
        <family val="3"/>
        <charset val="129"/>
      </rPr>
      <t xml:space="preserve">) </t>
    </r>
    <r>
      <rPr>
        <b/>
        <sz val="11"/>
        <color indexed="8"/>
        <rFont val="돋움"/>
        <family val="3"/>
        <charset val="129"/>
      </rPr>
      <t xml:space="preserve">시재보유 금액 </t>
    </r>
    <r>
      <rPr>
        <b/>
        <sz val="11"/>
        <color indexed="8"/>
        <rFont val="맑은 고딕"/>
        <family val="3"/>
        <charset val="129"/>
      </rPr>
      <t>\202,137,563</t>
    </r>
    <r>
      <rPr>
        <b/>
        <sz val="11"/>
        <color indexed="8"/>
        <rFont val="돋움"/>
        <family val="3"/>
        <charset val="129"/>
      </rPr>
      <t xml:space="preserve">원중 공탁금 및 퇴직연금 잔액 </t>
    </r>
    <r>
      <rPr>
        <b/>
        <sz val="11"/>
        <color indexed="8"/>
        <rFont val="맑은 고딕"/>
        <family val="3"/>
        <charset val="129"/>
      </rPr>
      <t>\41,390,736</t>
    </r>
    <r>
      <rPr>
        <b/>
        <sz val="11"/>
        <color indexed="8"/>
        <rFont val="돋움"/>
        <family val="3"/>
        <charset val="129"/>
      </rPr>
      <t xml:space="preserve">원을 제외한 </t>
    </r>
    <r>
      <rPr>
        <b/>
        <sz val="11"/>
        <color rgb="FFFF0000"/>
        <rFont val="돋움"/>
        <family val="3"/>
        <charset val="129"/>
      </rPr>
      <t xml:space="preserve">실제 가용자금은 </t>
    </r>
    <r>
      <rPr>
        <b/>
        <sz val="11"/>
        <color rgb="FFFF0000"/>
        <rFont val="맑은 고딕"/>
        <family val="3"/>
        <charset val="129"/>
      </rPr>
      <t>\160,746,827</t>
    </r>
    <r>
      <rPr>
        <b/>
        <sz val="11"/>
        <color rgb="FFFF0000"/>
        <rFont val="돋움"/>
        <family val="3"/>
        <charset val="129"/>
      </rPr>
      <t>원</t>
    </r>
    <r>
      <rPr>
        <b/>
        <sz val="11"/>
        <color indexed="8"/>
        <rFont val="돋움"/>
        <family val="3"/>
        <charset val="129"/>
      </rPr>
      <t>입니다.</t>
    </r>
    <phoneticPr fontId="11" type="noConversion"/>
  </si>
  <si>
    <t>샷시</t>
    <phoneticPr fontId="11" type="noConversion"/>
  </si>
  <si>
    <t xml:space="preserve">채무자 ㈜******
법률상관리인 사내이사 * * *
</t>
    <phoneticPr fontId="13" type="noConversion"/>
  </si>
  <si>
    <t>(註) 300만원 이상 지출,관리위원 
허가사항 지출 금액 합산</t>
    <phoneticPr fontId="11" type="noConversion"/>
  </si>
  <si>
    <r>
      <t xml:space="preserve"> 6-4. 300만원 이상 지출내역</t>
    </r>
    <r>
      <rPr>
        <sz val="12"/>
        <color indexed="8"/>
        <rFont val="Arial"/>
        <family val="2"/>
      </rPr>
      <t/>
    </r>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</si>
</sst>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7">
    <numFmt numFmtId="41" formatCode="_-* #,##0_-;\-* #,##0_-;_-* &quot;-&quot;_-;_-@_-"/>
    <numFmt numFmtId="43" formatCode="_-* #,##0.00_-;\-* #,##0.00_-;_-* &quot;-&quot;??_-;_-@_-"/>
    <numFmt numFmtId="26" formatCode="\$#,##0.00_);[Red]\(\$#,##0.00\)"/>
    <numFmt numFmtId="176" formatCode="0.0%"/>
    <numFmt numFmtId="177" formatCode="#,##0_ "/>
    <numFmt numFmtId="178" formatCode="mm&quot;월&quot;\ dd&quot;일&quot;"/>
    <numFmt numFmtId="179" formatCode="#,##0_);[Red]\(#,##0\)"/>
    <numFmt numFmtId="180" formatCode="#,##0_);\(#,##0\)"/>
    <numFmt numFmtId="181" formatCode="_-[$€-2]* #,##0.00_-;\-[$€-2]* #,##0.00_-;_-[$€-2]* &quot;-&quot;??_-"/>
    <numFmt numFmtId="182" formatCode="_-* #,##0\ _F_-;\-* #,##0\ _F_-;_-* &quot;-&quot;\ _F_-;_-@_-"/>
    <numFmt numFmtId="183" formatCode="_-* #,##0.00\ _F_-;\-* #,##0.00\ _F_-;_-* &quot;-&quot;??\ _F_-;_-@_-"/>
    <numFmt numFmtId="184" formatCode="_-* #,##0\ &quot;F&quot;_-;\-* #,##0\ &quot;F&quot;_-;_-* &quot;-&quot;\ &quot;F&quot;_-;_-@_-"/>
    <numFmt numFmtId="185" formatCode="_-* #,##0.00\ &quot;F&quot;_-;\-* #,##0.00\ &quot;F&quot;_-;_-* &quot;-&quot;??\ &quot;F&quot;_-;_-@_-"/>
    <numFmt numFmtId="186" formatCode="_(* #,##0_);_(* \(#,##0\);_(* &quot;-&quot;_);_(@_)"/>
    <numFmt numFmtId="187" formatCode="#&quot;건&quot;"/>
    <numFmt numFmtId="188" formatCode="_-* #,##0.0_-;\-* #,##0.0_-;_-* &quot;-&quot;?_-;_-@_-"/>
    <numFmt numFmtId="189" formatCode="_-* #,##0.00_-;\-* #,##0.00_-;_-* &quot;-&quot;?_-;_-@_-"/>
    <numFmt numFmtId="190" formatCode="_-* #,##0.0_-;\-* #,##0.0_-;_-* &quot;-&quot;_-;_-@_-"/>
    <numFmt numFmtId="191" formatCode="_-* #,##0.00_-;\-* #,##0.00_-;_-* &quot;-&quot;_-;_-@_-"/>
    <numFmt numFmtId="192" formatCode="#,##0_);[Red]\(#,##0\);&quot;-&quot;_);_-@_-"/>
    <numFmt numFmtId="193" formatCode="#,##0;\(\-\)#,##0;&quot;-&quot;;@"/>
    <numFmt numFmtId="194" formatCode="##################"/>
    <numFmt numFmtId="195" formatCode="0_ "/>
    <numFmt numFmtId="196" formatCode="_ * #,##0_ ;_ * \-#,##0_ ;_ * &quot;-&quot;??_ ;_ @_ "/>
    <numFmt numFmtId="197" formatCode="_-* #,##0_-;\-* #,##0_-;_-* &quot;-&quot;??_-;_-@_-"/>
    <numFmt numFmtId="198" formatCode="###,##0"/>
    <numFmt numFmtId="199" formatCode="0.000%"/>
  </numFmts>
  <fonts count="126">
    <font>
      <sz val="11"/>
      <color theme="1"/>
      <name val="맑은 고딕"/>
      <family val="3"/>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rgb="FF9C0006"/>
      <name val="맑은 고딕"/>
      <family val="2"/>
      <charset val="129"/>
      <scheme val="minor"/>
    </font>
    <font>
      <sz val="11"/>
      <color theme="1"/>
      <name val="맑은 고딕"/>
      <family val="3"/>
      <charset val="129"/>
      <scheme val="minor"/>
    </font>
    <font>
      <sz val="11"/>
      <color indexed="8"/>
      <name val="돋움"/>
      <family val="3"/>
      <charset val="129"/>
    </font>
    <font>
      <sz val="8"/>
      <name val="맑은 고딕"/>
      <family val="3"/>
      <charset val="129"/>
      <scheme val="minor"/>
    </font>
    <font>
      <b/>
      <sz val="12"/>
      <name val="돋움"/>
      <family val="3"/>
      <charset val="129"/>
    </font>
    <font>
      <sz val="8"/>
      <name val="맑은 고딕"/>
      <family val="3"/>
      <charset val="129"/>
    </font>
    <font>
      <sz val="12"/>
      <name val="돋움"/>
      <family val="3"/>
      <charset val="129"/>
    </font>
    <font>
      <b/>
      <sz val="25"/>
      <name val="돋움"/>
      <family val="3"/>
      <charset val="129"/>
    </font>
    <font>
      <b/>
      <sz val="12"/>
      <color indexed="8"/>
      <name val="돋움"/>
      <family val="3"/>
      <charset val="129"/>
    </font>
    <font>
      <sz val="12"/>
      <color indexed="8"/>
      <name val="돋움"/>
      <family val="3"/>
      <charset val="129"/>
    </font>
    <font>
      <sz val="11"/>
      <name val="돋움"/>
      <family val="3"/>
      <charset val="129"/>
    </font>
    <font>
      <sz val="8"/>
      <name val="돋움"/>
      <family val="3"/>
      <charset val="129"/>
    </font>
    <font>
      <sz val="11"/>
      <name val="굴림체"/>
      <family val="3"/>
      <charset val="129"/>
    </font>
    <font>
      <sz val="11"/>
      <color indexed="8"/>
      <name val="맑은 고딕"/>
      <family val="3"/>
      <charset val="129"/>
    </font>
    <font>
      <sz val="11"/>
      <name val="Arial"/>
      <family val="2"/>
    </font>
    <font>
      <b/>
      <sz val="11"/>
      <name val="돋움"/>
      <family val="3"/>
      <charset val="129"/>
    </font>
    <font>
      <sz val="9"/>
      <name val="돋움"/>
      <family val="3"/>
      <charset val="129"/>
    </font>
    <font>
      <sz val="9"/>
      <name val="Arial"/>
      <family val="2"/>
    </font>
    <font>
      <sz val="10"/>
      <name val="Arial"/>
      <family val="2"/>
    </font>
    <font>
      <sz val="10"/>
      <name val="돋움"/>
      <family val="3"/>
      <charset val="129"/>
    </font>
    <font>
      <b/>
      <sz val="10"/>
      <name val="돋움"/>
      <family val="3"/>
      <charset val="129"/>
    </font>
    <font>
      <sz val="11"/>
      <color indexed="8"/>
      <name val="Arial"/>
      <family val="2"/>
    </font>
    <font>
      <sz val="8"/>
      <name val="Arial"/>
      <family val="2"/>
    </font>
    <font>
      <b/>
      <sz val="14"/>
      <color indexed="8"/>
      <name val="돋움"/>
      <family val="3"/>
      <charset val="129"/>
    </font>
    <font>
      <sz val="12"/>
      <color indexed="8"/>
      <name val="Arial"/>
      <family val="2"/>
    </font>
    <font>
      <b/>
      <sz val="11"/>
      <color indexed="8"/>
      <name val="돋움"/>
      <family val="3"/>
      <charset val="129"/>
    </font>
    <font>
      <sz val="9"/>
      <color indexed="8"/>
      <name val="굴림체"/>
      <family val="3"/>
      <charset val="129"/>
    </font>
    <font>
      <sz val="10"/>
      <color indexed="8"/>
      <name val="돋움"/>
      <family val="3"/>
      <charset val="129"/>
    </font>
    <font>
      <b/>
      <sz val="10"/>
      <color indexed="8"/>
      <name val="돋움"/>
      <family val="3"/>
      <charset val="129"/>
    </font>
    <font>
      <b/>
      <sz val="14"/>
      <name val="돋움"/>
      <family val="3"/>
      <charset val="129"/>
    </font>
    <font>
      <b/>
      <sz val="15"/>
      <color indexed="8"/>
      <name val="Arial"/>
      <family val="2"/>
    </font>
    <font>
      <sz val="10"/>
      <name val="바탕체"/>
      <family val="1"/>
      <charset val="129"/>
    </font>
    <font>
      <sz val="12"/>
      <name val="바탕체"/>
      <family val="1"/>
      <charset val="129"/>
    </font>
    <font>
      <sz val="10"/>
      <name val="굴림체"/>
      <family val="3"/>
      <charset val="129"/>
    </font>
    <font>
      <sz val="10"/>
      <color indexed="9"/>
      <name val="Arial"/>
      <family val="2"/>
    </font>
    <font>
      <i/>
      <sz val="10"/>
      <color indexed="13"/>
      <name val="Arial"/>
      <family val="2"/>
    </font>
    <font>
      <sz val="10"/>
      <color indexed="13"/>
      <name val="Arial"/>
      <family val="2"/>
    </font>
    <font>
      <b/>
      <i/>
      <sz val="9"/>
      <name val="Arial"/>
      <family val="2"/>
    </font>
    <font>
      <b/>
      <sz val="9"/>
      <name val="Arial"/>
      <family val="2"/>
    </font>
    <font>
      <i/>
      <sz val="10"/>
      <name val="Arial"/>
      <family val="2"/>
    </font>
    <font>
      <sz val="10"/>
      <name val="Helv"/>
      <family val="2"/>
    </font>
    <font>
      <sz val="12"/>
      <name val="Times New Roman"/>
      <family val="1"/>
    </font>
    <font>
      <sz val="12"/>
      <name val="¹UAAA¼"/>
      <family val="1"/>
      <charset val="129"/>
    </font>
    <font>
      <sz val="12"/>
      <name val="System"/>
      <family val="2"/>
      <charset val="129"/>
    </font>
    <font>
      <b/>
      <sz val="10"/>
      <name val="Helv"/>
      <family val="2"/>
    </font>
    <font>
      <sz val="1"/>
      <color indexed="8"/>
      <name val="Courier"/>
      <family val="3"/>
    </font>
    <font>
      <i/>
      <sz val="1"/>
      <color indexed="8"/>
      <name val="Courier"/>
      <family val="3"/>
    </font>
    <font>
      <b/>
      <sz val="12"/>
      <name val="Helv"/>
      <family val="2"/>
    </font>
    <font>
      <b/>
      <sz val="12"/>
      <name val="Arial"/>
      <family val="2"/>
    </font>
    <font>
      <b/>
      <sz val="11"/>
      <name val="Helv"/>
      <family val="2"/>
    </font>
    <font>
      <sz val="10"/>
      <name val="MS Sans Serif"/>
      <family val="2"/>
    </font>
    <font>
      <u/>
      <sz val="11"/>
      <color indexed="36"/>
      <name val="돋움"/>
      <family val="3"/>
      <charset val="129"/>
    </font>
    <font>
      <sz val="14"/>
      <name val="뼻뮝"/>
      <family val="3"/>
      <charset val="129"/>
    </font>
    <font>
      <sz val="12"/>
      <name val="뼻뮝"/>
      <family val="1"/>
      <charset val="129"/>
    </font>
    <font>
      <sz val="10"/>
      <color indexed="64"/>
      <name val="Arial"/>
      <family val="2"/>
    </font>
    <font>
      <sz val="10"/>
      <color theme="1"/>
      <name val="돋움"/>
      <family val="3"/>
      <charset val="129"/>
    </font>
    <font>
      <b/>
      <sz val="18"/>
      <name val="돋움"/>
      <family val="3"/>
      <charset val="129"/>
    </font>
    <font>
      <sz val="11"/>
      <color theme="1"/>
      <name val="돋움"/>
      <family val="3"/>
      <charset val="129"/>
    </font>
    <font>
      <b/>
      <sz val="15"/>
      <color indexed="8"/>
      <name val="돋움"/>
      <family val="3"/>
      <charset val="129"/>
    </font>
    <font>
      <sz val="8"/>
      <color indexed="8"/>
      <name val="돋움"/>
      <family val="3"/>
      <charset val="129"/>
    </font>
    <font>
      <b/>
      <sz val="11"/>
      <color theme="0"/>
      <name val="돋움"/>
      <family val="3"/>
      <charset val="129"/>
    </font>
    <font>
      <b/>
      <sz val="12"/>
      <color indexed="12"/>
      <name val="돋움"/>
      <family val="3"/>
      <charset val="129"/>
    </font>
    <font>
      <b/>
      <sz val="13"/>
      <name val="돋움"/>
      <family val="3"/>
      <charset val="129"/>
    </font>
    <font>
      <b/>
      <sz val="15"/>
      <name val="돋움"/>
      <family val="3"/>
      <charset val="129"/>
    </font>
    <font>
      <b/>
      <u/>
      <sz val="11"/>
      <name val="돋움"/>
      <family val="3"/>
      <charset val="129"/>
    </font>
    <font>
      <sz val="8"/>
      <name val="맑은 고딕"/>
      <family val="2"/>
      <charset val="129"/>
      <scheme val="minor"/>
    </font>
    <font>
      <b/>
      <sz val="11"/>
      <color rgb="FF575757"/>
      <name val="Tahoma"/>
      <family val="2"/>
    </font>
    <font>
      <sz val="9"/>
      <color rgb="FF575757"/>
      <name val="Tahoma"/>
      <family val="2"/>
    </font>
    <font>
      <sz val="11"/>
      <color rgb="FF575757"/>
      <name val="Tahoma"/>
      <family val="2"/>
    </font>
    <font>
      <b/>
      <sz val="11"/>
      <color rgb="FF000000"/>
      <name val="Tahoma"/>
      <family val="2"/>
    </font>
    <font>
      <sz val="14"/>
      <color indexed="8"/>
      <name val="돋움"/>
      <family val="3"/>
      <charset val="129"/>
    </font>
    <font>
      <sz val="16"/>
      <color indexed="8"/>
      <name val="돋움"/>
      <family val="3"/>
      <charset val="129"/>
    </font>
    <font>
      <b/>
      <sz val="16"/>
      <color indexed="8"/>
      <name val="돋움"/>
      <family val="3"/>
      <charset val="129"/>
    </font>
    <font>
      <sz val="13"/>
      <name val="돋움"/>
      <family val="3"/>
      <charset val="129"/>
    </font>
    <font>
      <b/>
      <sz val="13"/>
      <color indexed="8"/>
      <name val="돋움"/>
      <family val="3"/>
      <charset val="129"/>
    </font>
    <font>
      <sz val="11"/>
      <color rgb="FFFF0000"/>
      <name val="돋움"/>
      <family val="3"/>
      <charset val="129"/>
    </font>
    <font>
      <sz val="11"/>
      <color indexed="8"/>
      <name val="맑은 고딕"/>
      <family val="2"/>
      <scheme val="minor"/>
    </font>
    <font>
      <sz val="12"/>
      <name val="굴림"/>
      <family val="3"/>
      <charset val="129"/>
    </font>
    <font>
      <sz val="10"/>
      <color rgb="FFFF0000"/>
      <name val="돋움"/>
      <family val="3"/>
      <charset val="129"/>
    </font>
    <font>
      <b/>
      <sz val="11"/>
      <color rgb="FFFF0000"/>
      <name val="돋움"/>
      <family val="3"/>
      <charset val="129"/>
    </font>
    <font>
      <b/>
      <sz val="11"/>
      <color indexed="8"/>
      <name val="맑은 고딕"/>
      <family val="3"/>
      <charset val="129"/>
    </font>
    <font>
      <b/>
      <sz val="11"/>
      <color rgb="FFFF0000"/>
      <name val="맑은 고딕"/>
      <family val="3"/>
      <charset val="129"/>
    </font>
    <font>
      <sz val="12"/>
      <color theme="1"/>
      <name val="맑은 고딕"/>
      <family val="3"/>
      <charset val="129"/>
      <scheme val="minor"/>
    </font>
    <font>
      <u/>
      <sz val="11"/>
      <color theme="10"/>
      <name val="맑은 고딕"/>
      <family val="3"/>
      <charset val="129"/>
    </font>
    <font>
      <sz val="10"/>
      <name val="맑은 고딕"/>
      <family val="3"/>
      <charset val="129"/>
    </font>
    <font>
      <sz val="11"/>
      <color rgb="FF0000FF"/>
      <name val="돋움"/>
      <family val="3"/>
      <charset val="129"/>
    </font>
    <font>
      <sz val="11"/>
      <color rgb="FF0000FF"/>
      <name val="맑은 고딕"/>
      <family val="3"/>
      <charset val="129"/>
    </font>
    <font>
      <sz val="12"/>
      <color theme="1"/>
      <name val="굴림"/>
      <family val="3"/>
      <charset val="129"/>
    </font>
    <font>
      <sz val="12"/>
      <color indexed="8"/>
      <name val="굴림"/>
      <family val="3"/>
      <charset val="129"/>
    </font>
    <font>
      <sz val="11"/>
      <name val="맑은 고딕"/>
      <family val="3"/>
      <charset val="129"/>
      <scheme val="minor"/>
    </font>
    <font>
      <u/>
      <sz val="11"/>
      <name val="맑은 고딕"/>
      <family val="3"/>
      <charset val="129"/>
    </font>
    <font>
      <sz val="11"/>
      <color theme="0"/>
      <name val="돋움"/>
      <family val="3"/>
      <charset val="129"/>
    </font>
    <font>
      <b/>
      <sz val="11"/>
      <color indexed="8"/>
      <name val="맑은 고딕"/>
      <family val="3"/>
      <charset val="129"/>
      <scheme val="major"/>
    </font>
    <font>
      <sz val="8"/>
      <color indexed="8"/>
      <name val="맑은 고딕"/>
      <family val="3"/>
      <charset val="129"/>
    </font>
    <font>
      <sz val="11"/>
      <color indexed="8"/>
      <name val="맑은 고딕"/>
      <family val="3"/>
      <charset val="129"/>
      <scheme val="minor"/>
    </font>
    <font>
      <sz val="10"/>
      <color indexed="8"/>
      <name val="맑은 고딕"/>
      <family val="3"/>
      <charset val="129"/>
    </font>
    <font>
      <sz val="10"/>
      <color indexed="8"/>
      <name val="굴림"/>
      <family val="3"/>
      <charset val="129"/>
    </font>
    <font>
      <b/>
      <sz val="11"/>
      <name val="Arial"/>
      <family val="2"/>
    </font>
    <font>
      <b/>
      <sz val="10"/>
      <name val="Arial"/>
      <family val="2"/>
    </font>
    <font>
      <sz val="11"/>
      <color rgb="FF575757"/>
      <name val="돋움"/>
      <family val="3"/>
      <charset val="129"/>
    </font>
    <font>
      <sz val="9"/>
      <name val="굴림체"/>
      <family val="3"/>
      <charset val="129"/>
    </font>
    <font>
      <sz val="9"/>
      <color indexed="81"/>
      <name val="Tahoma"/>
      <family val="2"/>
    </font>
    <font>
      <b/>
      <sz val="9"/>
      <color indexed="81"/>
      <name val="Tahoma"/>
      <family val="2"/>
    </font>
    <font>
      <sz val="9"/>
      <color indexed="81"/>
      <name val="돋움"/>
      <family val="3"/>
      <charset val="129"/>
    </font>
    <font>
      <b/>
      <sz val="10.5"/>
      <name val="돋움"/>
      <family val="3"/>
      <charset val="129"/>
    </font>
    <font>
      <sz val="10"/>
      <color theme="1"/>
      <name val="맑은 고딕"/>
      <family val="3"/>
      <charset val="129"/>
      <scheme val="minor"/>
    </font>
    <font>
      <b/>
      <sz val="10"/>
      <color indexed="8"/>
      <name val="굴림"/>
      <family val="3"/>
      <charset val="129"/>
    </font>
    <font>
      <b/>
      <sz val="17"/>
      <color indexed="8"/>
      <name val="맑은 고딕"/>
      <family val="3"/>
      <charset val="129"/>
    </font>
    <font>
      <b/>
      <sz val="16"/>
      <color rgb="FF333333"/>
      <name val="맑은 고딕"/>
      <family val="3"/>
      <charset val="129"/>
    </font>
    <font>
      <b/>
      <sz val="10"/>
      <color rgb="FF333333"/>
      <name val="맑은 고딕"/>
      <family val="3"/>
      <charset val="129"/>
    </font>
    <font>
      <sz val="10"/>
      <color rgb="FF000000"/>
      <name val="맑은 고딕"/>
      <family val="3"/>
      <charset val="129"/>
    </font>
    <font>
      <sz val="10"/>
      <color rgb="FF333333"/>
      <name val="맑은 고딕"/>
      <family val="3"/>
      <charset val="129"/>
    </font>
    <font>
      <b/>
      <sz val="13.5"/>
      <color rgb="FF000000"/>
      <name val="맑은 고딕"/>
      <family val="3"/>
      <charset val="129"/>
      <scheme val="minor"/>
    </font>
    <font>
      <b/>
      <sz val="10"/>
      <color rgb="FF000000"/>
      <name val="맑은 고딕"/>
      <family val="3"/>
      <charset val="129"/>
      <scheme val="minor"/>
    </font>
    <font>
      <sz val="10"/>
      <color rgb="FF000000"/>
      <name val="맑은 고딕"/>
      <family val="3"/>
      <charset val="129"/>
      <scheme val="minor"/>
    </font>
    <font>
      <sz val="9"/>
      <color indexed="8"/>
      <name val="굴림"/>
      <family val="3"/>
      <charset val="129"/>
    </font>
    <font>
      <b/>
      <sz val="9"/>
      <color indexed="81"/>
      <name val="돋움"/>
      <family val="3"/>
      <charset val="129"/>
    </font>
    <font>
      <sz val="9"/>
      <color rgb="FFFF0000"/>
      <name val="돋움"/>
      <family val="3"/>
      <charset val="129"/>
    </font>
  </fonts>
  <fills count="36">
    <fill>
      <patternFill patternType="none"/>
    </fill>
    <fill>
      <patternFill patternType="gray125"/>
    </fill>
    <fill>
      <patternFill patternType="solid">
        <fgColor rgb="FFFFC7CE"/>
      </patternFill>
    </fill>
    <fill>
      <patternFill patternType="solid">
        <fgColor theme="9" tint="0.79998168889431442"/>
        <bgColor indexed="64"/>
      </patternFill>
    </fill>
    <fill>
      <patternFill patternType="solid">
        <fgColor theme="0"/>
        <bgColor indexed="64"/>
      </patternFill>
    </fill>
    <fill>
      <patternFill patternType="solid">
        <fgColor indexed="9"/>
        <bgColor indexed="64"/>
      </patternFill>
    </fill>
    <fill>
      <patternFill patternType="solid">
        <fgColor indexed="13"/>
        <bgColor indexed="64"/>
      </patternFill>
    </fill>
    <fill>
      <patternFill patternType="solid">
        <fgColor indexed="22"/>
        <bgColor indexed="64"/>
      </patternFill>
    </fill>
    <fill>
      <patternFill patternType="solid">
        <fgColor indexed="55"/>
        <bgColor indexed="64"/>
      </patternFill>
    </fill>
    <fill>
      <patternFill patternType="solid">
        <fgColor indexed="54"/>
        <bgColor indexed="64"/>
      </patternFill>
    </fill>
    <fill>
      <patternFill patternType="solid">
        <fgColor indexed="48"/>
        <bgColor indexed="64"/>
      </patternFill>
    </fill>
    <fill>
      <patternFill patternType="solid">
        <fgColor indexed="26"/>
        <bgColor indexed="64"/>
      </patternFill>
    </fill>
    <fill>
      <patternFill patternType="solid">
        <fgColor indexed="27"/>
        <bgColor indexed="64"/>
      </patternFill>
    </fill>
    <fill>
      <patternFill patternType="solid">
        <fgColor indexed="33"/>
        <bgColor indexed="64"/>
      </patternFill>
    </fill>
    <fill>
      <patternFill patternType="solid">
        <fgColor rgb="FFF6F9FC"/>
        <bgColor indexed="64"/>
      </patternFill>
    </fill>
    <fill>
      <patternFill patternType="solid">
        <fgColor rgb="FFFFFFFF"/>
        <bgColor indexed="64"/>
      </patternFill>
    </fill>
    <fill>
      <patternFill patternType="solid">
        <fgColor rgb="FFF5F5F5"/>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theme="3" tint="0.79998168889431442"/>
        <bgColor indexed="64"/>
      </patternFill>
    </fill>
    <fill>
      <patternFill patternType="solid">
        <fgColor rgb="FFFFCCFF"/>
        <bgColor indexed="64"/>
      </patternFill>
    </fill>
    <fill>
      <patternFill patternType="solid">
        <fgColor rgb="FF66FFFF"/>
        <bgColor indexed="64"/>
      </patternFill>
    </fill>
    <fill>
      <patternFill patternType="solid">
        <fgColor rgb="FF99FF66"/>
        <bgColor indexed="64"/>
      </patternFill>
    </fill>
    <fill>
      <patternFill patternType="solid">
        <fgColor rgb="FFFFFF66"/>
        <bgColor indexed="64"/>
      </patternFill>
    </fill>
    <fill>
      <patternFill patternType="solid">
        <fgColor rgb="FFCCFFCC"/>
        <bgColor indexed="64"/>
      </patternFill>
    </fill>
    <fill>
      <patternFill patternType="solid">
        <fgColor theme="9" tint="0.39997558519241921"/>
        <bgColor indexed="64"/>
      </patternFill>
    </fill>
    <fill>
      <patternFill patternType="solid">
        <fgColor rgb="FFFFFFFF"/>
        <bgColor rgb="FF000000"/>
      </patternFill>
    </fill>
    <fill>
      <patternFill patternType="solid">
        <fgColor rgb="FFF6F9FC"/>
        <bgColor rgb="FF000000"/>
      </patternFill>
    </fill>
    <fill>
      <patternFill patternType="solid">
        <fgColor rgb="FFF5F5F5"/>
        <bgColor rgb="FF000000"/>
      </patternFill>
    </fill>
    <fill>
      <patternFill patternType="solid">
        <fgColor rgb="FFFFFF00"/>
        <bgColor rgb="FF000000"/>
      </patternFill>
    </fill>
    <fill>
      <patternFill patternType="solid">
        <fgColor theme="8" tint="0.79998168889431442"/>
        <bgColor indexed="64"/>
      </patternFill>
    </fill>
  </fills>
  <borders count="185">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style="medium">
        <color indexed="64"/>
      </left>
      <right/>
      <top style="medium">
        <color indexed="64"/>
      </top>
      <bottom/>
      <diagonal/>
    </border>
    <border>
      <left style="thin">
        <color indexed="8"/>
      </left>
      <right style="thin">
        <color indexed="8"/>
      </right>
      <top style="medium">
        <color indexed="64"/>
      </top>
      <bottom style="thin">
        <color indexed="8"/>
      </bottom>
      <diagonal/>
    </border>
    <border>
      <left style="thin">
        <color indexed="8"/>
      </left>
      <right style="thin">
        <color indexed="8"/>
      </right>
      <top style="thin">
        <color indexed="8"/>
      </top>
      <bottom style="thin">
        <color indexed="64"/>
      </bottom>
      <diagonal/>
    </border>
    <border>
      <left style="thin">
        <color indexed="8"/>
      </left>
      <right style="thin">
        <color indexed="8"/>
      </right>
      <top style="thin">
        <color indexed="64"/>
      </top>
      <bottom/>
      <diagonal/>
    </border>
    <border>
      <left style="medium">
        <color indexed="64"/>
      </left>
      <right/>
      <top/>
      <bottom style="medium">
        <color indexed="64"/>
      </bottom>
      <diagonal/>
    </border>
    <border>
      <left/>
      <right style="thin">
        <color indexed="8"/>
      </right>
      <top/>
      <bottom style="medium">
        <color indexed="64"/>
      </bottom>
      <diagonal/>
    </border>
    <border>
      <left style="thin">
        <color indexed="8"/>
      </left>
      <right style="thin">
        <color indexed="8"/>
      </right>
      <top/>
      <bottom style="medium">
        <color indexed="64"/>
      </bottom>
      <diagonal/>
    </border>
    <border>
      <left style="thin">
        <color indexed="8"/>
      </left>
      <right style="medium">
        <color indexed="64"/>
      </right>
      <top/>
      <bottom style="medium">
        <color indexed="64"/>
      </bottom>
      <diagonal/>
    </border>
    <border>
      <left style="medium">
        <color indexed="64"/>
      </left>
      <right style="thin">
        <color indexed="8"/>
      </right>
      <top/>
      <bottom/>
      <diagonal/>
    </border>
    <border>
      <left style="thin">
        <color indexed="64"/>
      </left>
      <right style="thin">
        <color indexed="64"/>
      </right>
      <top/>
      <bottom/>
      <diagonal/>
    </border>
    <border>
      <left style="thin">
        <color indexed="64"/>
      </left>
      <right style="medium">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8"/>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8"/>
      </right>
      <top/>
      <bottom style="medium">
        <color indexed="64"/>
      </bottom>
      <diagonal/>
    </border>
    <border>
      <left style="thin">
        <color indexed="64"/>
      </left>
      <right style="medium">
        <color indexed="64"/>
      </right>
      <top/>
      <bottom style="thin">
        <color indexed="64"/>
      </bottom>
      <diagonal/>
    </border>
    <border>
      <left style="thin">
        <color indexed="8"/>
      </left>
      <right/>
      <top/>
      <bottom style="medium">
        <color indexed="64"/>
      </bottom>
      <diagonal/>
    </border>
    <border>
      <left/>
      <right style="thin">
        <color indexed="64"/>
      </right>
      <top style="medium">
        <color indexed="64"/>
      </top>
      <bottom/>
      <diagonal/>
    </border>
    <border>
      <left/>
      <right style="thin">
        <color indexed="64"/>
      </right>
      <top/>
      <bottom/>
      <diagonal/>
    </border>
    <border>
      <left/>
      <right style="thin">
        <color indexed="64"/>
      </right>
      <top/>
      <bottom style="thin">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8"/>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bottom/>
      <diagonal/>
    </border>
    <border>
      <left style="medium">
        <color indexed="64"/>
      </left>
      <right style="thin">
        <color indexed="64"/>
      </right>
      <top style="thin">
        <color indexed="64"/>
      </top>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medium">
        <color indexed="64"/>
      </top>
      <bottom/>
      <diagonal/>
    </border>
    <border>
      <left style="thin">
        <color indexed="64"/>
      </left>
      <right style="thin">
        <color indexed="64"/>
      </right>
      <top/>
      <bottom style="medium">
        <color indexed="64"/>
      </bottom>
      <diagonal/>
    </border>
    <border>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right/>
      <top/>
      <bottom/>
      <diagonal style="mediumDashed">
        <color indexed="0"/>
      </diagonal>
    </border>
    <border>
      <left style="medium">
        <color indexed="64"/>
      </left>
      <right style="thin">
        <color indexed="64"/>
      </right>
      <top/>
      <bottom/>
      <diagonal/>
    </border>
    <border>
      <left/>
      <right/>
      <top style="medium">
        <color indexed="64"/>
      </top>
      <bottom/>
      <diagonal/>
    </border>
    <border>
      <left style="thin">
        <color indexed="8"/>
      </left>
      <right/>
      <top/>
      <bottom/>
      <diagonal/>
    </border>
    <border>
      <left style="thin">
        <color indexed="8"/>
      </left>
      <right/>
      <top/>
      <bottom style="thin">
        <color indexed="64"/>
      </bottom>
      <diagonal/>
    </border>
    <border>
      <left style="thin">
        <color indexed="8"/>
      </left>
      <right/>
      <top style="medium">
        <color indexed="64"/>
      </top>
      <bottom/>
      <diagonal/>
    </border>
    <border>
      <left style="thin">
        <color indexed="8"/>
      </left>
      <right/>
      <top style="medium">
        <color indexed="64"/>
      </top>
      <bottom style="medium">
        <color indexed="64"/>
      </bottom>
      <diagonal/>
    </border>
    <border>
      <left style="medium">
        <color indexed="64"/>
      </left>
      <right style="thin">
        <color indexed="8"/>
      </right>
      <top style="medium">
        <color indexed="64"/>
      </top>
      <bottom style="thin">
        <color indexed="8"/>
      </bottom>
      <diagonal/>
    </border>
    <border>
      <left style="medium">
        <color indexed="64"/>
      </left>
      <right style="thin">
        <color indexed="8"/>
      </right>
      <top style="thin">
        <color indexed="8"/>
      </top>
      <bottom style="thin">
        <color indexed="64"/>
      </bottom>
      <diagonal/>
    </border>
    <border>
      <left style="medium">
        <color indexed="64"/>
      </left>
      <right style="thin">
        <color indexed="8"/>
      </right>
      <top style="thin">
        <color indexed="64"/>
      </top>
      <bottom/>
      <diagonal/>
    </border>
    <border>
      <left style="thin">
        <color indexed="8"/>
      </left>
      <right style="medium">
        <color indexed="64"/>
      </right>
      <top/>
      <bottom/>
      <diagonal/>
    </border>
    <border>
      <left/>
      <right style="medium">
        <color indexed="64"/>
      </right>
      <top style="thin">
        <color indexed="64"/>
      </top>
      <bottom style="thin">
        <color indexed="64"/>
      </bottom>
      <diagonal/>
    </border>
    <border>
      <left style="thin">
        <color indexed="64"/>
      </left>
      <right style="medium">
        <color indexed="64"/>
      </right>
      <top/>
      <bottom style="medium">
        <color indexed="64"/>
      </bottom>
      <diagonal/>
    </border>
    <border>
      <left style="thin">
        <color indexed="64"/>
      </left>
      <right style="medium">
        <color indexed="64"/>
      </right>
      <top style="medium">
        <color indexed="64"/>
      </top>
      <bottom/>
      <diagonal/>
    </border>
    <border>
      <left/>
      <right/>
      <top style="thin">
        <color indexed="64"/>
      </top>
      <bottom/>
      <diagonal/>
    </border>
    <border>
      <left style="thin">
        <color indexed="8"/>
      </left>
      <right style="medium">
        <color indexed="64"/>
      </right>
      <top style="medium">
        <color indexed="64"/>
      </top>
      <bottom style="thin">
        <color indexed="8"/>
      </bottom>
      <diagonal/>
    </border>
    <border>
      <left style="thin">
        <color indexed="8"/>
      </left>
      <right style="medium">
        <color indexed="64"/>
      </right>
      <top style="thin">
        <color indexed="8"/>
      </top>
      <bottom style="thin">
        <color indexed="64"/>
      </bottom>
      <diagonal/>
    </border>
    <border>
      <left style="thin">
        <color indexed="8"/>
      </left>
      <right style="medium">
        <color indexed="64"/>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style="thin">
        <color indexed="64"/>
      </top>
      <bottom/>
      <diagonal/>
    </border>
    <border>
      <left style="medium">
        <color indexed="64"/>
      </left>
      <right style="medium">
        <color indexed="64"/>
      </right>
      <top/>
      <bottom style="medium">
        <color indexed="64"/>
      </bottom>
      <diagonal/>
    </border>
    <border>
      <left style="thin">
        <color indexed="64"/>
      </left>
      <right/>
      <top style="medium">
        <color indexed="64"/>
      </top>
      <bottom/>
      <diagonal/>
    </border>
    <border>
      <left style="medium">
        <color rgb="FFCEDCE7"/>
      </left>
      <right/>
      <top style="thick">
        <color rgb="FF66B9ED"/>
      </top>
      <bottom style="medium">
        <color rgb="FFCEDCE7"/>
      </bottom>
      <diagonal/>
    </border>
    <border>
      <left/>
      <right/>
      <top style="thick">
        <color rgb="FF66B9ED"/>
      </top>
      <bottom style="medium">
        <color rgb="FFCEDCE7"/>
      </bottom>
      <diagonal/>
    </border>
    <border>
      <left/>
      <right style="medium">
        <color rgb="FFCEDCE7"/>
      </right>
      <top style="thick">
        <color rgb="FF66B9ED"/>
      </top>
      <bottom style="medium">
        <color rgb="FFCEDCE7"/>
      </bottom>
      <diagonal/>
    </border>
    <border>
      <left style="medium">
        <color rgb="FFCEDCE7"/>
      </left>
      <right/>
      <top style="medium">
        <color rgb="FFCEDCE7"/>
      </top>
      <bottom/>
      <diagonal/>
    </border>
    <border>
      <left/>
      <right/>
      <top style="medium">
        <color rgb="FFCEDCE7"/>
      </top>
      <bottom/>
      <diagonal/>
    </border>
    <border>
      <left/>
      <right style="medium">
        <color rgb="FFCEDCE7"/>
      </right>
      <top style="medium">
        <color rgb="FFCEDCE7"/>
      </top>
      <bottom/>
      <diagonal/>
    </border>
    <border>
      <left style="medium">
        <color rgb="FFCEDCE7"/>
      </left>
      <right/>
      <top/>
      <bottom style="medium">
        <color rgb="FFCEDCE7"/>
      </bottom>
      <diagonal/>
    </border>
    <border>
      <left/>
      <right/>
      <top/>
      <bottom style="medium">
        <color rgb="FFCEDCE7"/>
      </bottom>
      <diagonal/>
    </border>
    <border>
      <left/>
      <right style="medium">
        <color rgb="FFCEDCE7"/>
      </right>
      <top/>
      <bottom style="medium">
        <color rgb="FFCEDCE7"/>
      </bottom>
      <diagonal/>
    </border>
    <border>
      <left style="medium">
        <color rgb="FFE5E5E5"/>
      </left>
      <right style="medium">
        <color rgb="FFE5E5E5"/>
      </right>
      <top style="medium">
        <color rgb="FFE5E5E5"/>
      </top>
      <bottom style="medium">
        <color rgb="FFE5E5E5"/>
      </bottom>
      <diagonal/>
    </border>
    <border>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style="hair">
        <color indexed="64"/>
      </right>
      <top style="thin">
        <color indexed="64"/>
      </top>
      <bottom/>
      <diagonal/>
    </border>
    <border>
      <left style="thin">
        <color indexed="64"/>
      </left>
      <right style="thin">
        <color indexed="64"/>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hair">
        <color indexed="64"/>
      </right>
      <top/>
      <bottom/>
      <diagonal/>
    </border>
    <border>
      <left style="thin">
        <color indexed="64"/>
      </left>
      <right/>
      <top style="hair">
        <color indexed="64"/>
      </top>
      <bottom style="hair">
        <color indexed="64"/>
      </bottom>
      <diagonal/>
    </border>
    <border>
      <left/>
      <right style="thin">
        <color indexed="64"/>
      </right>
      <top/>
      <bottom style="hair">
        <color indexed="64"/>
      </bottom>
      <diagonal/>
    </border>
    <border>
      <left style="thin">
        <color indexed="64"/>
      </left>
      <right/>
      <top style="hair">
        <color indexed="64"/>
      </top>
      <bottom/>
      <diagonal/>
    </border>
    <border>
      <left style="thin">
        <color auto="1"/>
      </left>
      <right style="thin">
        <color indexed="64"/>
      </right>
      <top style="thin">
        <color auto="1"/>
      </top>
      <bottom/>
      <diagonal/>
    </border>
    <border>
      <left style="thin">
        <color indexed="64"/>
      </left>
      <right style="thin">
        <color indexed="64"/>
      </right>
      <top style="hair">
        <color indexed="64"/>
      </top>
      <bottom style="hair">
        <color indexed="64"/>
      </bottom>
      <diagonal/>
    </border>
    <border>
      <left style="thin">
        <color auto="1"/>
      </left>
      <right/>
      <top style="thin">
        <color auto="1"/>
      </top>
      <bottom/>
      <diagonal/>
    </border>
    <border>
      <left style="thin">
        <color indexed="64"/>
      </left>
      <right style="thin">
        <color indexed="8"/>
      </right>
      <top style="thin">
        <color indexed="64"/>
      </top>
      <bottom style="medium">
        <color indexed="64"/>
      </bottom>
      <diagonal/>
    </border>
    <border>
      <left style="thin">
        <color indexed="64"/>
      </left>
      <right style="thin">
        <color indexed="64"/>
      </right>
      <top style="thin">
        <color indexed="64"/>
      </top>
      <bottom/>
      <diagonal/>
    </border>
    <border>
      <left/>
      <right style="thin">
        <color indexed="64"/>
      </right>
      <top/>
      <bottom style="medium">
        <color indexed="64"/>
      </bottom>
      <diagonal/>
    </border>
    <border>
      <left style="thin">
        <color indexed="8"/>
      </left>
      <right style="thin">
        <color indexed="8"/>
      </right>
      <top style="thin">
        <color indexed="64"/>
      </top>
      <bottom/>
      <diagonal/>
    </border>
    <border>
      <left style="hair">
        <color auto="1"/>
      </left>
      <right style="hair">
        <color auto="1"/>
      </right>
      <top style="hair">
        <color auto="1"/>
      </top>
      <bottom style="hair">
        <color auto="1"/>
      </bottom>
      <diagonal/>
    </border>
    <border>
      <left/>
      <right style="thin">
        <color indexed="64"/>
      </right>
      <top style="medium">
        <color indexed="64"/>
      </top>
      <bottom style="medium">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auto="1"/>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auto="1"/>
      </bottom>
      <diagonal/>
    </border>
    <border>
      <left/>
      <right style="thin">
        <color auto="1"/>
      </right>
      <top style="thin">
        <color indexed="64"/>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indexed="64"/>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right/>
      <top style="thin">
        <color indexed="64"/>
      </top>
      <bottom style="thin">
        <color indexed="8"/>
      </bottom>
      <diagonal/>
    </border>
    <border>
      <left/>
      <right style="thin">
        <color indexed="8"/>
      </right>
      <top style="thin">
        <color indexed="64"/>
      </top>
      <bottom style="thin">
        <color indexed="8"/>
      </bottom>
      <diagonal/>
    </border>
    <border>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top/>
      <bottom style="thin">
        <color auto="1"/>
      </bottom>
      <diagonal/>
    </border>
    <border>
      <left style="thin">
        <color auto="1"/>
      </left>
      <right/>
      <top style="thin">
        <color auto="1"/>
      </top>
      <bottom/>
      <diagonal/>
    </border>
    <border>
      <left style="thin">
        <color indexed="8"/>
      </left>
      <right style="thin">
        <color indexed="8"/>
      </right>
      <top style="thin">
        <color indexed="8"/>
      </top>
      <bottom style="thin">
        <color indexed="8"/>
      </bottom>
      <diagonal/>
    </border>
    <border>
      <left/>
      <right/>
      <top style="thin">
        <color indexed="64"/>
      </top>
      <bottom style="thin">
        <color indexed="8"/>
      </bottom>
      <diagonal/>
    </border>
    <border>
      <left/>
      <right style="thin">
        <color indexed="8"/>
      </right>
      <top style="thin">
        <color indexed="64"/>
      </top>
      <bottom style="thin">
        <color indexed="8"/>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auto="1"/>
      </left>
      <right style="thin">
        <color auto="1"/>
      </right>
      <top style="thin">
        <color auto="1"/>
      </top>
      <bottom style="thin">
        <color auto="1"/>
      </bottom>
      <diagonal/>
    </border>
    <border>
      <left/>
      <right/>
      <top style="thin">
        <color indexed="64"/>
      </top>
      <bottom style="thin">
        <color indexed="8"/>
      </bottom>
      <diagonal/>
    </border>
    <border>
      <left/>
      <right style="thin">
        <color indexed="8"/>
      </right>
      <top style="thin">
        <color indexed="64"/>
      </top>
      <bottom style="thin">
        <color indexed="8"/>
      </bottom>
      <diagonal/>
    </border>
    <border>
      <left style="thin">
        <color auto="1"/>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auto="1"/>
      </top>
      <bottom style="thin">
        <color auto="1"/>
      </bottom>
      <diagonal/>
    </border>
    <border>
      <left style="thin">
        <color indexed="64"/>
      </left>
      <right/>
      <top style="thin">
        <color indexed="64"/>
      </top>
      <bottom style="thin">
        <color indexed="64"/>
      </bottom>
      <diagonal/>
    </border>
    <border>
      <left/>
      <right/>
      <top style="thin">
        <color indexed="64"/>
      </top>
      <bottom style="thin">
        <color indexed="8"/>
      </bottom>
      <diagonal/>
    </border>
    <border>
      <left/>
      <right style="thin">
        <color indexed="8"/>
      </right>
      <top style="thin">
        <color indexed="64"/>
      </top>
      <bottom style="thin">
        <color indexed="8"/>
      </bottom>
      <diagonal/>
    </border>
    <border>
      <left/>
      <right/>
      <top/>
      <bottom style="thin">
        <color rgb="FF333333"/>
      </bottom>
      <diagonal/>
    </border>
    <border>
      <left style="thin">
        <color rgb="FF333333"/>
      </left>
      <right/>
      <top/>
      <bottom style="thin">
        <color rgb="FF333333"/>
      </bottom>
      <diagonal/>
    </border>
    <border>
      <left/>
      <right style="thin">
        <color rgb="FF333333"/>
      </right>
      <top/>
      <bottom style="thin">
        <color rgb="FF333333"/>
      </bottom>
      <diagonal/>
    </border>
    <border>
      <left style="thin">
        <color rgb="FF333333"/>
      </left>
      <right style="thin">
        <color rgb="FF333333"/>
      </right>
      <top style="thin">
        <color rgb="FF333333"/>
      </top>
      <bottom style="thin">
        <color rgb="FF333333"/>
      </bottom>
      <diagonal/>
    </border>
    <border>
      <left/>
      <right style="thin">
        <color rgb="FF333333"/>
      </right>
      <top style="thin">
        <color rgb="FF333333"/>
      </top>
      <bottom style="thin">
        <color rgb="FF333333"/>
      </bottom>
      <diagonal/>
    </border>
    <border>
      <left style="thin">
        <color rgb="FF333333"/>
      </left>
      <right/>
      <top style="thin">
        <color rgb="FF333333"/>
      </top>
      <bottom style="thin">
        <color rgb="FF333333"/>
      </bottom>
      <diagonal/>
    </border>
    <border>
      <left/>
      <right/>
      <top style="thin">
        <color rgb="FF333333"/>
      </top>
      <bottom style="thin">
        <color rgb="FF333333"/>
      </bottom>
      <diagonal/>
    </border>
    <border>
      <left style="thin">
        <color indexed="22"/>
      </left>
      <right style="thin">
        <color indexed="22"/>
      </right>
      <top style="thin">
        <color indexed="22"/>
      </top>
      <bottom style="thin">
        <color indexed="22"/>
      </bottom>
      <diagonal/>
    </border>
    <border>
      <left/>
      <right/>
      <top style="thin">
        <color indexed="64"/>
      </top>
      <bottom style="thin">
        <color indexed="64"/>
      </bottom>
      <diagonal/>
    </border>
    <border>
      <left/>
      <right/>
      <top style="thin">
        <color indexed="8"/>
      </top>
      <bottom style="thin">
        <color indexed="8"/>
      </bottom>
      <diagonal/>
    </border>
    <border>
      <left/>
      <right style="thin">
        <color indexed="8"/>
      </right>
      <top style="thin">
        <color indexed="8"/>
      </top>
      <bottom style="thin">
        <color indexed="8"/>
      </bottom>
      <diagonal/>
    </border>
    <border>
      <left/>
      <right style="medium">
        <color rgb="FFE5E5E5"/>
      </right>
      <top style="medium">
        <color rgb="FFE5E5E5"/>
      </top>
      <bottom style="medium">
        <color rgb="FFE5E5E5"/>
      </bottom>
      <diagonal/>
    </border>
    <border>
      <left style="medium">
        <color rgb="FFE5E5E5"/>
      </left>
      <right style="medium">
        <color rgb="FFE5E5E5"/>
      </right>
      <top/>
      <bottom style="medium">
        <color rgb="FFE5E5E5"/>
      </bottom>
      <diagonal/>
    </border>
    <border>
      <left/>
      <right style="medium">
        <color rgb="FFE5E5E5"/>
      </right>
      <top/>
      <bottom style="medium">
        <color rgb="FFE5E5E5"/>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medium">
        <color rgb="FFCEDCE7"/>
      </left>
      <right/>
      <top/>
      <bottom/>
      <diagonal/>
    </border>
    <border>
      <left/>
      <right style="medium">
        <color rgb="FFCEDCE7"/>
      </right>
      <top/>
      <bottom/>
      <diagonal/>
    </border>
    <border>
      <left style="thin">
        <color indexed="64"/>
      </left>
      <right/>
      <top style="thin">
        <color indexed="8"/>
      </top>
      <bottom style="thin">
        <color indexed="8"/>
      </bottom>
      <diagonal/>
    </border>
    <border>
      <left style="thin">
        <color auto="1"/>
      </left>
      <right style="thin">
        <color auto="1"/>
      </right>
      <top style="thin">
        <color auto="1"/>
      </top>
      <bottom style="thin">
        <color auto="1"/>
      </bottom>
      <diagonal/>
    </border>
  </borders>
  <cellStyleXfs count="47038">
    <xf numFmtId="0" fontId="0" fillId="0" borderId="0">
      <alignment vertical="center"/>
    </xf>
    <xf numFmtId="41" fontId="21" fillId="0" borderId="0" applyFont="0" applyFill="0" applyBorder="0" applyAlignment="0" applyProtection="0">
      <alignment vertical="center"/>
    </xf>
    <xf numFmtId="0" fontId="18" fillId="0" borderId="0">
      <alignment vertical="center"/>
    </xf>
    <xf numFmtId="41" fontId="18" fillId="0" borderId="0" applyFont="0" applyFill="0" applyBorder="0" applyAlignment="0" applyProtection="0">
      <alignment vertical="center"/>
    </xf>
    <xf numFmtId="9" fontId="21" fillId="0" borderId="0" applyFont="0" applyFill="0" applyBorder="0" applyAlignment="0" applyProtection="0">
      <alignment vertical="center"/>
    </xf>
    <xf numFmtId="41" fontId="21" fillId="0" borderId="0" applyFont="0" applyFill="0" applyBorder="0" applyAlignment="0" applyProtection="0">
      <alignment vertical="center"/>
    </xf>
    <xf numFmtId="41" fontId="21" fillId="0" borderId="0" applyFont="0" applyFill="0" applyBorder="0" applyAlignment="0" applyProtection="0">
      <alignment vertical="center"/>
    </xf>
    <xf numFmtId="0" fontId="18" fillId="0" borderId="0">
      <alignment vertical="center"/>
    </xf>
    <xf numFmtId="0" fontId="34" fillId="0" borderId="0"/>
    <xf numFmtId="0" fontId="9" fillId="0" borderId="0">
      <alignment vertical="center"/>
    </xf>
    <xf numFmtId="0" fontId="9" fillId="0" borderId="0">
      <alignment vertical="center"/>
    </xf>
    <xf numFmtId="0" fontId="9" fillId="0" borderId="0">
      <alignment vertical="center"/>
    </xf>
    <xf numFmtId="0" fontId="18" fillId="0" borderId="0"/>
    <xf numFmtId="0" fontId="9" fillId="0" borderId="0">
      <alignment vertical="center"/>
    </xf>
    <xf numFmtId="0" fontId="39" fillId="0" borderId="0"/>
    <xf numFmtId="0" fontId="40" fillId="0" borderId="0"/>
    <xf numFmtId="0" fontId="40" fillId="0" borderId="0"/>
    <xf numFmtId="0" fontId="26" fillId="0" borderId="0"/>
    <xf numFmtId="0" fontId="26" fillId="0" borderId="0"/>
    <xf numFmtId="0" fontId="41" fillId="0" borderId="0" applyFont="0" applyFill="0" applyBorder="0" applyAlignment="0" applyProtection="0"/>
    <xf numFmtId="0" fontId="26" fillId="0" borderId="0"/>
    <xf numFmtId="0" fontId="26" fillId="0" borderId="0"/>
    <xf numFmtId="0" fontId="41" fillId="0" borderId="0" applyFont="0" applyFill="0" applyBorder="0" applyAlignment="0" applyProtection="0"/>
    <xf numFmtId="0" fontId="41" fillId="0" borderId="0" applyFont="0" applyFill="0" applyBorder="0" applyAlignment="0" applyProtection="0"/>
    <xf numFmtId="0" fontId="26" fillId="0" borderId="57"/>
    <xf numFmtId="0" fontId="26" fillId="7" borderId="0"/>
    <xf numFmtId="0" fontId="42" fillId="8" borderId="0"/>
    <xf numFmtId="0" fontId="43" fillId="9" borderId="0"/>
    <xf numFmtId="0" fontId="44" fillId="10" borderId="0"/>
    <xf numFmtId="0" fontId="45" fillId="0" borderId="0"/>
    <xf numFmtId="0" fontId="46" fillId="0" borderId="0"/>
    <xf numFmtId="0" fontId="30" fillId="0" borderId="0"/>
    <xf numFmtId="4" fontId="26" fillId="11" borderId="0"/>
    <xf numFmtId="0" fontId="26" fillId="0" borderId="0"/>
    <xf numFmtId="0" fontId="47" fillId="12" borderId="0"/>
    <xf numFmtId="0" fontId="47" fillId="12" borderId="0"/>
    <xf numFmtId="0" fontId="47" fillId="12" borderId="0"/>
    <xf numFmtId="0" fontId="47" fillId="12" borderId="0"/>
    <xf numFmtId="0" fontId="47" fillId="12" borderId="0"/>
    <xf numFmtId="0" fontId="47" fillId="12" borderId="0"/>
    <xf numFmtId="0" fontId="47" fillId="12" borderId="0"/>
    <xf numFmtId="0" fontId="47" fillId="12" borderId="0"/>
    <xf numFmtId="0" fontId="47" fillId="12" borderId="0"/>
    <xf numFmtId="0" fontId="47" fillId="12" borderId="0"/>
    <xf numFmtId="0" fontId="47" fillId="12" borderId="0"/>
    <xf numFmtId="0" fontId="47" fillId="12" borderId="0"/>
    <xf numFmtId="0" fontId="47" fillId="12" borderId="0"/>
    <xf numFmtId="0" fontId="47" fillId="12" borderId="0"/>
    <xf numFmtId="0" fontId="47" fillId="12" borderId="0"/>
    <xf numFmtId="0" fontId="47" fillId="12" borderId="0"/>
    <xf numFmtId="0" fontId="47" fillId="12" borderId="0"/>
    <xf numFmtId="0" fontId="47" fillId="12" borderId="0"/>
    <xf numFmtId="0" fontId="47" fillId="12" borderId="0"/>
    <xf numFmtId="0" fontId="47" fillId="12" borderId="0"/>
    <xf numFmtId="0" fontId="47" fillId="12" borderId="0"/>
    <xf numFmtId="0" fontId="47" fillId="12" borderId="0"/>
    <xf numFmtId="0" fontId="47" fillId="12" borderId="0"/>
    <xf numFmtId="0" fontId="47" fillId="12" borderId="0"/>
    <xf numFmtId="0" fontId="47" fillId="12" borderId="0"/>
    <xf numFmtId="0" fontId="47" fillId="12" borderId="0"/>
    <xf numFmtId="0" fontId="18" fillId="12" borderId="0"/>
    <xf numFmtId="0" fontId="47" fillId="12" borderId="0"/>
    <xf numFmtId="0" fontId="47" fillId="12" borderId="0"/>
    <xf numFmtId="0" fontId="47" fillId="12" borderId="0"/>
    <xf numFmtId="0" fontId="47" fillId="12" borderId="0"/>
    <xf numFmtId="0" fontId="47" fillId="12" borderId="0"/>
    <xf numFmtId="0" fontId="47" fillId="12" borderId="0"/>
    <xf numFmtId="0" fontId="47" fillId="12" borderId="0"/>
    <xf numFmtId="0" fontId="47" fillId="12" borderId="0"/>
    <xf numFmtId="0" fontId="47" fillId="12" borderId="0"/>
    <xf numFmtId="0" fontId="47" fillId="12" borderId="0"/>
    <xf numFmtId="0" fontId="47" fillId="12" borderId="0"/>
    <xf numFmtId="0" fontId="47" fillId="12" borderId="0"/>
    <xf numFmtId="0" fontId="47" fillId="12" borderId="0"/>
    <xf numFmtId="0" fontId="47" fillId="12" borderId="0"/>
    <xf numFmtId="0" fontId="47" fillId="12" borderId="0"/>
    <xf numFmtId="0" fontId="47" fillId="12" borderId="0"/>
    <xf numFmtId="0" fontId="18" fillId="12" borderId="0"/>
    <xf numFmtId="0" fontId="47" fillId="12" borderId="0"/>
    <xf numFmtId="0" fontId="47" fillId="12" borderId="0"/>
    <xf numFmtId="0" fontId="47" fillId="12" borderId="0"/>
    <xf numFmtId="0" fontId="47" fillId="12" borderId="0"/>
    <xf numFmtId="0" fontId="47" fillId="12" borderId="0"/>
    <xf numFmtId="0" fontId="47" fillId="12" borderId="0"/>
    <xf numFmtId="0" fontId="47" fillId="12" borderId="0"/>
    <xf numFmtId="0" fontId="47" fillId="12" borderId="0"/>
    <xf numFmtId="0" fontId="47" fillId="12" borderId="0"/>
    <xf numFmtId="0" fontId="47" fillId="12" borderId="0"/>
    <xf numFmtId="0" fontId="47" fillId="12" borderId="0"/>
    <xf numFmtId="0" fontId="47" fillId="12" borderId="0"/>
    <xf numFmtId="0" fontId="47" fillId="12" borderId="0"/>
    <xf numFmtId="0" fontId="47" fillId="12" borderId="0"/>
    <xf numFmtId="0" fontId="47" fillId="12" borderId="0"/>
    <xf numFmtId="0" fontId="47" fillId="12" borderId="0"/>
    <xf numFmtId="0" fontId="47" fillId="12" borderId="0"/>
    <xf numFmtId="0" fontId="47" fillId="12" borderId="0"/>
    <xf numFmtId="0" fontId="47" fillId="12" borderId="0"/>
    <xf numFmtId="0" fontId="47" fillId="12" borderId="0"/>
    <xf numFmtId="0" fontId="47" fillId="12" borderId="0"/>
    <xf numFmtId="0" fontId="47" fillId="12" borderId="0"/>
    <xf numFmtId="0" fontId="47" fillId="12" borderId="0"/>
    <xf numFmtId="0" fontId="47" fillId="12" borderId="0"/>
    <xf numFmtId="0" fontId="47" fillId="12" borderId="0"/>
    <xf numFmtId="0" fontId="47" fillId="12" borderId="0"/>
    <xf numFmtId="0" fontId="47" fillId="12" borderId="0"/>
    <xf numFmtId="0" fontId="47" fillId="12" borderId="0"/>
    <xf numFmtId="0" fontId="47" fillId="12" borderId="0"/>
    <xf numFmtId="0" fontId="47" fillId="12" borderId="0"/>
    <xf numFmtId="0" fontId="47" fillId="12" borderId="0"/>
    <xf numFmtId="0" fontId="47" fillId="12" borderId="0"/>
    <xf numFmtId="0" fontId="47" fillId="12" borderId="0"/>
    <xf numFmtId="0" fontId="47" fillId="12" borderId="0"/>
    <xf numFmtId="0" fontId="47" fillId="12" borderId="0"/>
    <xf numFmtId="0" fontId="47" fillId="12" borderId="0"/>
    <xf numFmtId="0" fontId="47" fillId="12" borderId="0"/>
    <xf numFmtId="0" fontId="47" fillId="12" borderId="0"/>
    <xf numFmtId="0" fontId="47" fillId="12" borderId="0"/>
    <xf numFmtId="0" fontId="47" fillId="12" borderId="0"/>
    <xf numFmtId="0" fontId="47" fillId="12" borderId="0"/>
    <xf numFmtId="0" fontId="47" fillId="12" borderId="0"/>
    <xf numFmtId="0" fontId="47" fillId="12" borderId="0"/>
    <xf numFmtId="0" fontId="47" fillId="12" borderId="0"/>
    <xf numFmtId="0" fontId="47" fillId="12" borderId="0"/>
    <xf numFmtId="0" fontId="26" fillId="0" borderId="57"/>
    <xf numFmtId="0" fontId="26" fillId="7" borderId="0"/>
    <xf numFmtId="0" fontId="42" fillId="8" borderId="0"/>
    <xf numFmtId="0" fontId="43" fillId="9" borderId="0"/>
    <xf numFmtId="0" fontId="44" fillId="10" borderId="0"/>
    <xf numFmtId="0" fontId="45" fillId="0" borderId="0"/>
    <xf numFmtId="0" fontId="46" fillId="0" borderId="0"/>
    <xf numFmtId="0" fontId="30" fillId="0" borderId="0"/>
    <xf numFmtId="0" fontId="26" fillId="0" borderId="0"/>
    <xf numFmtId="0" fontId="41" fillId="0" borderId="0" applyFont="0" applyFill="0" applyBorder="0" applyAlignment="0" applyProtection="0"/>
    <xf numFmtId="0" fontId="48" fillId="0" borderId="0"/>
    <xf numFmtId="0" fontId="41" fillId="0" borderId="0" applyFont="0" applyFill="0" applyBorder="0" applyAlignment="0" applyProtection="0"/>
    <xf numFmtId="0" fontId="26" fillId="0" borderId="0"/>
    <xf numFmtId="0" fontId="26" fillId="0" borderId="0"/>
    <xf numFmtId="0" fontId="26" fillId="0" borderId="0"/>
    <xf numFmtId="0" fontId="41" fillId="0" borderId="0" applyFont="0" applyFill="0" applyBorder="0" applyAlignment="0" applyProtection="0"/>
    <xf numFmtId="0" fontId="41" fillId="0" borderId="0" applyFont="0" applyFill="0" applyBorder="0" applyAlignment="0" applyProtection="0"/>
    <xf numFmtId="0" fontId="26" fillId="0" borderId="0"/>
    <xf numFmtId="0" fontId="26" fillId="0" borderId="0"/>
    <xf numFmtId="0" fontId="26" fillId="0" borderId="0"/>
    <xf numFmtId="0" fontId="26" fillId="0" borderId="0"/>
    <xf numFmtId="0" fontId="41" fillId="0" borderId="0" applyFont="0" applyFill="0" applyBorder="0" applyAlignment="0" applyProtection="0"/>
    <xf numFmtId="0" fontId="49" fillId="0" borderId="0"/>
    <xf numFmtId="0" fontId="25" fillId="0" borderId="0"/>
    <xf numFmtId="0" fontId="50" fillId="0" borderId="0" applyFont="0" applyFill="0" applyBorder="0" applyAlignment="0" applyProtection="0"/>
    <xf numFmtId="0" fontId="50" fillId="0" borderId="0" applyFont="0" applyFill="0" applyBorder="0" applyAlignment="0" applyProtection="0"/>
    <xf numFmtId="0" fontId="50" fillId="0" borderId="0" applyFont="0" applyFill="0" applyBorder="0" applyAlignment="0" applyProtection="0"/>
    <xf numFmtId="0" fontId="50" fillId="0" borderId="0" applyFont="0" applyFill="0" applyBorder="0" applyAlignment="0" applyProtection="0"/>
    <xf numFmtId="0" fontId="51" fillId="0" borderId="0"/>
    <xf numFmtId="0" fontId="52" fillId="0" borderId="0"/>
    <xf numFmtId="0" fontId="26" fillId="0" borderId="0" applyFont="0" applyFill="0" applyBorder="0" applyAlignment="0" applyProtection="0"/>
    <xf numFmtId="0" fontId="26" fillId="0" borderId="0" applyFont="0" applyFill="0" applyBorder="0" applyAlignment="0" applyProtection="0"/>
    <xf numFmtId="0" fontId="41" fillId="0" borderId="0" applyFont="0" applyFill="0" applyBorder="0" applyAlignment="0" applyProtection="0"/>
    <xf numFmtId="0" fontId="26" fillId="0" borderId="0" applyFont="0" applyFill="0" applyBorder="0" applyAlignment="0" applyProtection="0"/>
    <xf numFmtId="0" fontId="18" fillId="0" borderId="0" applyFont="0" applyFill="0" applyBorder="0" applyAlignment="0" applyProtection="0"/>
    <xf numFmtId="0" fontId="40" fillId="0" borderId="0"/>
    <xf numFmtId="181" fontId="18" fillId="0" borderId="0" applyFont="0" applyFill="0" applyBorder="0" applyAlignment="0" applyProtection="0"/>
    <xf numFmtId="0" fontId="53" fillId="0" borderId="0">
      <protection locked="0"/>
    </xf>
    <xf numFmtId="0" fontId="53" fillId="0" borderId="0">
      <protection locked="0"/>
    </xf>
    <xf numFmtId="0" fontId="54" fillId="0" borderId="0">
      <protection locked="0"/>
    </xf>
    <xf numFmtId="0" fontId="53" fillId="0" borderId="0">
      <protection locked="0"/>
    </xf>
    <xf numFmtId="0" fontId="53" fillId="0" borderId="0">
      <protection locked="0"/>
    </xf>
    <xf numFmtId="0" fontId="53" fillId="0" borderId="0">
      <protection locked="0"/>
    </xf>
    <xf numFmtId="0" fontId="54" fillId="0" borderId="0">
      <protection locked="0"/>
    </xf>
    <xf numFmtId="38" fontId="30" fillId="5" borderId="0" applyNumberFormat="0" applyBorder="0" applyAlignment="0" applyProtection="0"/>
    <xf numFmtId="0" fontId="55" fillId="0" borderId="0">
      <alignment horizontal="left"/>
    </xf>
    <xf numFmtId="0" fontId="56" fillId="0" borderId="30" applyNumberFormat="0" applyAlignment="0" applyProtection="0">
      <alignment horizontal="left" vertical="center"/>
    </xf>
    <xf numFmtId="0" fontId="56" fillId="0" borderId="50">
      <alignment horizontal="left" vertical="center"/>
    </xf>
    <xf numFmtId="10" fontId="30" fillId="5" borderId="32" applyNumberFormat="0" applyBorder="0" applyAlignment="0" applyProtection="0"/>
    <xf numFmtId="182" fontId="26" fillId="0" borderId="0" applyFont="0" applyFill="0" applyBorder="0" applyAlignment="0" applyProtection="0"/>
    <xf numFmtId="183" fontId="26" fillId="0" borderId="0" applyFont="0" applyFill="0" applyBorder="0" applyAlignment="0" applyProtection="0"/>
    <xf numFmtId="0" fontId="57" fillId="0" borderId="26"/>
    <xf numFmtId="184" fontId="26" fillId="0" borderId="0" applyFont="0" applyFill="0" applyBorder="0" applyAlignment="0" applyProtection="0"/>
    <xf numFmtId="185" fontId="26" fillId="0" borderId="0" applyFont="0" applyFill="0" applyBorder="0" applyAlignment="0" applyProtection="0"/>
    <xf numFmtId="0" fontId="40" fillId="0" borderId="0"/>
    <xf numFmtId="0" fontId="26" fillId="0" borderId="0"/>
    <xf numFmtId="0" fontId="26" fillId="0" borderId="0"/>
    <xf numFmtId="10" fontId="26" fillId="0" borderId="0" applyFont="0" applyFill="0" applyBorder="0" applyAlignment="0" applyProtection="0"/>
    <xf numFmtId="0" fontId="58" fillId="0" borderId="0" applyFont="0" applyFill="0" applyBorder="0" applyAlignment="0" applyProtection="0"/>
    <xf numFmtId="0" fontId="57" fillId="0" borderId="0"/>
    <xf numFmtId="0" fontId="8" fillId="2" borderId="0" applyNumberFormat="0" applyBorder="0" applyAlignment="0" applyProtection="0">
      <alignment vertical="center"/>
    </xf>
    <xf numFmtId="0" fontId="59" fillId="0" borderId="0" applyNumberFormat="0" applyFill="0" applyBorder="0" applyAlignment="0" applyProtection="0">
      <alignment vertical="top"/>
      <protection locked="0"/>
    </xf>
    <xf numFmtId="40" fontId="60" fillId="0" borderId="0" applyFont="0" applyFill="0" applyBorder="0" applyAlignment="0" applyProtection="0"/>
    <xf numFmtId="38" fontId="60" fillId="0" borderId="0" applyFont="0" applyFill="0" applyBorder="0" applyAlignment="0" applyProtection="0"/>
    <xf numFmtId="0" fontId="60" fillId="0" borderId="0" applyFont="0" applyFill="0" applyBorder="0" applyAlignment="0" applyProtection="0"/>
    <xf numFmtId="0" fontId="60" fillId="0" borderId="0" applyFont="0" applyFill="0" applyBorder="0" applyAlignment="0" applyProtection="0"/>
    <xf numFmtId="9" fontId="21" fillId="0" borderId="0" applyFont="0" applyFill="0" applyBorder="0" applyAlignment="0" applyProtection="0">
      <alignment vertical="center"/>
    </xf>
    <xf numFmtId="9" fontId="21" fillId="0" borderId="0" applyFont="0" applyFill="0" applyBorder="0" applyAlignment="0" applyProtection="0">
      <alignment vertical="center"/>
    </xf>
    <xf numFmtId="9" fontId="21" fillId="0" borderId="0" applyFont="0" applyFill="0" applyBorder="0" applyAlignment="0" applyProtection="0">
      <alignment vertical="center"/>
    </xf>
    <xf numFmtId="9" fontId="21" fillId="0" borderId="0" applyFont="0" applyFill="0" applyBorder="0" applyAlignment="0" applyProtection="0">
      <alignment vertical="center"/>
    </xf>
    <xf numFmtId="9" fontId="21" fillId="0" borderId="0" applyFont="0" applyFill="0" applyBorder="0" applyAlignment="0" applyProtection="0">
      <alignment vertical="center"/>
    </xf>
    <xf numFmtId="9" fontId="9" fillId="0" borderId="0" applyFont="0" applyFill="0" applyBorder="0" applyAlignment="0" applyProtection="0">
      <alignment vertical="center"/>
    </xf>
    <xf numFmtId="9" fontId="21" fillId="0" borderId="0" applyFont="0" applyFill="0" applyBorder="0" applyAlignment="0" applyProtection="0">
      <alignment vertical="center"/>
    </xf>
    <xf numFmtId="9" fontId="21" fillId="0" borderId="0" applyFont="0" applyFill="0" applyBorder="0" applyAlignment="0" applyProtection="0">
      <alignment vertical="center"/>
    </xf>
    <xf numFmtId="9" fontId="21" fillId="0" borderId="0" applyFont="0" applyFill="0" applyBorder="0" applyAlignment="0" applyProtection="0">
      <alignment vertical="center"/>
    </xf>
    <xf numFmtId="9" fontId="21" fillId="0" borderId="0" applyFont="0" applyFill="0" applyBorder="0" applyAlignment="0" applyProtection="0">
      <alignment vertical="center"/>
    </xf>
    <xf numFmtId="0" fontId="61" fillId="0" borderId="0"/>
    <xf numFmtId="0" fontId="39" fillId="13" borderId="32" applyNumberFormat="0">
      <alignment vertical="center"/>
    </xf>
    <xf numFmtId="0" fontId="39" fillId="0" borderId="32">
      <alignment vertical="center"/>
    </xf>
    <xf numFmtId="41" fontId="21" fillId="0" borderId="0" applyFont="0" applyFill="0" applyBorder="0" applyAlignment="0" applyProtection="0">
      <alignment vertical="center"/>
    </xf>
    <xf numFmtId="41" fontId="21" fillId="0" borderId="0" applyFont="0" applyFill="0" applyBorder="0" applyAlignment="0" applyProtection="0">
      <alignment vertical="center"/>
    </xf>
    <xf numFmtId="41" fontId="26" fillId="0" borderId="0">
      <alignment vertical="top"/>
    </xf>
    <xf numFmtId="41" fontId="21" fillId="0" borderId="0" applyFont="0" applyFill="0" applyBorder="0" applyAlignment="0" applyProtection="0">
      <alignment vertical="center"/>
    </xf>
    <xf numFmtId="41" fontId="21" fillId="0" borderId="0" applyFont="0" applyFill="0" applyBorder="0" applyAlignment="0" applyProtection="0">
      <alignment vertical="center"/>
    </xf>
    <xf numFmtId="41" fontId="18" fillId="0" borderId="0" applyFont="0" applyFill="0" applyBorder="0" applyAlignment="0" applyProtection="0"/>
    <xf numFmtId="41" fontId="18" fillId="0" borderId="0" applyFont="0" applyFill="0" applyBorder="0" applyAlignment="0" applyProtection="0">
      <alignment vertical="center"/>
    </xf>
    <xf numFmtId="41" fontId="9" fillId="0" borderId="0" applyFont="0" applyFill="0" applyBorder="0" applyAlignment="0" applyProtection="0">
      <alignment vertical="center"/>
    </xf>
    <xf numFmtId="41" fontId="21" fillId="0" borderId="0" applyFont="0" applyFill="0" applyBorder="0" applyAlignment="0" applyProtection="0">
      <alignment vertical="center"/>
    </xf>
    <xf numFmtId="186" fontId="26" fillId="0" borderId="0" applyFont="0" applyFill="0" applyBorder="0" applyAlignment="0" applyProtection="0"/>
    <xf numFmtId="41" fontId="21" fillId="0" borderId="0" applyFont="0" applyFill="0" applyBorder="0" applyAlignment="0" applyProtection="0">
      <alignment vertical="center"/>
    </xf>
    <xf numFmtId="41" fontId="21" fillId="0" borderId="0" applyFont="0" applyFill="0" applyBorder="0" applyAlignment="0" applyProtection="0">
      <alignment vertical="center"/>
    </xf>
    <xf numFmtId="41" fontId="21" fillId="0" borderId="0" applyFont="0" applyFill="0" applyBorder="0" applyAlignment="0" applyProtection="0">
      <alignment vertical="center"/>
    </xf>
    <xf numFmtId="41" fontId="18" fillId="0" borderId="0" applyFont="0" applyFill="0" applyBorder="0" applyAlignment="0" applyProtection="0"/>
    <xf numFmtId="41" fontId="21" fillId="0" borderId="0" applyFont="0" applyFill="0" applyBorder="0" applyAlignment="0" applyProtection="0">
      <alignment vertical="center"/>
    </xf>
    <xf numFmtId="41" fontId="21" fillId="0" borderId="0" applyFont="0" applyFill="0" applyBorder="0" applyAlignment="0" applyProtection="0">
      <alignment vertical="center"/>
    </xf>
    <xf numFmtId="0" fontId="26" fillId="0" borderId="0"/>
    <xf numFmtId="0" fontId="40" fillId="0" borderId="0" applyFont="0" applyFill="0" applyBorder="0" applyAlignment="0" applyProtection="0"/>
    <xf numFmtId="0" fontId="40" fillId="0" borderId="0" applyFont="0" applyFill="0" applyBorder="0" applyAlignment="0" applyProtection="0"/>
    <xf numFmtId="0" fontId="26"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21" fillId="0" borderId="0">
      <alignment vertical="center"/>
    </xf>
    <xf numFmtId="0" fontId="9" fillId="0" borderId="0">
      <alignment vertical="center"/>
    </xf>
    <xf numFmtId="0" fontId="27" fillId="0" borderId="0"/>
    <xf numFmtId="0" fontId="9"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21" fillId="0" borderId="0">
      <alignment vertical="center"/>
    </xf>
    <xf numFmtId="0" fontId="9"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9"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9"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9"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9"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9" fillId="0" borderId="0">
      <alignment vertical="center"/>
    </xf>
    <xf numFmtId="0" fontId="26"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21" fillId="0" borderId="0">
      <alignment vertical="center"/>
    </xf>
    <xf numFmtId="0" fontId="21" fillId="0" borderId="0">
      <alignment vertical="center"/>
    </xf>
    <xf numFmtId="0" fontId="26"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vertical="center"/>
    </xf>
    <xf numFmtId="0" fontId="9" fillId="0" borderId="0">
      <alignment vertical="center"/>
    </xf>
    <xf numFmtId="0" fontId="62" fillId="0" borderId="0"/>
    <xf numFmtId="0" fontId="9"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9"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9"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9" fillId="0" borderId="0">
      <alignment vertical="center"/>
    </xf>
    <xf numFmtId="0" fontId="6"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6" fillId="0" borderId="0" applyNumberFormat="0" applyFont="0" applyFill="0" applyBorder="0" applyAlignment="0" applyProtection="0"/>
    <xf numFmtId="41" fontId="18" fillId="0" borderId="0" applyFont="0" applyFill="0" applyBorder="0" applyAlignment="0" applyProtection="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 fillId="0" borderId="0">
      <alignment vertical="center"/>
    </xf>
    <xf numFmtId="0" fontId="26" fillId="0" borderId="0"/>
    <xf numFmtId="0" fontId="26" fillId="0" borderId="0"/>
    <xf numFmtId="0" fontId="26" fillId="0" borderId="0"/>
    <xf numFmtId="0" fontId="84" fillId="0" borderId="0">
      <alignment vertical="center"/>
    </xf>
    <xf numFmtId="0" fontId="84" fillId="0" borderId="0">
      <alignment vertical="center"/>
    </xf>
    <xf numFmtId="0" fontId="2" fillId="0" borderId="0">
      <alignment vertical="center"/>
    </xf>
    <xf numFmtId="0" fontId="91" fillId="0" borderId="0" applyNumberFormat="0" applyFill="0" applyBorder="0" applyAlignment="0" applyProtection="0">
      <alignment vertical="top"/>
      <protection locked="0"/>
    </xf>
    <xf numFmtId="41" fontId="21" fillId="0" borderId="0" applyFont="0" applyFill="0" applyBorder="0" applyAlignment="0" applyProtection="0">
      <alignment vertical="center"/>
    </xf>
    <xf numFmtId="9" fontId="9" fillId="0" borderId="0" applyFont="0" applyFill="0" applyBorder="0" applyAlignment="0" applyProtection="0">
      <alignment vertical="center"/>
    </xf>
    <xf numFmtId="43" fontId="9" fillId="0" borderId="0" applyFont="0" applyFill="0" applyBorder="0" applyAlignment="0" applyProtection="0">
      <alignment vertical="center"/>
    </xf>
    <xf numFmtId="0" fontId="26" fillId="0" borderId="0"/>
    <xf numFmtId="0" fontId="26" fillId="0" borderId="0"/>
    <xf numFmtId="0" fontId="26" fillId="0" borderId="0"/>
    <xf numFmtId="0" fontId="26" fillId="0" borderId="0"/>
    <xf numFmtId="0" fontId="26" fillId="0" borderId="0"/>
    <xf numFmtId="0" fontId="56" fillId="0" borderId="149">
      <alignment horizontal="left" vertical="center"/>
    </xf>
    <xf numFmtId="10" fontId="30" fillId="5" borderId="148" applyNumberFormat="0" applyBorder="0" applyAlignment="0" applyProtection="0"/>
    <xf numFmtId="0" fontId="39" fillId="13" borderId="148" applyNumberFormat="0">
      <alignment vertical="center"/>
    </xf>
    <xf numFmtId="0" fontId="39" fillId="0" borderId="148">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cellStyleXfs>
  <cellXfs count="1097">
    <xf numFmtId="0" fontId="0" fillId="0" borderId="0" xfId="0">
      <alignment vertical="center"/>
    </xf>
    <xf numFmtId="0" fontId="10" fillId="0" borderId="0" xfId="0" applyFont="1">
      <alignment vertical="center"/>
    </xf>
    <xf numFmtId="0" fontId="16" fillId="0" borderId="0" xfId="0" applyFont="1" applyAlignment="1">
      <alignment horizontal="left" vertical="center"/>
    </xf>
    <xf numFmtId="0" fontId="10" fillId="0" borderId="0" xfId="0" applyFont="1" applyFill="1">
      <alignment vertical="center"/>
    </xf>
    <xf numFmtId="0" fontId="17" fillId="0" borderId="0" xfId="0" applyFont="1" applyAlignment="1">
      <alignment horizontal="left" vertical="center"/>
    </xf>
    <xf numFmtId="0" fontId="10" fillId="0" borderId="0" xfId="0" applyFont="1" applyAlignment="1">
      <alignment horizontal="left" vertical="center"/>
    </xf>
    <xf numFmtId="0" fontId="20" fillId="0" borderId="0" xfId="2" applyFont="1">
      <alignment vertical="center"/>
    </xf>
    <xf numFmtId="0" fontId="20" fillId="0" borderId="0" xfId="2" applyFont="1" applyFill="1">
      <alignment vertical="center"/>
    </xf>
    <xf numFmtId="0" fontId="22" fillId="0" borderId="0" xfId="2" applyFont="1">
      <alignment vertical="center"/>
    </xf>
    <xf numFmtId="0" fontId="23" fillId="3" borderId="37" xfId="2" applyFont="1" applyFill="1" applyBorder="1" applyAlignment="1">
      <alignment horizontal="center" vertical="center"/>
    </xf>
    <xf numFmtId="0" fontId="23" fillId="3" borderId="32" xfId="2" applyFont="1" applyFill="1" applyBorder="1" applyAlignment="1">
      <alignment horizontal="center" vertical="center"/>
    </xf>
    <xf numFmtId="0" fontId="23" fillId="3" borderId="32" xfId="2" applyFont="1" applyFill="1" applyBorder="1" applyAlignment="1">
      <alignment horizontal="center" vertical="center" wrapText="1" shrinkToFit="1"/>
    </xf>
    <xf numFmtId="0" fontId="18" fillId="0" borderId="37" xfId="2" applyFont="1" applyFill="1" applyBorder="1" applyAlignment="1">
      <alignment horizontal="center" vertical="center"/>
    </xf>
    <xf numFmtId="0" fontId="18" fillId="0" borderId="32" xfId="2" applyFont="1" applyFill="1" applyBorder="1" applyAlignment="1">
      <alignment horizontal="center" vertical="center"/>
    </xf>
    <xf numFmtId="49" fontId="18" fillId="0" borderId="37" xfId="2" applyNumberFormat="1" applyFont="1" applyFill="1" applyBorder="1" applyAlignment="1">
      <alignment horizontal="center" vertical="center"/>
    </xf>
    <xf numFmtId="41" fontId="18" fillId="0" borderId="38" xfId="3" applyFont="1" applyFill="1" applyBorder="1" applyAlignment="1">
      <alignment horizontal="center" vertical="center" wrapText="1" shrinkToFit="1"/>
    </xf>
    <xf numFmtId="49" fontId="18" fillId="0" borderId="40" xfId="2" applyNumberFormat="1" applyFont="1" applyFill="1" applyBorder="1" applyAlignment="1">
      <alignment horizontal="center" vertical="center"/>
    </xf>
    <xf numFmtId="0" fontId="18" fillId="0" borderId="33" xfId="2" applyFont="1" applyFill="1" applyBorder="1" applyAlignment="1">
      <alignment horizontal="center" vertical="center"/>
    </xf>
    <xf numFmtId="41" fontId="26" fillId="0" borderId="0" xfId="1" applyFont="1">
      <alignment vertical="center"/>
    </xf>
    <xf numFmtId="41" fontId="18" fillId="0" borderId="38" xfId="3" applyFont="1" applyFill="1" applyBorder="1" applyAlignment="1">
      <alignment horizontal="center" vertical="center"/>
    </xf>
    <xf numFmtId="0" fontId="22" fillId="0" borderId="0" xfId="2" applyFont="1" applyFill="1">
      <alignment vertical="center"/>
    </xf>
    <xf numFmtId="0" fontId="29" fillId="0" borderId="0" xfId="0" applyFont="1">
      <alignment vertical="center"/>
    </xf>
    <xf numFmtId="0" fontId="29" fillId="0" borderId="0" xfId="0" applyFont="1" applyAlignment="1">
      <alignment horizontal="right"/>
    </xf>
    <xf numFmtId="0" fontId="29" fillId="0" borderId="0" xfId="0" applyFont="1" applyAlignment="1"/>
    <xf numFmtId="0" fontId="33" fillId="0" borderId="0" xfId="0" applyFont="1" applyFill="1" applyBorder="1" applyAlignment="1">
      <alignment horizontal="center" vertical="center" wrapText="1"/>
    </xf>
    <xf numFmtId="0" fontId="29" fillId="0" borderId="0" xfId="0" applyFont="1" applyFill="1">
      <alignment vertical="center"/>
    </xf>
    <xf numFmtId="0" fontId="33" fillId="3" borderId="33" xfId="0" applyFont="1" applyFill="1" applyBorder="1" applyAlignment="1">
      <alignment horizontal="center" vertical="center" wrapText="1"/>
    </xf>
    <xf numFmtId="41" fontId="10" fillId="0" borderId="32" xfId="5" applyFont="1" applyBorder="1" applyAlignment="1">
      <alignment horizontal="center" vertical="center" wrapText="1"/>
    </xf>
    <xf numFmtId="0" fontId="10" fillId="0" borderId="0" xfId="0" applyFont="1" applyAlignment="1">
      <alignment vertical="center"/>
    </xf>
    <xf numFmtId="14" fontId="10" fillId="0" borderId="0" xfId="0" applyNumberFormat="1" applyFont="1" applyFill="1" applyBorder="1" applyAlignment="1">
      <alignment horizontal="center" vertical="center" wrapText="1"/>
    </xf>
    <xf numFmtId="14" fontId="10" fillId="0" borderId="0" xfId="0" applyNumberFormat="1" applyFont="1" applyFill="1" applyBorder="1" applyAlignment="1">
      <alignment vertical="center" wrapText="1"/>
    </xf>
    <xf numFmtId="0" fontId="10" fillId="0" borderId="0" xfId="0" applyFont="1" applyBorder="1" applyAlignment="1">
      <alignment vertical="center"/>
    </xf>
    <xf numFmtId="0" fontId="35" fillId="4" borderId="0" xfId="0" applyFont="1" applyFill="1" applyBorder="1" applyAlignment="1">
      <alignment horizontal="left" vertical="top" wrapText="1"/>
    </xf>
    <xf numFmtId="41" fontId="10" fillId="0" borderId="32" xfId="0" applyNumberFormat="1" applyFont="1" applyBorder="1" applyAlignment="1">
      <alignment horizontal="center" vertical="center" wrapText="1"/>
    </xf>
    <xf numFmtId="41" fontId="33" fillId="3" borderId="32" xfId="0" applyNumberFormat="1" applyFont="1" applyFill="1" applyBorder="1" applyAlignment="1">
      <alignment horizontal="center" vertical="center" wrapText="1"/>
    </xf>
    <xf numFmtId="0" fontId="18" fillId="4" borderId="0" xfId="0" applyFont="1" applyFill="1">
      <alignment vertical="center"/>
    </xf>
    <xf numFmtId="0" fontId="18" fillId="0" borderId="0" xfId="0" applyFont="1">
      <alignment vertical="center"/>
    </xf>
    <xf numFmtId="0" fontId="33" fillId="3" borderId="15" xfId="0" applyFont="1" applyFill="1" applyBorder="1" applyAlignment="1">
      <alignment horizontal="center" vertical="center"/>
    </xf>
    <xf numFmtId="0" fontId="33" fillId="3" borderId="33" xfId="0" applyFont="1" applyFill="1" applyBorder="1" applyAlignment="1">
      <alignment horizontal="center" vertical="center"/>
    </xf>
    <xf numFmtId="187" fontId="10" fillId="0" borderId="32" xfId="0" applyNumberFormat="1" applyFont="1" applyBorder="1" applyAlignment="1">
      <alignment horizontal="center" vertical="center" wrapText="1"/>
    </xf>
    <xf numFmtId="0" fontId="18" fillId="0" borderId="0" xfId="0" applyFont="1" applyFill="1">
      <alignment vertical="center"/>
    </xf>
    <xf numFmtId="0" fontId="18" fillId="0" borderId="0" xfId="0" applyFont="1" applyAlignment="1">
      <alignment horizontal="left" vertical="center"/>
    </xf>
    <xf numFmtId="0" fontId="29" fillId="0" borderId="0" xfId="0" applyFont="1">
      <alignment vertical="center"/>
    </xf>
    <xf numFmtId="0" fontId="29" fillId="0" borderId="0" xfId="0" applyFont="1" applyFill="1">
      <alignment vertical="center"/>
    </xf>
    <xf numFmtId="0" fontId="18" fillId="0" borderId="0" xfId="0" applyFont="1" applyFill="1">
      <alignment vertical="center"/>
    </xf>
    <xf numFmtId="0" fontId="36" fillId="3" borderId="65" xfId="2" applyFont="1" applyFill="1" applyBorder="1" applyAlignment="1">
      <alignment horizontal="center" vertical="center" wrapText="1"/>
    </xf>
    <xf numFmtId="0" fontId="36" fillId="3" borderId="34" xfId="0" applyFont="1" applyFill="1" applyBorder="1" applyAlignment="1">
      <alignment horizontal="center" vertical="center"/>
    </xf>
    <xf numFmtId="0" fontId="36" fillId="3" borderId="35" xfId="0" applyFont="1" applyFill="1" applyBorder="1" applyAlignment="1">
      <alignment horizontal="center" vertical="center"/>
    </xf>
    <xf numFmtId="0" fontId="36" fillId="3" borderId="35" xfId="0" applyFont="1" applyFill="1" applyBorder="1" applyAlignment="1">
      <alignment horizontal="center" vertical="center" wrapText="1"/>
    </xf>
    <xf numFmtId="0" fontId="36" fillId="3" borderId="36" xfId="0" applyFont="1" applyFill="1" applyBorder="1" applyAlignment="1">
      <alignment horizontal="center" vertical="center" wrapText="1"/>
    </xf>
    <xf numFmtId="0" fontId="0" fillId="0" borderId="0" xfId="0" applyNumberFormat="1">
      <alignment vertical="center"/>
    </xf>
    <xf numFmtId="0" fontId="18" fillId="3" borderId="32" xfId="0" applyFont="1" applyFill="1" applyBorder="1" applyAlignment="1">
      <alignment vertical="center"/>
    </xf>
    <xf numFmtId="0" fontId="0" fillId="0" borderId="0" xfId="0" applyAlignment="1">
      <alignment horizontal="left" vertical="center"/>
    </xf>
    <xf numFmtId="0" fontId="33" fillId="3" borderId="32" xfId="0" applyFont="1" applyFill="1" applyBorder="1" applyAlignment="1">
      <alignment horizontal="center" vertical="center" shrinkToFit="1"/>
    </xf>
    <xf numFmtId="41" fontId="10" fillId="4" borderId="15" xfId="1" applyFont="1" applyFill="1" applyBorder="1" applyAlignment="1">
      <alignment horizontal="center" vertical="center" shrinkToFit="1"/>
    </xf>
    <xf numFmtId="179" fontId="10" fillId="0" borderId="0" xfId="0" applyNumberFormat="1" applyFont="1" applyFill="1" applyBorder="1" applyAlignment="1">
      <alignment vertical="center" shrinkToFit="1"/>
    </xf>
    <xf numFmtId="41" fontId="33" fillId="3" borderId="15" xfId="0" applyNumberFormat="1" applyFont="1" applyFill="1" applyBorder="1" applyAlignment="1">
      <alignment horizontal="right" vertical="center" shrinkToFit="1"/>
    </xf>
    <xf numFmtId="0" fontId="35" fillId="4" borderId="0" xfId="0" applyFont="1" applyFill="1" applyBorder="1" applyAlignment="1">
      <alignment horizontal="left" vertical="top" shrinkToFit="1"/>
    </xf>
    <xf numFmtId="0" fontId="10" fillId="0" borderId="32" xfId="0" applyFont="1" applyBorder="1" applyAlignment="1">
      <alignment vertical="center" shrinkToFit="1"/>
    </xf>
    <xf numFmtId="0" fontId="10" fillId="3" borderId="32" xfId="0" applyFont="1" applyFill="1" applyBorder="1" applyAlignment="1">
      <alignment vertical="center" shrinkToFit="1"/>
    </xf>
    <xf numFmtId="41" fontId="23" fillId="3" borderId="32" xfId="1" applyFont="1" applyFill="1" applyBorder="1" applyAlignment="1">
      <alignment vertical="center" shrinkToFit="1"/>
    </xf>
    <xf numFmtId="41" fontId="23" fillId="3" borderId="32" xfId="5" applyFont="1" applyFill="1" applyBorder="1" applyAlignment="1">
      <alignment vertical="center" shrinkToFit="1"/>
    </xf>
    <xf numFmtId="41" fontId="23" fillId="3" borderId="32" xfId="5" applyFont="1" applyFill="1" applyBorder="1" applyAlignment="1">
      <alignment horizontal="center" vertical="center" shrinkToFit="1"/>
    </xf>
    <xf numFmtId="187" fontId="10" fillId="0" borderId="32" xfId="0" applyNumberFormat="1" applyFont="1" applyFill="1" applyBorder="1" applyAlignment="1">
      <alignment horizontal="center" vertical="center" wrapText="1"/>
    </xf>
    <xf numFmtId="41" fontId="10" fillId="0" borderId="32" xfId="5" applyFont="1" applyFill="1" applyBorder="1" applyAlignment="1">
      <alignment horizontal="center" vertical="center" wrapText="1"/>
    </xf>
    <xf numFmtId="0" fontId="10" fillId="0" borderId="32" xfId="0" applyFont="1" applyFill="1" applyBorder="1" applyAlignment="1">
      <alignment vertical="center" shrinkToFit="1"/>
    </xf>
    <xf numFmtId="41" fontId="10" fillId="0" borderId="0" xfId="1" applyFont="1">
      <alignment vertical="center"/>
    </xf>
    <xf numFmtId="0" fontId="18" fillId="0" borderId="0" xfId="2" applyFont="1">
      <alignment vertical="center"/>
    </xf>
    <xf numFmtId="41" fontId="18" fillId="0" borderId="14" xfId="3" applyFont="1" applyFill="1" applyBorder="1" applyAlignment="1">
      <alignment horizontal="center" vertical="center" shrinkToFit="1"/>
    </xf>
    <xf numFmtId="0" fontId="10" fillId="0" borderId="0" xfId="0" applyFont="1" applyAlignment="1">
      <alignment horizontal="center" vertical="center"/>
    </xf>
    <xf numFmtId="0" fontId="33" fillId="3" borderId="32" xfId="0" applyFont="1" applyFill="1" applyBorder="1" applyAlignment="1">
      <alignment horizontal="center" vertical="center" wrapText="1"/>
    </xf>
    <xf numFmtId="0" fontId="10" fillId="0" borderId="32" xfId="0" applyFont="1" applyBorder="1" applyAlignment="1">
      <alignment horizontal="center" vertical="center" wrapText="1"/>
    </xf>
    <xf numFmtId="0" fontId="23" fillId="3" borderId="32" xfId="0" applyFont="1" applyFill="1" applyBorder="1" applyAlignment="1">
      <alignment horizontal="center" vertical="center"/>
    </xf>
    <xf numFmtId="0" fontId="33" fillId="3" borderId="32" xfId="0" applyFont="1" applyFill="1" applyBorder="1" applyAlignment="1">
      <alignment horizontal="center" vertical="center"/>
    </xf>
    <xf numFmtId="3" fontId="10" fillId="0" borderId="0" xfId="0" applyNumberFormat="1" applyFont="1">
      <alignment vertical="center"/>
    </xf>
    <xf numFmtId="0" fontId="10" fillId="0" borderId="32" xfId="0" applyFont="1" applyBorder="1" applyAlignment="1">
      <alignment horizontal="center" vertical="center"/>
    </xf>
    <xf numFmtId="41" fontId="33" fillId="3" borderId="16" xfId="0" applyNumberFormat="1" applyFont="1" applyFill="1" applyBorder="1">
      <alignment vertical="center"/>
    </xf>
    <xf numFmtId="0" fontId="65" fillId="0" borderId="0" xfId="0" applyFont="1">
      <alignment vertical="center"/>
    </xf>
    <xf numFmtId="0" fontId="66" fillId="0" borderId="0" xfId="0" applyFont="1">
      <alignment vertical="center"/>
    </xf>
    <xf numFmtId="0" fontId="10" fillId="0" borderId="0" xfId="0" applyFont="1" applyAlignment="1"/>
    <xf numFmtId="0" fontId="35" fillId="0" borderId="0" xfId="0" applyFont="1" applyAlignment="1">
      <alignment horizontal="right"/>
    </xf>
    <xf numFmtId="41" fontId="10" fillId="0" borderId="0" xfId="0" applyNumberFormat="1" applyFont="1">
      <alignment vertical="center"/>
    </xf>
    <xf numFmtId="0" fontId="16" fillId="0" borderId="0" xfId="0" applyFont="1">
      <alignment vertical="center"/>
    </xf>
    <xf numFmtId="0" fontId="67" fillId="0" borderId="0" xfId="0" applyFont="1">
      <alignment vertical="center"/>
    </xf>
    <xf numFmtId="0" fontId="31" fillId="0" borderId="0" xfId="0" applyFont="1" applyAlignment="1">
      <alignment horizontal="left" vertical="center"/>
    </xf>
    <xf numFmtId="0" fontId="16" fillId="0" borderId="0" xfId="0" applyFont="1" applyAlignment="1">
      <alignment horizontal="center" vertical="center"/>
    </xf>
    <xf numFmtId="0" fontId="16" fillId="0" borderId="0" xfId="0" applyFont="1" applyAlignment="1">
      <alignment vertical="center" shrinkToFit="1"/>
    </xf>
    <xf numFmtId="0" fontId="17" fillId="0" borderId="0" xfId="0" applyFont="1" applyAlignment="1">
      <alignment vertical="center"/>
    </xf>
    <xf numFmtId="0" fontId="10" fillId="0" borderId="0" xfId="0" applyFont="1" applyAlignment="1">
      <alignment vertical="center" shrinkToFit="1"/>
    </xf>
    <xf numFmtId="0" fontId="10" fillId="0" borderId="0" xfId="0" applyFont="1" applyFill="1" applyBorder="1" applyAlignment="1">
      <alignment horizontal="center" vertical="center" wrapText="1"/>
    </xf>
    <xf numFmtId="41" fontId="10" fillId="0" borderId="0" xfId="0" applyNumberFormat="1" applyFont="1" applyFill="1" applyBorder="1" applyAlignment="1">
      <alignment horizontal="center" vertical="center" wrapText="1"/>
    </xf>
    <xf numFmtId="0" fontId="10" fillId="0" borderId="0" xfId="0" applyFont="1" applyFill="1" applyBorder="1" applyAlignment="1">
      <alignment vertical="center" shrinkToFit="1"/>
    </xf>
    <xf numFmtId="0" fontId="10" fillId="0" borderId="0" xfId="0" applyFont="1" applyAlignment="1">
      <alignment horizontal="right" vertical="center"/>
    </xf>
    <xf numFmtId="0" fontId="33" fillId="0" borderId="0" xfId="0" applyFont="1" applyFill="1" applyBorder="1" applyAlignment="1">
      <alignment horizontal="center" vertical="center"/>
    </xf>
    <xf numFmtId="0" fontId="33" fillId="0" borderId="0" xfId="0" applyFont="1" applyFill="1" applyBorder="1" applyAlignment="1">
      <alignment vertical="center" shrinkToFit="1"/>
    </xf>
    <xf numFmtId="0" fontId="10" fillId="0" borderId="0" xfId="0" applyFont="1" applyAlignment="1">
      <alignment horizontal="left" vertical="center" indent="2"/>
    </xf>
    <xf numFmtId="0" fontId="10" fillId="0" borderId="0" xfId="0" applyFont="1" applyAlignment="1">
      <alignment horizontal="left" vertical="center" shrinkToFit="1"/>
    </xf>
    <xf numFmtId="0" fontId="10" fillId="0" borderId="0" xfId="0" applyFont="1" applyBorder="1" applyAlignment="1">
      <alignment vertical="center" wrapText="1"/>
    </xf>
    <xf numFmtId="0" fontId="10" fillId="0" borderId="0" xfId="0" applyFont="1" applyBorder="1" applyAlignment="1">
      <alignment horizontal="center" vertical="center" wrapText="1"/>
    </xf>
    <xf numFmtId="0" fontId="10" fillId="4" borderId="0" xfId="0" applyFont="1" applyFill="1" applyBorder="1">
      <alignment vertical="center"/>
    </xf>
    <xf numFmtId="0" fontId="35" fillId="0" borderId="0" xfId="0" applyFont="1" applyBorder="1" applyAlignment="1">
      <alignment vertical="center" wrapText="1"/>
    </xf>
    <xf numFmtId="178" fontId="10" fillId="0" borderId="0" xfId="0" applyNumberFormat="1" applyFont="1">
      <alignment vertical="center"/>
    </xf>
    <xf numFmtId="0" fontId="10" fillId="0" borderId="0" xfId="0" applyFont="1" applyAlignment="1">
      <alignment horizontal="left"/>
    </xf>
    <xf numFmtId="0" fontId="10" fillId="0" borderId="0" xfId="0" applyFont="1" applyAlignment="1">
      <alignment horizontal="center"/>
    </xf>
    <xf numFmtId="0" fontId="10" fillId="0" borderId="0" xfId="0" applyFont="1" applyAlignment="1">
      <alignment shrinkToFit="1"/>
    </xf>
    <xf numFmtId="0" fontId="10" fillId="0" borderId="0" xfId="0" applyFont="1" applyAlignment="1">
      <alignment horizontal="right"/>
    </xf>
    <xf numFmtId="0" fontId="65" fillId="0" borderId="0" xfId="0" applyFont="1" applyAlignment="1">
      <alignment horizontal="left" vertical="center"/>
    </xf>
    <xf numFmtId="0" fontId="65" fillId="0" borderId="0" xfId="0" applyNumberFormat="1" applyFont="1">
      <alignment vertical="center"/>
    </xf>
    <xf numFmtId="0" fontId="10" fillId="0" borderId="0" xfId="0" applyFont="1" applyAlignment="1">
      <alignment horizontal="right" shrinkToFit="1"/>
    </xf>
    <xf numFmtId="0" fontId="68" fillId="0" borderId="0" xfId="0" applyFont="1" applyAlignment="1">
      <alignment horizontal="center" vertical="center"/>
    </xf>
    <xf numFmtId="0" fontId="10" fillId="0" borderId="0" xfId="0" applyFont="1" applyFill="1" applyBorder="1" applyAlignment="1">
      <alignment vertical="center" wrapText="1"/>
    </xf>
    <xf numFmtId="0" fontId="10" fillId="0" borderId="0" xfId="0" applyFont="1" applyBorder="1" applyAlignment="1">
      <alignment horizontal="right" vertical="center" wrapText="1"/>
    </xf>
    <xf numFmtId="0" fontId="18" fillId="0" borderId="0" xfId="0" applyFont="1" applyAlignment="1">
      <alignment horizontal="center" vertical="center"/>
    </xf>
    <xf numFmtId="0" fontId="31" fillId="0" borderId="0" xfId="0" applyFont="1" applyAlignment="1">
      <alignment vertical="center"/>
    </xf>
    <xf numFmtId="0" fontId="16" fillId="0" borderId="0" xfId="0" applyFont="1" applyAlignment="1">
      <alignment vertical="center"/>
    </xf>
    <xf numFmtId="0" fontId="17" fillId="0" borderId="0" xfId="0" applyFont="1" applyBorder="1" applyAlignment="1">
      <alignment horizontal="left" vertical="center"/>
    </xf>
    <xf numFmtId="0" fontId="17" fillId="0" borderId="0" xfId="0" applyFont="1" applyBorder="1" applyAlignment="1">
      <alignment horizontal="center" vertical="center" wrapText="1"/>
    </xf>
    <xf numFmtId="0" fontId="17" fillId="0" borderId="0" xfId="0" applyFont="1" applyBorder="1" applyAlignment="1">
      <alignment vertical="center" wrapText="1"/>
    </xf>
    <xf numFmtId="0" fontId="17" fillId="0" borderId="0" xfId="0" applyFont="1">
      <alignment vertical="center"/>
    </xf>
    <xf numFmtId="0" fontId="33" fillId="0" borderId="0" xfId="0" applyFont="1" applyAlignment="1">
      <alignment vertical="center"/>
    </xf>
    <xf numFmtId="0" fontId="33" fillId="0" borderId="0" xfId="0" applyFont="1" applyAlignment="1">
      <alignment horizontal="center" vertical="center"/>
    </xf>
    <xf numFmtId="0" fontId="10" fillId="0" borderId="0" xfId="0" applyFont="1" applyAlignment="1">
      <alignment vertical="center" wrapText="1"/>
    </xf>
    <xf numFmtId="0" fontId="10" fillId="0" borderId="0" xfId="0" applyFont="1" applyBorder="1" applyAlignment="1">
      <alignment wrapText="1"/>
    </xf>
    <xf numFmtId="0" fontId="10" fillId="0" borderId="0" xfId="0" applyFont="1" applyBorder="1" applyAlignment="1">
      <alignment horizontal="center" wrapText="1"/>
    </xf>
    <xf numFmtId="0" fontId="10" fillId="0" borderId="0" xfId="0" applyFont="1" applyBorder="1" applyAlignment="1"/>
    <xf numFmtId="0" fontId="10" fillId="0" borderId="0" xfId="0" applyFont="1" applyBorder="1">
      <alignment vertical="center"/>
    </xf>
    <xf numFmtId="177" fontId="10" fillId="0" borderId="0" xfId="0" applyNumberFormat="1" applyFont="1" applyFill="1" applyBorder="1" applyAlignment="1">
      <alignment horizontal="center" vertical="center" wrapText="1"/>
    </xf>
    <xf numFmtId="0" fontId="69" fillId="0" borderId="0" xfId="0" applyFont="1" applyFill="1" applyBorder="1" applyAlignment="1">
      <alignment horizontal="center" vertical="center" wrapText="1"/>
    </xf>
    <xf numFmtId="0" fontId="37" fillId="0" borderId="0" xfId="2" applyFont="1">
      <alignment vertical="center"/>
    </xf>
    <xf numFmtId="0" fontId="37" fillId="0" borderId="0" xfId="2" applyFont="1" applyFill="1">
      <alignment vertical="center"/>
    </xf>
    <xf numFmtId="0" fontId="18" fillId="0" borderId="0" xfId="2" applyFont="1" applyFill="1">
      <alignment vertical="center"/>
    </xf>
    <xf numFmtId="0" fontId="70" fillId="0" borderId="0" xfId="2" applyFont="1">
      <alignment vertical="center"/>
    </xf>
    <xf numFmtId="0" fontId="70" fillId="0" borderId="0" xfId="2" applyFont="1" applyFill="1">
      <alignment vertical="center"/>
    </xf>
    <xf numFmtId="41" fontId="23" fillId="0" borderId="15" xfId="3" applyNumberFormat="1" applyFont="1" applyFill="1" applyBorder="1" applyAlignment="1">
      <alignment vertical="center" shrinkToFit="1"/>
    </xf>
    <xf numFmtId="0" fontId="18" fillId="0" borderId="39" xfId="2" applyFont="1" applyFill="1" applyBorder="1" applyAlignment="1">
      <alignment horizontal="center" vertical="center"/>
    </xf>
    <xf numFmtId="41" fontId="18" fillId="0" borderId="45" xfId="3" applyFont="1" applyFill="1" applyBorder="1" applyAlignment="1">
      <alignment horizontal="center" vertical="center"/>
    </xf>
    <xf numFmtId="41" fontId="18" fillId="0" borderId="75" xfId="3" applyFont="1" applyFill="1" applyBorder="1" applyAlignment="1">
      <alignment horizontal="center" vertical="center"/>
    </xf>
    <xf numFmtId="41" fontId="18" fillId="0" borderId="14" xfId="3" applyFont="1" applyFill="1" applyBorder="1" applyAlignment="1">
      <alignment horizontal="center" vertical="center"/>
    </xf>
    <xf numFmtId="0" fontId="18" fillId="5" borderId="0" xfId="2" applyFont="1" applyFill="1">
      <alignment vertical="center"/>
    </xf>
    <xf numFmtId="0" fontId="71" fillId="0" borderId="0" xfId="2" applyFont="1">
      <alignment vertical="center"/>
    </xf>
    <xf numFmtId="0" fontId="70" fillId="0" borderId="0" xfId="2" applyFont="1" applyAlignment="1">
      <alignment horizontal="left" vertical="center" indent="2"/>
    </xf>
    <xf numFmtId="41" fontId="18" fillId="0" borderId="0" xfId="2" applyNumberFormat="1" applyFont="1">
      <alignment vertical="center"/>
    </xf>
    <xf numFmtId="41" fontId="27" fillId="0" borderId="0" xfId="1" applyFont="1">
      <alignment vertical="center"/>
    </xf>
    <xf numFmtId="41" fontId="18" fillId="0" borderId="0" xfId="1" applyFont="1">
      <alignment vertical="center"/>
    </xf>
    <xf numFmtId="0" fontId="71" fillId="0" borderId="0" xfId="2" applyFont="1" applyAlignment="1">
      <alignment horizontal="left" vertical="center"/>
    </xf>
    <xf numFmtId="0" fontId="72" fillId="0" borderId="0" xfId="2" applyFont="1">
      <alignment vertical="center"/>
    </xf>
    <xf numFmtId="0" fontId="18" fillId="0" borderId="26" xfId="2" applyFont="1" applyFill="1" applyBorder="1" applyAlignment="1">
      <alignment vertical="center"/>
    </xf>
    <xf numFmtId="0" fontId="18" fillId="0" borderId="26" xfId="2" applyFont="1" applyFill="1" applyBorder="1" applyAlignment="1">
      <alignment horizontal="right" vertical="center"/>
    </xf>
    <xf numFmtId="0" fontId="36" fillId="0" borderId="0" xfId="2" applyFont="1" applyFill="1" applyBorder="1" applyAlignment="1">
      <alignment horizontal="center" vertical="center" wrapText="1"/>
    </xf>
    <xf numFmtId="0" fontId="35" fillId="0" borderId="0" xfId="2" applyFont="1" applyFill="1" applyBorder="1" applyAlignment="1">
      <alignment vertical="center" wrapText="1"/>
    </xf>
    <xf numFmtId="41" fontId="35" fillId="0" borderId="0" xfId="2" applyNumberFormat="1" applyFont="1" applyFill="1" applyBorder="1" applyAlignment="1">
      <alignment vertical="center" wrapText="1"/>
    </xf>
    <xf numFmtId="176" fontId="35" fillId="0" borderId="0" xfId="4" applyNumberFormat="1" applyFont="1" applyFill="1" applyBorder="1" applyAlignment="1">
      <alignment horizontal="center" vertical="center" wrapText="1"/>
    </xf>
    <xf numFmtId="41" fontId="35" fillId="0" borderId="0" xfId="1" applyFont="1" applyFill="1" applyBorder="1" applyAlignment="1">
      <alignment vertical="center" wrapText="1"/>
    </xf>
    <xf numFmtId="0" fontId="35" fillId="0" borderId="0" xfId="2" applyFont="1" applyFill="1" applyBorder="1" applyAlignment="1">
      <alignment horizontal="center" vertical="center" wrapText="1"/>
    </xf>
    <xf numFmtId="41" fontId="35" fillId="0" borderId="0" xfId="2" applyNumberFormat="1" applyFont="1" applyFill="1" applyBorder="1" applyAlignment="1">
      <alignment horizontal="center" vertical="center" wrapText="1"/>
    </xf>
    <xf numFmtId="41" fontId="24" fillId="0" borderId="0" xfId="1" applyFont="1" applyFill="1" applyBorder="1">
      <alignment vertical="center"/>
    </xf>
    <xf numFmtId="10" fontId="35" fillId="0" borderId="0" xfId="4" applyNumberFormat="1" applyFont="1" applyFill="1" applyBorder="1" applyAlignment="1">
      <alignment horizontal="center" vertical="center" wrapText="1"/>
    </xf>
    <xf numFmtId="176" fontId="27" fillId="0" borderId="0" xfId="4" applyNumberFormat="1" applyFont="1" applyFill="1" applyBorder="1" applyAlignment="1">
      <alignment horizontal="center" vertical="center"/>
    </xf>
    <xf numFmtId="41" fontId="18" fillId="0" borderId="32" xfId="1" applyFont="1" applyBorder="1">
      <alignment vertical="center"/>
    </xf>
    <xf numFmtId="41" fontId="10" fillId="0" borderId="32" xfId="0" applyNumberFormat="1" applyFont="1" applyFill="1" applyBorder="1" applyAlignment="1">
      <alignment horizontal="center" vertical="center" wrapText="1"/>
    </xf>
    <xf numFmtId="0" fontId="18" fillId="0" borderId="0" xfId="2" applyFont="1" applyBorder="1">
      <alignment vertical="center"/>
    </xf>
    <xf numFmtId="41" fontId="18" fillId="0" borderId="0" xfId="1" applyFont="1" applyBorder="1">
      <alignment vertical="center"/>
    </xf>
    <xf numFmtId="41" fontId="27" fillId="0" borderId="0" xfId="1" applyFont="1" applyBorder="1">
      <alignment vertical="center"/>
    </xf>
    <xf numFmtId="41" fontId="18" fillId="6" borderId="0" xfId="1" applyFont="1" applyFill="1" applyBorder="1">
      <alignment vertical="center"/>
    </xf>
    <xf numFmtId="0" fontId="23" fillId="0" borderId="0" xfId="2" applyFont="1">
      <alignment vertical="center"/>
    </xf>
    <xf numFmtId="0" fontId="23" fillId="0" borderId="0" xfId="0" applyFont="1" applyFill="1">
      <alignment vertical="center"/>
    </xf>
    <xf numFmtId="0" fontId="23" fillId="0" borderId="0" xfId="0" applyFont="1" applyAlignment="1"/>
    <xf numFmtId="41" fontId="0" fillId="0" borderId="0" xfId="0" applyNumberFormat="1">
      <alignment vertical="center"/>
    </xf>
    <xf numFmtId="41" fontId="18" fillId="0" borderId="68" xfId="3" applyFont="1" applyFill="1" applyBorder="1" applyAlignment="1">
      <alignment vertical="center" shrinkToFit="1"/>
    </xf>
    <xf numFmtId="0" fontId="33" fillId="3" borderId="69" xfId="0" applyFont="1" applyFill="1" applyBorder="1" applyAlignment="1">
      <alignment horizontal="center" vertical="center"/>
    </xf>
    <xf numFmtId="0" fontId="65" fillId="0" borderId="32" xfId="0" applyFont="1" applyFill="1" applyBorder="1" applyAlignment="1">
      <alignment horizontal="center" vertical="center"/>
    </xf>
    <xf numFmtId="0" fontId="65" fillId="0" borderId="32" xfId="0" applyFont="1" applyFill="1" applyBorder="1">
      <alignment vertical="center"/>
    </xf>
    <xf numFmtId="41" fontId="65" fillId="0" borderId="32" xfId="0" applyNumberFormat="1" applyFont="1" applyFill="1" applyBorder="1">
      <alignment vertical="center"/>
    </xf>
    <xf numFmtId="0" fontId="65" fillId="0" borderId="32" xfId="0" quotePrefix="1" applyFont="1" applyFill="1" applyBorder="1" applyAlignment="1">
      <alignment horizontal="center" vertical="center"/>
    </xf>
    <xf numFmtId="0" fontId="18" fillId="0" borderId="32" xfId="0" quotePrefix="1" applyFont="1" applyFill="1" applyBorder="1" applyAlignment="1">
      <alignment horizontal="center" vertical="center"/>
    </xf>
    <xf numFmtId="0" fontId="33" fillId="3" borderId="52" xfId="0" applyFont="1" applyFill="1" applyBorder="1" applyAlignment="1">
      <alignment horizontal="center" vertical="center"/>
    </xf>
    <xf numFmtId="0" fontId="33" fillId="3" borderId="19" xfId="0" applyFont="1" applyFill="1" applyBorder="1" applyAlignment="1">
      <alignment horizontal="center" vertical="center"/>
    </xf>
    <xf numFmtId="41" fontId="10" fillId="0" borderId="32" xfId="0" applyNumberFormat="1" applyFont="1" applyFill="1" applyBorder="1">
      <alignment vertical="center"/>
    </xf>
    <xf numFmtId="26" fontId="10" fillId="0" borderId="32" xfId="1" applyNumberFormat="1" applyFont="1" applyFill="1" applyBorder="1" applyAlignment="1">
      <alignment horizontal="center" vertical="center"/>
    </xf>
    <xf numFmtId="188" fontId="10" fillId="0" borderId="0" xfId="0" applyNumberFormat="1" applyFont="1">
      <alignment vertical="center"/>
    </xf>
    <xf numFmtId="189" fontId="10" fillId="0" borderId="0" xfId="0" applyNumberFormat="1" applyFont="1">
      <alignment vertical="center"/>
    </xf>
    <xf numFmtId="0" fontId="65" fillId="0" borderId="71" xfId="0" applyFont="1" applyFill="1" applyBorder="1" applyAlignment="1">
      <alignment horizontal="center" vertical="center"/>
    </xf>
    <xf numFmtId="0" fontId="18" fillId="0" borderId="89" xfId="0" quotePrefix="1" applyFont="1" applyFill="1" applyBorder="1" applyAlignment="1">
      <alignment horizontal="center" vertical="center"/>
    </xf>
    <xf numFmtId="0" fontId="3" fillId="0" borderId="0" xfId="24563">
      <alignment vertical="center"/>
    </xf>
    <xf numFmtId="0" fontId="74" fillId="16" borderId="88" xfId="24563" applyFont="1" applyFill="1" applyBorder="1" applyAlignment="1">
      <alignment horizontal="center" vertical="center" wrapText="1"/>
    </xf>
    <xf numFmtId="0" fontId="76" fillId="15" borderId="88" xfId="24563" applyFont="1" applyFill="1" applyBorder="1" applyAlignment="1">
      <alignment vertical="center" wrapText="1"/>
    </xf>
    <xf numFmtId="49" fontId="76" fillId="15" borderId="88" xfId="24563" applyNumberFormat="1" applyFont="1" applyFill="1" applyBorder="1" applyAlignment="1">
      <alignment horizontal="left" vertical="center" wrapText="1"/>
    </xf>
    <xf numFmtId="0" fontId="76" fillId="15" borderId="88" xfId="24563" applyFont="1" applyFill="1" applyBorder="1" applyAlignment="1">
      <alignment horizontal="right" vertical="center" wrapText="1"/>
    </xf>
    <xf numFmtId="0" fontId="77" fillId="16" borderId="88" xfId="24563" applyFont="1" applyFill="1" applyBorder="1" applyAlignment="1">
      <alignment horizontal="center" vertical="center" wrapText="1"/>
    </xf>
    <xf numFmtId="0" fontId="75" fillId="15" borderId="0" xfId="24563" applyFont="1" applyFill="1">
      <alignment vertical="center"/>
    </xf>
    <xf numFmtId="4" fontId="76" fillId="15" borderId="88" xfId="24563" applyNumberFormat="1" applyFont="1" applyFill="1" applyBorder="1" applyAlignment="1">
      <alignment horizontal="right" vertical="center" wrapText="1"/>
    </xf>
    <xf numFmtId="4" fontId="77" fillId="16" borderId="88" xfId="24563" applyNumberFormat="1" applyFont="1" applyFill="1" applyBorder="1" applyAlignment="1">
      <alignment horizontal="center" vertical="center" wrapText="1"/>
    </xf>
    <xf numFmtId="0" fontId="10" fillId="0" borderId="32" xfId="0" applyFont="1" applyBorder="1">
      <alignment vertical="center"/>
    </xf>
    <xf numFmtId="41" fontId="10" fillId="0" borderId="32" xfId="1" applyFont="1" applyBorder="1">
      <alignment vertical="center"/>
    </xf>
    <xf numFmtId="190" fontId="10" fillId="0" borderId="32" xfId="1" applyNumberFormat="1" applyFont="1" applyBorder="1">
      <alignment vertical="center"/>
    </xf>
    <xf numFmtId="41" fontId="10" fillId="0" borderId="0" xfId="1" applyFont="1" applyFill="1">
      <alignment vertical="center"/>
    </xf>
    <xf numFmtId="0" fontId="23" fillId="3" borderId="0" xfId="0" applyFont="1" applyFill="1" applyBorder="1" applyAlignment="1">
      <alignment horizontal="center" vertical="center"/>
    </xf>
    <xf numFmtId="14" fontId="82" fillId="3" borderId="32" xfId="0" applyNumberFormat="1" applyFont="1" applyFill="1" applyBorder="1" applyAlignment="1">
      <alignment horizontal="center" vertical="center"/>
    </xf>
    <xf numFmtId="41" fontId="70" fillId="3" borderId="32" xfId="1" applyFont="1" applyFill="1" applyBorder="1" applyAlignment="1">
      <alignment vertical="center" shrinkToFit="1"/>
    </xf>
    <xf numFmtId="0" fontId="81" fillId="3" borderId="49" xfId="0" applyFont="1" applyFill="1" applyBorder="1" applyAlignment="1">
      <alignment vertical="center"/>
    </xf>
    <xf numFmtId="0" fontId="81" fillId="3" borderId="32" xfId="12" applyFont="1" applyFill="1" applyBorder="1" applyAlignment="1">
      <alignment horizontal="center" vertical="center"/>
    </xf>
    <xf numFmtId="0" fontId="65" fillId="0" borderId="37" xfId="0" applyFont="1" applyFill="1" applyBorder="1" applyAlignment="1">
      <alignment horizontal="center" vertical="center"/>
    </xf>
    <xf numFmtId="41" fontId="10" fillId="0" borderId="38" xfId="1" applyFont="1" applyFill="1" applyBorder="1">
      <alignment vertical="center"/>
    </xf>
    <xf numFmtId="0" fontId="36" fillId="0" borderId="37" xfId="0" applyFont="1" applyBorder="1">
      <alignment vertical="center"/>
    </xf>
    <xf numFmtId="0" fontId="28" fillId="0" borderId="37" xfId="0" applyFont="1" applyBorder="1">
      <alignment vertical="center"/>
    </xf>
    <xf numFmtId="0" fontId="28" fillId="0" borderId="37" xfId="0" applyFont="1" applyBorder="1" applyAlignment="1">
      <alignment vertical="center" wrapText="1"/>
    </xf>
    <xf numFmtId="0" fontId="33" fillId="3" borderId="90" xfId="0" applyFont="1" applyFill="1" applyBorder="1" applyAlignment="1">
      <alignment vertical="center" wrapText="1"/>
    </xf>
    <xf numFmtId="0" fontId="10" fillId="0" borderId="0" xfId="0" applyFont="1" applyAlignment="1">
      <alignment vertical="top"/>
    </xf>
    <xf numFmtId="0" fontId="29" fillId="0" borderId="0" xfId="0" applyFont="1" applyAlignment="1">
      <alignment vertical="top"/>
    </xf>
    <xf numFmtId="0" fontId="23" fillId="3" borderId="32" xfId="0" applyFont="1" applyFill="1" applyBorder="1" applyAlignment="1">
      <alignment horizontal="center" vertical="center"/>
    </xf>
    <xf numFmtId="41" fontId="10" fillId="0" borderId="0" xfId="0" applyNumberFormat="1" applyFont="1" applyFill="1">
      <alignment vertical="center"/>
    </xf>
    <xf numFmtId="0" fontId="18" fillId="0" borderId="26" xfId="2" applyFont="1" applyBorder="1">
      <alignment vertical="center"/>
    </xf>
    <xf numFmtId="0" fontId="18" fillId="0" borderId="26" xfId="2" applyFont="1" applyFill="1" applyBorder="1">
      <alignment vertical="center"/>
    </xf>
    <xf numFmtId="0" fontId="17" fillId="0" borderId="0" xfId="0" applyFont="1" applyFill="1" applyAlignment="1">
      <alignment horizontal="left" vertical="center"/>
    </xf>
    <xf numFmtId="0" fontId="10" fillId="0" borderId="0" xfId="0" applyFont="1" applyFill="1" applyAlignment="1">
      <alignment horizontal="center" vertical="center"/>
    </xf>
    <xf numFmtId="0" fontId="10" fillId="0" borderId="0" xfId="0" applyFont="1" applyAlignment="1">
      <alignment horizontal="center" vertical="center"/>
    </xf>
    <xf numFmtId="14" fontId="10" fillId="0" borderId="49" xfId="0" applyNumberFormat="1" applyFont="1" applyFill="1" applyBorder="1" applyAlignment="1">
      <alignment horizontal="center" vertical="center" wrapText="1"/>
    </xf>
    <xf numFmtId="14" fontId="10" fillId="0" borderId="51" xfId="0" applyNumberFormat="1" applyFont="1" applyFill="1" applyBorder="1" applyAlignment="1">
      <alignment horizontal="center" vertical="center" wrapText="1"/>
    </xf>
    <xf numFmtId="0" fontId="28" fillId="3" borderId="35" xfId="0" applyFont="1" applyFill="1" applyBorder="1" applyAlignment="1">
      <alignment horizontal="center" vertical="center" wrapText="1"/>
    </xf>
    <xf numFmtId="0" fontId="10" fillId="0" borderId="32" xfId="0" applyFont="1" applyFill="1" applyBorder="1" applyAlignment="1">
      <alignment horizontal="center" vertical="center" wrapText="1"/>
    </xf>
    <xf numFmtId="41" fontId="18" fillId="0" borderId="0" xfId="1" applyFont="1" applyFill="1">
      <alignment vertical="center"/>
    </xf>
    <xf numFmtId="191" fontId="10" fillId="0" borderId="0" xfId="1" applyNumberFormat="1" applyFont="1">
      <alignment vertical="center"/>
    </xf>
    <xf numFmtId="191" fontId="29" fillId="0" borderId="0" xfId="1" applyNumberFormat="1" applyFont="1">
      <alignment vertical="center"/>
    </xf>
    <xf numFmtId="26" fontId="10" fillId="0" borderId="38" xfId="1" applyNumberFormat="1" applyFont="1" applyFill="1" applyBorder="1" applyAlignment="1">
      <alignment horizontal="center" vertical="center"/>
    </xf>
    <xf numFmtId="0" fontId="10" fillId="4" borderId="49" xfId="0" applyFont="1" applyFill="1" applyBorder="1" applyAlignment="1">
      <alignment horizontal="center" vertical="center"/>
    </xf>
    <xf numFmtId="0" fontId="10" fillId="4" borderId="51" xfId="0" applyFont="1" applyFill="1" applyBorder="1" applyAlignment="1">
      <alignment horizontal="center" vertical="center"/>
    </xf>
    <xf numFmtId="43" fontId="10" fillId="0" borderId="0" xfId="0" applyNumberFormat="1" applyFont="1">
      <alignment vertical="center"/>
    </xf>
    <xf numFmtId="41" fontId="65" fillId="4" borderId="32" xfId="1" applyNumberFormat="1" applyFont="1" applyFill="1" applyBorder="1">
      <alignment vertical="center"/>
    </xf>
    <xf numFmtId="0" fontId="18" fillId="0" borderId="32" xfId="2" applyFont="1" applyBorder="1">
      <alignment vertical="center"/>
    </xf>
    <xf numFmtId="0" fontId="12" fillId="17" borderId="32" xfId="0" applyFont="1" applyFill="1" applyBorder="1" applyAlignment="1">
      <alignment horizontal="center" vertical="center"/>
    </xf>
    <xf numFmtId="41" fontId="12" fillId="17" borderId="32" xfId="0" applyNumberFormat="1" applyFont="1" applyFill="1" applyBorder="1" applyAlignment="1">
      <alignment horizontal="center" vertical="center"/>
    </xf>
    <xf numFmtId="193" fontId="23" fillId="0" borderId="100" xfId="0" applyNumberFormat="1" applyFont="1" applyBorder="1" applyAlignment="1">
      <alignment horizontal="left" vertical="center" wrapText="1"/>
    </xf>
    <xf numFmtId="193" fontId="18" fillId="0" borderId="100" xfId="0" applyNumberFormat="1" applyFont="1" applyBorder="1" applyAlignment="1">
      <alignment horizontal="left" vertical="center" wrapText="1" indent="1"/>
    </xf>
    <xf numFmtId="193" fontId="23" fillId="0" borderId="102" xfId="0" applyNumberFormat="1" applyFont="1" applyBorder="1" applyAlignment="1">
      <alignment horizontal="left" vertical="center" wrapText="1"/>
    </xf>
    <xf numFmtId="41" fontId="12" fillId="17" borderId="15" xfId="0" applyNumberFormat="1" applyFont="1" applyFill="1" applyBorder="1" applyAlignment="1">
      <alignment horizontal="right" vertical="center" shrinkToFit="1"/>
    </xf>
    <xf numFmtId="0" fontId="23" fillId="18" borderId="97" xfId="0" applyNumberFormat="1" applyFont="1" applyFill="1" applyBorder="1" applyAlignment="1">
      <alignment horizontal="left" vertical="center"/>
    </xf>
    <xf numFmtId="41" fontId="14" fillId="18" borderId="97" xfId="0" applyNumberFormat="1" applyFont="1" applyFill="1" applyBorder="1" applyAlignment="1">
      <alignment horizontal="right" vertical="center" shrinkToFit="1"/>
    </xf>
    <xf numFmtId="41" fontId="14" fillId="0" borderId="104" xfId="0" applyNumberFormat="1" applyFont="1" applyFill="1" applyBorder="1" applyAlignment="1">
      <alignment horizontal="right" vertical="center" shrinkToFit="1"/>
    </xf>
    <xf numFmtId="0" fontId="18" fillId="0" borderId="104" xfId="0" applyNumberFormat="1" applyFont="1" applyBorder="1" applyAlignment="1">
      <alignment horizontal="left" vertical="center" wrapText="1" indent="1"/>
    </xf>
    <xf numFmtId="0" fontId="23" fillId="18" borderId="104" xfId="0" applyNumberFormat="1" applyFont="1" applyFill="1" applyBorder="1" applyAlignment="1">
      <alignment horizontal="left" vertical="center"/>
    </xf>
    <xf numFmtId="41" fontId="14" fillId="18" borderId="104" xfId="0" applyNumberFormat="1" applyFont="1" applyFill="1" applyBorder="1" applyAlignment="1">
      <alignment horizontal="right" vertical="center" shrinkToFit="1"/>
    </xf>
    <xf numFmtId="0" fontId="18" fillId="4" borderId="104" xfId="0" applyNumberFormat="1" applyFont="1" applyFill="1" applyBorder="1" applyAlignment="1">
      <alignment horizontal="left" vertical="center" indent="1"/>
    </xf>
    <xf numFmtId="41" fontId="14" fillId="4" borderId="104" xfId="0" applyNumberFormat="1" applyFont="1" applyFill="1" applyBorder="1" applyAlignment="1">
      <alignment horizontal="right" vertical="center" shrinkToFit="1"/>
    </xf>
    <xf numFmtId="0" fontId="18" fillId="0" borderId="104" xfId="0" applyNumberFormat="1" applyFont="1" applyFill="1" applyBorder="1" applyAlignment="1">
      <alignment horizontal="left" vertical="center" indent="1"/>
    </xf>
    <xf numFmtId="41" fontId="12" fillId="17" borderId="32" xfId="0" applyNumberFormat="1" applyFont="1" applyFill="1" applyBorder="1" applyAlignment="1">
      <alignment horizontal="right" vertical="center" shrinkToFit="1"/>
    </xf>
    <xf numFmtId="193" fontId="23" fillId="0" borderId="105" xfId="0" applyNumberFormat="1" applyFont="1" applyBorder="1" applyAlignment="1">
      <alignment horizontal="left" vertical="center" wrapText="1"/>
    </xf>
    <xf numFmtId="0" fontId="18" fillId="0" borderId="32" xfId="2" applyFont="1" applyBorder="1" applyAlignment="1">
      <alignment horizontal="left" vertical="center" indent="2"/>
    </xf>
    <xf numFmtId="0" fontId="14" fillId="0" borderId="32" xfId="2" applyFont="1" applyBorder="1">
      <alignment vertical="center"/>
    </xf>
    <xf numFmtId="180" fontId="85" fillId="0" borderId="32" xfId="0" applyNumberFormat="1" applyFont="1" applyFill="1" applyBorder="1" applyAlignment="1">
      <alignment horizontal="right" vertical="center"/>
    </xf>
    <xf numFmtId="180" fontId="85" fillId="17" borderId="32" xfId="0" applyNumberFormat="1" applyFont="1" applyFill="1" applyBorder="1" applyAlignment="1">
      <alignment horizontal="right" vertical="center" wrapText="1"/>
    </xf>
    <xf numFmtId="41" fontId="18" fillId="0" borderId="32" xfId="2" applyNumberFormat="1" applyFont="1" applyBorder="1">
      <alignment vertical="center"/>
    </xf>
    <xf numFmtId="14" fontId="63" fillId="0" borderId="32" xfId="13" applyNumberFormat="1" applyFont="1" applyBorder="1" applyAlignment="1">
      <alignment horizontal="center" vertical="center"/>
    </xf>
    <xf numFmtId="0" fontId="63" fillId="4" borderId="32" xfId="13" applyFont="1" applyFill="1" applyBorder="1" applyAlignment="1">
      <alignment horizontal="center" vertical="center"/>
    </xf>
    <xf numFmtId="194" fontId="63" fillId="0" borderId="32" xfId="13" quotePrefix="1" applyNumberFormat="1" applyFont="1" applyBorder="1" applyAlignment="1">
      <alignment horizontal="center" vertical="center" wrapText="1"/>
    </xf>
    <xf numFmtId="41" fontId="63" fillId="4" borderId="32" xfId="209" applyFont="1" applyFill="1" applyBorder="1">
      <alignment vertical="center"/>
    </xf>
    <xf numFmtId="0" fontId="18" fillId="19" borderId="0" xfId="0" applyFont="1" applyFill="1">
      <alignment vertical="center"/>
    </xf>
    <xf numFmtId="0" fontId="18" fillId="0" borderId="40" xfId="2" applyFont="1" applyFill="1" applyBorder="1" applyAlignment="1">
      <alignment horizontal="center" vertical="center"/>
    </xf>
    <xf numFmtId="0" fontId="18" fillId="0" borderId="107" xfId="2" applyFont="1" applyFill="1" applyBorder="1" applyAlignment="1">
      <alignment horizontal="center" vertical="center"/>
    </xf>
    <xf numFmtId="41" fontId="18" fillId="0" borderId="75" xfId="3" applyFont="1" applyFill="1" applyBorder="1" applyAlignment="1">
      <alignment horizontal="center" vertical="center" wrapText="1" shrinkToFit="1"/>
    </xf>
    <xf numFmtId="0" fontId="18" fillId="0" borderId="55" xfId="2" applyFont="1" applyFill="1" applyBorder="1" applyAlignment="1">
      <alignment horizontal="center" vertical="center"/>
    </xf>
    <xf numFmtId="0" fontId="18" fillId="0" borderId="15" xfId="2" applyFont="1" applyFill="1" applyBorder="1" applyAlignment="1">
      <alignment horizontal="center" vertical="center"/>
    </xf>
    <xf numFmtId="41" fontId="24" fillId="0" borderId="21" xfId="3" quotePrefix="1" applyFont="1" applyFill="1" applyBorder="1" applyAlignment="1">
      <alignment horizontal="center" vertical="center" wrapText="1" shrinkToFit="1"/>
    </xf>
    <xf numFmtId="41" fontId="18" fillId="0" borderId="21" xfId="3" applyFont="1" applyFill="1" applyBorder="1" applyAlignment="1">
      <alignment horizontal="center" vertical="center"/>
    </xf>
    <xf numFmtId="0" fontId="23" fillId="20" borderId="90" xfId="2" applyFont="1" applyFill="1" applyBorder="1" applyAlignment="1">
      <alignment horizontal="center" vertical="center"/>
    </xf>
    <xf numFmtId="0" fontId="23" fillId="20" borderId="29" xfId="2" applyFont="1" applyFill="1" applyBorder="1" applyAlignment="1">
      <alignment horizontal="center" vertical="center"/>
    </xf>
    <xf numFmtId="10" fontId="24" fillId="20" borderId="29" xfId="4" applyNumberFormat="1" applyFont="1" applyFill="1" applyBorder="1" applyAlignment="1">
      <alignment horizontal="center" vertical="center"/>
    </xf>
    <xf numFmtId="41" fontId="23" fillId="20" borderId="31" xfId="3" applyFont="1" applyFill="1" applyBorder="1" applyAlignment="1">
      <alignment horizontal="center" vertical="center"/>
    </xf>
    <xf numFmtId="0" fontId="27" fillId="20" borderId="31" xfId="3" applyNumberFormat="1" applyFont="1" applyFill="1" applyBorder="1" applyAlignment="1">
      <alignment horizontal="left" vertical="center" wrapText="1"/>
    </xf>
    <xf numFmtId="41" fontId="18" fillId="20" borderId="31" xfId="3" applyFont="1" applyFill="1" applyBorder="1" applyAlignment="1">
      <alignment horizontal="center" vertical="center"/>
    </xf>
    <xf numFmtId="41" fontId="18" fillId="21" borderId="69" xfId="3" applyFont="1" applyFill="1" applyBorder="1" applyAlignment="1">
      <alignment vertical="center" wrapText="1" shrinkToFit="1"/>
    </xf>
    <xf numFmtId="177" fontId="18" fillId="5" borderId="0" xfId="1" applyNumberFormat="1" applyFont="1" applyFill="1">
      <alignment vertical="center"/>
    </xf>
    <xf numFmtId="0" fontId="33" fillId="0" borderId="49" xfId="0" applyFont="1" applyFill="1" applyBorder="1" applyAlignment="1">
      <alignment horizontal="center" vertical="center"/>
    </xf>
    <xf numFmtId="0" fontId="33" fillId="0" borderId="50" xfId="0" applyFont="1" applyFill="1" applyBorder="1" applyAlignment="1">
      <alignment horizontal="center" vertical="center"/>
    </xf>
    <xf numFmtId="0" fontId="33" fillId="0" borderId="51" xfId="0" applyFont="1" applyFill="1" applyBorder="1" applyAlignment="1">
      <alignment horizontal="center" vertical="center"/>
    </xf>
    <xf numFmtId="0" fontId="36" fillId="20" borderId="37" xfId="0" applyFont="1" applyFill="1" applyBorder="1" applyAlignment="1">
      <alignment vertical="center" wrapText="1"/>
    </xf>
    <xf numFmtId="0" fontId="28" fillId="20" borderId="37" xfId="0" applyFont="1" applyFill="1" applyBorder="1" applyAlignment="1">
      <alignment vertical="center" wrapText="1"/>
    </xf>
    <xf numFmtId="0" fontId="28" fillId="21" borderId="46" xfId="1" applyNumberFormat="1" applyFont="1" applyFill="1" applyBorder="1" applyAlignment="1">
      <alignment vertical="center" wrapText="1"/>
    </xf>
    <xf numFmtId="0" fontId="18" fillId="0" borderId="0" xfId="2" applyFont="1" applyAlignment="1">
      <alignment horizontal="right" vertical="center"/>
    </xf>
    <xf numFmtId="0" fontId="18" fillId="0" borderId="32" xfId="0" applyFont="1" applyFill="1" applyBorder="1" applyAlignment="1">
      <alignment horizontal="center" vertical="center"/>
    </xf>
    <xf numFmtId="41" fontId="83" fillId="0" borderId="0" xfId="2" applyNumberFormat="1" applyFont="1">
      <alignment vertical="center"/>
    </xf>
    <xf numFmtId="0" fontId="16" fillId="0" borderId="110" xfId="0" applyFont="1" applyBorder="1" applyAlignment="1">
      <alignment horizontal="left" vertical="center"/>
    </xf>
    <xf numFmtId="0" fontId="17" fillId="0" borderId="110" xfId="0" applyFont="1" applyBorder="1" applyAlignment="1">
      <alignment horizontal="left" vertical="center" indent="1"/>
    </xf>
    <xf numFmtId="0" fontId="16" fillId="0" borderId="110" xfId="0" applyFont="1" applyFill="1" applyBorder="1" applyAlignment="1">
      <alignment horizontal="left" vertical="center"/>
    </xf>
    <xf numFmtId="0" fontId="17" fillId="0" borderId="110" xfId="0" applyFont="1" applyFill="1" applyBorder="1" applyAlignment="1">
      <alignment horizontal="left" vertical="center" indent="1"/>
    </xf>
    <xf numFmtId="0" fontId="18" fillId="0" borderId="110" xfId="0" applyFont="1" applyBorder="1" applyAlignment="1">
      <alignment horizontal="left" vertical="center" indent="1"/>
    </xf>
    <xf numFmtId="0" fontId="18" fillId="0" borderId="110" xfId="0" applyFont="1" applyBorder="1" applyAlignment="1">
      <alignment horizontal="center" vertical="center"/>
    </xf>
    <xf numFmtId="0" fontId="18" fillId="0" borderId="110" xfId="0" applyFont="1" applyFill="1" applyBorder="1" applyAlignment="1">
      <alignment horizontal="center" vertical="center"/>
    </xf>
    <xf numFmtId="41" fontId="18" fillId="0" borderId="47" xfId="3" applyFont="1" applyFill="1" applyBorder="1" applyAlignment="1">
      <alignment vertical="center" wrapText="1" shrinkToFit="1"/>
    </xf>
    <xf numFmtId="0" fontId="36" fillId="21" borderId="0" xfId="2" applyFont="1" applyFill="1" applyBorder="1" applyAlignment="1">
      <alignment horizontal="center" vertical="center" wrapText="1"/>
    </xf>
    <xf numFmtId="41" fontId="35" fillId="21" borderId="0" xfId="2" applyNumberFormat="1" applyFont="1" applyFill="1" applyBorder="1" applyAlignment="1">
      <alignment horizontal="center" vertical="center" wrapText="1"/>
    </xf>
    <xf numFmtId="176" fontId="27" fillId="21" borderId="0" xfId="4" applyNumberFormat="1" applyFont="1" applyFill="1" applyBorder="1" applyAlignment="1">
      <alignment horizontal="center" vertical="center"/>
    </xf>
    <xf numFmtId="41" fontId="23" fillId="0" borderId="0" xfId="1" applyFont="1" applyFill="1" applyBorder="1" applyAlignment="1">
      <alignment vertical="center" shrinkToFit="1"/>
    </xf>
    <xf numFmtId="41" fontId="18" fillId="0" borderId="0" xfId="3" applyFont="1" applyFill="1" applyBorder="1" applyAlignment="1">
      <alignment vertical="center" wrapText="1" shrinkToFit="1"/>
    </xf>
    <xf numFmtId="177" fontId="23" fillId="0" borderId="16" xfId="1" applyNumberFormat="1" applyFont="1" applyFill="1" applyBorder="1" applyAlignment="1">
      <alignment vertical="center" shrinkToFit="1"/>
    </xf>
    <xf numFmtId="0" fontId="33" fillId="3" borderId="0" xfId="0" applyFont="1" applyFill="1" applyBorder="1" applyAlignment="1">
      <alignment horizontal="center" vertical="center"/>
    </xf>
    <xf numFmtId="41" fontId="33" fillId="3" borderId="0" xfId="0" applyNumberFormat="1" applyFont="1" applyFill="1" applyBorder="1">
      <alignment vertical="center"/>
    </xf>
    <xf numFmtId="0" fontId="10" fillId="3" borderId="0" xfId="0" applyFont="1" applyFill="1" applyBorder="1" applyAlignment="1">
      <alignment horizontal="left" vertical="center"/>
    </xf>
    <xf numFmtId="0" fontId="33" fillId="3" borderId="0" xfId="0" applyFont="1" applyFill="1" applyBorder="1" applyAlignment="1">
      <alignment horizontal="left" vertical="center"/>
    </xf>
    <xf numFmtId="0" fontId="10" fillId="0" borderId="0" xfId="0" applyFont="1" applyAlignment="1">
      <alignment horizontal="center" vertical="center"/>
    </xf>
    <xf numFmtId="0" fontId="10" fillId="0" borderId="0" xfId="0" applyFont="1" applyBorder="1" applyAlignment="1">
      <alignment horizontal="right" vertical="center" wrapText="1"/>
    </xf>
    <xf numFmtId="41" fontId="18" fillId="0" borderId="39" xfId="3" applyFont="1" applyFill="1" applyBorder="1" applyAlignment="1">
      <alignment horizontal="left" vertical="center"/>
    </xf>
    <xf numFmtId="0" fontId="65" fillId="0" borderId="32" xfId="0" applyFont="1" applyBorder="1" applyAlignment="1">
      <alignment horizontal="center" vertical="center"/>
    </xf>
    <xf numFmtId="0" fontId="82" fillId="3" borderId="107" xfId="0" applyFont="1" applyFill="1" applyBorder="1" applyAlignment="1">
      <alignment horizontal="center" vertical="center" wrapText="1"/>
    </xf>
    <xf numFmtId="0" fontId="82" fillId="3" borderId="107" xfId="0" applyFont="1" applyFill="1" applyBorder="1" applyAlignment="1">
      <alignment horizontal="center" vertical="center"/>
    </xf>
    <xf numFmtId="0" fontId="18" fillId="0" borderId="32" xfId="0" applyFont="1" applyFill="1" applyBorder="1">
      <alignment vertical="center"/>
    </xf>
    <xf numFmtId="41" fontId="0" fillId="0" borderId="32" xfId="0" applyNumberFormat="1" applyBorder="1">
      <alignment vertical="center"/>
    </xf>
    <xf numFmtId="41" fontId="18" fillId="0" borderId="32" xfId="1" applyFont="1" applyFill="1" applyBorder="1">
      <alignment vertical="center"/>
    </xf>
    <xf numFmtId="41" fontId="10" fillId="0" borderId="0" xfId="1" applyFont="1" applyAlignment="1"/>
    <xf numFmtId="41" fontId="10" fillId="0" borderId="0" xfId="0" applyNumberFormat="1" applyFont="1" applyAlignment="1">
      <alignment horizontal="right" vertical="center"/>
    </xf>
    <xf numFmtId="0" fontId="33" fillId="3" borderId="32" xfId="0" applyFont="1" applyFill="1" applyBorder="1" applyAlignment="1">
      <alignment horizontal="center" vertical="center" wrapText="1"/>
    </xf>
    <xf numFmtId="0" fontId="10" fillId="0" borderId="32" xfId="0" applyFont="1" applyBorder="1" applyAlignment="1">
      <alignment horizontal="center" vertical="center" wrapText="1"/>
    </xf>
    <xf numFmtId="177" fontId="23" fillId="0" borderId="35" xfId="1" applyNumberFormat="1" applyFont="1" applyBorder="1" applyAlignment="1">
      <alignment vertical="center" shrinkToFit="1"/>
    </xf>
    <xf numFmtId="177" fontId="23" fillId="0" borderId="13" xfId="1" applyNumberFormat="1" applyFont="1" applyBorder="1" applyAlignment="1">
      <alignment vertical="center" shrinkToFit="1"/>
    </xf>
    <xf numFmtId="177" fontId="18" fillId="0" borderId="13" xfId="1" applyNumberFormat="1" applyFont="1" applyBorder="1" applyAlignment="1">
      <alignment vertical="center" shrinkToFit="1"/>
    </xf>
    <xf numFmtId="177" fontId="18" fillId="0" borderId="15" xfId="1" applyNumberFormat="1" applyFont="1" applyBorder="1" applyAlignment="1">
      <alignment vertical="center" shrinkToFit="1"/>
    </xf>
    <xf numFmtId="177" fontId="18" fillId="0" borderId="13" xfId="1" applyNumberFormat="1" applyFont="1" applyFill="1" applyBorder="1" applyAlignment="1">
      <alignment vertical="center" shrinkToFit="1"/>
    </xf>
    <xf numFmtId="0" fontId="10" fillId="0" borderId="0" xfId="0" applyFont="1" applyAlignment="1">
      <alignment horizontal="center" vertical="center"/>
    </xf>
    <xf numFmtId="41" fontId="18" fillId="0" borderId="39" xfId="3" applyFont="1" applyFill="1" applyBorder="1" applyAlignment="1">
      <alignment horizontal="left" vertical="center" wrapText="1"/>
    </xf>
    <xf numFmtId="41" fontId="18" fillId="0" borderId="14" xfId="3" applyFont="1" applyFill="1" applyBorder="1" applyAlignment="1">
      <alignment horizontal="left" vertical="center"/>
    </xf>
    <xf numFmtId="41" fontId="18" fillId="0" borderId="14" xfId="3" applyFont="1" applyFill="1" applyBorder="1" applyAlignment="1">
      <alignment horizontal="left" vertical="center" shrinkToFit="1"/>
    </xf>
    <xf numFmtId="0" fontId="18" fillId="0" borderId="0" xfId="2" applyFont="1" applyFill="1" applyBorder="1" applyAlignment="1">
      <alignment horizontal="left" vertical="center" wrapText="1"/>
    </xf>
    <xf numFmtId="41" fontId="18" fillId="0" borderId="0" xfId="2" applyNumberFormat="1" applyFont="1" applyFill="1">
      <alignment vertical="center"/>
    </xf>
    <xf numFmtId="41" fontId="18" fillId="0" borderId="0" xfId="1" applyFont="1" applyFill="1" applyBorder="1">
      <alignment vertical="center"/>
    </xf>
    <xf numFmtId="0" fontId="27" fillId="20" borderId="69" xfId="3" applyNumberFormat="1" applyFont="1" applyFill="1" applyBorder="1" applyAlignment="1">
      <alignment horizontal="left" vertical="center" wrapText="1"/>
    </xf>
    <xf numFmtId="41" fontId="24" fillId="0" borderId="112" xfId="3" applyFont="1" applyFill="1" applyBorder="1" applyAlignment="1">
      <alignment horizontal="center" vertical="center"/>
    </xf>
    <xf numFmtId="0" fontId="18" fillId="19" borderId="0" xfId="2" applyFont="1" applyFill="1">
      <alignment vertical="center"/>
    </xf>
    <xf numFmtId="0" fontId="18" fillId="19" borderId="0" xfId="0" applyFont="1" applyFill="1" applyAlignment="1">
      <alignment horizontal="center" vertical="center"/>
    </xf>
    <xf numFmtId="0" fontId="33" fillId="19" borderId="56" xfId="0" applyFont="1" applyFill="1" applyBorder="1" applyAlignment="1">
      <alignment horizontal="center" vertical="center"/>
    </xf>
    <xf numFmtId="0" fontId="10" fillId="0" borderId="32" xfId="0" applyFont="1" applyBorder="1" applyAlignment="1">
      <alignment horizontal="left" vertical="center" shrinkToFit="1"/>
    </xf>
    <xf numFmtId="49" fontId="95" fillId="0" borderId="32" xfId="0" applyNumberFormat="1" applyFont="1" applyBorder="1" applyAlignment="1">
      <alignment horizontal="center" vertical="center"/>
    </xf>
    <xf numFmtId="14" fontId="95" fillId="0" borderId="32" xfId="0" applyNumberFormat="1" applyFont="1" applyBorder="1" applyAlignment="1">
      <alignment horizontal="center" vertical="center"/>
    </xf>
    <xf numFmtId="0" fontId="82" fillId="3" borderId="32" xfId="0" applyFont="1" applyFill="1" applyBorder="1" applyAlignment="1">
      <alignment horizontal="center" vertical="center" wrapText="1"/>
    </xf>
    <xf numFmtId="0" fontId="82" fillId="3" borderId="32" xfId="0" applyFont="1" applyFill="1" applyBorder="1" applyAlignment="1">
      <alignment horizontal="center" vertical="center" shrinkToFit="1"/>
    </xf>
    <xf numFmtId="41" fontId="10" fillId="0" borderId="0" xfId="0" applyNumberFormat="1" applyFont="1" applyAlignment="1"/>
    <xf numFmtId="41" fontId="65" fillId="0" borderId="0" xfId="1" applyFont="1">
      <alignment vertical="center"/>
    </xf>
    <xf numFmtId="41" fontId="12" fillId="4" borderId="32" xfId="209" applyFont="1" applyFill="1" applyBorder="1">
      <alignment vertical="center"/>
    </xf>
    <xf numFmtId="0" fontId="10" fillId="3" borderId="17" xfId="0" applyFont="1" applyFill="1" applyBorder="1" applyAlignment="1">
      <alignment horizontal="left" vertical="center"/>
    </xf>
    <xf numFmtId="41" fontId="10" fillId="0" borderId="0" xfId="0" applyNumberFormat="1" applyFont="1" applyAlignment="1">
      <alignment horizontal="center" vertical="center"/>
    </xf>
    <xf numFmtId="0" fontId="83" fillId="0" borderId="0" xfId="0" applyFont="1">
      <alignment vertical="center"/>
    </xf>
    <xf numFmtId="0" fontId="17" fillId="0" borderId="49" xfId="0" applyFont="1" applyFill="1" applyBorder="1" applyAlignment="1">
      <alignment horizontal="center" vertical="center"/>
    </xf>
    <xf numFmtId="0" fontId="90" fillId="0" borderId="115" xfId="0" applyFont="1" applyBorder="1" applyAlignment="1">
      <alignment vertical="center"/>
    </xf>
    <xf numFmtId="0" fontId="90" fillId="0" borderId="116" xfId="0" applyFont="1" applyBorder="1" applyAlignment="1">
      <alignment vertical="center"/>
    </xf>
    <xf numFmtId="0" fontId="96" fillId="4" borderId="32" xfId="0" applyFont="1" applyFill="1" applyBorder="1" applyAlignment="1">
      <alignment horizontal="center" vertical="center" wrapText="1"/>
    </xf>
    <xf numFmtId="41" fontId="18" fillId="19" borderId="0" xfId="1" applyFont="1" applyFill="1">
      <alignment vertical="center"/>
    </xf>
    <xf numFmtId="0" fontId="0" fillId="0" borderId="0" xfId="0" applyFill="1">
      <alignment vertical="center"/>
    </xf>
    <xf numFmtId="0" fontId="65" fillId="4" borderId="32" xfId="13" applyFont="1" applyFill="1" applyBorder="1" applyAlignment="1">
      <alignment horizontal="center" vertical="center"/>
    </xf>
    <xf numFmtId="194" fontId="65" fillId="0" borderId="32" xfId="13" quotePrefix="1" applyNumberFormat="1" applyFont="1" applyBorder="1" applyAlignment="1">
      <alignment horizontal="center" vertical="center" wrapText="1"/>
    </xf>
    <xf numFmtId="14" fontId="65" fillId="0" borderId="32" xfId="13" applyNumberFormat="1" applyFont="1" applyBorder="1" applyAlignment="1">
      <alignment horizontal="center" vertical="center"/>
    </xf>
    <xf numFmtId="0" fontId="18" fillId="0" borderId="32" xfId="2" applyFont="1" applyBorder="1" applyAlignment="1">
      <alignment horizontal="center" vertical="center"/>
    </xf>
    <xf numFmtId="0" fontId="18" fillId="0" borderId="32" xfId="0" applyFont="1" applyFill="1" applyBorder="1" applyAlignment="1">
      <alignment horizontal="center" vertical="center" wrapText="1"/>
    </xf>
    <xf numFmtId="0" fontId="23" fillId="0" borderId="32" xfId="0" applyFont="1" applyFill="1" applyBorder="1" applyAlignment="1">
      <alignment horizontal="center" vertical="center"/>
    </xf>
    <xf numFmtId="41" fontId="97" fillId="0" borderId="32" xfId="0" applyNumberFormat="1" applyFont="1" applyBorder="1">
      <alignment vertical="center"/>
    </xf>
    <xf numFmtId="0" fontId="18" fillId="0" borderId="0" xfId="0" applyNumberFormat="1" applyFont="1">
      <alignment vertical="center"/>
    </xf>
    <xf numFmtId="0" fontId="97" fillId="0" borderId="0" xfId="0" applyFont="1" applyAlignment="1">
      <alignment horizontal="left" vertical="center"/>
    </xf>
    <xf numFmtId="0" fontId="97" fillId="0" borderId="0" xfId="0" applyNumberFormat="1" applyFont="1">
      <alignment vertical="center"/>
    </xf>
    <xf numFmtId="0" fontId="97" fillId="0" borderId="0" xfId="0" applyFont="1">
      <alignment vertical="center"/>
    </xf>
    <xf numFmtId="41" fontId="97" fillId="0" borderId="32" xfId="1" applyFont="1" applyBorder="1">
      <alignment vertical="center"/>
    </xf>
    <xf numFmtId="0" fontId="18" fillId="0" borderId="32" xfId="0" applyFont="1" applyBorder="1" applyAlignment="1">
      <alignment horizontal="left" vertical="center"/>
    </xf>
    <xf numFmtId="41" fontId="97" fillId="0" borderId="32" xfId="0" applyNumberFormat="1" applyFont="1" applyFill="1" applyBorder="1">
      <alignment vertical="center"/>
    </xf>
    <xf numFmtId="0" fontId="97" fillId="0" borderId="0" xfId="0" applyFont="1" applyFill="1">
      <alignment vertical="center"/>
    </xf>
    <xf numFmtId="3" fontId="97" fillId="0" borderId="32" xfId="0" applyNumberFormat="1" applyFont="1" applyBorder="1">
      <alignment vertical="center"/>
    </xf>
    <xf numFmtId="41" fontId="98" fillId="0" borderId="32" xfId="24570" applyNumberFormat="1" applyFont="1" applyFill="1" applyBorder="1" applyAlignment="1" applyProtection="1">
      <alignment vertical="center"/>
    </xf>
    <xf numFmtId="0" fontId="18" fillId="0" borderId="0" xfId="0" applyFont="1" applyFill="1" applyBorder="1" applyAlignment="1">
      <alignment horizontal="center" vertical="center"/>
    </xf>
    <xf numFmtId="10" fontId="10" fillId="0" borderId="0" xfId="24572" applyNumberFormat="1" applyFont="1">
      <alignment vertical="center"/>
    </xf>
    <xf numFmtId="41" fontId="10" fillId="0" borderId="0" xfId="0" applyNumberFormat="1" applyFont="1" applyAlignment="1">
      <alignment vertical="center" shrinkToFit="1"/>
    </xf>
    <xf numFmtId="0" fontId="83" fillId="19" borderId="0" xfId="2" applyFont="1" applyFill="1">
      <alignment vertical="center"/>
    </xf>
    <xf numFmtId="41" fontId="83" fillId="19" borderId="0" xfId="2" applyNumberFormat="1" applyFont="1" applyFill="1">
      <alignment vertical="center"/>
    </xf>
    <xf numFmtId="41" fontId="18" fillId="0" borderId="15" xfId="3" applyFont="1" applyFill="1" applyBorder="1" applyAlignment="1">
      <alignment horizontal="center" vertical="center"/>
    </xf>
    <xf numFmtId="41" fontId="18" fillId="4" borderId="15" xfId="6" applyFont="1" applyFill="1" applyBorder="1" applyAlignment="1">
      <alignment vertical="center" shrinkToFit="1"/>
    </xf>
    <xf numFmtId="41" fontId="18" fillId="0" borderId="32" xfId="3" applyFont="1" applyFill="1" applyBorder="1" applyAlignment="1">
      <alignment horizontal="center" vertical="center"/>
    </xf>
    <xf numFmtId="41" fontId="18" fillId="4" borderId="32" xfId="6" applyFont="1" applyFill="1" applyBorder="1" applyAlignment="1">
      <alignment vertical="center" shrinkToFit="1"/>
    </xf>
    <xf numFmtId="41" fontId="23" fillId="20" borderId="29" xfId="3" applyFont="1" applyFill="1" applyBorder="1" applyAlignment="1">
      <alignment horizontal="center" vertical="center" shrinkToFit="1"/>
    </xf>
    <xf numFmtId="41" fontId="23" fillId="20" borderId="29" xfId="1" applyFont="1" applyFill="1" applyBorder="1" applyAlignment="1">
      <alignment horizontal="right" vertical="center" shrinkToFit="1"/>
    </xf>
    <xf numFmtId="41" fontId="18" fillId="0" borderId="15" xfId="3" applyFont="1" applyFill="1" applyBorder="1" applyAlignment="1">
      <alignment horizontal="center" vertical="center" shrinkToFit="1"/>
    </xf>
    <xf numFmtId="41" fontId="18" fillId="0" borderId="107" xfId="3" applyFont="1" applyFill="1" applyBorder="1" applyAlignment="1">
      <alignment horizontal="center" vertical="center" shrinkToFit="1"/>
    </xf>
    <xf numFmtId="41" fontId="18" fillId="0" borderId="32" xfId="6" applyFont="1" applyFill="1" applyBorder="1" applyAlignment="1">
      <alignment vertical="center" shrinkToFit="1"/>
    </xf>
    <xf numFmtId="41" fontId="18" fillId="0" borderId="107" xfId="3" applyFont="1" applyFill="1" applyBorder="1" applyAlignment="1">
      <alignment horizontal="center" vertical="center"/>
    </xf>
    <xf numFmtId="41" fontId="23" fillId="20" borderId="44" xfId="3" applyFont="1" applyFill="1" applyBorder="1" applyAlignment="1">
      <alignment horizontal="center" vertical="center" shrinkToFit="1"/>
    </xf>
    <xf numFmtId="41" fontId="23" fillId="21" borderId="44" xfId="2" applyNumberFormat="1" applyFont="1" applyFill="1" applyBorder="1">
      <alignment vertical="center"/>
    </xf>
    <xf numFmtId="177" fontId="23" fillId="21" borderId="44" xfId="1" applyNumberFormat="1" applyFont="1" applyFill="1" applyBorder="1">
      <alignment vertical="center"/>
    </xf>
    <xf numFmtId="41" fontId="18" fillId="0" borderId="52" xfId="3" applyNumberFormat="1" applyFont="1" applyFill="1" applyBorder="1" applyAlignment="1">
      <alignment horizontal="center" vertical="center"/>
    </xf>
    <xf numFmtId="41" fontId="18" fillId="0" borderId="19" xfId="3" applyNumberFormat="1" applyFont="1" applyFill="1" applyBorder="1" applyAlignment="1">
      <alignment horizontal="center" vertical="center"/>
    </xf>
    <xf numFmtId="176" fontId="18" fillId="0" borderId="19" xfId="4" applyNumberFormat="1" applyFont="1" applyFill="1" applyBorder="1" applyAlignment="1">
      <alignment horizontal="center" vertical="center"/>
    </xf>
    <xf numFmtId="176" fontId="18" fillId="0" borderId="14" xfId="4" applyNumberFormat="1" applyFont="1" applyFill="1" applyBorder="1" applyAlignment="1">
      <alignment horizontal="center" vertical="center"/>
    </xf>
    <xf numFmtId="176" fontId="18" fillId="0" borderId="70" xfId="4" applyNumberFormat="1" applyFont="1" applyFill="1" applyBorder="1" applyAlignment="1">
      <alignment horizontal="center" vertical="center"/>
    </xf>
    <xf numFmtId="41" fontId="18" fillId="0" borderId="58" xfId="3" applyNumberFormat="1" applyFont="1" applyFill="1" applyBorder="1" applyAlignment="1">
      <alignment horizontal="center" vertical="center"/>
    </xf>
    <xf numFmtId="41" fontId="18" fillId="0" borderId="13" xfId="3" applyNumberFormat="1" applyFont="1" applyFill="1" applyBorder="1" applyAlignment="1">
      <alignment horizontal="center" vertical="center"/>
    </xf>
    <xf numFmtId="176" fontId="18" fillId="0" borderId="13" xfId="4" applyNumberFormat="1" applyFont="1" applyFill="1" applyBorder="1" applyAlignment="1">
      <alignment horizontal="center" vertical="center"/>
    </xf>
    <xf numFmtId="41" fontId="18" fillId="0" borderId="55" xfId="3" applyNumberFormat="1" applyFont="1" applyFill="1" applyBorder="1" applyAlignment="1">
      <alignment horizontal="center" vertical="center"/>
    </xf>
    <xf numFmtId="41" fontId="18" fillId="0" borderId="15" xfId="3" applyNumberFormat="1" applyFont="1" applyFill="1" applyBorder="1" applyAlignment="1">
      <alignment horizontal="center" vertical="center"/>
    </xf>
    <xf numFmtId="176" fontId="18" fillId="0" borderId="15" xfId="4" applyNumberFormat="1" applyFont="1" applyFill="1" applyBorder="1" applyAlignment="1">
      <alignment horizontal="center" vertical="center"/>
    </xf>
    <xf numFmtId="176" fontId="18" fillId="0" borderId="21" xfId="4" applyNumberFormat="1" applyFont="1" applyFill="1" applyBorder="1" applyAlignment="1">
      <alignment horizontal="center" vertical="center"/>
    </xf>
    <xf numFmtId="41" fontId="10" fillId="20" borderId="106" xfId="2" applyNumberFormat="1" applyFont="1" applyFill="1" applyBorder="1" applyAlignment="1">
      <alignment horizontal="center" vertical="center" wrapText="1"/>
    </xf>
    <xf numFmtId="176" fontId="18" fillId="20" borderId="44" xfId="4" applyNumberFormat="1" applyFont="1" applyFill="1" applyBorder="1" applyAlignment="1">
      <alignment horizontal="center" vertical="center"/>
    </xf>
    <xf numFmtId="176" fontId="18" fillId="20" borderId="17" xfId="4" applyNumberFormat="1" applyFont="1" applyFill="1" applyBorder="1" applyAlignment="1">
      <alignment horizontal="center" vertical="center"/>
    </xf>
    <xf numFmtId="176" fontId="18" fillId="20" borderId="69" xfId="4" applyNumberFormat="1" applyFont="1" applyFill="1" applyBorder="1" applyAlignment="1">
      <alignment horizontal="center" vertical="center"/>
    </xf>
    <xf numFmtId="41" fontId="18" fillId="0" borderId="52" xfId="3" applyFont="1" applyFill="1" applyBorder="1" applyAlignment="1">
      <alignment horizontal="center" vertical="center"/>
    </xf>
    <xf numFmtId="41" fontId="18" fillId="0" borderId="58" xfId="3" applyNumberFormat="1" applyFont="1" applyFill="1" applyBorder="1" applyAlignment="1">
      <alignment horizontal="right" vertical="center"/>
    </xf>
    <xf numFmtId="41" fontId="18" fillId="0" borderId="13" xfId="1" applyFont="1" applyFill="1" applyBorder="1" applyAlignment="1">
      <alignment horizontal="center" vertical="center"/>
    </xf>
    <xf numFmtId="176" fontId="18" fillId="20" borderId="16" xfId="4" applyNumberFormat="1" applyFont="1" applyFill="1" applyBorder="1" applyAlignment="1">
      <alignment horizontal="center" vertical="center"/>
    </xf>
    <xf numFmtId="41" fontId="65" fillId="0" borderId="58" xfId="3" applyNumberFormat="1" applyFont="1" applyFill="1" applyBorder="1" applyAlignment="1">
      <alignment horizontal="center" vertical="center"/>
    </xf>
    <xf numFmtId="41" fontId="18" fillId="0" borderId="23" xfId="3" applyNumberFormat="1" applyFont="1" applyFill="1" applyBorder="1" applyAlignment="1">
      <alignment horizontal="center" vertical="center"/>
    </xf>
    <xf numFmtId="41" fontId="18" fillId="0" borderId="24" xfId="3" applyNumberFormat="1" applyFont="1" applyFill="1" applyBorder="1" applyAlignment="1">
      <alignment horizontal="center" vertical="center"/>
    </xf>
    <xf numFmtId="41" fontId="18" fillId="0" borderId="25" xfId="3" applyNumberFormat="1" applyFont="1" applyFill="1" applyBorder="1" applyAlignment="1">
      <alignment horizontal="center" vertical="center"/>
    </xf>
    <xf numFmtId="41" fontId="10" fillId="3" borderId="53" xfId="2" applyNumberFormat="1" applyFont="1" applyFill="1" applyBorder="1" applyAlignment="1">
      <alignment horizontal="center" vertical="center" wrapText="1"/>
    </xf>
    <xf numFmtId="41" fontId="10" fillId="3" borderId="9" xfId="2" applyNumberFormat="1" applyFont="1" applyFill="1" applyBorder="1" applyAlignment="1">
      <alignment horizontal="center" vertical="center" wrapText="1"/>
    </xf>
    <xf numFmtId="176" fontId="18" fillId="3" borderId="29" xfId="4" applyNumberFormat="1" applyFont="1" applyFill="1" applyBorder="1" applyAlignment="1">
      <alignment horizontal="center" vertical="center"/>
    </xf>
    <xf numFmtId="176" fontId="18" fillId="3" borderId="31" xfId="4" applyNumberFormat="1" applyFont="1" applyFill="1" applyBorder="1" applyAlignment="1">
      <alignment horizontal="center" vertical="center"/>
    </xf>
    <xf numFmtId="14" fontId="18" fillId="0" borderId="119" xfId="0" applyNumberFormat="1" applyFont="1" applyFill="1" applyBorder="1" applyAlignment="1">
      <alignment horizontal="center" vertical="center" wrapText="1"/>
    </xf>
    <xf numFmtId="14" fontId="18" fillId="0" borderId="119" xfId="0" applyNumberFormat="1" applyFont="1" applyBorder="1" applyAlignment="1">
      <alignment horizontal="center" vertical="center" wrapText="1"/>
    </xf>
    <xf numFmtId="14" fontId="65" fillId="0" borderId="119" xfId="0" applyNumberFormat="1" applyFont="1" applyBorder="1" applyAlignment="1">
      <alignment horizontal="center" vertical="center"/>
    </xf>
    <xf numFmtId="41" fontId="65" fillId="0" borderId="119" xfId="1" applyFont="1" applyBorder="1">
      <alignment vertical="center"/>
    </xf>
    <xf numFmtId="14" fontId="65" fillId="0" borderId="32" xfId="0" applyNumberFormat="1" applyFont="1" applyBorder="1" applyAlignment="1">
      <alignment horizontal="center" vertical="center"/>
    </xf>
    <xf numFmtId="0" fontId="65" fillId="0" borderId="119" xfId="0" applyFont="1" applyBorder="1" applyAlignment="1">
      <alignment horizontal="center" vertical="center"/>
    </xf>
    <xf numFmtId="41" fontId="65" fillId="0" borderId="119" xfId="1" applyFont="1" applyBorder="1" applyAlignment="1">
      <alignment horizontal="center" vertical="center"/>
    </xf>
    <xf numFmtId="186" fontId="18" fillId="0" borderId="119" xfId="6" applyNumberFormat="1" applyFont="1" applyFill="1" applyBorder="1" applyAlignment="1">
      <alignment horizontal="center" vertical="center"/>
    </xf>
    <xf numFmtId="0" fontId="83" fillId="19" borderId="32" xfId="0" applyFont="1" applyFill="1" applyBorder="1">
      <alignment vertical="center"/>
    </xf>
    <xf numFmtId="41" fontId="83" fillId="19" borderId="32" xfId="0" applyNumberFormat="1" applyFont="1" applyFill="1" applyBorder="1">
      <alignment vertical="center"/>
    </xf>
    <xf numFmtId="177" fontId="10" fillId="0" borderId="0" xfId="0" applyNumberFormat="1" applyFont="1" applyFill="1" applyBorder="1" applyAlignment="1">
      <alignment horizontal="right" vertical="center" wrapText="1"/>
    </xf>
    <xf numFmtId="177" fontId="65" fillId="0" borderId="0" xfId="0" applyNumberFormat="1" applyFont="1" applyFill="1" applyBorder="1" applyAlignment="1">
      <alignment horizontal="left" vertical="center" wrapText="1"/>
    </xf>
    <xf numFmtId="41" fontId="10" fillId="0" borderId="0" xfId="1" applyFont="1" applyFill="1" applyBorder="1">
      <alignment vertical="center"/>
    </xf>
    <xf numFmtId="191" fontId="10" fillId="0" borderId="0" xfId="1" applyNumberFormat="1" applyFont="1" applyFill="1">
      <alignment vertical="center"/>
    </xf>
    <xf numFmtId="0" fontId="24" fillId="0" borderId="0" xfId="2" applyFont="1" applyFill="1" applyAlignment="1">
      <alignment horizontal="center" vertical="center"/>
    </xf>
    <xf numFmtId="0" fontId="17" fillId="0" borderId="121" xfId="0" applyFont="1" applyFill="1" applyBorder="1" applyAlignment="1">
      <alignment horizontal="center" vertical="center"/>
    </xf>
    <xf numFmtId="0" fontId="90" fillId="0" borderId="123" xfId="0" applyFont="1" applyBorder="1" applyAlignment="1">
      <alignment vertical="center"/>
    </xf>
    <xf numFmtId="0" fontId="90" fillId="0" borderId="122" xfId="0" applyFont="1" applyBorder="1" applyAlignment="1">
      <alignment vertical="center"/>
    </xf>
    <xf numFmtId="0" fontId="23" fillId="0" borderId="0" xfId="0" applyFont="1" applyAlignment="1">
      <alignment vertical="center"/>
    </xf>
    <xf numFmtId="0" fontId="17" fillId="0" borderId="125" xfId="0" applyFont="1" applyFill="1" applyBorder="1" applyAlignment="1">
      <alignment horizontal="center" vertical="center"/>
    </xf>
    <xf numFmtId="0" fontId="90" fillId="0" borderId="126" xfId="0" applyFont="1" applyBorder="1" applyAlignment="1">
      <alignment vertical="center"/>
    </xf>
    <xf numFmtId="0" fontId="23" fillId="0" borderId="34" xfId="2" applyFont="1" applyFill="1" applyBorder="1" applyAlignment="1">
      <alignment horizontal="center" vertical="center" shrinkToFit="1"/>
    </xf>
    <xf numFmtId="177" fontId="23" fillId="0" borderId="58" xfId="1" applyNumberFormat="1" applyFont="1" applyBorder="1" applyAlignment="1">
      <alignment horizontal="center" vertical="center" shrinkToFit="1"/>
    </xf>
    <xf numFmtId="177" fontId="18" fillId="0" borderId="58" xfId="1" applyNumberFormat="1" applyFont="1" applyBorder="1" applyAlignment="1">
      <alignment horizontal="center" vertical="center" shrinkToFit="1"/>
    </xf>
    <xf numFmtId="177" fontId="18" fillId="0" borderId="55" xfId="1" applyNumberFormat="1" applyFont="1" applyBorder="1" applyAlignment="1">
      <alignment horizontal="center" vertical="center" shrinkToFit="1"/>
    </xf>
    <xf numFmtId="177" fontId="18" fillId="0" borderId="58" xfId="1" applyNumberFormat="1" applyFont="1" applyFill="1" applyBorder="1" applyAlignment="1">
      <alignment horizontal="center" vertical="center" shrinkToFit="1"/>
    </xf>
    <xf numFmtId="0" fontId="23" fillId="0" borderId="37" xfId="2" applyFont="1" applyFill="1" applyBorder="1" applyAlignment="1">
      <alignment horizontal="center" vertical="center" shrinkToFit="1"/>
    </xf>
    <xf numFmtId="177" fontId="23" fillId="0" borderId="120" xfId="1" applyNumberFormat="1" applyFont="1" applyFill="1" applyBorder="1" applyAlignment="1">
      <alignment vertical="center" shrinkToFit="1"/>
    </xf>
    <xf numFmtId="0" fontId="23" fillId="0" borderId="46" xfId="2" applyFont="1" applyFill="1" applyBorder="1" applyAlignment="1">
      <alignment horizontal="center" vertical="center"/>
    </xf>
    <xf numFmtId="41" fontId="65" fillId="0" borderId="124" xfId="1" applyFont="1" applyBorder="1" applyAlignment="1">
      <alignment horizontal="center" vertical="center"/>
    </xf>
    <xf numFmtId="0" fontId="65" fillId="0" borderId="124" xfId="0" applyFont="1" applyBorder="1" applyAlignment="1">
      <alignment horizontal="center" vertical="center"/>
    </xf>
    <xf numFmtId="41" fontId="65" fillId="0" borderId="124" xfId="1" applyFont="1" applyBorder="1">
      <alignment vertical="center"/>
    </xf>
    <xf numFmtId="177" fontId="18" fillId="0" borderId="124" xfId="0" applyNumberFormat="1" applyFont="1" applyFill="1" applyBorder="1" applyAlignment="1">
      <alignment horizontal="center" vertical="center"/>
    </xf>
    <xf numFmtId="0" fontId="10" fillId="0" borderId="127" xfId="0" applyFont="1" applyFill="1" applyBorder="1" applyAlignment="1">
      <alignment horizontal="center" vertical="center" wrapText="1"/>
    </xf>
    <xf numFmtId="196" fontId="65" fillId="0" borderId="119" xfId="24573" applyNumberFormat="1" applyFont="1" applyFill="1" applyBorder="1" applyAlignment="1">
      <alignment horizontal="center" vertical="center"/>
    </xf>
    <xf numFmtId="197" fontId="18" fillId="0" borderId="19" xfId="3" applyNumberFormat="1" applyFont="1" applyFill="1" applyBorder="1" applyAlignment="1">
      <alignment horizontal="center" vertical="center"/>
    </xf>
    <xf numFmtId="197" fontId="18" fillId="0" borderId="13" xfId="3" applyNumberFormat="1" applyFont="1" applyFill="1" applyBorder="1" applyAlignment="1">
      <alignment horizontal="center" vertical="center"/>
    </xf>
    <xf numFmtId="197" fontId="18" fillId="0" borderId="15" xfId="3" applyNumberFormat="1" applyFont="1" applyFill="1" applyBorder="1" applyAlignment="1">
      <alignment horizontal="center" vertical="center"/>
    </xf>
    <xf numFmtId="0" fontId="18" fillId="0" borderId="112" xfId="2" applyFont="1" applyBorder="1">
      <alignment vertical="center"/>
    </xf>
    <xf numFmtId="41" fontId="18" fillId="0" borderId="32" xfId="5" applyFont="1" applyBorder="1">
      <alignment vertical="center"/>
    </xf>
    <xf numFmtId="41" fontId="18" fillId="0" borderId="32" xfId="1" applyFont="1" applyBorder="1" applyAlignment="1">
      <alignment vertical="center" shrinkToFit="1"/>
    </xf>
    <xf numFmtId="41" fontId="18" fillId="0" borderId="107" xfId="1" applyFont="1" applyBorder="1" applyAlignment="1">
      <alignment vertical="center" shrinkToFit="1"/>
    </xf>
    <xf numFmtId="41" fontId="23" fillId="20" borderId="29" xfId="5" applyFont="1" applyFill="1" applyBorder="1" applyAlignment="1">
      <alignment vertical="center" shrinkToFit="1"/>
    </xf>
    <xf numFmtId="41" fontId="23" fillId="20" borderId="29" xfId="2" applyNumberFormat="1" applyFont="1" applyFill="1" applyBorder="1" applyAlignment="1">
      <alignment vertical="center" shrinkToFit="1"/>
    </xf>
    <xf numFmtId="176" fontId="18" fillId="0" borderId="15" xfId="24572" applyNumberFormat="1" applyFont="1" applyFill="1" applyBorder="1" applyAlignment="1">
      <alignment horizontal="center" vertical="center" shrinkToFit="1"/>
    </xf>
    <xf numFmtId="176" fontId="18" fillId="0" borderId="32" xfId="24572" applyNumberFormat="1" applyFont="1" applyFill="1" applyBorder="1" applyAlignment="1">
      <alignment horizontal="center" vertical="center" shrinkToFit="1"/>
    </xf>
    <xf numFmtId="176" fontId="18" fillId="0" borderId="107" xfId="24572" applyNumberFormat="1" applyFont="1" applyFill="1" applyBorder="1" applyAlignment="1">
      <alignment horizontal="center" vertical="center" shrinkToFit="1"/>
    </xf>
    <xf numFmtId="176" fontId="18" fillId="20" borderId="29" xfId="24572" applyNumberFormat="1" applyFont="1" applyFill="1" applyBorder="1" applyAlignment="1">
      <alignment horizontal="center" vertical="center"/>
    </xf>
    <xf numFmtId="176" fontId="18" fillId="20" borderId="44" xfId="24572" applyNumberFormat="1" applyFont="1" applyFill="1" applyBorder="1" applyAlignment="1">
      <alignment horizontal="center" vertical="center"/>
    </xf>
    <xf numFmtId="176" fontId="18" fillId="21" borderId="44" xfId="24572" applyNumberFormat="1" applyFont="1" applyFill="1" applyBorder="1" applyAlignment="1">
      <alignment horizontal="center" vertical="center" shrinkToFit="1"/>
    </xf>
    <xf numFmtId="41" fontId="23" fillId="20" borderId="44" xfId="5" applyFont="1" applyFill="1" applyBorder="1" applyAlignment="1">
      <alignment vertical="center" shrinkToFit="1"/>
    </xf>
    <xf numFmtId="41" fontId="10" fillId="20" borderId="16" xfId="2" applyNumberFormat="1" applyFont="1" applyFill="1" applyBorder="1" applyAlignment="1">
      <alignment horizontal="center" vertical="center" wrapText="1"/>
    </xf>
    <xf numFmtId="3" fontId="35" fillId="0" borderId="0" xfId="0" applyNumberFormat="1" applyFont="1" applyBorder="1" applyAlignment="1">
      <alignment horizontal="center" vertical="center"/>
    </xf>
    <xf numFmtId="3" fontId="35" fillId="0" borderId="32" xfId="0" applyNumberFormat="1" applyFont="1" applyBorder="1">
      <alignment vertical="center"/>
    </xf>
    <xf numFmtId="3" fontId="35" fillId="4" borderId="32" xfId="0" applyNumberFormat="1" applyFont="1" applyFill="1" applyBorder="1">
      <alignment vertical="center"/>
    </xf>
    <xf numFmtId="3" fontId="35" fillId="0" borderId="32" xfId="0" applyNumberFormat="1" applyFont="1" applyFill="1" applyBorder="1">
      <alignment vertical="center"/>
    </xf>
    <xf numFmtId="3" fontId="35" fillId="0" borderId="38" xfId="1" applyNumberFormat="1" applyFont="1" applyFill="1" applyBorder="1">
      <alignment vertical="center"/>
    </xf>
    <xf numFmtId="3" fontId="35" fillId="20" borderId="32" xfId="6" applyNumberFormat="1" applyFont="1" applyFill="1" applyBorder="1">
      <alignment vertical="center"/>
    </xf>
    <xf numFmtId="3" fontId="35" fillId="20" borderId="38" xfId="6" applyNumberFormat="1" applyFont="1" applyFill="1" applyBorder="1">
      <alignment vertical="center"/>
    </xf>
    <xf numFmtId="3" fontId="35" fillId="0" borderId="32" xfId="1" applyNumberFormat="1" applyFont="1" applyBorder="1">
      <alignment vertical="center"/>
    </xf>
    <xf numFmtId="3" fontId="35" fillId="4" borderId="32" xfId="1" applyNumberFormat="1" applyFont="1" applyFill="1" applyBorder="1">
      <alignment vertical="center"/>
    </xf>
    <xf numFmtId="3" fontId="35" fillId="20" borderId="38" xfId="1" applyNumberFormat="1" applyFont="1" applyFill="1" applyBorder="1">
      <alignment vertical="center"/>
    </xf>
    <xf numFmtId="3" fontId="35" fillId="0" borderId="32" xfId="6" applyNumberFormat="1" applyFont="1" applyFill="1" applyBorder="1">
      <alignment vertical="center"/>
    </xf>
    <xf numFmtId="3" fontId="35" fillId="0" borderId="32" xfId="1" applyNumberFormat="1" applyFont="1" applyFill="1" applyBorder="1">
      <alignment vertical="center"/>
    </xf>
    <xf numFmtId="3" fontId="35" fillId="0" borderId="32" xfId="13" applyNumberFormat="1" applyFont="1" applyBorder="1">
      <alignment vertical="center"/>
    </xf>
    <xf numFmtId="3" fontId="35" fillId="0" borderId="32" xfId="13" applyNumberFormat="1" applyFont="1" applyFill="1" applyBorder="1">
      <alignment vertical="center"/>
    </xf>
    <xf numFmtId="3" fontId="35" fillId="4" borderId="32" xfId="13" applyNumberFormat="1" applyFont="1" applyFill="1" applyBorder="1">
      <alignment vertical="center"/>
    </xf>
    <xf numFmtId="3" fontId="35" fillId="20" borderId="32" xfId="1" applyNumberFormat="1" applyFont="1" applyFill="1" applyBorder="1">
      <alignment vertical="center"/>
    </xf>
    <xf numFmtId="3" fontId="27" fillId="4" borderId="32" xfId="1" applyNumberFormat="1" applyFont="1" applyFill="1" applyBorder="1">
      <alignment vertical="center"/>
    </xf>
    <xf numFmtId="3" fontId="27" fillId="0" borderId="32" xfId="1" applyNumberFormat="1" applyFont="1" applyFill="1" applyBorder="1">
      <alignment vertical="center"/>
    </xf>
    <xf numFmtId="3" fontId="35" fillId="4" borderId="38" xfId="1" applyNumberFormat="1" applyFont="1" applyFill="1" applyBorder="1">
      <alignment vertical="center"/>
    </xf>
    <xf numFmtId="3" fontId="27" fillId="20" borderId="15" xfId="0" applyNumberFormat="1" applyFont="1" applyFill="1" applyBorder="1">
      <alignment vertical="center"/>
    </xf>
    <xf numFmtId="3" fontId="27" fillId="20" borderId="21" xfId="0" applyNumberFormat="1" applyFont="1" applyFill="1" applyBorder="1">
      <alignment vertical="center"/>
    </xf>
    <xf numFmtId="3" fontId="27" fillId="21" borderId="16" xfId="1" applyNumberFormat="1" applyFont="1" applyFill="1" applyBorder="1">
      <alignment vertical="center"/>
    </xf>
    <xf numFmtId="3" fontId="35" fillId="21" borderId="17" xfId="1" applyNumberFormat="1" applyFont="1" applyFill="1" applyBorder="1">
      <alignment vertical="center"/>
    </xf>
    <xf numFmtId="3" fontId="27" fillId="4" borderId="29" xfId="1" applyNumberFormat="1" applyFont="1" applyFill="1" applyBorder="1" applyAlignment="1">
      <alignment vertical="center" shrinkToFit="1"/>
    </xf>
    <xf numFmtId="3" fontId="27" fillId="0" borderId="29" xfId="1" applyNumberFormat="1" applyFont="1" applyFill="1" applyBorder="1" applyAlignment="1">
      <alignment vertical="center" shrinkToFit="1"/>
    </xf>
    <xf numFmtId="3" fontId="27" fillId="0" borderId="29" xfId="1" applyNumberFormat="1" applyFont="1" applyBorder="1" applyAlignment="1">
      <alignment vertical="center" shrinkToFit="1"/>
    </xf>
    <xf numFmtId="3" fontId="27" fillId="0" borderId="31" xfId="1" applyNumberFormat="1" applyFont="1" applyFill="1" applyBorder="1" applyAlignment="1">
      <alignment vertical="center" shrinkToFit="1"/>
    </xf>
    <xf numFmtId="0" fontId="0" fillId="0" borderId="0" xfId="0" applyAlignment="1"/>
    <xf numFmtId="41" fontId="78" fillId="3" borderId="130" xfId="0" applyNumberFormat="1" applyFont="1" applyFill="1" applyBorder="1" applyAlignment="1">
      <alignment horizontal="center" vertical="center"/>
    </xf>
    <xf numFmtId="41" fontId="78" fillId="3" borderId="131" xfId="0" applyNumberFormat="1" applyFont="1" applyFill="1" applyBorder="1" applyAlignment="1">
      <alignment horizontal="center" vertical="center"/>
    </xf>
    <xf numFmtId="0" fontId="10" fillId="0" borderId="132" xfId="0" applyFont="1" applyFill="1" applyBorder="1" applyAlignment="1">
      <alignment horizontal="center" vertical="center" wrapText="1"/>
    </xf>
    <xf numFmtId="14" fontId="0" fillId="0" borderId="132" xfId="0" applyNumberFormat="1" applyFont="1" applyBorder="1" applyAlignment="1">
      <alignment horizontal="center" vertical="center"/>
    </xf>
    <xf numFmtId="41" fontId="9" fillId="0" borderId="132" xfId="209" applyFont="1" applyBorder="1">
      <alignment vertical="center"/>
    </xf>
    <xf numFmtId="0" fontId="35" fillId="0" borderId="134" xfId="0" applyFont="1" applyFill="1" applyBorder="1" applyAlignment="1">
      <alignment horizontal="center" vertical="center"/>
    </xf>
    <xf numFmtId="0" fontId="35" fillId="0" borderId="135" xfId="0" applyFont="1" applyFill="1" applyBorder="1" applyAlignment="1">
      <alignment horizontal="center" vertical="center"/>
    </xf>
    <xf numFmtId="49" fontId="0" fillId="0" borderId="132" xfId="0" applyNumberFormat="1" applyFont="1" applyBorder="1" applyAlignment="1">
      <alignment horizontal="center" vertical="center"/>
    </xf>
    <xf numFmtId="41" fontId="100" fillId="3" borderId="15" xfId="0" applyNumberFormat="1" applyFont="1" applyFill="1" applyBorder="1" applyAlignment="1">
      <alignment vertical="center" shrinkToFit="1"/>
    </xf>
    <xf numFmtId="14" fontId="10" fillId="0" borderId="133" xfId="0" applyNumberFormat="1" applyFont="1" applyFill="1" applyBorder="1" applyAlignment="1">
      <alignment horizontal="center" vertical="center"/>
    </xf>
    <xf numFmtId="41" fontId="18" fillId="0" borderId="132" xfId="1" applyFont="1" applyFill="1" applyBorder="1" applyAlignment="1">
      <alignment horizontal="center" vertical="center" shrinkToFit="1"/>
    </xf>
    <xf numFmtId="0" fontId="10" fillId="0" borderId="133" xfId="0" applyFont="1" applyFill="1" applyBorder="1" applyAlignment="1">
      <alignment horizontal="center" vertical="center"/>
    </xf>
    <xf numFmtId="0" fontId="24" fillId="0" borderId="32" xfId="0" applyFont="1" applyFill="1" applyBorder="1" applyAlignment="1">
      <alignment horizontal="center" vertical="center"/>
    </xf>
    <xf numFmtId="14" fontId="65" fillId="4" borderId="119" xfId="0" applyNumberFormat="1" applyFont="1" applyFill="1" applyBorder="1" applyAlignment="1">
      <alignment horizontal="center" vertical="center"/>
    </xf>
    <xf numFmtId="41" fontId="65" fillId="4" borderId="119" xfId="1" applyFont="1" applyFill="1" applyBorder="1" applyAlignment="1">
      <alignment horizontal="center" vertical="center"/>
    </xf>
    <xf numFmtId="0" fontId="65" fillId="4" borderId="119" xfId="0" applyFont="1" applyFill="1" applyBorder="1" applyAlignment="1">
      <alignment horizontal="center" vertical="center"/>
    </xf>
    <xf numFmtId="41" fontId="65" fillId="4" borderId="119" xfId="1" applyFont="1" applyFill="1" applyBorder="1">
      <alignment vertical="center"/>
    </xf>
    <xf numFmtId="41" fontId="18" fillId="0" borderId="132" xfId="2" applyNumberFormat="1" applyFont="1" applyBorder="1">
      <alignment vertical="center"/>
    </xf>
    <xf numFmtId="41" fontId="18" fillId="20" borderId="46" xfId="3" applyNumberFormat="1" applyFont="1" applyFill="1" applyBorder="1" applyAlignment="1">
      <alignment horizontal="center" vertical="center"/>
    </xf>
    <xf numFmtId="41" fontId="18" fillId="20" borderId="16" xfId="3" applyNumberFormat="1" applyFont="1" applyFill="1" applyBorder="1" applyAlignment="1">
      <alignment horizontal="center" vertical="center"/>
    </xf>
    <xf numFmtId="41" fontId="18" fillId="20" borderId="58" xfId="3" applyNumberFormat="1" applyFont="1" applyFill="1" applyBorder="1" applyAlignment="1">
      <alignment horizontal="center" vertical="center"/>
    </xf>
    <xf numFmtId="41" fontId="18" fillId="20" borderId="13" xfId="3" applyNumberFormat="1" applyFont="1" applyFill="1" applyBorder="1" applyAlignment="1">
      <alignment horizontal="center" vertical="center"/>
    </xf>
    <xf numFmtId="0" fontId="10" fillId="0" borderId="119" xfId="0" applyFont="1" applyFill="1" applyBorder="1" applyAlignment="1">
      <alignment horizontal="center" vertical="center" wrapText="1"/>
    </xf>
    <xf numFmtId="14" fontId="18" fillId="0" borderId="132" xfId="0" applyNumberFormat="1" applyFont="1" applyFill="1" applyBorder="1" applyAlignment="1">
      <alignment horizontal="center" vertical="center" wrapText="1"/>
    </xf>
    <xf numFmtId="41" fontId="9" fillId="0" borderId="15" xfId="209" applyFont="1" applyBorder="1">
      <alignment vertical="center"/>
    </xf>
    <xf numFmtId="14" fontId="10" fillId="0" borderId="134" xfId="0" applyNumberFormat="1" applyFont="1" applyFill="1" applyBorder="1" applyAlignment="1">
      <alignment horizontal="center" vertical="center" wrapText="1"/>
    </xf>
    <xf numFmtId="14" fontId="10" fillId="0" borderId="135" xfId="0" applyNumberFormat="1" applyFont="1" applyFill="1" applyBorder="1" applyAlignment="1">
      <alignment horizontal="center" vertical="center" wrapText="1"/>
    </xf>
    <xf numFmtId="14" fontId="0" fillId="0" borderId="132" xfId="0" applyNumberFormat="1" applyFont="1" applyFill="1" applyBorder="1" applyAlignment="1">
      <alignment horizontal="center" vertical="center"/>
    </xf>
    <xf numFmtId="0" fontId="101" fillId="5" borderId="0" xfId="0" applyFont="1" applyFill="1" applyBorder="1" applyAlignment="1" applyProtection="1">
      <alignment horizontal="left" vertical="top" wrapText="1"/>
    </xf>
    <xf numFmtId="0" fontId="0" fillId="0" borderId="143" xfId="0" applyBorder="1">
      <alignment vertical="center"/>
    </xf>
    <xf numFmtId="0" fontId="10" fillId="0" borderId="139" xfId="0" applyFont="1" applyBorder="1">
      <alignment vertical="center"/>
    </xf>
    <xf numFmtId="0" fontId="65" fillId="0" borderId="140" xfId="0" applyFont="1" applyBorder="1">
      <alignment vertical="center"/>
    </xf>
    <xf numFmtId="0" fontId="0" fillId="0" borderId="141" xfId="0" applyBorder="1">
      <alignment vertical="center"/>
    </xf>
    <xf numFmtId="0" fontId="12" fillId="0" borderId="0" xfId="0" applyFont="1" applyBorder="1" applyAlignment="1">
      <alignment horizontal="left" vertical="center"/>
    </xf>
    <xf numFmtId="0" fontId="14" fillId="0" borderId="0" xfId="0" applyFont="1" applyBorder="1">
      <alignment vertical="center"/>
    </xf>
    <xf numFmtId="0" fontId="65" fillId="0" borderId="24" xfId="0" applyFont="1" applyBorder="1">
      <alignment vertical="center"/>
    </xf>
    <xf numFmtId="0" fontId="12" fillId="0" borderId="0" xfId="0" applyFont="1" applyBorder="1" applyAlignment="1">
      <alignment horizontal="center" vertical="center"/>
    </xf>
    <xf numFmtId="0" fontId="15" fillId="0" borderId="0" xfId="0" applyFont="1" applyBorder="1" applyAlignment="1">
      <alignment horizontal="center" vertical="center" wrapText="1"/>
    </xf>
    <xf numFmtId="0" fontId="15" fillId="0" borderId="0" xfId="0" applyFont="1" applyBorder="1" applyAlignment="1">
      <alignment horizontal="center" vertical="center"/>
    </xf>
    <xf numFmtId="0" fontId="0" fillId="0" borderId="142" xfId="0" applyBorder="1">
      <alignment vertical="center"/>
    </xf>
    <xf numFmtId="0" fontId="10" fillId="0" borderId="48" xfId="0" applyFont="1" applyBorder="1">
      <alignment vertical="center"/>
    </xf>
    <xf numFmtId="0" fontId="65" fillId="0" borderId="25" xfId="0" applyFont="1" applyBorder="1">
      <alignment vertical="center"/>
    </xf>
    <xf numFmtId="0" fontId="24" fillId="0" borderId="32" xfId="0" applyFont="1" applyFill="1" applyBorder="1" applyAlignment="1">
      <alignment horizontal="center" vertical="center" wrapText="1"/>
    </xf>
    <xf numFmtId="195" fontId="18" fillId="4" borderId="124" xfId="3276" applyNumberFormat="1" applyFont="1" applyFill="1" applyBorder="1" applyAlignment="1">
      <alignment horizontal="center" vertical="center" wrapText="1"/>
    </xf>
    <xf numFmtId="177" fontId="18" fillId="4" borderId="124" xfId="0" applyNumberFormat="1" applyFont="1" applyFill="1" applyBorder="1" applyAlignment="1">
      <alignment horizontal="center" vertical="center"/>
    </xf>
    <xf numFmtId="41" fontId="18" fillId="4" borderId="124" xfId="1" applyFont="1" applyFill="1" applyBorder="1">
      <alignment vertical="center"/>
    </xf>
    <xf numFmtId="0" fontId="99" fillId="4" borderId="0" xfId="0" applyFont="1" applyFill="1" applyAlignment="1">
      <alignment horizontal="center" vertical="center"/>
    </xf>
    <xf numFmtId="41" fontId="99" fillId="4" borderId="0" xfId="1" applyFont="1" applyFill="1">
      <alignment vertical="center"/>
    </xf>
    <xf numFmtId="0" fontId="79" fillId="3" borderId="32" xfId="0" applyFont="1" applyFill="1" applyBorder="1" applyAlignment="1">
      <alignment vertical="center" wrapText="1"/>
    </xf>
    <xf numFmtId="41" fontId="18" fillId="0" borderId="15" xfId="1" applyFont="1" applyFill="1" applyBorder="1" applyAlignment="1">
      <alignment horizontal="center" vertical="center" shrinkToFit="1"/>
    </xf>
    <xf numFmtId="41" fontId="99" fillId="0" borderId="0" xfId="6" applyFont="1" applyFill="1" applyBorder="1">
      <alignment vertical="center"/>
    </xf>
    <xf numFmtId="0" fontId="99" fillId="0" borderId="0" xfId="0" applyFont="1">
      <alignment vertical="center"/>
    </xf>
    <xf numFmtId="41" fontId="99" fillId="0" borderId="0" xfId="0" applyNumberFormat="1" applyFont="1">
      <alignment vertical="center"/>
    </xf>
    <xf numFmtId="189" fontId="10" fillId="0" borderId="0" xfId="0" applyNumberFormat="1" applyFont="1" applyFill="1">
      <alignment vertical="center"/>
    </xf>
    <xf numFmtId="195" fontId="24" fillId="4" borderId="32" xfId="3276" applyNumberFormat="1" applyFont="1" applyFill="1" applyBorder="1" applyAlignment="1">
      <alignment horizontal="center" vertical="center" wrapText="1"/>
    </xf>
    <xf numFmtId="0" fontId="24" fillId="0" borderId="124" xfId="0" applyFont="1" applyFill="1" applyBorder="1" applyAlignment="1">
      <alignment horizontal="center" vertical="center"/>
    </xf>
    <xf numFmtId="193" fontId="28" fillId="0" borderId="100" xfId="0" applyNumberFormat="1" applyFont="1" applyBorder="1" applyAlignment="1">
      <alignment horizontal="left" vertical="center" wrapText="1"/>
    </xf>
    <xf numFmtId="179" fontId="12" fillId="0" borderId="101" xfId="1" applyNumberFormat="1" applyFont="1" applyBorder="1" applyAlignment="1">
      <alignment horizontal="right" vertical="center" shrinkToFit="1"/>
    </xf>
    <xf numFmtId="179" fontId="14" fillId="0" borderId="101" xfId="1" applyNumberFormat="1" applyFont="1" applyBorder="1" applyAlignment="1">
      <alignment horizontal="right" vertical="center" shrinkToFit="1"/>
    </xf>
    <xf numFmtId="179" fontId="12" fillId="0" borderId="25" xfId="1" applyNumberFormat="1" applyFont="1" applyBorder="1" applyAlignment="1">
      <alignment horizontal="right" vertical="center" shrinkToFit="1"/>
    </xf>
    <xf numFmtId="193" fontId="18" fillId="0" borderId="100" xfId="0" applyNumberFormat="1" applyFont="1" applyBorder="1" applyAlignment="1">
      <alignment horizontal="left" vertical="center" wrapText="1"/>
    </xf>
    <xf numFmtId="179" fontId="14" fillId="26" borderId="98" xfId="1" applyNumberFormat="1" applyFont="1" applyFill="1" applyBorder="1" applyAlignment="1">
      <alignment horizontal="right" vertical="center" shrinkToFit="1"/>
    </xf>
    <xf numFmtId="41" fontId="18" fillId="26" borderId="32" xfId="2" applyNumberFormat="1" applyFont="1" applyFill="1" applyBorder="1">
      <alignment vertical="center"/>
    </xf>
    <xf numFmtId="41" fontId="85" fillId="27" borderId="32" xfId="0" applyNumberFormat="1" applyFont="1" applyFill="1" applyBorder="1" applyAlignment="1">
      <alignment horizontal="right" vertical="center" wrapText="1"/>
    </xf>
    <xf numFmtId="41" fontId="18" fillId="27" borderId="32" xfId="2" applyNumberFormat="1" applyFont="1" applyFill="1" applyBorder="1">
      <alignment vertical="center"/>
    </xf>
    <xf numFmtId="179" fontId="14" fillId="27" borderId="101" xfId="1" applyNumberFormat="1" applyFont="1" applyFill="1" applyBorder="1" applyAlignment="1">
      <alignment horizontal="right" vertical="center" shrinkToFit="1"/>
    </xf>
    <xf numFmtId="41" fontId="18" fillId="28" borderId="32" xfId="2" applyNumberFormat="1" applyFont="1" applyFill="1" applyBorder="1">
      <alignment vertical="center"/>
    </xf>
    <xf numFmtId="41" fontId="85" fillId="28" borderId="32" xfId="0" applyNumberFormat="1" applyFont="1" applyFill="1" applyBorder="1" applyAlignment="1">
      <alignment horizontal="right" vertical="center" wrapText="1"/>
    </xf>
    <xf numFmtId="180" fontId="85" fillId="28" borderId="32" xfId="0" applyNumberFormat="1" applyFont="1" applyFill="1" applyBorder="1" applyAlignment="1">
      <alignment horizontal="right" vertical="center"/>
    </xf>
    <xf numFmtId="179" fontId="14" fillId="28" borderId="101" xfId="1" applyNumberFormat="1" applyFont="1" applyFill="1" applyBorder="1" applyAlignment="1">
      <alignment horizontal="right" vertical="center" shrinkToFit="1"/>
    </xf>
    <xf numFmtId="179" fontId="12" fillId="28" borderId="101" xfId="1" applyNumberFormat="1" applyFont="1" applyFill="1" applyBorder="1" applyAlignment="1">
      <alignment horizontal="right" vertical="center" shrinkToFit="1"/>
    </xf>
    <xf numFmtId="41" fontId="18" fillId="25" borderId="32" xfId="2" applyNumberFormat="1" applyFont="1" applyFill="1" applyBorder="1">
      <alignment vertical="center"/>
    </xf>
    <xf numFmtId="41" fontId="12" fillId="25" borderId="32" xfId="0" applyNumberFormat="1" applyFont="1" applyFill="1" applyBorder="1" applyAlignment="1">
      <alignment horizontal="right" vertical="center" shrinkToFit="1"/>
    </xf>
    <xf numFmtId="197" fontId="18" fillId="0" borderId="107" xfId="1" applyNumberFormat="1" applyFont="1" applyBorder="1" applyAlignment="1">
      <alignment vertical="center" shrinkToFit="1"/>
    </xf>
    <xf numFmtId="0" fontId="18" fillId="0" borderId="0" xfId="2" applyFont="1" applyAlignment="1">
      <alignment horizontal="center" vertical="center"/>
    </xf>
    <xf numFmtId="0" fontId="19" fillId="0" borderId="32" xfId="2" applyFont="1" applyBorder="1">
      <alignment vertical="center"/>
    </xf>
    <xf numFmtId="0" fontId="0" fillId="0" borderId="132" xfId="0" applyBorder="1">
      <alignment vertical="center"/>
    </xf>
    <xf numFmtId="0" fontId="27" fillId="0" borderId="0" xfId="2" applyFont="1" applyAlignment="1">
      <alignment horizontal="center" vertical="center"/>
    </xf>
    <xf numFmtId="41" fontId="102" fillId="3" borderId="44" xfId="1" applyFont="1" applyFill="1" applyBorder="1" applyAlignment="1">
      <alignment horizontal="left" vertical="center"/>
    </xf>
    <xf numFmtId="177" fontId="23" fillId="20" borderId="29" xfId="1" applyNumberFormat="1" applyFont="1" applyFill="1" applyBorder="1" applyAlignment="1">
      <alignment horizontal="right" vertical="center" shrinkToFit="1"/>
    </xf>
    <xf numFmtId="14" fontId="18" fillId="0" borderId="147" xfId="0" applyNumberFormat="1" applyFont="1" applyFill="1" applyBorder="1" applyAlignment="1">
      <alignment horizontal="center" vertical="center" wrapText="1"/>
    </xf>
    <xf numFmtId="0" fontId="65" fillId="4" borderId="148" xfId="0" applyFont="1" applyFill="1" applyBorder="1" applyAlignment="1">
      <alignment horizontal="center" vertical="center"/>
    </xf>
    <xf numFmtId="41" fontId="65" fillId="4" borderId="148" xfId="1" applyFont="1" applyFill="1" applyBorder="1">
      <alignment vertical="center"/>
    </xf>
    <xf numFmtId="0" fontId="10" fillId="0" borderId="148" xfId="0" applyFont="1" applyFill="1" applyBorder="1" applyAlignment="1">
      <alignment horizontal="center" vertical="center" wrapText="1"/>
    </xf>
    <xf numFmtId="0" fontId="33" fillId="0" borderId="32" xfId="0" applyFont="1" applyFill="1" applyBorder="1" applyAlignment="1">
      <alignment horizontal="center" vertical="center"/>
    </xf>
    <xf numFmtId="196" fontId="65" fillId="4" borderId="119" xfId="24573" applyNumberFormat="1" applyFont="1" applyFill="1" applyBorder="1" applyAlignment="1">
      <alignment horizontal="center" vertical="center"/>
    </xf>
    <xf numFmtId="196" fontId="65" fillId="4" borderId="32" xfId="24573" applyNumberFormat="1" applyFont="1" applyFill="1" applyBorder="1" applyAlignment="1">
      <alignment horizontal="center" vertical="center"/>
    </xf>
    <xf numFmtId="196" fontId="65" fillId="4" borderId="127" xfId="24573" applyNumberFormat="1" applyFont="1" applyFill="1" applyBorder="1" applyAlignment="1">
      <alignment horizontal="center" vertical="center"/>
    </xf>
    <xf numFmtId="0" fontId="10" fillId="4" borderId="119" xfId="0" applyFont="1" applyFill="1" applyBorder="1" applyAlignment="1">
      <alignment horizontal="center" vertical="center" wrapText="1"/>
    </xf>
    <xf numFmtId="41" fontId="65" fillId="4" borderId="127" xfId="1" applyFont="1" applyFill="1" applyBorder="1">
      <alignment vertical="center"/>
    </xf>
    <xf numFmtId="41" fontId="65" fillId="4" borderId="124" xfId="1" applyFont="1" applyFill="1" applyBorder="1" applyAlignment="1">
      <alignment horizontal="center" vertical="center"/>
    </xf>
    <xf numFmtId="0" fontId="65" fillId="4" borderId="124" xfId="0" applyFont="1" applyFill="1" applyBorder="1" applyAlignment="1">
      <alignment horizontal="center" vertical="center"/>
    </xf>
    <xf numFmtId="41" fontId="65" fillId="4" borderId="124" xfId="1" applyFont="1" applyFill="1" applyBorder="1">
      <alignment vertical="center"/>
    </xf>
    <xf numFmtId="14" fontId="65" fillId="4" borderId="119" xfId="0" applyNumberFormat="1" applyFont="1" applyFill="1" applyBorder="1" applyAlignment="1">
      <alignment horizontal="center" vertical="center" wrapText="1"/>
    </xf>
    <xf numFmtId="186" fontId="18" fillId="4" borderId="124" xfId="6" applyNumberFormat="1" applyFont="1" applyFill="1" applyBorder="1" applyAlignment="1">
      <alignment horizontal="right" vertical="center"/>
    </xf>
    <xf numFmtId="14" fontId="18" fillId="4" borderId="119" xfId="0" applyNumberFormat="1" applyFont="1" applyFill="1" applyBorder="1" applyAlignment="1">
      <alignment horizontal="center" vertical="center" wrapText="1"/>
    </xf>
    <xf numFmtId="41" fontId="65" fillId="4" borderId="127" xfId="1" applyFont="1" applyFill="1" applyBorder="1" applyAlignment="1">
      <alignment horizontal="center" vertical="center"/>
    </xf>
    <xf numFmtId="0" fontId="65" fillId="4" borderId="127" xfId="0" applyFont="1" applyFill="1" applyBorder="1" applyAlignment="1">
      <alignment horizontal="center" vertical="center"/>
    </xf>
    <xf numFmtId="177" fontId="18" fillId="4" borderId="119" xfId="0" applyNumberFormat="1" applyFont="1" applyFill="1" applyBorder="1" applyAlignment="1">
      <alignment horizontal="center" vertical="center"/>
    </xf>
    <xf numFmtId="195" fontId="18" fillId="4" borderId="119" xfId="3276" applyNumberFormat="1" applyFont="1" applyFill="1" applyBorder="1" applyAlignment="1">
      <alignment horizontal="center" vertical="center" wrapText="1"/>
    </xf>
    <xf numFmtId="41" fontId="18" fillId="4" borderId="119" xfId="1" applyFont="1" applyFill="1" applyBorder="1">
      <alignment vertical="center"/>
    </xf>
    <xf numFmtId="0" fontId="18" fillId="0" borderId="148" xfId="0" applyFont="1" applyFill="1" applyBorder="1" applyAlignment="1">
      <alignment horizontal="center" vertical="center"/>
    </xf>
    <xf numFmtId="0" fontId="23" fillId="0" borderId="124" xfId="0" applyFont="1" applyFill="1" applyBorder="1" applyAlignment="1">
      <alignment horizontal="center" vertical="center"/>
    </xf>
    <xf numFmtId="41" fontId="18" fillId="4" borderId="119" xfId="1" applyFont="1" applyFill="1" applyBorder="1" applyAlignment="1">
      <alignment horizontal="center" vertical="center"/>
    </xf>
    <xf numFmtId="0" fontId="18" fillId="4" borderId="119" xfId="0" applyFont="1" applyFill="1" applyBorder="1" applyAlignment="1">
      <alignment horizontal="center" vertical="center"/>
    </xf>
    <xf numFmtId="0" fontId="103" fillId="5" borderId="0" xfId="0" applyFont="1" applyFill="1" applyBorder="1" applyAlignment="1" applyProtection="1">
      <alignment horizontal="left" vertical="top" wrapText="1"/>
    </xf>
    <xf numFmtId="14" fontId="0" fillId="0" borderId="148" xfId="0" applyNumberFormat="1" applyFont="1" applyBorder="1" applyAlignment="1">
      <alignment horizontal="center" vertical="center"/>
    </xf>
    <xf numFmtId="49" fontId="0" fillId="0" borderId="132" xfId="0" applyNumberFormat="1" applyBorder="1" applyAlignment="1">
      <alignment horizontal="center" vertical="center"/>
    </xf>
    <xf numFmtId="49" fontId="0" fillId="0" borderId="148" xfId="0" applyNumberFormat="1" applyBorder="1" applyAlignment="1">
      <alignment horizontal="center" vertical="center"/>
    </xf>
    <xf numFmtId="177" fontId="9" fillId="0" borderId="148" xfId="209" applyNumberFormat="1" applyFont="1" applyBorder="1">
      <alignment vertical="center"/>
    </xf>
    <xf numFmtId="41" fontId="24" fillId="22" borderId="32" xfId="1" applyFont="1" applyFill="1" applyBorder="1" applyAlignment="1">
      <alignment horizontal="center" vertical="center"/>
    </xf>
    <xf numFmtId="41" fontId="24" fillId="23" borderId="32" xfId="1" applyFont="1" applyFill="1" applyBorder="1" applyAlignment="1">
      <alignment horizontal="center" vertical="center"/>
    </xf>
    <xf numFmtId="41" fontId="24" fillId="24" borderId="32" xfId="1" applyFont="1" applyFill="1" applyBorder="1" applyAlignment="1">
      <alignment horizontal="center" vertical="center"/>
    </xf>
    <xf numFmtId="41" fontId="24" fillId="0" borderId="32" xfId="1" applyFont="1" applyBorder="1">
      <alignment vertical="center"/>
    </xf>
    <xf numFmtId="41" fontId="108" fillId="0" borderId="32" xfId="1" applyFont="1" applyBorder="1">
      <alignment vertical="center"/>
    </xf>
    <xf numFmtId="0" fontId="24" fillId="22" borderId="32" xfId="2" applyFont="1" applyFill="1" applyBorder="1" applyAlignment="1">
      <alignment horizontal="center" vertical="center"/>
    </xf>
    <xf numFmtId="41" fontId="24" fillId="0" borderId="0" xfId="2" applyNumberFormat="1" applyFont="1" applyFill="1">
      <alignment vertical="center"/>
    </xf>
    <xf numFmtId="0" fontId="33" fillId="3" borderId="32" xfId="0" applyFont="1" applyFill="1" applyBorder="1" applyAlignment="1">
      <alignment horizontal="center" vertical="center"/>
    </xf>
    <xf numFmtId="0" fontId="33" fillId="3" borderId="32" xfId="0" applyFont="1" applyFill="1" applyBorder="1" applyAlignment="1">
      <alignment horizontal="center" vertical="center" wrapText="1"/>
    </xf>
    <xf numFmtId="41" fontId="24" fillId="29" borderId="32" xfId="1" applyFont="1" applyFill="1" applyBorder="1">
      <alignment vertical="center"/>
    </xf>
    <xf numFmtId="14" fontId="18" fillId="0" borderId="150" xfId="0" applyNumberFormat="1" applyFont="1" applyBorder="1" applyAlignment="1">
      <alignment horizontal="center" vertical="center" wrapText="1"/>
    </xf>
    <xf numFmtId="177" fontId="18" fillId="0" borderId="150" xfId="0" applyNumberFormat="1" applyFont="1" applyFill="1" applyBorder="1" applyAlignment="1">
      <alignment horizontal="center" vertical="center"/>
    </xf>
    <xf numFmtId="0" fontId="18" fillId="0" borderId="150" xfId="3276" applyFont="1" applyFill="1" applyBorder="1" applyAlignment="1">
      <alignment horizontal="center" vertical="center"/>
    </xf>
    <xf numFmtId="186" fontId="18" fillId="0" borderId="150" xfId="6" applyNumberFormat="1" applyFont="1" applyFill="1" applyBorder="1" applyAlignment="1">
      <alignment horizontal="center" vertical="center"/>
    </xf>
    <xf numFmtId="0" fontId="23" fillId="0" borderId="150" xfId="0" applyFont="1" applyFill="1" applyBorder="1" applyAlignment="1">
      <alignment horizontal="center" vertical="center"/>
    </xf>
    <xf numFmtId="14" fontId="18" fillId="0" borderId="148" xfId="0" applyNumberFormat="1" applyFont="1" applyFill="1" applyBorder="1" applyAlignment="1">
      <alignment horizontal="center" vertical="center" wrapText="1"/>
    </xf>
    <xf numFmtId="14" fontId="33" fillId="3" borderId="32" xfId="0" applyNumberFormat="1" applyFont="1" applyFill="1" applyBorder="1" applyAlignment="1">
      <alignment horizontal="center" vertical="center"/>
    </xf>
    <xf numFmtId="41" fontId="33" fillId="3" borderId="32" xfId="5" applyFont="1" applyFill="1" applyBorder="1" applyAlignment="1">
      <alignment horizontal="center" vertical="center" shrinkToFit="1"/>
    </xf>
    <xf numFmtId="14" fontId="18" fillId="0" borderId="148" xfId="0" applyNumberFormat="1" applyFont="1" applyBorder="1" applyAlignment="1">
      <alignment horizontal="center" vertical="center" wrapText="1"/>
    </xf>
    <xf numFmtId="177" fontId="18" fillId="0" borderId="148" xfId="0" applyNumberFormat="1" applyFont="1" applyFill="1" applyBorder="1" applyAlignment="1">
      <alignment horizontal="center" vertical="center"/>
    </xf>
    <xf numFmtId="0" fontId="18" fillId="0" borderId="148" xfId="3276" applyFont="1" applyFill="1" applyBorder="1" applyAlignment="1">
      <alignment horizontal="center" vertical="center"/>
    </xf>
    <xf numFmtId="186" fontId="18" fillId="0" borderId="148" xfId="6" applyNumberFormat="1" applyFont="1" applyFill="1" applyBorder="1" applyAlignment="1">
      <alignment horizontal="center" vertical="center"/>
    </xf>
    <xf numFmtId="0" fontId="18" fillId="4" borderId="119" xfId="3276" applyFont="1" applyFill="1" applyBorder="1" applyAlignment="1">
      <alignment horizontal="center" vertical="center"/>
    </xf>
    <xf numFmtId="186" fontId="18" fillId="4" borderId="119" xfId="6" applyNumberFormat="1" applyFont="1" applyFill="1" applyBorder="1" applyAlignment="1">
      <alignment horizontal="center" vertical="center"/>
    </xf>
    <xf numFmtId="0" fontId="10" fillId="4" borderId="32" xfId="0" applyFont="1" applyFill="1" applyBorder="1" applyAlignment="1">
      <alignment horizontal="center" vertical="center" wrapText="1"/>
    </xf>
    <xf numFmtId="0" fontId="27" fillId="0" borderId="32" xfId="0" applyFont="1" applyFill="1" applyBorder="1" applyAlignment="1">
      <alignment horizontal="center" vertical="center"/>
    </xf>
    <xf numFmtId="177" fontId="18" fillId="0" borderId="150" xfId="1" applyNumberFormat="1" applyFont="1" applyBorder="1" applyAlignment="1">
      <alignment horizontal="center" vertical="center" shrinkToFit="1"/>
    </xf>
    <xf numFmtId="177" fontId="18" fillId="0" borderId="150" xfId="1" applyNumberFormat="1" applyFont="1" applyFill="1" applyBorder="1" applyAlignment="1">
      <alignment horizontal="center" vertical="center" shrinkToFit="1"/>
    </xf>
    <xf numFmtId="0" fontId="0" fillId="0" borderId="32" xfId="0" applyBorder="1" applyAlignment="1">
      <alignment horizontal="center" vertical="center"/>
    </xf>
    <xf numFmtId="0" fontId="90" fillId="0" borderId="32" xfId="0" applyFont="1" applyBorder="1" applyAlignment="1">
      <alignment horizontal="center" vertical="center"/>
    </xf>
    <xf numFmtId="0" fontId="90" fillId="0" borderId="120" xfId="0" applyFont="1" applyBorder="1">
      <alignment vertical="center"/>
    </xf>
    <xf numFmtId="0" fontId="90" fillId="0" borderId="0" xfId="0" applyFont="1">
      <alignment vertical="center"/>
    </xf>
    <xf numFmtId="177" fontId="14" fillId="0" borderId="150" xfId="1" applyNumberFormat="1" applyFont="1" applyBorder="1" applyAlignment="1">
      <alignment horizontal="center" vertical="center" shrinkToFit="1"/>
    </xf>
    <xf numFmtId="177" fontId="14" fillId="0" borderId="150" xfId="1" applyNumberFormat="1" applyFont="1" applyFill="1" applyBorder="1" applyAlignment="1">
      <alignment horizontal="center" vertical="center" shrinkToFit="1"/>
    </xf>
    <xf numFmtId="0" fontId="90" fillId="0" borderId="150" xfId="0" applyFont="1" applyBorder="1">
      <alignment vertical="center"/>
    </xf>
    <xf numFmtId="0" fontId="112" fillId="0" borderId="0" xfId="2" applyFont="1" applyFill="1" applyBorder="1" applyAlignment="1">
      <alignment horizontal="left" vertical="center"/>
    </xf>
    <xf numFmtId="0" fontId="65" fillId="4" borderId="37" xfId="0" applyFont="1" applyFill="1" applyBorder="1" applyAlignment="1">
      <alignment horizontal="center" vertical="center"/>
    </xf>
    <xf numFmtId="0" fontId="65" fillId="4" borderId="32" xfId="0" applyFont="1" applyFill="1" applyBorder="1" applyAlignment="1">
      <alignment horizontal="center" vertical="center"/>
    </xf>
    <xf numFmtId="41" fontId="10" fillId="4" borderId="32" xfId="0" applyNumberFormat="1" applyFont="1" applyFill="1" applyBorder="1">
      <alignment vertical="center"/>
    </xf>
    <xf numFmtId="41" fontId="10" fillId="4" borderId="38" xfId="1" applyFont="1" applyFill="1" applyBorder="1">
      <alignment vertical="center"/>
    </xf>
    <xf numFmtId="0" fontId="18" fillId="4" borderId="32" xfId="0" applyFont="1" applyFill="1" applyBorder="1" applyAlignment="1">
      <alignment horizontal="center" vertical="center"/>
    </xf>
    <xf numFmtId="0" fontId="18" fillId="4" borderId="132" xfId="0" applyFont="1" applyFill="1" applyBorder="1" applyAlignment="1">
      <alignment horizontal="center" vertical="center"/>
    </xf>
    <xf numFmtId="41" fontId="10" fillId="4" borderId="132" xfId="0" applyNumberFormat="1" applyFont="1" applyFill="1" applyBorder="1">
      <alignment vertical="center"/>
    </xf>
    <xf numFmtId="41" fontId="10" fillId="4" borderId="127" xfId="0" applyNumberFormat="1" applyFont="1" applyFill="1" applyBorder="1">
      <alignment vertical="center"/>
    </xf>
    <xf numFmtId="0" fontId="65" fillId="4" borderId="129" xfId="0" applyFont="1" applyFill="1" applyBorder="1" applyAlignment="1">
      <alignment horizontal="center" vertical="center"/>
    </xf>
    <xf numFmtId="0" fontId="18" fillId="4" borderId="129" xfId="0" quotePrefix="1" applyFont="1" applyFill="1" applyBorder="1" applyAlignment="1">
      <alignment horizontal="center" vertical="center"/>
    </xf>
    <xf numFmtId="41" fontId="10" fillId="4" borderId="129" xfId="0" applyNumberFormat="1" applyFont="1" applyFill="1" applyBorder="1">
      <alignment vertical="center"/>
    </xf>
    <xf numFmtId="0" fontId="18" fillId="4" borderId="127" xfId="0" quotePrefix="1" applyFont="1" applyFill="1" applyBorder="1" applyAlignment="1">
      <alignment horizontal="center" vertical="center"/>
    </xf>
    <xf numFmtId="0" fontId="18" fillId="4" borderId="37" xfId="0" applyFont="1" applyFill="1" applyBorder="1" applyAlignment="1">
      <alignment horizontal="center" vertical="center"/>
    </xf>
    <xf numFmtId="0" fontId="26" fillId="0" borderId="0" xfId="0" applyFont="1" applyAlignment="1"/>
    <xf numFmtId="0" fontId="0" fillId="0" borderId="0" xfId="0">
      <alignment vertical="center"/>
    </xf>
    <xf numFmtId="0" fontId="65" fillId="4" borderId="150" xfId="0" applyFont="1" applyFill="1" applyBorder="1" applyAlignment="1">
      <alignment horizontal="center" vertical="center"/>
    </xf>
    <xf numFmtId="0" fontId="0" fillId="0" borderId="0" xfId="0">
      <alignment vertical="center"/>
    </xf>
    <xf numFmtId="0" fontId="63" fillId="4" borderId="124" xfId="0" applyFont="1" applyFill="1" applyBorder="1" applyAlignment="1">
      <alignment horizontal="center" vertical="center"/>
    </xf>
    <xf numFmtId="41" fontId="18" fillId="4" borderId="15" xfId="1" applyFont="1" applyFill="1" applyBorder="1" applyAlignment="1">
      <alignment horizontal="center" vertical="center" shrinkToFit="1"/>
    </xf>
    <xf numFmtId="41" fontId="18" fillId="4" borderId="132" xfId="1" applyFont="1" applyFill="1" applyBorder="1" applyAlignment="1">
      <alignment horizontal="center" vertical="center" shrinkToFit="1"/>
    </xf>
    <xf numFmtId="0" fontId="33" fillId="3" borderId="155" xfId="0" applyFont="1" applyFill="1" applyBorder="1" applyAlignment="1">
      <alignment horizontal="center" vertical="center" wrapText="1"/>
    </xf>
    <xf numFmtId="41" fontId="31" fillId="3" borderId="155" xfId="1" applyFont="1" applyFill="1" applyBorder="1" applyAlignment="1">
      <alignment vertical="center" wrapText="1"/>
    </xf>
    <xf numFmtId="0" fontId="33" fillId="3" borderId="154" xfId="0" applyFont="1" applyFill="1" applyBorder="1" applyAlignment="1">
      <alignment horizontal="center" vertical="center" wrapText="1"/>
    </xf>
    <xf numFmtId="41" fontId="78" fillId="3" borderId="157" xfId="0" applyNumberFormat="1" applyFont="1" applyFill="1" applyBorder="1" applyAlignment="1">
      <alignment horizontal="center" vertical="center"/>
    </xf>
    <xf numFmtId="0" fontId="33" fillId="3" borderId="154" xfId="9" applyFont="1" applyFill="1" applyBorder="1" applyAlignment="1">
      <alignment horizontal="center" vertical="center" wrapText="1"/>
    </xf>
    <xf numFmtId="41" fontId="37" fillId="3" borderId="154" xfId="1" applyFont="1" applyFill="1" applyBorder="1" applyAlignment="1">
      <alignment horizontal="center" vertical="center" wrapText="1"/>
    </xf>
    <xf numFmtId="41" fontId="9" fillId="4" borderId="154" xfId="209" applyFont="1" applyFill="1" applyBorder="1" applyAlignment="1">
      <alignment vertical="center"/>
    </xf>
    <xf numFmtId="14" fontId="0" fillId="4" borderId="154" xfId="0" applyNumberFormat="1" applyFont="1" applyFill="1" applyBorder="1" applyAlignment="1">
      <alignment horizontal="center" vertical="center"/>
    </xf>
    <xf numFmtId="49" fontId="0" fillId="4" borderId="154" xfId="0" applyNumberFormat="1" applyFill="1" applyBorder="1" applyAlignment="1">
      <alignment horizontal="center" vertical="center" wrapText="1"/>
    </xf>
    <xf numFmtId="41" fontId="9" fillId="4" borderId="132" xfId="209" applyFont="1" applyFill="1" applyBorder="1">
      <alignment vertical="center"/>
    </xf>
    <xf numFmtId="14" fontId="0" fillId="0" borderId="154" xfId="0" applyNumberFormat="1" applyFont="1" applyBorder="1" applyAlignment="1">
      <alignment horizontal="center" vertical="center"/>
    </xf>
    <xf numFmtId="14" fontId="96" fillId="4" borderId="154" xfId="0" applyNumberFormat="1" applyFont="1" applyFill="1" applyBorder="1" applyAlignment="1">
      <alignment horizontal="center" vertical="center" wrapText="1"/>
    </xf>
    <xf numFmtId="0" fontId="33" fillId="3" borderId="154" xfId="0" applyFont="1" applyFill="1" applyBorder="1" applyAlignment="1">
      <alignment horizontal="center" vertical="center"/>
    </xf>
    <xf numFmtId="14" fontId="0" fillId="0" borderId="154" xfId="0" applyNumberFormat="1" applyFont="1" applyFill="1" applyBorder="1" applyAlignment="1">
      <alignment horizontal="center" vertical="center"/>
    </xf>
    <xf numFmtId="0" fontId="0" fillId="0" borderId="0" xfId="0">
      <alignment vertical="center"/>
    </xf>
    <xf numFmtId="0" fontId="65" fillId="0" borderId="154" xfId="0" applyFont="1" applyFill="1" applyBorder="1" applyAlignment="1">
      <alignment horizontal="center" vertical="center"/>
    </xf>
    <xf numFmtId="14" fontId="65" fillId="0" borderId="154" xfId="0" applyNumberFormat="1" applyFont="1" applyFill="1" applyBorder="1" applyAlignment="1">
      <alignment horizontal="center" vertical="center"/>
    </xf>
    <xf numFmtId="41" fontId="65" fillId="0" borderId="154" xfId="1" applyFont="1" applyFill="1" applyBorder="1" applyAlignment="1">
      <alignment horizontal="center" vertical="center"/>
    </xf>
    <xf numFmtId="0" fontId="0" fillId="0" borderId="145" xfId="0" applyBorder="1" applyAlignment="1">
      <alignment horizontal="center" vertical="center"/>
    </xf>
    <xf numFmtId="0" fontId="0" fillId="0" borderId="137" xfId="0" applyBorder="1" applyAlignment="1">
      <alignment horizontal="center" vertical="center"/>
    </xf>
    <xf numFmtId="0" fontId="0" fillId="0" borderId="138" xfId="0" applyBorder="1" applyAlignment="1">
      <alignment horizontal="center" vertical="center"/>
    </xf>
    <xf numFmtId="14" fontId="65" fillId="0" borderId="154" xfId="0" applyNumberFormat="1" applyFont="1" applyBorder="1" applyAlignment="1">
      <alignment horizontal="center" vertical="center"/>
    </xf>
    <xf numFmtId="41" fontId="65" fillId="0" borderId="154" xfId="1" applyFont="1" applyBorder="1" applyAlignment="1">
      <alignment horizontal="center" vertical="center"/>
    </xf>
    <xf numFmtId="0" fontId="0" fillId="0" borderId="159" xfId="0" applyBorder="1" applyAlignment="1">
      <alignment horizontal="center" vertical="center"/>
    </xf>
    <xf numFmtId="0" fontId="0" fillId="0" borderId="160" xfId="0" applyBorder="1" applyAlignment="1">
      <alignment horizontal="center" vertical="center"/>
    </xf>
    <xf numFmtId="14" fontId="65" fillId="4" borderId="154" xfId="0" applyNumberFormat="1" applyFont="1" applyFill="1" applyBorder="1" applyAlignment="1">
      <alignment horizontal="center" vertical="center"/>
    </xf>
    <xf numFmtId="41" fontId="65" fillId="4" borderId="154" xfId="1" applyFont="1" applyFill="1" applyBorder="1" applyAlignment="1">
      <alignment horizontal="center" vertical="center"/>
    </xf>
    <xf numFmtId="0" fontId="0" fillId="0" borderId="137" xfId="0" applyFill="1" applyBorder="1" applyAlignment="1">
      <alignment horizontal="center" vertical="center"/>
    </xf>
    <xf numFmtId="0" fontId="0" fillId="0" borderId="138" xfId="0" applyFill="1" applyBorder="1" applyAlignment="1">
      <alignment horizontal="center" vertical="center"/>
    </xf>
    <xf numFmtId="0" fontId="0" fillId="0" borderId="145" xfId="0" applyFill="1" applyBorder="1" applyAlignment="1">
      <alignment horizontal="center" vertical="center"/>
    </xf>
    <xf numFmtId="0" fontId="0" fillId="0" borderId="146" xfId="0" applyFill="1" applyBorder="1" applyAlignment="1">
      <alignment horizontal="center" vertical="center"/>
    </xf>
    <xf numFmtId="0" fontId="0" fillId="0" borderId="151" xfId="0" applyFill="1" applyBorder="1" applyAlignment="1">
      <alignment horizontal="center" vertical="center"/>
    </xf>
    <xf numFmtId="0" fontId="0" fillId="0" borderId="152" xfId="0" applyFill="1" applyBorder="1" applyAlignment="1">
      <alignment horizontal="center" vertical="center"/>
    </xf>
    <xf numFmtId="0" fontId="0" fillId="0" borderId="159" xfId="0" applyFill="1" applyBorder="1" applyAlignment="1">
      <alignment horizontal="center" vertical="center"/>
    </xf>
    <xf numFmtId="0" fontId="0" fillId="0" borderId="160" xfId="0" applyFill="1" applyBorder="1" applyAlignment="1">
      <alignment horizontal="center" vertical="center"/>
    </xf>
    <xf numFmtId="0" fontId="113" fillId="0" borderId="159" xfId="0" applyFont="1" applyFill="1" applyBorder="1" applyAlignment="1">
      <alignment horizontal="left" vertical="center"/>
    </xf>
    <xf numFmtId="0" fontId="63" fillId="0" borderId="0" xfId="0" applyFont="1">
      <alignment vertical="center"/>
    </xf>
    <xf numFmtId="49" fontId="117" fillId="0" borderId="163" xfId="0" applyNumberFormat="1" applyFont="1" applyFill="1" applyBorder="1" applyAlignment="1">
      <alignment horizontal="left" vertical="center" wrapText="1"/>
    </xf>
    <xf numFmtId="49" fontId="117" fillId="0" borderId="164" xfId="0" applyNumberFormat="1" applyFont="1" applyFill="1" applyBorder="1" applyAlignment="1">
      <alignment horizontal="center" vertical="center" wrapText="1"/>
    </xf>
    <xf numFmtId="49" fontId="117" fillId="0" borderId="165" xfId="0" applyNumberFormat="1" applyFont="1" applyFill="1" applyBorder="1" applyAlignment="1">
      <alignment horizontal="center" vertical="center" wrapText="1"/>
    </xf>
    <xf numFmtId="49" fontId="119" fillId="0" borderId="164" xfId="0" applyNumberFormat="1" applyFont="1" applyFill="1" applyBorder="1" applyAlignment="1">
      <alignment horizontal="center" vertical="center" wrapText="1"/>
    </xf>
    <xf numFmtId="49" fontId="119" fillId="0" borderId="165" xfId="0" applyNumberFormat="1" applyFont="1" applyFill="1" applyBorder="1" applyAlignment="1">
      <alignment horizontal="center" vertical="center" wrapText="1"/>
    </xf>
    <xf numFmtId="49" fontId="119" fillId="0" borderId="165" xfId="0" applyNumberFormat="1" applyFont="1" applyFill="1" applyBorder="1" applyAlignment="1">
      <alignment horizontal="right" vertical="center" wrapText="1"/>
    </xf>
    <xf numFmtId="49" fontId="119" fillId="0" borderId="165" xfId="0" applyNumberFormat="1" applyFont="1" applyFill="1" applyBorder="1" applyAlignment="1">
      <alignment horizontal="left" vertical="center" wrapText="1"/>
    </xf>
    <xf numFmtId="0" fontId="104" fillId="5" borderId="168" xfId="0" applyFont="1" applyFill="1" applyBorder="1" applyAlignment="1" applyProtection="1">
      <alignment horizontal="right" vertical="center" wrapText="1"/>
    </xf>
    <xf numFmtId="0" fontId="65" fillId="4" borderId="154" xfId="0" applyFont="1" applyFill="1" applyBorder="1" applyAlignment="1">
      <alignment horizontal="center" vertical="center"/>
    </xf>
    <xf numFmtId="10" fontId="85" fillId="0" borderId="32" xfId="24572" applyNumberFormat="1" applyFont="1" applyFill="1" applyBorder="1" applyAlignment="1">
      <alignment horizontal="right" vertical="center"/>
    </xf>
    <xf numFmtId="0" fontId="18" fillId="30" borderId="0" xfId="2" applyFont="1" applyFill="1" applyAlignment="1">
      <alignment horizontal="center" vertical="center"/>
    </xf>
    <xf numFmtId="41" fontId="18" fillId="30" borderId="0" xfId="2" applyNumberFormat="1" applyFont="1" applyFill="1">
      <alignment vertical="center"/>
    </xf>
    <xf numFmtId="176" fontId="18" fillId="0" borderId="32" xfId="3" applyNumberFormat="1" applyFont="1" applyFill="1" applyBorder="1" applyAlignment="1">
      <alignment horizontal="center" vertical="center" shrinkToFit="1"/>
    </xf>
    <xf numFmtId="10" fontId="18" fillId="0" borderId="32" xfId="3" applyNumberFormat="1" applyFont="1" applyFill="1" applyBorder="1" applyAlignment="1">
      <alignment horizontal="center" vertical="center" shrinkToFit="1"/>
    </xf>
    <xf numFmtId="0" fontId="18" fillId="0" borderId="144" xfId="47034" applyFont="1" applyBorder="1" applyAlignment="1">
      <alignment horizontal="center" vertical="center"/>
    </xf>
    <xf numFmtId="0" fontId="18" fillId="0" borderId="144" xfId="47035" applyFont="1" applyBorder="1" applyAlignment="1">
      <alignment horizontal="center" vertical="center"/>
    </xf>
    <xf numFmtId="0" fontId="65" fillId="0" borderId="136" xfId="0" applyFont="1" applyBorder="1" applyAlignment="1">
      <alignment horizontal="center" vertical="center"/>
    </xf>
    <xf numFmtId="0" fontId="65" fillId="0" borderId="144" xfId="0" applyFont="1" applyBorder="1" applyAlignment="1">
      <alignment horizontal="center" vertical="center"/>
    </xf>
    <xf numFmtId="0" fontId="18" fillId="0" borderId="144" xfId="47037" applyFont="1" applyBorder="1" applyAlignment="1">
      <alignment horizontal="center" vertical="center"/>
    </xf>
    <xf numFmtId="14" fontId="65" fillId="0" borderId="148" xfId="0" applyNumberFormat="1" applyFont="1" applyBorder="1" applyAlignment="1">
      <alignment horizontal="center" vertical="center"/>
    </xf>
    <xf numFmtId="3" fontId="104" fillId="19" borderId="168" xfId="0" applyNumberFormat="1" applyFont="1" applyFill="1" applyBorder="1" applyAlignment="1" applyProtection="1">
      <alignment horizontal="right" vertical="center" wrapText="1"/>
    </xf>
    <xf numFmtId="49" fontId="119" fillId="19" borderId="165" xfId="0" applyNumberFormat="1" applyFont="1" applyFill="1" applyBorder="1" applyAlignment="1">
      <alignment horizontal="right" vertical="center" wrapText="1"/>
    </xf>
    <xf numFmtId="0" fontId="27" fillId="0" borderId="136" xfId="47037" applyFont="1" applyBorder="1" applyAlignment="1">
      <alignment horizontal="center" vertical="center"/>
    </xf>
    <xf numFmtId="0" fontId="18" fillId="0" borderId="136" xfId="47037" applyFont="1" applyBorder="1" applyAlignment="1">
      <alignment horizontal="center" vertical="center"/>
    </xf>
    <xf numFmtId="0" fontId="65" fillId="4" borderId="144" xfId="0" applyFont="1" applyFill="1" applyBorder="1" applyAlignment="1">
      <alignment horizontal="center" vertical="center"/>
    </xf>
    <xf numFmtId="0" fontId="18" fillId="0" borderId="154" xfId="47037" applyFont="1" applyBorder="1" applyAlignment="1">
      <alignment horizontal="center" vertical="center"/>
    </xf>
    <xf numFmtId="14" fontId="95" fillId="0" borderId="154" xfId="0" applyNumberFormat="1" applyFont="1" applyBorder="1" applyAlignment="1">
      <alignment horizontal="center" vertical="center"/>
    </xf>
    <xf numFmtId="49" fontId="95" fillId="0" borderId="154" xfId="0" applyNumberFormat="1" applyFont="1" applyBorder="1" applyAlignment="1">
      <alignment horizontal="center" vertical="center"/>
    </xf>
    <xf numFmtId="0" fontId="33" fillId="0" borderId="158" xfId="0" applyFont="1" applyFill="1" applyBorder="1" applyAlignment="1">
      <alignment horizontal="center" vertical="center"/>
    </xf>
    <xf numFmtId="0" fontId="33" fillId="0" borderId="169" xfId="0" applyFont="1" applyFill="1" applyBorder="1" applyAlignment="1">
      <alignment horizontal="center" vertical="center"/>
    </xf>
    <xf numFmtId="0" fontId="33" fillId="0" borderId="155" xfId="0" applyFont="1" applyFill="1" applyBorder="1" applyAlignment="1">
      <alignment horizontal="center" vertical="center"/>
    </xf>
    <xf numFmtId="0" fontId="104" fillId="19" borderId="168" xfId="0" applyFont="1" applyFill="1" applyBorder="1" applyAlignment="1" applyProtection="1">
      <alignment horizontal="center" vertical="center" wrapText="1"/>
    </xf>
    <xf numFmtId="0" fontId="63" fillId="0" borderId="119" xfId="0" applyFont="1" applyBorder="1" applyAlignment="1">
      <alignment horizontal="center" vertical="center" wrapText="1"/>
    </xf>
    <xf numFmtId="0" fontId="10" fillId="0" borderId="62" xfId="2" applyFont="1" applyFill="1" applyBorder="1" applyAlignment="1">
      <alignment horizontal="center" vertical="center" wrapText="1"/>
    </xf>
    <xf numFmtId="0" fontId="10" fillId="0" borderId="60" xfId="2" applyFont="1" applyFill="1" applyBorder="1" applyAlignment="1">
      <alignment horizontal="center" vertical="center" wrapText="1"/>
    </xf>
    <xf numFmtId="0" fontId="10" fillId="0" borderId="61" xfId="2" applyFont="1" applyFill="1" applyBorder="1" applyAlignment="1">
      <alignment horizontal="center" vertical="center" wrapText="1"/>
    </xf>
    <xf numFmtId="0" fontId="10" fillId="20" borderId="60" xfId="2" applyFont="1" applyFill="1" applyBorder="1" applyAlignment="1">
      <alignment horizontal="center" vertical="center" wrapText="1"/>
    </xf>
    <xf numFmtId="0" fontId="10" fillId="20" borderId="22" xfId="2" applyFont="1" applyFill="1" applyBorder="1" applyAlignment="1">
      <alignment horizontal="center" vertical="center" wrapText="1"/>
    </xf>
    <xf numFmtId="0" fontId="10" fillId="0" borderId="12" xfId="2" applyFont="1" applyFill="1" applyBorder="1" applyAlignment="1">
      <alignment horizontal="center" vertical="center" wrapText="1"/>
    </xf>
    <xf numFmtId="0" fontId="10" fillId="0" borderId="18" xfId="2" applyFont="1" applyFill="1" applyBorder="1" applyAlignment="1">
      <alignment horizontal="center" vertical="center" wrapText="1"/>
    </xf>
    <xf numFmtId="0" fontId="10" fillId="0" borderId="20" xfId="2" applyFont="1" applyFill="1" applyBorder="1" applyAlignment="1">
      <alignment horizontal="center" vertical="center" wrapText="1"/>
    </xf>
    <xf numFmtId="14" fontId="18" fillId="0" borderId="32" xfId="0" applyNumberFormat="1" applyFont="1" applyFill="1" applyBorder="1" applyAlignment="1">
      <alignment horizontal="center" vertical="center"/>
    </xf>
    <xf numFmtId="14" fontId="65" fillId="4" borderId="148" xfId="0" applyNumberFormat="1" applyFont="1" applyFill="1" applyBorder="1" applyAlignment="1">
      <alignment horizontal="center" vertical="center"/>
    </xf>
    <xf numFmtId="41" fontId="65" fillId="4" borderId="148" xfId="1" applyFont="1" applyFill="1" applyBorder="1" applyAlignment="1">
      <alignment horizontal="center" vertical="center"/>
    </xf>
    <xf numFmtId="0" fontId="65" fillId="0" borderId="148" xfId="0" applyFont="1" applyBorder="1" applyAlignment="1">
      <alignment horizontal="center" vertical="center"/>
    </xf>
    <xf numFmtId="41" fontId="65" fillId="4" borderId="15" xfId="1" applyFont="1" applyFill="1" applyBorder="1">
      <alignment vertical="center"/>
    </xf>
    <xf numFmtId="186" fontId="18" fillId="0" borderId="15" xfId="6" applyNumberFormat="1" applyFont="1" applyFill="1" applyBorder="1" applyAlignment="1">
      <alignment horizontal="center" vertical="center"/>
    </xf>
    <xf numFmtId="41" fontId="18" fillId="4" borderId="148" xfId="1" applyFont="1" applyFill="1" applyBorder="1" applyAlignment="1">
      <alignment horizontal="center" vertical="center" shrinkToFit="1"/>
    </xf>
    <xf numFmtId="14" fontId="18" fillId="0" borderId="148" xfId="0" applyNumberFormat="1" applyFont="1" applyFill="1" applyBorder="1" applyAlignment="1">
      <alignment horizontal="center" vertical="center"/>
    </xf>
    <xf numFmtId="41" fontId="19" fillId="0" borderId="38" xfId="3" quotePrefix="1" applyFont="1" applyFill="1" applyBorder="1" applyAlignment="1">
      <alignment horizontal="center" vertical="center" wrapText="1" shrinkToFit="1"/>
    </xf>
    <xf numFmtId="0" fontId="27" fillId="0" borderId="0" xfId="0" applyFont="1" applyAlignment="1"/>
    <xf numFmtId="0" fontId="75" fillId="31" borderId="0" xfId="0" applyFont="1" applyFill="1">
      <alignment vertical="center"/>
    </xf>
    <xf numFmtId="0" fontId="74" fillId="33" borderId="88" xfId="0" applyFont="1" applyFill="1" applyBorder="1" applyAlignment="1">
      <alignment horizontal="center" vertical="center" wrapText="1"/>
    </xf>
    <xf numFmtId="0" fontId="74" fillId="33" borderId="172" xfId="0" applyFont="1" applyFill="1" applyBorder="1" applyAlignment="1">
      <alignment horizontal="center" vertical="center" wrapText="1"/>
    </xf>
    <xf numFmtId="0" fontId="76" fillId="31" borderId="173" xfId="0" applyFont="1" applyFill="1" applyBorder="1" applyAlignment="1">
      <alignment vertical="center" wrapText="1"/>
    </xf>
    <xf numFmtId="49" fontId="76" fillId="31" borderId="174" xfId="0" applyNumberFormat="1" applyFont="1" applyFill="1" applyBorder="1" applyAlignment="1">
      <alignment horizontal="left" vertical="center" wrapText="1"/>
    </xf>
    <xf numFmtId="0" fontId="76" fillId="34" borderId="174" xfId="0" applyFont="1" applyFill="1" applyBorder="1" applyAlignment="1">
      <alignment horizontal="right" vertical="center" wrapText="1"/>
    </xf>
    <xf numFmtId="3" fontId="76" fillId="34" borderId="174" xfId="0" applyNumberFormat="1" applyFont="1" applyFill="1" applyBorder="1" applyAlignment="1">
      <alignment horizontal="right" vertical="center" wrapText="1"/>
    </xf>
    <xf numFmtId="0" fontId="76" fillId="31" borderId="174" xfId="0" applyFont="1" applyFill="1" applyBorder="1" applyAlignment="1">
      <alignment vertical="center" wrapText="1"/>
    </xf>
    <xf numFmtId="3" fontId="77" fillId="31" borderId="174" xfId="0" applyNumberFormat="1" applyFont="1" applyFill="1" applyBorder="1" applyAlignment="1">
      <alignment horizontal="right" vertical="center" wrapText="1"/>
    </xf>
    <xf numFmtId="0" fontId="0" fillId="4" borderId="145" xfId="0" applyFill="1" applyBorder="1" applyAlignment="1">
      <alignment horizontal="center" vertical="center"/>
    </xf>
    <xf numFmtId="0" fontId="0" fillId="4" borderId="137" xfId="0" applyFill="1" applyBorder="1" applyAlignment="1">
      <alignment horizontal="center" vertical="center"/>
    </xf>
    <xf numFmtId="0" fontId="0" fillId="4" borderId="138" xfId="0" applyFill="1" applyBorder="1" applyAlignment="1">
      <alignment horizontal="center" vertical="center"/>
    </xf>
    <xf numFmtId="0" fontId="10" fillId="4" borderId="0" xfId="0" applyFont="1" applyFill="1">
      <alignment vertical="center"/>
    </xf>
    <xf numFmtId="189" fontId="10" fillId="4" borderId="0" xfId="0" applyNumberFormat="1" applyFont="1" applyFill="1">
      <alignment vertical="center"/>
    </xf>
    <xf numFmtId="41" fontId="10" fillId="4" borderId="0" xfId="1" applyFont="1" applyFill="1">
      <alignment vertical="center"/>
    </xf>
    <xf numFmtId="0" fontId="29" fillId="4" borderId="0" xfId="0" applyFont="1" applyFill="1">
      <alignment vertical="center"/>
    </xf>
    <xf numFmtId="0" fontId="18" fillId="4" borderId="154" xfId="47037" applyFont="1" applyFill="1" applyBorder="1" applyAlignment="1">
      <alignment horizontal="center" vertical="center"/>
    </xf>
    <xf numFmtId="0" fontId="0" fillId="4" borderId="145" xfId="0" applyFill="1" applyBorder="1" applyAlignment="1">
      <alignment horizontal="center"/>
    </xf>
    <xf numFmtId="0" fontId="0" fillId="4" borderId="151" xfId="0" applyFill="1" applyBorder="1" applyAlignment="1">
      <alignment horizontal="center"/>
    </xf>
    <xf numFmtId="0" fontId="0" fillId="4" borderId="152" xfId="0" applyFill="1" applyBorder="1" applyAlignment="1">
      <alignment horizontal="center"/>
    </xf>
    <xf numFmtId="0" fontId="104" fillId="5" borderId="168" xfId="0" applyFont="1" applyFill="1" applyBorder="1" applyAlignment="1" applyProtection="1">
      <alignment horizontal="left" vertical="center" wrapText="1"/>
    </xf>
    <xf numFmtId="0" fontId="104" fillId="5" borderId="168" xfId="0" applyFont="1" applyFill="1" applyBorder="1" applyAlignment="1" applyProtection="1">
      <alignment horizontal="center" vertical="center" wrapText="1"/>
    </xf>
    <xf numFmtId="3" fontId="104" fillId="5" borderId="168" xfId="0" applyNumberFormat="1" applyFont="1" applyFill="1" applyBorder="1" applyAlignment="1" applyProtection="1">
      <alignment horizontal="right" vertical="center" wrapText="1"/>
    </xf>
    <xf numFmtId="0" fontId="104" fillId="5" borderId="0" xfId="0" applyFont="1" applyFill="1" applyBorder="1" applyAlignment="1" applyProtection="1">
      <alignment horizontal="right" vertical="center" wrapText="1"/>
    </xf>
    <xf numFmtId="0" fontId="0" fillId="0" borderId="0" xfId="0">
      <alignment vertical="center"/>
    </xf>
    <xf numFmtId="49" fontId="117" fillId="0" borderId="161" xfId="0" applyNumberFormat="1" applyFont="1" applyFill="1" applyBorder="1" applyAlignment="1">
      <alignment horizontal="left" vertical="center" wrapText="1"/>
    </xf>
    <xf numFmtId="0" fontId="0" fillId="0" borderId="0" xfId="0" applyNumberFormat="1" applyFont="1" applyFill="1" applyBorder="1" applyAlignment="1"/>
    <xf numFmtId="177" fontId="102" fillId="0" borderId="132" xfId="1" applyNumberFormat="1" applyFont="1" applyFill="1" applyBorder="1" applyAlignment="1">
      <alignment horizontal="right" vertical="center"/>
    </xf>
    <xf numFmtId="177" fontId="102" fillId="4" borderId="132" xfId="1" applyNumberFormat="1" applyFont="1" applyFill="1" applyBorder="1" applyAlignment="1">
      <alignment horizontal="right" vertical="center"/>
    </xf>
    <xf numFmtId="0" fontId="104" fillId="19" borderId="168" xfId="0" applyFont="1" applyFill="1" applyBorder="1" applyAlignment="1" applyProtection="1">
      <alignment horizontal="right" vertical="center" wrapText="1"/>
    </xf>
    <xf numFmtId="49" fontId="119" fillId="19" borderId="165" xfId="0" applyNumberFormat="1" applyFont="1" applyFill="1" applyBorder="1" applyAlignment="1">
      <alignment horizontal="center" vertical="center" wrapText="1"/>
    </xf>
    <xf numFmtId="49" fontId="119" fillId="19" borderId="165" xfId="0" applyNumberFormat="1" applyFont="1" applyFill="1" applyBorder="1" applyAlignment="1">
      <alignment horizontal="left" vertical="center" wrapText="1"/>
    </xf>
    <xf numFmtId="0" fontId="9" fillId="0" borderId="0" xfId="0" applyFont="1">
      <alignment vertical="center"/>
    </xf>
    <xf numFmtId="0" fontId="0" fillId="0" borderId="0" xfId="0" applyFont="1">
      <alignment vertical="center"/>
    </xf>
    <xf numFmtId="0" fontId="121" fillId="0" borderId="0" xfId="0" applyFont="1">
      <alignment vertical="center"/>
    </xf>
    <xf numFmtId="0" fontId="121" fillId="0" borderId="175" xfId="0" applyFont="1" applyBorder="1" applyAlignment="1">
      <alignment vertical="center" wrapText="1"/>
    </xf>
    <xf numFmtId="0" fontId="121" fillId="0" borderId="176" xfId="0" applyFont="1" applyBorder="1" applyAlignment="1">
      <alignment vertical="center" wrapText="1"/>
    </xf>
    <xf numFmtId="0" fontId="122" fillId="0" borderId="177" xfId="0" applyFont="1" applyBorder="1" applyAlignment="1">
      <alignment vertical="center" wrapText="1"/>
    </xf>
    <xf numFmtId="0" fontId="122" fillId="0" borderId="178" xfId="0" applyFont="1" applyBorder="1" applyAlignment="1">
      <alignment vertical="center" wrapText="1"/>
    </xf>
    <xf numFmtId="0" fontId="0" fillId="0" borderId="178" xfId="0" applyFont="1" applyBorder="1" applyAlignment="1">
      <alignment vertical="center" wrapText="1"/>
    </xf>
    <xf numFmtId="14" fontId="122" fillId="0" borderId="178" xfId="0" applyNumberFormat="1" applyFont="1" applyBorder="1" applyAlignment="1">
      <alignment vertical="center" wrapText="1"/>
    </xf>
    <xf numFmtId="3" fontId="122" fillId="34" borderId="178" xfId="0" applyNumberFormat="1" applyFont="1" applyFill="1" applyBorder="1" applyAlignment="1">
      <alignment vertical="center" wrapText="1"/>
    </xf>
    <xf numFmtId="0" fontId="0" fillId="0" borderId="179" xfId="0" applyNumberFormat="1" applyFont="1" applyFill="1" applyBorder="1" applyAlignment="1">
      <alignment vertical="center"/>
    </xf>
    <xf numFmtId="0" fontId="106" fillId="7" borderId="179" xfId="0" applyNumberFormat="1" applyFont="1" applyFill="1" applyBorder="1" applyAlignment="1">
      <alignment horizontal="center" vertical="center"/>
    </xf>
    <xf numFmtId="198" fontId="0" fillId="19" borderId="179" xfId="0" applyNumberFormat="1" applyFont="1" applyFill="1" applyBorder="1" applyAlignment="1">
      <alignment horizontal="right"/>
    </xf>
    <xf numFmtId="198" fontId="0" fillId="0" borderId="179" xfId="0" applyNumberFormat="1" applyFont="1" applyFill="1" applyBorder="1" applyAlignment="1">
      <alignment horizontal="right"/>
    </xf>
    <xf numFmtId="0" fontId="0" fillId="0" borderId="179" xfId="0" applyNumberFormat="1" applyFont="1" applyFill="1" applyBorder="1" applyAlignment="1">
      <alignment horizontal="center" vertical="center"/>
    </xf>
    <xf numFmtId="0" fontId="76" fillId="31" borderId="174" xfId="0" applyFont="1" applyFill="1" applyBorder="1" applyAlignment="1">
      <alignment horizontal="right" vertical="center" wrapText="1"/>
    </xf>
    <xf numFmtId="0" fontId="77" fillId="33" borderId="174" xfId="0" applyFont="1" applyFill="1" applyBorder="1" applyAlignment="1">
      <alignment horizontal="center" vertical="center" wrapText="1"/>
    </xf>
    <xf numFmtId="0" fontId="77" fillId="31" borderId="174" xfId="0" applyFont="1" applyFill="1" applyBorder="1" applyAlignment="1">
      <alignment horizontal="right" vertical="center" wrapText="1"/>
    </xf>
    <xf numFmtId="49" fontId="76" fillId="31" borderId="174" xfId="0" applyNumberFormat="1" applyFont="1" applyFill="1" applyBorder="1" applyAlignment="1">
      <alignment horizontal="center" vertical="center" wrapText="1"/>
    </xf>
    <xf numFmtId="0" fontId="18" fillId="4" borderId="144" xfId="47037" applyFont="1" applyFill="1" applyBorder="1" applyAlignment="1">
      <alignment horizontal="center" vertical="center"/>
    </xf>
    <xf numFmtId="0" fontId="123" fillId="5" borderId="168" xfId="0" applyFont="1" applyFill="1" applyBorder="1" applyAlignment="1" applyProtection="1">
      <alignment horizontal="center" vertical="center" wrapText="1"/>
    </xf>
    <xf numFmtId="0" fontId="18" fillId="0" borderId="184" xfId="0" applyFont="1" applyFill="1" applyBorder="1" applyAlignment="1">
      <alignment horizontal="center" vertical="center"/>
    </xf>
    <xf numFmtId="0" fontId="0" fillId="0" borderId="0" xfId="0" applyAlignment="1">
      <alignment horizontal="left" vertical="center"/>
    </xf>
    <xf numFmtId="0" fontId="0" fillId="0" borderId="0" xfId="0">
      <alignment vertical="center"/>
    </xf>
    <xf numFmtId="0" fontId="0" fillId="0" borderId="184" xfId="0" applyBorder="1" applyAlignment="1">
      <alignment horizontal="center" vertical="center"/>
    </xf>
    <xf numFmtId="0" fontId="0" fillId="35" borderId="184" xfId="0" applyFill="1" applyBorder="1" applyAlignment="1">
      <alignment horizontal="center" vertical="center"/>
    </xf>
    <xf numFmtId="0" fontId="0" fillId="0" borderId="0" xfId="0" applyAlignment="1">
      <alignment horizontal="center" vertical="center"/>
    </xf>
    <xf numFmtId="41" fontId="0" fillId="28" borderId="184" xfId="1" applyFont="1" applyFill="1" applyBorder="1">
      <alignment vertical="center"/>
    </xf>
    <xf numFmtId="41" fontId="0" fillId="0" borderId="184" xfId="1" applyFont="1" applyBorder="1">
      <alignment vertical="center"/>
    </xf>
    <xf numFmtId="199" fontId="0" fillId="35" borderId="184" xfId="0" applyNumberFormat="1" applyFill="1" applyBorder="1">
      <alignment vertical="center"/>
    </xf>
    <xf numFmtId="199" fontId="0" fillId="35" borderId="184" xfId="24572" applyNumberFormat="1" applyFont="1" applyFill="1" applyBorder="1">
      <alignment vertical="center"/>
    </xf>
    <xf numFmtId="10" fontId="0" fillId="35" borderId="184" xfId="24572" applyNumberFormat="1" applyFont="1" applyFill="1" applyBorder="1">
      <alignment vertical="center"/>
    </xf>
    <xf numFmtId="0" fontId="0" fillId="0" borderId="184" xfId="0" applyBorder="1">
      <alignment vertical="center"/>
    </xf>
    <xf numFmtId="10" fontId="0" fillId="0" borderId="184" xfId="24572" applyNumberFormat="1" applyFont="1" applyBorder="1">
      <alignment vertical="center"/>
    </xf>
    <xf numFmtId="41" fontId="0" fillId="0" borderId="0" xfId="1" applyFont="1">
      <alignment vertical="center"/>
    </xf>
    <xf numFmtId="10" fontId="0" fillId="0" borderId="0" xfId="24572" applyNumberFormat="1" applyFont="1">
      <alignment vertical="center"/>
    </xf>
    <xf numFmtId="0" fontId="0" fillId="0" borderId="0" xfId="0" applyAlignment="1">
      <alignment horizontal="left" vertical="center"/>
    </xf>
    <xf numFmtId="0" fontId="104" fillId="5" borderId="168" xfId="0" applyFont="1" applyFill="1" applyBorder="1" applyAlignment="1" applyProtection="1">
      <alignment horizontal="center" vertical="center" wrapText="1"/>
    </xf>
    <xf numFmtId="41" fontId="23" fillId="20" borderId="53" xfId="2" applyNumberFormat="1" applyFont="1" applyFill="1" applyBorder="1" applyAlignment="1">
      <alignment horizontal="center" vertical="center" wrapText="1"/>
    </xf>
    <xf numFmtId="41" fontId="23" fillId="20" borderId="9" xfId="2" applyNumberFormat="1" applyFont="1" applyFill="1" applyBorder="1" applyAlignment="1">
      <alignment horizontal="center" vertical="center" wrapText="1"/>
    </xf>
    <xf numFmtId="176" fontId="23" fillId="20" borderId="16" xfId="4" applyNumberFormat="1" applyFont="1" applyFill="1" applyBorder="1" applyAlignment="1">
      <alignment horizontal="center" vertical="center"/>
    </xf>
    <xf numFmtId="176" fontId="23" fillId="20" borderId="69" xfId="4" applyNumberFormat="1" applyFont="1" applyFill="1" applyBorder="1" applyAlignment="1">
      <alignment horizontal="center" vertical="center"/>
    </xf>
    <xf numFmtId="176" fontId="23" fillId="20" borderId="17" xfId="4" applyNumberFormat="1" applyFont="1" applyFill="1" applyBorder="1" applyAlignment="1">
      <alignment horizontal="center" vertical="center"/>
    </xf>
    <xf numFmtId="41" fontId="10" fillId="0" borderId="0" xfId="1" applyFont="1" applyAlignment="1">
      <alignment vertical="center" shrinkToFit="1"/>
    </xf>
    <xf numFmtId="0" fontId="12" fillId="0" borderId="0" xfId="0" applyFont="1" applyBorder="1" applyAlignment="1">
      <alignment horizontal="center" vertical="center"/>
    </xf>
    <xf numFmtId="0" fontId="15" fillId="0" borderId="0" xfId="0" applyFont="1" applyBorder="1" applyAlignment="1">
      <alignment horizontal="center" vertical="center" wrapText="1"/>
    </xf>
    <xf numFmtId="0" fontId="15" fillId="0" borderId="0" xfId="0" applyFont="1" applyBorder="1" applyAlignment="1">
      <alignment horizontal="center" vertical="center"/>
    </xf>
    <xf numFmtId="0" fontId="64" fillId="0" borderId="0" xfId="0" applyFont="1" applyBorder="1" applyAlignment="1">
      <alignment horizontal="center" vertical="center" wrapText="1"/>
    </xf>
    <xf numFmtId="0" fontId="10" fillId="0" borderId="139" xfId="0" applyFont="1" applyBorder="1" applyAlignment="1">
      <alignment horizontal="center" vertical="center"/>
    </xf>
    <xf numFmtId="0" fontId="12" fillId="0" borderId="1" xfId="0" applyFont="1" applyBorder="1" applyAlignment="1">
      <alignment horizontal="center" vertical="center"/>
    </xf>
    <xf numFmtId="0" fontId="12" fillId="0" borderId="2" xfId="0" applyFont="1" applyBorder="1" applyAlignment="1">
      <alignment horizontal="center" vertical="center"/>
    </xf>
    <xf numFmtId="0" fontId="12" fillId="0" borderId="143" xfId="0" applyFont="1" applyBorder="1" applyAlignment="1">
      <alignment horizontal="left" vertical="center"/>
    </xf>
    <xf numFmtId="0" fontId="12" fillId="0" borderId="139" xfId="0" applyFont="1" applyBorder="1" applyAlignment="1">
      <alignment horizontal="left" vertical="center"/>
    </xf>
    <xf numFmtId="0" fontId="12" fillId="0" borderId="140" xfId="0" applyFont="1" applyBorder="1" applyAlignment="1">
      <alignment horizontal="left" vertical="center"/>
    </xf>
    <xf numFmtId="0" fontId="12" fillId="0" borderId="141" xfId="0" applyFont="1" applyBorder="1" applyAlignment="1">
      <alignment horizontal="left" vertical="center"/>
    </xf>
    <xf numFmtId="0" fontId="12" fillId="0" borderId="0" xfId="0" applyFont="1" applyBorder="1" applyAlignment="1">
      <alignment horizontal="left" vertical="center"/>
    </xf>
    <xf numFmtId="0" fontId="12" fillId="0" borderId="24" xfId="0" applyFont="1" applyBorder="1" applyAlignment="1">
      <alignment horizontal="left" vertical="center"/>
    </xf>
    <xf numFmtId="0" fontId="12" fillId="0" borderId="142" xfId="0" applyFont="1" applyBorder="1" applyAlignment="1">
      <alignment horizontal="left" vertical="center"/>
    </xf>
    <xf numFmtId="0" fontId="12" fillId="0" borderId="48" xfId="0" applyFont="1" applyBorder="1" applyAlignment="1">
      <alignment horizontal="left" vertical="center"/>
    </xf>
    <xf numFmtId="0" fontId="12" fillId="0" borderId="25" xfId="0" applyFont="1" applyBorder="1" applyAlignment="1">
      <alignment horizontal="left" vertical="center"/>
    </xf>
    <xf numFmtId="41" fontId="24" fillId="22" borderId="32" xfId="1" applyFont="1" applyFill="1" applyBorder="1" applyAlignment="1">
      <alignment horizontal="center" vertical="center"/>
    </xf>
    <xf numFmtId="192" fontId="12" fillId="17" borderId="32" xfId="0" applyNumberFormat="1" applyFont="1" applyFill="1" applyBorder="1" applyAlignment="1">
      <alignment horizontal="center" vertical="center"/>
    </xf>
    <xf numFmtId="41" fontId="24" fillId="22" borderId="114" xfId="1" applyFont="1" applyFill="1" applyBorder="1" applyAlignment="1">
      <alignment horizontal="center" vertical="center"/>
    </xf>
    <xf numFmtId="41" fontId="24" fillId="22" borderId="118" xfId="1" applyFont="1" applyFill="1" applyBorder="1" applyAlignment="1">
      <alignment horizontal="center" vertical="center"/>
    </xf>
    <xf numFmtId="41" fontId="24" fillId="22" borderId="117" xfId="1" applyFont="1" applyFill="1" applyBorder="1" applyAlignment="1">
      <alignment horizontal="center" vertical="center"/>
    </xf>
    <xf numFmtId="0" fontId="23" fillId="0" borderId="96" xfId="0" applyNumberFormat="1" applyFont="1" applyBorder="1" applyAlignment="1">
      <alignment horizontal="center" vertical="center" textRotation="255" shrinkToFit="1"/>
    </xf>
    <xf numFmtId="0" fontId="23" fillId="0" borderId="99" xfId="0" applyNumberFormat="1" applyFont="1" applyBorder="1" applyAlignment="1">
      <alignment horizontal="center" vertical="center" textRotation="255" shrinkToFit="1"/>
    </xf>
    <xf numFmtId="0" fontId="23" fillId="17" borderId="49" xfId="0" applyNumberFormat="1" applyFont="1" applyFill="1" applyBorder="1" applyAlignment="1">
      <alignment horizontal="center" vertical="center"/>
    </xf>
    <xf numFmtId="0" fontId="23" fillId="17" borderId="51" xfId="0" applyNumberFormat="1" applyFont="1" applyFill="1" applyBorder="1" applyAlignment="1">
      <alignment horizontal="center" vertical="center"/>
    </xf>
    <xf numFmtId="0" fontId="23" fillId="0" borderId="103" xfId="0" applyNumberFormat="1" applyFont="1" applyBorder="1" applyAlignment="1">
      <alignment horizontal="center" vertical="center" textRotation="255"/>
    </xf>
    <xf numFmtId="0" fontId="23" fillId="0" borderId="13" xfId="0" applyNumberFormat="1" applyFont="1" applyBorder="1" applyAlignment="1">
      <alignment horizontal="center" vertical="center" textRotation="255"/>
    </xf>
    <xf numFmtId="0" fontId="23" fillId="17" borderId="32" xfId="0" applyNumberFormat="1" applyFont="1" applyFill="1" applyBorder="1" applyAlignment="1">
      <alignment horizontal="center" vertical="center"/>
    </xf>
    <xf numFmtId="0" fontId="23" fillId="17" borderId="32" xfId="0" applyNumberFormat="1" applyFont="1" applyFill="1" applyBorder="1" applyAlignment="1">
      <alignment horizontal="left" vertical="center"/>
    </xf>
    <xf numFmtId="0" fontId="35" fillId="0" borderId="0" xfId="2" applyFont="1" applyFill="1" applyBorder="1" applyAlignment="1">
      <alignment horizontal="right" vertical="center" wrapText="1"/>
    </xf>
    <xf numFmtId="0" fontId="35" fillId="0" borderId="0" xfId="2" applyFont="1" applyFill="1" applyBorder="1" applyAlignment="1">
      <alignment horizontal="center" vertical="center" wrapText="1"/>
    </xf>
    <xf numFmtId="0" fontId="36" fillId="3" borderId="109" xfId="2" applyFont="1" applyFill="1" applyBorder="1" applyAlignment="1">
      <alignment horizontal="center" vertical="center" wrapText="1"/>
    </xf>
    <xf numFmtId="0" fontId="36" fillId="3" borderId="10" xfId="2" applyFont="1" applyFill="1" applyBorder="1" applyAlignment="1">
      <alignment horizontal="center" vertical="center" wrapText="1"/>
    </xf>
    <xf numFmtId="0" fontId="36" fillId="3" borderId="67" xfId="2" applyFont="1" applyFill="1" applyBorder="1" applyAlignment="1">
      <alignment horizontal="center" vertical="center" wrapText="1"/>
    </xf>
    <xf numFmtId="0" fontId="36" fillId="3" borderId="11" xfId="2" applyFont="1" applyFill="1" applyBorder="1" applyAlignment="1">
      <alignment horizontal="center" vertical="center" wrapText="1"/>
    </xf>
    <xf numFmtId="0" fontId="33" fillId="3" borderId="28" xfId="2" applyFont="1" applyFill="1" applyBorder="1" applyAlignment="1">
      <alignment horizontal="center" vertical="center" wrapText="1"/>
    </xf>
    <xf numFmtId="0" fontId="33" fillId="3" borderId="63" xfId="2" applyFont="1" applyFill="1" applyBorder="1" applyAlignment="1">
      <alignment horizontal="center" vertical="center" wrapText="1"/>
    </xf>
    <xf numFmtId="0" fontId="93" fillId="0" borderId="114" xfId="2" applyFont="1" applyFill="1" applyBorder="1" applyAlignment="1">
      <alignment horizontal="left" vertical="center" wrapText="1"/>
    </xf>
    <xf numFmtId="0" fontId="93" fillId="0" borderId="115" xfId="2" applyFont="1" applyFill="1" applyBorder="1" applyAlignment="1">
      <alignment horizontal="left" vertical="center" wrapText="1"/>
    </xf>
    <xf numFmtId="0" fontId="93" fillId="0" borderId="116" xfId="2" applyFont="1" applyFill="1" applyBorder="1" applyAlignment="1">
      <alignment horizontal="left" vertical="center" wrapText="1"/>
    </xf>
    <xf numFmtId="0" fontId="87" fillId="0" borderId="0" xfId="2" applyFont="1" applyFill="1" applyBorder="1" applyAlignment="1">
      <alignment horizontal="right" vertical="top" wrapText="1"/>
    </xf>
    <xf numFmtId="0" fontId="86" fillId="0" borderId="0" xfId="2" applyFont="1" applyFill="1" applyBorder="1" applyAlignment="1">
      <alignment horizontal="left" vertical="top" wrapText="1"/>
    </xf>
    <xf numFmtId="0" fontId="28" fillId="3" borderId="7" xfId="2" applyFont="1" applyFill="1" applyBorder="1" applyAlignment="1">
      <alignment horizontal="center" vertical="center" wrapText="1"/>
    </xf>
    <xf numFmtId="0" fontId="28" fillId="3" borderId="10" xfId="2" applyFont="1" applyFill="1" applyBorder="1" applyAlignment="1">
      <alignment horizontal="center" vertical="center"/>
    </xf>
    <xf numFmtId="0" fontId="36" fillId="3" borderId="7" xfId="2" applyFont="1" applyFill="1" applyBorder="1" applyAlignment="1">
      <alignment horizontal="center" vertical="center" wrapText="1"/>
    </xf>
    <xf numFmtId="0" fontId="36" fillId="3" borderId="74" xfId="2" applyFont="1" applyFill="1" applyBorder="1" applyAlignment="1">
      <alignment horizontal="center" vertical="center" wrapText="1"/>
    </xf>
    <xf numFmtId="0" fontId="36" fillId="3" borderId="66" xfId="2" applyFont="1" applyFill="1" applyBorder="1" applyAlignment="1">
      <alignment horizontal="center" vertical="center" wrapText="1"/>
    </xf>
    <xf numFmtId="0" fontId="36" fillId="3" borderId="20" xfId="2" applyFont="1" applyFill="1" applyBorder="1" applyAlignment="1">
      <alignment horizontal="center" vertical="center" wrapText="1"/>
    </xf>
    <xf numFmtId="41" fontId="23" fillId="20" borderId="1" xfId="2" applyNumberFormat="1" applyFont="1" applyFill="1" applyBorder="1" applyAlignment="1">
      <alignment horizontal="center" vertical="center" wrapText="1"/>
    </xf>
    <xf numFmtId="41" fontId="23" fillId="20" borderId="2" xfId="2" applyNumberFormat="1" applyFont="1" applyFill="1" applyBorder="1" applyAlignment="1">
      <alignment horizontal="center" vertical="center" wrapText="1"/>
    </xf>
    <xf numFmtId="0" fontId="28" fillId="3" borderId="109" xfId="2" applyFont="1" applyFill="1" applyBorder="1" applyAlignment="1">
      <alignment horizontal="center" vertical="center" wrapText="1"/>
    </xf>
    <xf numFmtId="0" fontId="71" fillId="0" borderId="0" xfId="2" applyFont="1" applyAlignment="1">
      <alignment horizontal="left" vertical="center"/>
    </xf>
    <xf numFmtId="0" fontId="36" fillId="3" borderId="4" xfId="2" applyFont="1" applyFill="1" applyBorder="1" applyAlignment="1">
      <alignment horizontal="center" vertical="center" wrapText="1"/>
    </xf>
    <xf numFmtId="0" fontId="36" fillId="3" borderId="59" xfId="2" applyFont="1" applyFill="1" applyBorder="1" applyAlignment="1">
      <alignment horizontal="center" vertical="center" wrapText="1"/>
    </xf>
    <xf numFmtId="0" fontId="36" fillId="3" borderId="3" xfId="2" applyFont="1" applyFill="1" applyBorder="1" applyAlignment="1">
      <alignment horizontal="center" vertical="center" wrapText="1"/>
    </xf>
    <xf numFmtId="0" fontId="36" fillId="3" borderId="0" xfId="2" applyFont="1" applyFill="1" applyBorder="1" applyAlignment="1">
      <alignment horizontal="center" vertical="center" wrapText="1"/>
    </xf>
    <xf numFmtId="0" fontId="36" fillId="3" borderId="8" xfId="2" applyFont="1" applyFill="1" applyBorder="1" applyAlignment="1">
      <alignment horizontal="center" vertical="center" wrapText="1"/>
    </xf>
    <xf numFmtId="0" fontId="36" fillId="3" borderId="26" xfId="2" applyFont="1" applyFill="1" applyBorder="1" applyAlignment="1">
      <alignment horizontal="center" vertical="center" wrapText="1"/>
    </xf>
    <xf numFmtId="0" fontId="36" fillId="3" borderId="64" xfId="2" applyFont="1" applyFill="1" applyBorder="1" applyAlignment="1">
      <alignment horizontal="center" vertical="center" wrapText="1"/>
    </xf>
    <xf numFmtId="0" fontId="36" fillId="3" borderId="5" xfId="2" applyFont="1" applyFill="1" applyBorder="1" applyAlignment="1">
      <alignment horizontal="center" vertical="center" wrapText="1"/>
    </xf>
    <xf numFmtId="0" fontId="36" fillId="3" borderId="72" xfId="2" applyFont="1" applyFill="1" applyBorder="1" applyAlignment="1">
      <alignment horizontal="center" vertical="center" wrapText="1"/>
    </xf>
    <xf numFmtId="0" fontId="36" fillId="3" borderId="6" xfId="2" applyFont="1" applyFill="1" applyBorder="1" applyAlignment="1">
      <alignment horizontal="center" vertical="center" wrapText="1"/>
    </xf>
    <xf numFmtId="0" fontId="36" fillId="3" borderId="73" xfId="2" applyFont="1" applyFill="1" applyBorder="1" applyAlignment="1">
      <alignment horizontal="center" vertical="center" wrapText="1"/>
    </xf>
    <xf numFmtId="0" fontId="10" fillId="3" borderId="20" xfId="0" applyFont="1" applyFill="1" applyBorder="1">
      <alignment vertical="center"/>
    </xf>
    <xf numFmtId="0" fontId="36" fillId="3" borderId="43" xfId="2" applyFont="1" applyFill="1" applyBorder="1" applyAlignment="1">
      <alignment horizontal="center" vertical="center" wrapText="1"/>
    </xf>
    <xf numFmtId="0" fontId="36" fillId="3" borderId="49" xfId="2" applyFont="1" applyFill="1" applyBorder="1" applyAlignment="1">
      <alignment horizontal="center" vertical="center" wrapText="1"/>
    </xf>
    <xf numFmtId="0" fontId="36" fillId="3" borderId="68" xfId="2" applyFont="1" applyFill="1" applyBorder="1" applyAlignment="1">
      <alignment horizontal="center" vertical="center" wrapText="1"/>
    </xf>
    <xf numFmtId="0" fontId="36" fillId="3" borderId="76" xfId="2" applyFont="1" applyFill="1" applyBorder="1" applyAlignment="1">
      <alignment horizontal="center" vertical="center" wrapText="1"/>
    </xf>
    <xf numFmtId="0" fontId="36" fillId="3" borderId="77" xfId="2" applyFont="1" applyFill="1" applyBorder="1" applyAlignment="1">
      <alignment horizontal="center" vertical="center" wrapText="1"/>
    </xf>
    <xf numFmtId="0" fontId="14" fillId="0" borderId="48" xfId="2" applyFont="1" applyBorder="1" applyAlignment="1">
      <alignment horizontal="left" vertical="center"/>
    </xf>
    <xf numFmtId="0" fontId="24" fillId="22" borderId="32" xfId="2" applyFont="1" applyFill="1" applyBorder="1" applyAlignment="1">
      <alignment horizontal="center" vertical="center"/>
    </xf>
    <xf numFmtId="0" fontId="24" fillId="22" borderId="32" xfId="2" applyFont="1" applyFill="1" applyBorder="1" applyAlignment="1">
      <alignment horizontal="center" vertical="center" wrapText="1"/>
    </xf>
    <xf numFmtId="0" fontId="24" fillId="23" borderId="107" xfId="2" applyFont="1" applyFill="1" applyBorder="1" applyAlignment="1">
      <alignment horizontal="center" vertical="center" wrapText="1"/>
    </xf>
    <xf numFmtId="0" fontId="24" fillId="23" borderId="15" xfId="2" applyFont="1" applyFill="1" applyBorder="1" applyAlignment="1">
      <alignment horizontal="center" vertical="center" wrapText="1"/>
    </xf>
    <xf numFmtId="0" fontId="24" fillId="24" borderId="107" xfId="2" applyFont="1" applyFill="1" applyBorder="1" applyAlignment="1">
      <alignment horizontal="center" vertical="center" wrapText="1"/>
    </xf>
    <xf numFmtId="0" fontId="24" fillId="24" borderId="15" xfId="2" applyFont="1" applyFill="1" applyBorder="1" applyAlignment="1">
      <alignment horizontal="center" vertical="center" wrapText="1"/>
    </xf>
    <xf numFmtId="0" fontId="18" fillId="0" borderId="26" xfId="2" applyFont="1" applyBorder="1" applyAlignment="1">
      <alignment horizontal="right" vertical="center"/>
    </xf>
    <xf numFmtId="0" fontId="23" fillId="3" borderId="94" xfId="2" applyFont="1" applyFill="1" applyBorder="1" applyAlignment="1">
      <alignment horizontal="center" vertical="center"/>
    </xf>
    <xf numFmtId="0" fontId="23" fillId="3" borderId="93" xfId="2" applyFont="1" applyFill="1" applyBorder="1" applyAlignment="1">
      <alignment horizontal="center" vertical="center"/>
    </xf>
    <xf numFmtId="0" fontId="23" fillId="3" borderId="91" xfId="2" applyFont="1" applyFill="1" applyBorder="1" applyAlignment="1">
      <alignment horizontal="center" vertical="center"/>
    </xf>
    <xf numFmtId="0" fontId="23" fillId="3" borderId="92" xfId="2" applyFont="1" applyFill="1" applyBorder="1" applyAlignment="1">
      <alignment horizontal="center" vertical="center"/>
    </xf>
    <xf numFmtId="0" fontId="23" fillId="3" borderId="19" xfId="2" applyFont="1" applyFill="1" applyBorder="1" applyAlignment="1">
      <alignment horizontal="center" vertical="center" wrapText="1"/>
    </xf>
    <xf numFmtId="0" fontId="23" fillId="3" borderId="15" xfId="2" applyFont="1" applyFill="1" applyBorder="1" applyAlignment="1">
      <alignment horizontal="center" vertical="center" wrapText="1"/>
    </xf>
    <xf numFmtId="0" fontId="23" fillId="3" borderId="70" xfId="2" applyFont="1" applyFill="1" applyBorder="1" applyAlignment="1">
      <alignment horizontal="center" vertical="center"/>
    </xf>
    <xf numFmtId="0" fontId="23" fillId="3" borderId="21" xfId="2" applyFont="1" applyFill="1" applyBorder="1" applyAlignment="1">
      <alignment horizontal="center" vertical="center"/>
    </xf>
    <xf numFmtId="0" fontId="23" fillId="20" borderId="1" xfId="2" applyFont="1" applyFill="1" applyBorder="1" applyAlignment="1">
      <alignment horizontal="center" vertical="center" wrapText="1"/>
    </xf>
    <xf numFmtId="0" fontId="23" fillId="20" borderId="111" xfId="2" applyFont="1" applyFill="1" applyBorder="1" applyAlignment="1">
      <alignment horizontal="center" vertical="center"/>
    </xf>
    <xf numFmtId="0" fontId="23" fillId="0" borderId="95" xfId="2" applyFont="1" applyFill="1" applyBorder="1" applyAlignment="1">
      <alignment horizontal="center" vertical="center" shrinkToFit="1"/>
    </xf>
    <xf numFmtId="0" fontId="23" fillId="0" borderId="51" xfId="2" applyFont="1" applyFill="1" applyBorder="1" applyAlignment="1">
      <alignment horizontal="center" vertical="center" shrinkToFit="1"/>
    </xf>
    <xf numFmtId="0" fontId="23" fillId="21" borderId="8" xfId="2" applyFont="1" applyFill="1" applyBorder="1" applyAlignment="1">
      <alignment horizontal="center" vertical="center" shrinkToFit="1"/>
    </xf>
    <xf numFmtId="0" fontId="23" fillId="21" borderId="108" xfId="2" applyFont="1" applyFill="1" applyBorder="1" applyAlignment="1">
      <alignment horizontal="center" vertical="center" shrinkToFit="1"/>
    </xf>
    <xf numFmtId="0" fontId="18" fillId="0" borderId="0" xfId="2" applyFont="1" applyFill="1" applyBorder="1" applyAlignment="1">
      <alignment horizontal="left" vertical="center" wrapText="1"/>
    </xf>
    <xf numFmtId="0" fontId="23" fillId="3" borderId="52" xfId="2" applyFont="1" applyFill="1" applyBorder="1" applyAlignment="1">
      <alignment horizontal="center" vertical="center"/>
    </xf>
    <xf numFmtId="0" fontId="23" fillId="3" borderId="53" xfId="2" applyFont="1" applyFill="1" applyBorder="1" applyAlignment="1">
      <alignment horizontal="center" vertical="center"/>
    </xf>
    <xf numFmtId="0" fontId="23" fillId="3" borderId="19" xfId="2" applyFont="1" applyFill="1" applyBorder="1" applyAlignment="1">
      <alignment horizontal="center" vertical="center"/>
    </xf>
    <xf numFmtId="0" fontId="23" fillId="3" borderId="44" xfId="2" applyFont="1" applyFill="1" applyBorder="1" applyAlignment="1">
      <alignment horizontal="center" vertical="center"/>
    </xf>
    <xf numFmtId="0" fontId="23" fillId="3" borderId="44" xfId="2" applyFont="1" applyFill="1" applyBorder="1" applyAlignment="1">
      <alignment horizontal="center" vertical="center" wrapText="1"/>
    </xf>
    <xf numFmtId="0" fontId="23" fillId="3" borderId="43" xfId="2" applyFont="1" applyFill="1" applyBorder="1" applyAlignment="1">
      <alignment horizontal="center" vertical="center"/>
    </xf>
    <xf numFmtId="0" fontId="23" fillId="3" borderId="27" xfId="2" applyFont="1" applyFill="1" applyBorder="1" applyAlignment="1">
      <alignment horizontal="center" vertical="center"/>
    </xf>
    <xf numFmtId="0" fontId="14" fillId="0" borderId="0" xfId="0" applyNumberFormat="1" applyFont="1" applyFill="1" applyAlignment="1">
      <alignment horizontal="left" vertical="top" wrapText="1"/>
    </xf>
    <xf numFmtId="0" fontId="31" fillId="3" borderId="154" xfId="0" applyFont="1" applyFill="1" applyBorder="1" applyAlignment="1">
      <alignment horizontal="center" vertical="center" wrapText="1"/>
    </xf>
    <xf numFmtId="0" fontId="17" fillId="0" borderId="0" xfId="0" applyFont="1" applyBorder="1" applyAlignment="1">
      <alignment horizontal="left" vertical="center" wrapText="1"/>
    </xf>
    <xf numFmtId="0" fontId="17" fillId="0" borderId="0" xfId="0" applyFont="1" applyBorder="1" applyAlignment="1">
      <alignment horizontal="left" vertical="center"/>
    </xf>
    <xf numFmtId="0" fontId="17" fillId="0" borderId="0" xfId="0" applyFont="1" applyAlignment="1">
      <alignment horizontal="left" vertical="center" wrapText="1"/>
    </xf>
    <xf numFmtId="0" fontId="80" fillId="3" borderId="154" xfId="0" applyFont="1" applyFill="1" applyBorder="1" applyAlignment="1">
      <alignment horizontal="center" vertical="center" wrapText="1"/>
    </xf>
    <xf numFmtId="0" fontId="33" fillId="0" borderId="0" xfId="0" applyFont="1" applyFill="1" applyAlignment="1">
      <alignment horizontal="center" vertical="center"/>
    </xf>
    <xf numFmtId="0" fontId="33" fillId="3" borderId="156" xfId="0" applyFont="1" applyFill="1" applyBorder="1" applyAlignment="1">
      <alignment horizontal="center" vertical="center"/>
    </xf>
    <xf numFmtId="0" fontId="33" fillId="3" borderId="50" xfId="0" applyFont="1" applyFill="1" applyBorder="1" applyAlignment="1">
      <alignment horizontal="center" vertical="center"/>
    </xf>
    <xf numFmtId="0" fontId="33" fillId="3" borderId="51" xfId="0" applyFont="1" applyFill="1" applyBorder="1" applyAlignment="1">
      <alignment horizontal="center" vertical="center"/>
    </xf>
    <xf numFmtId="14" fontId="63" fillId="0" borderId="49" xfId="13" applyNumberFormat="1" applyFont="1" applyBorder="1" applyAlignment="1">
      <alignment horizontal="center" vertical="center"/>
    </xf>
    <xf numFmtId="14" fontId="63" fillId="0" borderId="51" xfId="13" applyNumberFormat="1" applyFont="1" applyBorder="1" applyAlignment="1">
      <alignment horizontal="center" vertical="center"/>
    </xf>
    <xf numFmtId="0" fontId="10" fillId="0" borderId="48" xfId="0" applyFont="1" applyBorder="1" applyAlignment="1">
      <alignment horizontal="right" vertical="center" wrapText="1"/>
    </xf>
    <xf numFmtId="0" fontId="18" fillId="0" borderId="183" xfId="47037" applyFont="1" applyBorder="1" applyAlignment="1">
      <alignment horizontal="center" vertical="center"/>
    </xf>
    <xf numFmtId="0" fontId="18" fillId="0" borderId="171" xfId="47037" applyFont="1" applyBorder="1" applyAlignment="1">
      <alignment horizontal="center" vertical="center"/>
    </xf>
    <xf numFmtId="0" fontId="18" fillId="0" borderId="71" xfId="0" applyFont="1" applyFill="1" applyBorder="1" applyAlignment="1">
      <alignment horizontal="left" vertical="center" wrapText="1"/>
    </xf>
    <xf numFmtId="0" fontId="10" fillId="0" borderId="49" xfId="0" applyFont="1" applyFill="1" applyBorder="1" applyAlignment="1">
      <alignment horizontal="left" vertical="center" wrapText="1" indent="1"/>
    </xf>
    <xf numFmtId="0" fontId="10" fillId="0" borderId="51" xfId="0" applyFont="1" applyFill="1" applyBorder="1" applyAlignment="1">
      <alignment horizontal="left" vertical="center" wrapText="1" indent="1"/>
    </xf>
    <xf numFmtId="0" fontId="33" fillId="3" borderId="49" xfId="0" applyFont="1" applyFill="1" applyBorder="1" applyAlignment="1">
      <alignment horizontal="center" vertical="center" wrapText="1"/>
    </xf>
    <xf numFmtId="0" fontId="33" fillId="3" borderId="50" xfId="0" applyFont="1" applyFill="1" applyBorder="1" applyAlignment="1">
      <alignment horizontal="center" vertical="center" wrapText="1"/>
    </xf>
    <xf numFmtId="0" fontId="33" fillId="3" borderId="51" xfId="0" applyFont="1" applyFill="1" applyBorder="1" applyAlignment="1">
      <alignment horizontal="center" vertical="center" wrapText="1"/>
    </xf>
    <xf numFmtId="0" fontId="23" fillId="3" borderId="32" xfId="0" applyFont="1" applyFill="1" applyBorder="1" applyAlignment="1">
      <alignment horizontal="center" vertical="center"/>
    </xf>
    <xf numFmtId="0" fontId="23" fillId="3" borderId="49" xfId="0" applyFont="1" applyFill="1" applyBorder="1" applyAlignment="1">
      <alignment horizontal="center" vertical="center"/>
    </xf>
    <xf numFmtId="0" fontId="23" fillId="3" borderId="50" xfId="0" applyFont="1" applyFill="1" applyBorder="1" applyAlignment="1">
      <alignment horizontal="center" vertical="center"/>
    </xf>
    <xf numFmtId="0" fontId="23" fillId="3" borderId="51" xfId="0" applyFont="1" applyFill="1" applyBorder="1" applyAlignment="1">
      <alignment horizontal="center" vertical="center"/>
    </xf>
    <xf numFmtId="0" fontId="10" fillId="0" borderId="49" xfId="0" applyFont="1" applyFill="1" applyBorder="1" applyAlignment="1">
      <alignment horizontal="center" vertical="center"/>
    </xf>
    <xf numFmtId="0" fontId="10" fillId="0" borderId="116" xfId="0" applyFont="1" applyFill="1" applyBorder="1" applyAlignment="1">
      <alignment horizontal="center" vertical="center"/>
    </xf>
    <xf numFmtId="0" fontId="33" fillId="3" borderId="49" xfId="0" applyFont="1" applyFill="1" applyBorder="1" applyAlignment="1">
      <alignment horizontal="center" vertical="center"/>
    </xf>
    <xf numFmtId="0" fontId="0" fillId="0" borderId="115" xfId="0" applyBorder="1">
      <alignment vertical="center"/>
    </xf>
    <xf numFmtId="0" fontId="0" fillId="0" borderId="116" xfId="0" applyBorder="1">
      <alignment vertical="center"/>
    </xf>
    <xf numFmtId="0" fontId="70" fillId="3" borderId="49" xfId="0" applyFont="1" applyFill="1" applyBorder="1" applyAlignment="1">
      <alignment horizontal="center" vertical="center"/>
    </xf>
    <xf numFmtId="0" fontId="70" fillId="3" borderId="50" xfId="0" applyFont="1" applyFill="1" applyBorder="1" applyAlignment="1">
      <alignment horizontal="center" vertical="center"/>
    </xf>
    <xf numFmtId="0" fontId="70" fillId="3" borderId="51" xfId="0" applyFont="1" applyFill="1" applyBorder="1" applyAlignment="1">
      <alignment horizontal="center" vertical="center"/>
    </xf>
    <xf numFmtId="0" fontId="18" fillId="3" borderId="32" xfId="0" applyFont="1" applyFill="1" applyBorder="1" applyAlignment="1">
      <alignment horizontal="center" vertical="center"/>
    </xf>
    <xf numFmtId="0" fontId="10" fillId="0" borderId="49" xfId="0" applyFont="1" applyBorder="1" applyAlignment="1">
      <alignment horizontal="left" vertical="center" wrapText="1" indent="1"/>
    </xf>
    <xf numFmtId="0" fontId="10" fillId="0" borderId="51" xfId="0" applyFont="1" applyBorder="1" applyAlignment="1">
      <alignment horizontal="left" vertical="center" wrapText="1" indent="1"/>
    </xf>
    <xf numFmtId="0" fontId="33" fillId="3" borderId="32" xfId="0" applyFont="1" applyFill="1" applyBorder="1" applyAlignment="1">
      <alignment horizontal="center" vertical="center"/>
    </xf>
    <xf numFmtId="41" fontId="33" fillId="0" borderId="49" xfId="0" applyNumberFormat="1" applyFont="1" applyFill="1" applyBorder="1" applyAlignment="1">
      <alignment horizontal="center" vertical="center"/>
    </xf>
    <xf numFmtId="41" fontId="33" fillId="0" borderId="50" xfId="0" applyNumberFormat="1" applyFont="1" applyFill="1" applyBorder="1" applyAlignment="1">
      <alignment horizontal="center" vertical="center"/>
    </xf>
    <xf numFmtId="41" fontId="33" fillId="0" borderId="51" xfId="0" applyNumberFormat="1" applyFont="1" applyFill="1" applyBorder="1" applyAlignment="1">
      <alignment horizontal="center" vertical="center"/>
    </xf>
    <xf numFmtId="0" fontId="90" fillId="0" borderId="49" xfId="0" applyFont="1" applyBorder="1" applyAlignment="1">
      <alignment horizontal="center" vertical="center"/>
    </xf>
    <xf numFmtId="0" fontId="90" fillId="0" borderId="116" xfId="0" applyFont="1" applyBorder="1" applyAlignment="1">
      <alignment horizontal="center" vertical="center"/>
    </xf>
    <xf numFmtId="0" fontId="33" fillId="3" borderId="32" xfId="0" applyFont="1" applyFill="1" applyBorder="1" applyAlignment="1">
      <alignment horizontal="center" vertical="center" wrapText="1"/>
    </xf>
    <xf numFmtId="0" fontId="0" fillId="0" borderId="134" xfId="0" applyBorder="1" applyAlignment="1">
      <alignment horizontal="center" vertical="center"/>
    </xf>
    <xf numFmtId="0" fontId="0" fillId="0" borderId="135" xfId="0" applyFont="1" applyBorder="1" applyAlignment="1">
      <alignment horizontal="center" vertical="center"/>
    </xf>
    <xf numFmtId="0" fontId="10" fillId="0" borderId="134" xfId="0" applyFont="1" applyFill="1" applyBorder="1" applyAlignment="1">
      <alignment horizontal="center" vertical="center"/>
    </xf>
    <xf numFmtId="0" fontId="10" fillId="0" borderId="135" xfId="0" applyFont="1" applyFill="1" applyBorder="1" applyAlignment="1">
      <alignment horizontal="center" vertical="center"/>
    </xf>
    <xf numFmtId="0" fontId="10" fillId="0" borderId="32" xfId="0" applyFont="1" applyBorder="1" applyAlignment="1">
      <alignment horizontal="center" vertical="center" wrapText="1"/>
    </xf>
    <xf numFmtId="0" fontId="0" fillId="4" borderId="158" xfId="0" applyFill="1" applyBorder="1" applyAlignment="1">
      <alignment horizontal="center" vertical="center"/>
    </xf>
    <xf numFmtId="0" fontId="0" fillId="4" borderId="155" xfId="0" applyFill="1" applyBorder="1" applyAlignment="1">
      <alignment horizontal="center" vertical="center"/>
    </xf>
    <xf numFmtId="0" fontId="0" fillId="0" borderId="135" xfId="0" applyBorder="1" applyAlignment="1">
      <alignment horizontal="center" vertical="center"/>
    </xf>
    <xf numFmtId="0" fontId="90" fillId="0" borderId="134" xfId="0" applyFont="1" applyBorder="1" applyAlignment="1">
      <alignment horizontal="center" vertical="center"/>
    </xf>
    <xf numFmtId="0" fontId="90" fillId="0" borderId="135" xfId="0" applyFont="1" applyBorder="1" applyAlignment="1">
      <alignment horizontal="center" vertical="center"/>
    </xf>
    <xf numFmtId="0" fontId="27" fillId="4" borderId="0" xfId="0" applyFont="1" applyFill="1" applyBorder="1" applyAlignment="1">
      <alignment horizontal="left" vertical="top" wrapText="1"/>
    </xf>
    <xf numFmtId="0" fontId="96" fillId="4" borderId="49" xfId="0" applyFont="1" applyFill="1" applyBorder="1" applyAlignment="1">
      <alignment horizontal="center" vertical="center"/>
    </xf>
    <xf numFmtId="0" fontId="96" fillId="4" borderId="51" xfId="0" applyFont="1" applyFill="1" applyBorder="1" applyAlignment="1">
      <alignment horizontal="center" vertical="center"/>
    </xf>
    <xf numFmtId="0" fontId="17" fillId="0" borderId="128" xfId="0" applyFont="1" applyFill="1" applyBorder="1" applyAlignment="1">
      <alignment horizontal="center" vertical="center"/>
    </xf>
    <xf numFmtId="0" fontId="17" fillId="0" borderId="123" xfId="0" applyFont="1" applyFill="1" applyBorder="1" applyAlignment="1">
      <alignment horizontal="center" vertical="center"/>
    </xf>
    <xf numFmtId="0" fontId="10" fillId="0" borderId="158" xfId="0" applyFont="1" applyFill="1" applyBorder="1" applyAlignment="1">
      <alignment horizontal="center" vertical="center"/>
    </xf>
    <xf numFmtId="0" fontId="10" fillId="0" borderId="157" xfId="0" applyFont="1" applyFill="1" applyBorder="1" applyAlignment="1">
      <alignment horizontal="center" vertical="center"/>
    </xf>
    <xf numFmtId="0" fontId="10" fillId="0" borderId="155" xfId="0" applyFont="1" applyFill="1" applyBorder="1" applyAlignment="1">
      <alignment horizontal="center" vertical="center"/>
    </xf>
    <xf numFmtId="0" fontId="125" fillId="19" borderId="49" xfId="0" applyFont="1" applyFill="1" applyBorder="1" applyAlignment="1">
      <alignment horizontal="center" vertical="center" wrapText="1"/>
    </xf>
    <xf numFmtId="0" fontId="125" fillId="19" borderId="51" xfId="0" applyFont="1" applyFill="1" applyBorder="1" applyAlignment="1">
      <alignment horizontal="center" vertical="center"/>
    </xf>
    <xf numFmtId="0" fontId="10" fillId="0" borderId="49" xfId="0" applyFont="1" applyFill="1" applyBorder="1" applyAlignment="1">
      <alignment horizontal="center" vertical="center" wrapText="1"/>
    </xf>
    <xf numFmtId="14" fontId="10" fillId="0" borderId="49" xfId="0" applyNumberFormat="1" applyFont="1" applyFill="1" applyBorder="1" applyAlignment="1">
      <alignment horizontal="center" vertical="center" wrapText="1"/>
    </xf>
    <xf numFmtId="14" fontId="10" fillId="0" borderId="51" xfId="0" applyNumberFormat="1" applyFont="1" applyFill="1" applyBorder="1" applyAlignment="1">
      <alignment horizontal="center" vertical="center" wrapText="1"/>
    </xf>
    <xf numFmtId="0" fontId="10" fillId="0" borderId="0" xfId="0" applyFont="1" applyBorder="1" applyAlignment="1">
      <alignment horizontal="right" vertical="center" wrapText="1"/>
    </xf>
    <xf numFmtId="41" fontId="33" fillId="3" borderId="49" xfId="0" applyNumberFormat="1" applyFont="1" applyFill="1" applyBorder="1" applyAlignment="1">
      <alignment horizontal="center" vertical="center"/>
    </xf>
    <xf numFmtId="0" fontId="10" fillId="3" borderId="32" xfId="0" applyFont="1" applyFill="1" applyBorder="1" applyAlignment="1">
      <alignment horizontal="center" vertical="center" wrapText="1"/>
    </xf>
    <xf numFmtId="0" fontId="10" fillId="3" borderId="49" xfId="0" applyFont="1" applyFill="1" applyBorder="1" applyAlignment="1">
      <alignment horizontal="center" vertical="center"/>
    </xf>
    <xf numFmtId="0" fontId="10" fillId="3" borderId="51" xfId="0" applyFont="1" applyFill="1" applyBorder="1" applyAlignment="1">
      <alignment horizontal="center" vertical="center"/>
    </xf>
    <xf numFmtId="0" fontId="93" fillId="0" borderId="113" xfId="0" applyFont="1" applyFill="1" applyBorder="1" applyAlignment="1">
      <alignment horizontal="left" vertical="center" wrapText="1"/>
    </xf>
    <xf numFmtId="0" fontId="93" fillId="0" borderId="0" xfId="0" applyFont="1" applyFill="1" applyBorder="1" applyAlignment="1">
      <alignment horizontal="left" vertical="center" wrapText="1"/>
    </xf>
    <xf numFmtId="0" fontId="18" fillId="0" borderId="0" xfId="0" applyFont="1">
      <alignment vertical="center"/>
    </xf>
    <xf numFmtId="177" fontId="18" fillId="0" borderId="150" xfId="1" applyNumberFormat="1" applyFont="1" applyBorder="1" applyAlignment="1">
      <alignment horizontal="center" vertical="center" shrinkToFit="1"/>
    </xf>
    <xf numFmtId="41" fontId="18" fillId="0" borderId="32" xfId="1" applyFont="1" applyFill="1" applyBorder="1">
      <alignment vertical="center"/>
    </xf>
    <xf numFmtId="0" fontId="97" fillId="0" borderId="0" xfId="0" applyFont="1">
      <alignment vertical="center"/>
    </xf>
    <xf numFmtId="41" fontId="97" fillId="0" borderId="32" xfId="0" applyNumberFormat="1" applyFont="1" applyBorder="1">
      <alignment vertical="center"/>
    </xf>
    <xf numFmtId="0" fontId="93" fillId="0" borderId="141" xfId="0" applyFont="1" applyFill="1" applyBorder="1" applyAlignment="1">
      <alignment horizontal="left" vertical="center" wrapText="1"/>
    </xf>
    <xf numFmtId="0" fontId="93" fillId="0" borderId="153" xfId="0" applyFont="1" applyFill="1" applyBorder="1" applyAlignment="1">
      <alignment horizontal="left" vertical="center" wrapText="1"/>
    </xf>
    <xf numFmtId="0" fontId="18" fillId="3" borderId="49" xfId="0" applyFont="1" applyFill="1" applyBorder="1" applyAlignment="1">
      <alignment horizontal="center" vertical="center"/>
    </xf>
    <xf numFmtId="0" fontId="18" fillId="3" borderId="51" xfId="0" applyFont="1" applyFill="1" applyBorder="1" applyAlignment="1">
      <alignment horizontal="center" vertical="center"/>
    </xf>
    <xf numFmtId="14" fontId="10" fillId="0" borderId="158" xfId="0" applyNumberFormat="1" applyFont="1" applyFill="1" applyBorder="1" applyAlignment="1">
      <alignment horizontal="center" vertical="center" wrapText="1"/>
    </xf>
    <xf numFmtId="14" fontId="10" fillId="0" borderId="155" xfId="0" applyNumberFormat="1" applyFont="1" applyFill="1" applyBorder="1" applyAlignment="1">
      <alignment horizontal="center" vertical="center" wrapText="1"/>
    </xf>
    <xf numFmtId="0" fontId="90" fillId="4" borderId="134" xfId="0" applyFont="1" applyFill="1" applyBorder="1" applyAlignment="1">
      <alignment horizontal="center" vertical="center"/>
    </xf>
    <xf numFmtId="0" fontId="90" fillId="4" borderId="135" xfId="0" applyFont="1" applyFill="1" applyBorder="1" applyAlignment="1">
      <alignment horizontal="center" vertical="center"/>
    </xf>
    <xf numFmtId="0" fontId="33" fillId="0" borderId="32" xfId="0" applyFont="1" applyFill="1" applyBorder="1" applyAlignment="1">
      <alignment horizontal="center" vertical="center"/>
    </xf>
    <xf numFmtId="0" fontId="0" fillId="0" borderId="134" xfId="0" applyFill="1" applyBorder="1" applyAlignment="1">
      <alignment horizontal="center" vertical="center"/>
    </xf>
    <xf numFmtId="0" fontId="0" fillId="0" borderId="135" xfId="0" applyFill="1" applyBorder="1" applyAlignment="1">
      <alignment horizontal="center" vertical="center"/>
    </xf>
    <xf numFmtId="0" fontId="92" fillId="4" borderId="0" xfId="1" applyNumberFormat="1" applyFont="1" applyFill="1" applyBorder="1" applyAlignment="1">
      <alignment horizontal="left" vertical="center" wrapText="1"/>
    </xf>
    <xf numFmtId="0" fontId="27" fillId="4" borderId="0" xfId="1" applyNumberFormat="1" applyFont="1" applyFill="1" applyBorder="1" applyAlignment="1">
      <alignment horizontal="left" vertical="center" wrapText="1"/>
    </xf>
    <xf numFmtId="0" fontId="33" fillId="3" borderId="78" xfId="0" applyFont="1" applyFill="1" applyBorder="1" applyAlignment="1">
      <alignment horizontal="center" vertical="center"/>
    </xf>
    <xf numFmtId="0" fontId="33" fillId="3" borderId="59" xfId="0" applyFont="1" applyFill="1" applyBorder="1" applyAlignment="1">
      <alignment horizontal="center" vertical="center"/>
    </xf>
    <xf numFmtId="0" fontId="33" fillId="3" borderId="43" xfId="0" applyFont="1" applyFill="1" applyBorder="1" applyAlignment="1">
      <alignment horizontal="center" vertical="center"/>
    </xf>
    <xf numFmtId="0" fontId="33" fillId="3" borderId="8" xfId="0" applyFont="1" applyFill="1" applyBorder="1" applyAlignment="1">
      <alignment horizontal="center" vertical="center"/>
    </xf>
    <xf numFmtId="0" fontId="33" fillId="3" borderId="26" xfId="0" applyFont="1" applyFill="1" applyBorder="1" applyAlignment="1">
      <alignment horizontal="center" vertical="center"/>
    </xf>
    <xf numFmtId="0" fontId="33" fillId="3" borderId="108" xfId="0" applyFont="1" applyFill="1" applyBorder="1" applyAlignment="1">
      <alignment horizontal="center" vertical="center"/>
    </xf>
    <xf numFmtId="0" fontId="33" fillId="3" borderId="41" xfId="0" applyFont="1" applyFill="1" applyBorder="1" applyAlignment="1">
      <alignment horizontal="center" vertical="center"/>
    </xf>
    <xf numFmtId="0" fontId="33" fillId="3" borderId="54" xfId="0" applyFont="1" applyFill="1" applyBorder="1" applyAlignment="1">
      <alignment horizontal="center" vertical="center"/>
    </xf>
    <xf numFmtId="0" fontId="33" fillId="3" borderId="42" xfId="0" applyFont="1" applyFill="1" applyBorder="1" applyAlignment="1">
      <alignment horizontal="center" vertical="center"/>
    </xf>
    <xf numFmtId="0" fontId="76" fillId="15" borderId="82" xfId="24563" applyFont="1" applyFill="1" applyBorder="1" applyAlignment="1">
      <alignment vertical="center" wrapText="1"/>
    </xf>
    <xf numFmtId="0" fontId="76" fillId="15" borderId="83" xfId="24563" applyFont="1" applyFill="1" applyBorder="1" applyAlignment="1">
      <alignment vertical="center" wrapText="1"/>
    </xf>
    <xf numFmtId="0" fontId="76" fillId="15" borderId="84" xfId="24563" applyFont="1" applyFill="1" applyBorder="1" applyAlignment="1">
      <alignment vertical="center" wrapText="1"/>
    </xf>
    <xf numFmtId="0" fontId="76" fillId="15" borderId="85" xfId="24563" applyFont="1" applyFill="1" applyBorder="1" applyAlignment="1">
      <alignment vertical="center" wrapText="1"/>
    </xf>
    <xf numFmtId="0" fontId="76" fillId="15" borderId="86" xfId="24563" applyFont="1" applyFill="1" applyBorder="1" applyAlignment="1">
      <alignment vertical="center" wrapText="1"/>
    </xf>
    <xf numFmtId="0" fontId="76" fillId="15" borderId="87" xfId="24563" applyFont="1" applyFill="1" applyBorder="1" applyAlignment="1">
      <alignment vertical="center" wrapText="1"/>
    </xf>
    <xf numFmtId="0" fontId="74" fillId="14" borderId="79" xfId="24563" applyFont="1" applyFill="1" applyBorder="1" applyAlignment="1">
      <alignment horizontal="center" vertical="center" wrapText="1"/>
    </xf>
    <xf numFmtId="0" fontId="74" fillId="14" borderId="80" xfId="24563" applyFont="1" applyFill="1" applyBorder="1" applyAlignment="1">
      <alignment horizontal="center" vertical="center" wrapText="1"/>
    </xf>
    <xf numFmtId="0" fontId="74" fillId="14" borderId="81" xfId="24563" applyFont="1" applyFill="1" applyBorder="1" applyAlignment="1">
      <alignment horizontal="center" vertical="center" wrapText="1"/>
    </xf>
    <xf numFmtId="0" fontId="103" fillId="5" borderId="168" xfId="0" applyFont="1" applyFill="1" applyBorder="1" applyAlignment="1" applyProtection="1">
      <alignment horizontal="left" vertical="center" wrapText="1"/>
    </xf>
    <xf numFmtId="0" fontId="115" fillId="5" borderId="0" xfId="0" applyFont="1" applyFill="1" applyBorder="1" applyAlignment="1" applyProtection="1">
      <alignment horizontal="left" vertical="center" wrapText="1"/>
    </xf>
    <xf numFmtId="0" fontId="104" fillId="5" borderId="0" xfId="0" applyFont="1" applyFill="1" applyBorder="1" applyAlignment="1" applyProtection="1">
      <alignment horizontal="right" vertical="center" wrapText="1"/>
    </xf>
    <xf numFmtId="0" fontId="104" fillId="5" borderId="168" xfId="0" applyFont="1" applyFill="1" applyBorder="1" applyAlignment="1" applyProtection="1">
      <alignment horizontal="center" vertical="center" wrapText="1"/>
    </xf>
    <xf numFmtId="0" fontId="104" fillId="5" borderId="168" xfId="0" applyFont="1" applyFill="1" applyBorder="1" applyAlignment="1" applyProtection="1">
      <alignment horizontal="left" vertical="center" wrapText="1"/>
    </xf>
    <xf numFmtId="0" fontId="114" fillId="5" borderId="0" xfId="0" applyFont="1" applyFill="1" applyBorder="1" applyAlignment="1" applyProtection="1">
      <alignment horizontal="left" vertical="center" wrapText="1"/>
    </xf>
    <xf numFmtId="3" fontId="104" fillId="5" borderId="168" xfId="0" applyNumberFormat="1" applyFont="1" applyFill="1" applyBorder="1" applyAlignment="1" applyProtection="1">
      <alignment horizontal="right" vertical="center" wrapText="1"/>
    </xf>
    <xf numFmtId="49" fontId="117" fillId="0" borderId="162" xfId="0" applyNumberFormat="1" applyFont="1" applyFill="1" applyBorder="1" applyAlignment="1">
      <alignment horizontal="left" vertical="center" wrapText="1"/>
    </xf>
    <xf numFmtId="0" fontId="63" fillId="0" borderId="163" xfId="0" applyFont="1" applyFill="1" applyBorder="1" applyAlignment="1">
      <alignment vertical="center" textRotation="109"/>
    </xf>
    <xf numFmtId="49" fontId="118" fillId="0" borderId="161" xfId="0" applyNumberFormat="1" applyFont="1" applyFill="1" applyBorder="1" applyAlignment="1">
      <alignment horizontal="right" vertical="center" wrapText="1"/>
    </xf>
    <xf numFmtId="0" fontId="63" fillId="0" borderId="161" xfId="0" applyFont="1" applyFill="1" applyBorder="1" applyAlignment="1">
      <alignment vertical="center" textRotation="98"/>
    </xf>
    <xf numFmtId="0" fontId="63" fillId="0" borderId="163" xfId="0" applyFont="1" applyFill="1" applyBorder="1" applyAlignment="1">
      <alignment vertical="center" textRotation="95"/>
    </xf>
    <xf numFmtId="0" fontId="63" fillId="0" borderId="161" xfId="0" applyFont="1" applyFill="1" applyBorder="1" applyAlignment="1">
      <alignment vertical="center" textRotation="45"/>
    </xf>
    <xf numFmtId="0" fontId="63" fillId="0" borderId="163" xfId="0" applyFont="1" applyFill="1" applyBorder="1" applyAlignment="1">
      <alignment vertical="center" textRotation="114"/>
    </xf>
    <xf numFmtId="49" fontId="118" fillId="0" borderId="161" xfId="0" applyNumberFormat="1" applyFont="1" applyFill="1" applyBorder="1" applyAlignment="1">
      <alignment horizontal="left" vertical="center" wrapText="1"/>
    </xf>
    <xf numFmtId="0" fontId="63" fillId="0" borderId="161" xfId="0" applyFont="1" applyFill="1" applyBorder="1" applyAlignment="1">
      <alignment vertical="center" textRotation="111"/>
    </xf>
    <xf numFmtId="0" fontId="63" fillId="0" borderId="161" xfId="0" applyFont="1" applyFill="1" applyBorder="1" applyAlignment="1">
      <alignment vertical="center" textRotation="101"/>
    </xf>
    <xf numFmtId="0" fontId="63" fillId="0" borderId="163" xfId="0" applyFont="1" applyFill="1" applyBorder="1" applyAlignment="1">
      <alignment vertical="center" textRotation="116"/>
    </xf>
    <xf numFmtId="0" fontId="63" fillId="0" borderId="161" xfId="0" applyFont="1" applyFill="1" applyBorder="1" applyAlignment="1">
      <alignment vertical="center" textRotation="115"/>
    </xf>
    <xf numFmtId="0" fontId="63" fillId="0" borderId="163" xfId="0" applyFont="1" applyFill="1" applyBorder="1" applyAlignment="1">
      <alignment vertical="center" textRotation="99"/>
    </xf>
    <xf numFmtId="0" fontId="63" fillId="0" borderId="163" xfId="0" applyFont="1" applyFill="1" applyBorder="1" applyAlignment="1">
      <alignment vertical="center" textRotation="61"/>
    </xf>
    <xf numFmtId="0" fontId="63" fillId="0" borderId="161" xfId="0" applyFont="1" applyFill="1" applyBorder="1" applyAlignment="1">
      <alignment vertical="center" textRotation="58"/>
    </xf>
    <xf numFmtId="0" fontId="63" fillId="0" borderId="161" xfId="0" applyFont="1" applyFill="1" applyBorder="1" applyAlignment="1">
      <alignment vertical="center" textRotation="59"/>
    </xf>
    <xf numFmtId="0" fontId="63" fillId="0" borderId="161" xfId="0" applyFont="1" applyFill="1" applyBorder="1" applyAlignment="1">
      <alignment vertical="center" textRotation="97"/>
    </xf>
    <xf numFmtId="0" fontId="63" fillId="0" borderId="161" xfId="0" applyFont="1" applyFill="1" applyBorder="1" applyAlignment="1">
      <alignment vertical="center" textRotation="99"/>
    </xf>
    <xf numFmtId="0" fontId="63" fillId="0" borderId="161" xfId="0" applyFont="1" applyFill="1" applyBorder="1" applyAlignment="1">
      <alignment vertical="center" textRotation="102"/>
    </xf>
    <xf numFmtId="49" fontId="117" fillId="0" borderId="166" xfId="0" applyNumberFormat="1" applyFont="1" applyFill="1" applyBorder="1" applyAlignment="1">
      <alignment horizontal="center" vertical="center" wrapText="1"/>
    </xf>
    <xf numFmtId="0" fontId="63" fillId="0" borderId="167" xfId="0" applyFont="1" applyFill="1" applyBorder="1" applyAlignment="1">
      <alignment vertical="center" textRotation="110"/>
    </xf>
    <xf numFmtId="0" fontId="63" fillId="0" borderId="167" xfId="0" applyFont="1" applyFill="1" applyBorder="1" applyAlignment="1">
      <alignment vertical="center" textRotation="52"/>
    </xf>
    <xf numFmtId="0" fontId="63" fillId="0" borderId="167" xfId="0" applyFont="1" applyFill="1" applyBorder="1" applyAlignment="1">
      <alignment vertical="center" textRotation="45"/>
    </xf>
    <xf numFmtId="0" fontId="63" fillId="0" borderId="165" xfId="0" applyFont="1" applyFill="1" applyBorder="1" applyAlignment="1">
      <alignment vertical="center" textRotation="48"/>
    </xf>
    <xf numFmtId="49" fontId="117" fillId="0" borderId="167" xfId="0" applyNumberFormat="1" applyFont="1" applyFill="1" applyBorder="1" applyAlignment="1">
      <alignment horizontal="center" vertical="center" wrapText="1"/>
    </xf>
    <xf numFmtId="0" fontId="63" fillId="0" borderId="167" xfId="0" applyFont="1" applyFill="1" applyBorder="1" applyAlignment="1">
      <alignment vertical="center" textRotation="114"/>
    </xf>
    <xf numFmtId="0" fontId="63" fillId="0" borderId="165" xfId="0" applyFont="1" applyFill="1" applyBorder="1" applyAlignment="1">
      <alignment vertical="center" textRotation="95"/>
    </xf>
    <xf numFmtId="0" fontId="0" fillId="0" borderId="0" xfId="0" applyAlignment="1">
      <alignment horizontal="left" vertical="center"/>
    </xf>
    <xf numFmtId="49" fontId="116" fillId="0" borderId="0" xfId="0" applyNumberFormat="1" applyFont="1" applyFill="1" applyBorder="1" applyAlignment="1">
      <alignment horizontal="center" vertical="center" wrapText="1"/>
    </xf>
    <xf numFmtId="0" fontId="0" fillId="0" borderId="0" xfId="0">
      <alignment vertical="center"/>
    </xf>
    <xf numFmtId="49" fontId="117" fillId="0" borderId="161" xfId="0" applyNumberFormat="1" applyFont="1" applyFill="1" applyBorder="1" applyAlignment="1">
      <alignment horizontal="left" vertical="center" wrapText="1"/>
    </xf>
    <xf numFmtId="0" fontId="63" fillId="0" borderId="161" xfId="0" applyFont="1" applyFill="1" applyBorder="1" applyAlignment="1">
      <alignment vertical="center" textRotation="109"/>
    </xf>
    <xf numFmtId="0" fontId="63" fillId="0" borderId="163" xfId="0" applyFont="1" applyFill="1" applyBorder="1" applyAlignment="1">
      <alignment vertical="center" textRotation="45"/>
    </xf>
    <xf numFmtId="0" fontId="63" fillId="0" borderId="161" xfId="0" applyFont="1" applyFill="1" applyBorder="1" applyAlignment="1">
      <alignment vertical="center" textRotation="116"/>
    </xf>
    <xf numFmtId="0" fontId="63" fillId="0" borderId="161" xfId="0" applyFont="1" applyFill="1" applyBorder="1" applyAlignment="1">
      <alignment vertical="center" textRotation="48"/>
    </xf>
    <xf numFmtId="0" fontId="63" fillId="0" borderId="161" xfId="0" applyFont="1" applyFill="1" applyBorder="1" applyAlignment="1">
      <alignment vertical="center" textRotation="114"/>
    </xf>
    <xf numFmtId="0" fontId="63" fillId="0" borderId="163" xfId="0" applyFont="1" applyFill="1" applyBorder="1" applyAlignment="1">
      <alignment vertical="center" textRotation="97"/>
    </xf>
    <xf numFmtId="0" fontId="63" fillId="0" borderId="161" xfId="0" applyFont="1" applyFill="1" applyBorder="1" applyAlignment="1">
      <alignment vertical="center" textRotation="103"/>
    </xf>
    <xf numFmtId="0" fontId="63" fillId="0" borderId="163" xfId="0" applyFont="1" applyFill="1" applyBorder="1" applyAlignment="1">
      <alignment vertical="center" textRotation="110"/>
    </xf>
    <xf numFmtId="0" fontId="63" fillId="0" borderId="161" xfId="0" applyFont="1" applyFill="1" applyBorder="1" applyAlignment="1">
      <alignment vertical="center" textRotation="110"/>
    </xf>
    <xf numFmtId="0" fontId="63" fillId="0" borderId="161" xfId="0" applyFont="1" applyFill="1" applyBorder="1" applyAlignment="1">
      <alignment vertical="center" textRotation="121"/>
    </xf>
    <xf numFmtId="0" fontId="120" fillId="0" borderId="0" xfId="0" applyFont="1" applyAlignment="1">
      <alignment horizontal="center" vertical="center" wrapText="1"/>
    </xf>
    <xf numFmtId="0" fontId="0" fillId="0" borderId="0" xfId="0" applyFont="1" applyAlignment="1">
      <alignment horizontal="left" vertical="center"/>
    </xf>
    <xf numFmtId="0" fontId="9" fillId="0" borderId="0" xfId="0" applyFont="1" applyAlignment="1">
      <alignment horizontal="left" vertical="center"/>
    </xf>
    <xf numFmtId="0" fontId="105" fillId="5" borderId="0" xfId="0" applyNumberFormat="1" applyFont="1" applyFill="1" applyBorder="1" applyAlignment="1">
      <alignment horizontal="center" vertical="center"/>
    </xf>
    <xf numFmtId="0" fontId="0" fillId="0" borderId="0" xfId="0" applyNumberFormat="1" applyFont="1" applyFill="1" applyBorder="1" applyAlignment="1"/>
    <xf numFmtId="0" fontId="0" fillId="0" borderId="180" xfId="0" applyBorder="1" applyAlignment="1">
      <alignment vertical="center"/>
    </xf>
    <xf numFmtId="0" fontId="0" fillId="0" borderId="170" xfId="0" applyBorder="1" applyAlignment="1">
      <alignment vertical="center"/>
    </xf>
    <xf numFmtId="0" fontId="0" fillId="0" borderId="171" xfId="0" applyBorder="1" applyAlignment="1">
      <alignment vertical="center"/>
    </xf>
    <xf numFmtId="0" fontId="76" fillId="31" borderId="181" xfId="0" applyFont="1" applyFill="1" applyBorder="1" applyAlignment="1">
      <alignment vertical="center" wrapText="1"/>
    </xf>
    <xf numFmtId="0" fontId="76" fillId="31" borderId="0" xfId="0" applyFont="1" applyFill="1" applyBorder="1" applyAlignment="1">
      <alignment vertical="center" wrapText="1"/>
    </xf>
    <xf numFmtId="0" fontId="76" fillId="31" borderId="182" xfId="0" applyFont="1" applyFill="1" applyBorder="1" applyAlignment="1">
      <alignment vertical="center" wrapText="1"/>
    </xf>
    <xf numFmtId="0" fontId="76" fillId="31" borderId="0" xfId="0" applyFont="1" applyFill="1" applyAlignment="1">
      <alignment vertical="center" wrapText="1"/>
    </xf>
    <xf numFmtId="0" fontId="76" fillId="31" borderId="85" xfId="0" applyFont="1" applyFill="1" applyBorder="1" applyAlignment="1">
      <alignment vertical="center" wrapText="1"/>
    </xf>
    <xf numFmtId="0" fontId="76" fillId="31" borderId="86" xfId="0" applyFont="1" applyFill="1" applyBorder="1" applyAlignment="1">
      <alignment vertical="center" wrapText="1"/>
    </xf>
    <xf numFmtId="0" fontId="76" fillId="31" borderId="87" xfId="0" applyFont="1" applyFill="1" applyBorder="1" applyAlignment="1">
      <alignment vertical="center" wrapText="1"/>
    </xf>
    <xf numFmtId="0" fontId="107" fillId="31" borderId="0" xfId="0" applyFont="1" applyFill="1" applyAlignment="1">
      <alignment horizontal="left" vertical="center"/>
    </xf>
    <xf numFmtId="0" fontId="76" fillId="31" borderId="0" xfId="0" applyFont="1" applyFill="1" applyAlignment="1">
      <alignment horizontal="left" vertical="center"/>
    </xf>
    <xf numFmtId="0" fontId="74" fillId="32" borderId="79" xfId="0" applyFont="1" applyFill="1" applyBorder="1" applyAlignment="1">
      <alignment horizontal="center" vertical="center" wrapText="1"/>
    </xf>
    <xf numFmtId="0" fontId="74" fillId="32" borderId="80" xfId="0" applyFont="1" applyFill="1" applyBorder="1" applyAlignment="1">
      <alignment horizontal="center" vertical="center" wrapText="1"/>
    </xf>
    <xf numFmtId="0" fontId="74" fillId="32" borderId="81" xfId="0" applyFont="1" applyFill="1" applyBorder="1" applyAlignment="1">
      <alignment horizontal="center" vertical="center" wrapText="1"/>
    </xf>
    <xf numFmtId="0" fontId="76" fillId="31" borderId="82" xfId="0" applyFont="1" applyFill="1" applyBorder="1" applyAlignment="1">
      <alignment vertical="center" wrapText="1"/>
    </xf>
    <xf numFmtId="0" fontId="76" fillId="31" borderId="83" xfId="0" applyFont="1" applyFill="1" applyBorder="1" applyAlignment="1">
      <alignment vertical="center" wrapText="1"/>
    </xf>
    <xf numFmtId="0" fontId="76" fillId="31" borderId="84" xfId="0" applyFont="1" applyFill="1" applyBorder="1" applyAlignment="1">
      <alignment vertical="center" wrapText="1"/>
    </xf>
  </cellXfs>
  <cellStyles count="47038">
    <cellStyle name="          _x000d__x000a_386grabber=vga.3gr_x000d__x000a_" xfId="14"/>
    <cellStyle name="??&amp;O?&amp;H?_x0008__x000f__x0007_?_x0007__x0001__x0001_" xfId="15"/>
    <cellStyle name="??&amp;O?&amp;H?_x0008_??_x0007__x0001__x0001_" xfId="16"/>
    <cellStyle name="_00월별재무제표(상세01.3월)" xfId="17"/>
    <cellStyle name="_01년투자(수정사업계획-경영관리)" xfId="18"/>
    <cellStyle name="_02년 Cashflow(서울은행제출기초-01.11.5)" xfId="19"/>
    <cellStyle name="_2000년 예차입금 현황" xfId="20"/>
    <cellStyle name="_2002년 예차입금명세서" xfId="21"/>
    <cellStyle name="_2003예산편성(신비로,021126)" xfId="22"/>
    <cellStyle name="_cash총괄sheet(01.3.8)" xfId="23"/>
    <cellStyle name="_CF" xfId="24"/>
    <cellStyle name="_Column1" xfId="25"/>
    <cellStyle name="_Column2" xfId="26"/>
    <cellStyle name="_Column3" xfId="27"/>
    <cellStyle name="_Column4" xfId="28"/>
    <cellStyle name="_Column5" xfId="29"/>
    <cellStyle name="_Column6" xfId="30"/>
    <cellStyle name="_Column7" xfId="31"/>
    <cellStyle name="_Data" xfId="32"/>
    <cellStyle name="_FS0106" xfId="33"/>
    <cellStyle name="_Header" xfId="34"/>
    <cellStyle name="_Header_(svc_branch_rate)" xfId="35"/>
    <cellStyle name="_Header_(최종)030331 03년손익예실대비(OCS)" xfId="36"/>
    <cellStyle name="_Header_`03년 실적관리 Table" xfId="37"/>
    <cellStyle name="_Header_01-ocs-월별손익평가-2월" xfId="38"/>
    <cellStyle name="_Header_01-ocs-월별손익평가-2월-3월업그레이드용" xfId="39"/>
    <cellStyle name="_Header_01-ocs-월별손익평가-2월-3월업그레이드용3" xfId="40"/>
    <cellStyle name="_Header_02년신지사별서비스별plb" xfId="41"/>
    <cellStyle name="_Header_03-사업계획기준" xfId="42"/>
    <cellStyle name="_Header_08-OCS-월별손익평가" xfId="43"/>
    <cellStyle name="_Header_08-OCS-월별손익평가-2" xfId="44"/>
    <cellStyle name="_Header_08-ocs-월별손익평가-3" xfId="45"/>
    <cellStyle name="_Header_08-ocs-월별손익평가-ver2-3월" xfId="46"/>
    <cellStyle name="_Header_08-ocs-월별손익평가-업그레이드-3월" xfId="47"/>
    <cellStyle name="_Header_1.13(Sample)" xfId="48"/>
    <cellStyle name="_Header_1.13(매출)" xfId="49"/>
    <cellStyle name="_Header_11-ocs-사업계획-작업" xfId="50"/>
    <cellStyle name="_Header_1206-부서별 월별 매출" xfId="51"/>
    <cellStyle name="_Header_1206-역무별 월별 매출" xfId="52"/>
    <cellStyle name="_Header_13-뉴월별실적" xfId="53"/>
    <cellStyle name="_Header_15-ocs-월별손익평가-3-10월" xfId="54"/>
    <cellStyle name="_Header_15-ocs-월별손익평가-3-11월" xfId="55"/>
    <cellStyle name="_Header_2001예산(월별)" xfId="56"/>
    <cellStyle name="_Header_5월" xfId="57"/>
    <cellStyle name="_Header_6월" xfId="58"/>
    <cellStyle name="_Header_960008-232415-15-사업계획4" xfId="59"/>
    <cellStyle name="_Header_CF" xfId="60"/>
    <cellStyle name="_Header_Daily Form(서비스별)" xfId="61"/>
    <cellStyle name="_Header_Daily Form(시내 서비스별)" xfId="62"/>
    <cellStyle name="_Header_Daily Form(지사별)" xfId="63"/>
    <cellStyle name="_Header_IDC" xfId="64"/>
    <cellStyle name="_Header_LM" xfId="65"/>
    <cellStyle name="_Header_MIS1" xfId="66"/>
    <cellStyle name="_Header_MIS2" xfId="67"/>
    <cellStyle name="_Header_MIS3" xfId="68"/>
    <cellStyle name="_Header_MIS4" xfId="69"/>
    <cellStyle name="_Header_MIS5" xfId="70"/>
    <cellStyle name="_Header_MIS7" xfId="71"/>
    <cellStyle name="_Header_Monthly Form(2002)" xfId="72"/>
    <cellStyle name="_Header_Monthly Form(New)" xfId="73"/>
    <cellStyle name="_Header_ocs" xfId="74"/>
    <cellStyle name="_Header_ocs-서비스별망별통화량2-최근년도" xfId="75"/>
    <cellStyle name="_Header_OCS-월별손익평가" xfId="76"/>
    <cellStyle name="_Header_Out비용" xfId="77"/>
    <cellStyle name="_Header_PPP" xfId="78"/>
    <cellStyle name="_Header_Sheet1" xfId="79"/>
    <cellStyle name="_Header_Sheet2" xfId="80"/>
    <cellStyle name="_Header_Voice 서비스별 매출 총괄" xfId="81"/>
    <cellStyle name="_Header_국D" xfId="82"/>
    <cellStyle name="_Header_국제" xfId="83"/>
    <cellStyle name="_Header_마스터템플리트" xfId="84"/>
    <cellStyle name="_Header_마케팅 주간통계(양식)" xfId="85"/>
    <cellStyle name="_Header_마케팅 주간통계(양식-수정)" xfId="86"/>
    <cellStyle name="_Header_망별시외실적" xfId="87"/>
    <cellStyle name="_Header_변고정(Template)" xfId="88"/>
    <cellStyle name="_Header_변고정(예실비교)" xfId="89"/>
    <cellStyle name="_Header_별정" xfId="90"/>
    <cellStyle name="_Header_보고" xfId="91"/>
    <cellStyle name="_Header_보고1(매출)" xfId="92"/>
    <cellStyle name="_Header_보고서_3월 주간추정매출-0322" xfId="93"/>
    <cellStyle name="_Header_보고서_4월 주간추정매출" xfId="94"/>
    <cellStyle name="_Header_보고서_월추정매출" xfId="95"/>
    <cellStyle name="_Header_보고서_주간추정매출" xfId="96"/>
    <cellStyle name="_Header_사본 - 손익(변고정월별)" xfId="97"/>
    <cellStyle name="_Header_사업계획비교(01년02년)" xfId="98"/>
    <cellStyle name="_Header_사업단위별변고정(예실비교)" xfId="99"/>
    <cellStyle name="_Header_상세손익(월별)" xfId="100"/>
    <cellStyle name="_Header_서비스(total)" xfId="101"/>
    <cellStyle name="_Header_서비스(total)_1" xfId="102"/>
    <cellStyle name="_Header_서비스별실적" xfId="103"/>
    <cellStyle name="_Header_손익보고양식(Template)" xfId="104"/>
    <cellStyle name="_Header_시D" xfId="105"/>
    <cellStyle name="_Header_시내" xfId="106"/>
    <cellStyle name="_Header_시내부가 서비스별실적" xfId="107"/>
    <cellStyle name="_Header_시외" xfId="108"/>
    <cellStyle name="_Header_심사분석-잘만드는것(누적목표조정)-8" xfId="109"/>
    <cellStyle name="_Header_역무별 월별 매출" xfId="110"/>
    <cellStyle name="_Header_온라인" xfId="111"/>
    <cellStyle name="_Header_원폼" xfId="112"/>
    <cellStyle name="_Header_월별손익(변고정)" xfId="113"/>
    <cellStyle name="_Header_월별실적" xfId="114"/>
    <cellStyle name="_Header_위D" xfId="115"/>
    <cellStyle name="_Header_전용" xfId="116"/>
    <cellStyle name="_Header_전체" xfId="117"/>
    <cellStyle name="_Header_지사별 실적2" xfId="118"/>
    <cellStyle name="_Header_초고" xfId="119"/>
    <cellStyle name="_Header_통화량(월별,서비스별)" xfId="120"/>
    <cellStyle name="_Header_팀별서비스별" xfId="121"/>
    <cellStyle name="_Header_플라자" xfId="122"/>
    <cellStyle name="_Out비용" xfId="123"/>
    <cellStyle name="_Row1" xfId="124"/>
    <cellStyle name="_Row2" xfId="125"/>
    <cellStyle name="_Row3" xfId="126"/>
    <cellStyle name="_Row4" xfId="127"/>
    <cellStyle name="_Row5" xfId="128"/>
    <cellStyle name="_Row6" xfId="129"/>
    <cellStyle name="_Row7" xfId="130"/>
    <cellStyle name="_감가상각기본" xfId="131"/>
    <cellStyle name="_기본틀(01.1.11-이사회자료)" xfId="132"/>
    <cellStyle name="_데이터(인건비포함)" xfId="133"/>
    <cellStyle name="_서비스팀투자대비효과(안)_021204(수정)" xfId="134"/>
    <cellStyle name="_서울은행-투자추정(01.10.31)" xfId="135"/>
    <cellStyle name="_손익-BS추정(01-02년-11-12)" xfId="136"/>
    <cellStyle name="_영업비용예산(운용센타)_1113" xfId="137"/>
    <cellStyle name="_자금수지 (월별)" xfId="138"/>
    <cellStyle name="_지급어음 11월 30기준" xfId="139"/>
    <cellStyle name="_지급어음잔액 (2002.06)" xfId="140"/>
    <cellStyle name="_지급어음잔액(2002.09)" xfId="141"/>
    <cellStyle name="_추정BS(01-03)" xfId="142"/>
    <cellStyle name="_추정액(빌링수납 및 투자 지출)" xfId="143"/>
    <cellStyle name="_하나로 추가자료 (최종)" xfId="144"/>
    <cellStyle name="¤@?e_TEST-1 " xfId="145"/>
    <cellStyle name="A9쇠스랑" xfId="146"/>
    <cellStyle name="AeE­ [0]_A¾CO½A¼³ " xfId="147"/>
    <cellStyle name="AeE­_A¾CO½A¼³ " xfId="148"/>
    <cellStyle name="AÞ¸¶ [0]_A¾CO½A¼³ " xfId="149"/>
    <cellStyle name="AÞ¸¶_A¾CO½A¼³ " xfId="150"/>
    <cellStyle name="C￥AØ_≫c¾÷ºIº° AN°e " xfId="151"/>
    <cellStyle name="category" xfId="152"/>
    <cellStyle name="Comma [0]" xfId="153"/>
    <cellStyle name="Comma_ SG&amp;A Bridge " xfId="154"/>
    <cellStyle name="Curren?_x0012_퐀_x0017_?" xfId="155"/>
    <cellStyle name="Currency [0]" xfId="156"/>
    <cellStyle name="Currency_ SG&amp;A Bridge " xfId="157"/>
    <cellStyle name="Currency1" xfId="158"/>
    <cellStyle name="Euro" xfId="159"/>
    <cellStyle name="F2" xfId="160"/>
    <cellStyle name="F3" xfId="161"/>
    <cellStyle name="F4" xfId="162"/>
    <cellStyle name="F5" xfId="163"/>
    <cellStyle name="F6" xfId="164"/>
    <cellStyle name="F7" xfId="165"/>
    <cellStyle name="F8" xfId="166"/>
    <cellStyle name="Grey" xfId="167"/>
    <cellStyle name="HEADER" xfId="168"/>
    <cellStyle name="Header1" xfId="169"/>
    <cellStyle name="Header2" xfId="170"/>
    <cellStyle name="Header2 2" xfId="24579"/>
    <cellStyle name="Input [yellow]" xfId="171"/>
    <cellStyle name="Input [yellow] 2" xfId="24580"/>
    <cellStyle name="Milliers [0]_!!!GO" xfId="172"/>
    <cellStyle name="Milliers_!!!GO" xfId="173"/>
    <cellStyle name="Model" xfId="174"/>
    <cellStyle name="Mon?aire [0]_!!!GO" xfId="175"/>
    <cellStyle name="Mon?aire_!!!GO" xfId="176"/>
    <cellStyle name="Normal - Style1" xfId="177"/>
    <cellStyle name="Normal_ SG&amp;A Bridge " xfId="178"/>
    <cellStyle name="oft Excel]_x000d__x000a_Comment=The open=/f lines load custom functions into the Paste Function list._x000d__x000a_Maximized=3_x000d__x000a_AutoFormat=" xfId="179"/>
    <cellStyle name="Percent [2]" xfId="180"/>
    <cellStyle name="Percent_!!!GO" xfId="181"/>
    <cellStyle name="subhead" xfId="182"/>
    <cellStyle name="나쁨 2" xfId="183"/>
    <cellStyle name="뒤에 오는 하이퍼링크_02.2월 추정매출" xfId="184"/>
    <cellStyle name="똿뗦먛귟 [0.00]_PRODUCT DETAIL Q1" xfId="185"/>
    <cellStyle name="똿뗦먛귟_PRODUCT DETAIL Q1" xfId="186"/>
    <cellStyle name="믅됞 [0.00]_PRODUCT DETAIL Q1" xfId="187"/>
    <cellStyle name="믅됞_PRODUCT DETAIL Q1" xfId="188"/>
    <cellStyle name="백분율" xfId="24572" builtinId="5"/>
    <cellStyle name="백분율 10" xfId="189"/>
    <cellStyle name="백분율 11" xfId="190"/>
    <cellStyle name="백분율 12" xfId="191"/>
    <cellStyle name="백분율 2" xfId="4"/>
    <cellStyle name="백분율 3" xfId="192"/>
    <cellStyle name="백분율 4" xfId="193"/>
    <cellStyle name="백분율 5" xfId="194"/>
    <cellStyle name="백분율 6" xfId="195"/>
    <cellStyle name="백분율 7" xfId="196"/>
    <cellStyle name="백분율 8" xfId="197"/>
    <cellStyle name="백분율 9" xfId="198"/>
    <cellStyle name="뷭?_BOOKSHIP" xfId="199"/>
    <cellStyle name="삼일-금지" xfId="200"/>
    <cellStyle name="삼일-금지 2" xfId="24581"/>
    <cellStyle name="삼일-입력" xfId="201"/>
    <cellStyle name="삼일-입력 2" xfId="24582"/>
    <cellStyle name="쉼표" xfId="24573" builtinId="3"/>
    <cellStyle name="쉼표 [0]" xfId="1" builtinId="6"/>
    <cellStyle name="쉼표 [0] 10" xfId="5"/>
    <cellStyle name="쉼표 [0] 11" xfId="202"/>
    <cellStyle name="쉼표 [0] 12" xfId="203"/>
    <cellStyle name="쉼표 [0] 12 2" xfId="204"/>
    <cellStyle name="쉼표 [0] 13" xfId="205"/>
    <cellStyle name="쉼표 [0] 14" xfId="206"/>
    <cellStyle name="쉼표 [0] 15" xfId="17081"/>
    <cellStyle name="쉼표 [0] 2" xfId="3"/>
    <cellStyle name="쉼표 [0] 2 2" xfId="207"/>
    <cellStyle name="쉼표 [0] 2 2 2 2 2" xfId="208"/>
    <cellStyle name="쉼표 [0] 2 3" xfId="209"/>
    <cellStyle name="쉼표 [0] 3" xfId="210"/>
    <cellStyle name="쉼표 [0] 3 2" xfId="6"/>
    <cellStyle name="쉼표 [0] 3 2 2" xfId="24571"/>
    <cellStyle name="쉼표 [0] 3 3" xfId="211"/>
    <cellStyle name="쉼표 [0] 4" xfId="212"/>
    <cellStyle name="쉼표 [0] 5" xfId="213"/>
    <cellStyle name="쉼표 [0] 6" xfId="214"/>
    <cellStyle name="쉼표 [0] 7" xfId="215"/>
    <cellStyle name="쉼표 [0] 8" xfId="216"/>
    <cellStyle name="쉼표 [0] 9" xfId="217"/>
    <cellStyle name="스타일 1" xfId="218"/>
    <cellStyle name="콤마 [0]_ 견적기준 FLOW " xfId="219"/>
    <cellStyle name="콤마_ 견적기준 FLOW " xfId="220"/>
    <cellStyle name="트윈리버(주)" xfId="221"/>
    <cellStyle name="표준" xfId="0" builtinId="0"/>
    <cellStyle name="표준 10" xfId="11"/>
    <cellStyle name="표준 11" xfId="222"/>
    <cellStyle name="표준 11 10" xfId="223"/>
    <cellStyle name="표준 11 10 2" xfId="224"/>
    <cellStyle name="표준 11 10 2 2" xfId="225"/>
    <cellStyle name="표준 11 10 2 2 2" xfId="226"/>
    <cellStyle name="표준 11 10 2 2 2 2" xfId="9602"/>
    <cellStyle name="표준 11 10 2 2 2 2 2" xfId="32069"/>
    <cellStyle name="표준 11 10 2 2 2 3" xfId="17086"/>
    <cellStyle name="표준 11 10 2 2 2 3 2" xfId="39551"/>
    <cellStyle name="표준 11 10 2 2 2 4" xfId="24587"/>
    <cellStyle name="표준 11 10 2 2 3" xfId="9601"/>
    <cellStyle name="표준 11 10 2 2 3 2" xfId="32068"/>
    <cellStyle name="표준 11 10 2 2 4" xfId="17085"/>
    <cellStyle name="표준 11 10 2 2 4 2" xfId="39550"/>
    <cellStyle name="표준 11 10 2 2 5" xfId="24586"/>
    <cellStyle name="표준 11 10 2 2_Sheet4" xfId="227"/>
    <cellStyle name="표준 11 10 2 3" xfId="228"/>
    <cellStyle name="표준 11 10 2 3 2" xfId="9603"/>
    <cellStyle name="표준 11 10 2 3 2 2" xfId="32070"/>
    <cellStyle name="표준 11 10 2 3 3" xfId="17087"/>
    <cellStyle name="표준 11 10 2 3 3 2" xfId="39552"/>
    <cellStyle name="표준 11 10 2 3 4" xfId="24588"/>
    <cellStyle name="표준 11 10 2 4" xfId="9600"/>
    <cellStyle name="표준 11 10 2 4 2" xfId="32067"/>
    <cellStyle name="표준 11 10 2 5" xfId="17084"/>
    <cellStyle name="표준 11 10 2 5 2" xfId="39549"/>
    <cellStyle name="표준 11 10 2 6" xfId="24585"/>
    <cellStyle name="표준 11 10 2_Sheet4" xfId="229"/>
    <cellStyle name="표준 11 10 3" xfId="230"/>
    <cellStyle name="표준 11 10 3 2" xfId="231"/>
    <cellStyle name="표준 11 10 3 2 2" xfId="9605"/>
    <cellStyle name="표준 11 10 3 2 2 2" xfId="32072"/>
    <cellStyle name="표준 11 10 3 2 3" xfId="17089"/>
    <cellStyle name="표준 11 10 3 2 3 2" xfId="39554"/>
    <cellStyle name="표준 11 10 3 2 4" xfId="24590"/>
    <cellStyle name="표준 11 10 3 3" xfId="9604"/>
    <cellStyle name="표준 11 10 3 3 2" xfId="32071"/>
    <cellStyle name="표준 11 10 3 4" xfId="17088"/>
    <cellStyle name="표준 11 10 3 4 2" xfId="39553"/>
    <cellStyle name="표준 11 10 3 5" xfId="24589"/>
    <cellStyle name="표준 11 10 3_Sheet4" xfId="232"/>
    <cellStyle name="표준 11 10 4" xfId="233"/>
    <cellStyle name="표준 11 10 4 2" xfId="9606"/>
    <cellStyle name="표준 11 10 4 2 2" xfId="32073"/>
    <cellStyle name="표준 11 10 4 3" xfId="17090"/>
    <cellStyle name="표준 11 10 4 3 2" xfId="39555"/>
    <cellStyle name="표준 11 10 4 4" xfId="24591"/>
    <cellStyle name="표준 11 10 5" xfId="9599"/>
    <cellStyle name="표준 11 10 5 2" xfId="32066"/>
    <cellStyle name="표준 11 10 6" xfId="17083"/>
    <cellStyle name="표준 11 10 6 2" xfId="39548"/>
    <cellStyle name="표준 11 10 7" xfId="24584"/>
    <cellStyle name="표준 11 10_Sheet4" xfId="234"/>
    <cellStyle name="표준 11 11" xfId="235"/>
    <cellStyle name="표준 11 11 2" xfId="236"/>
    <cellStyle name="표준 11 11 2 2" xfId="237"/>
    <cellStyle name="표준 11 11 2 2 2" xfId="238"/>
    <cellStyle name="표준 11 11 2 2 2 2" xfId="9610"/>
    <cellStyle name="표준 11 11 2 2 2 2 2" xfId="32077"/>
    <cellStyle name="표준 11 11 2 2 2 3" xfId="17094"/>
    <cellStyle name="표준 11 11 2 2 2 3 2" xfId="39559"/>
    <cellStyle name="표준 11 11 2 2 2 4" xfId="24595"/>
    <cellStyle name="표준 11 11 2 2 3" xfId="9609"/>
    <cellStyle name="표준 11 11 2 2 3 2" xfId="32076"/>
    <cellStyle name="표준 11 11 2 2 4" xfId="17093"/>
    <cellStyle name="표준 11 11 2 2 4 2" xfId="39558"/>
    <cellStyle name="표준 11 11 2 2 5" xfId="24594"/>
    <cellStyle name="표준 11 11 2 2_Sheet4" xfId="239"/>
    <cellStyle name="표준 11 11 2 3" xfId="240"/>
    <cellStyle name="표준 11 11 2 3 2" xfId="9611"/>
    <cellStyle name="표준 11 11 2 3 2 2" xfId="32078"/>
    <cellStyle name="표준 11 11 2 3 3" xfId="17095"/>
    <cellStyle name="표준 11 11 2 3 3 2" xfId="39560"/>
    <cellStyle name="표준 11 11 2 3 4" xfId="24596"/>
    <cellStyle name="표준 11 11 2 4" xfId="9608"/>
    <cellStyle name="표준 11 11 2 4 2" xfId="32075"/>
    <cellStyle name="표준 11 11 2 5" xfId="17092"/>
    <cellStyle name="표준 11 11 2 5 2" xfId="39557"/>
    <cellStyle name="표준 11 11 2 6" xfId="24593"/>
    <cellStyle name="표준 11 11 2_Sheet4" xfId="241"/>
    <cellStyle name="표준 11 11 3" xfId="242"/>
    <cellStyle name="표준 11 11 3 2" xfId="243"/>
    <cellStyle name="표준 11 11 3 2 2" xfId="9613"/>
    <cellStyle name="표준 11 11 3 2 2 2" xfId="32080"/>
    <cellStyle name="표준 11 11 3 2 3" xfId="17097"/>
    <cellStyle name="표준 11 11 3 2 3 2" xfId="39562"/>
    <cellStyle name="표준 11 11 3 2 4" xfId="24598"/>
    <cellStyle name="표준 11 11 3 3" xfId="9612"/>
    <cellStyle name="표준 11 11 3 3 2" xfId="32079"/>
    <cellStyle name="표준 11 11 3 4" xfId="17096"/>
    <cellStyle name="표준 11 11 3 4 2" xfId="39561"/>
    <cellStyle name="표준 11 11 3 5" xfId="24597"/>
    <cellStyle name="표준 11 11 3_Sheet4" xfId="244"/>
    <cellStyle name="표준 11 11 4" xfId="245"/>
    <cellStyle name="표준 11 11 4 2" xfId="9614"/>
    <cellStyle name="표준 11 11 4 2 2" xfId="32081"/>
    <cellStyle name="표준 11 11 4 3" xfId="17098"/>
    <cellStyle name="표준 11 11 4 3 2" xfId="39563"/>
    <cellStyle name="표준 11 11 4 4" xfId="24599"/>
    <cellStyle name="표준 11 11 5" xfId="9607"/>
    <cellStyle name="표준 11 11 5 2" xfId="32074"/>
    <cellStyle name="표준 11 11 6" xfId="17091"/>
    <cellStyle name="표준 11 11 6 2" xfId="39556"/>
    <cellStyle name="표준 11 11 7" xfId="24592"/>
    <cellStyle name="표준 11 11_Sheet4" xfId="246"/>
    <cellStyle name="표준 11 12" xfId="247"/>
    <cellStyle name="표준 11 12 2" xfId="248"/>
    <cellStyle name="표준 11 12 2 2" xfId="249"/>
    <cellStyle name="표준 11 12 2 2 2" xfId="9617"/>
    <cellStyle name="표준 11 12 2 2 2 2" xfId="32084"/>
    <cellStyle name="표준 11 12 2 2 3" xfId="17101"/>
    <cellStyle name="표준 11 12 2 2 3 2" xfId="39566"/>
    <cellStyle name="표준 11 12 2 2 4" xfId="24602"/>
    <cellStyle name="표준 11 12 2 3" xfId="9616"/>
    <cellStyle name="표준 11 12 2 3 2" xfId="32083"/>
    <cellStyle name="표준 11 12 2 4" xfId="17100"/>
    <cellStyle name="표준 11 12 2 4 2" xfId="39565"/>
    <cellStyle name="표준 11 12 2 5" xfId="24601"/>
    <cellStyle name="표준 11 12 2_Sheet4" xfId="250"/>
    <cellStyle name="표준 11 12 3" xfId="251"/>
    <cellStyle name="표준 11 12 3 2" xfId="9618"/>
    <cellStyle name="표준 11 12 3 2 2" xfId="32085"/>
    <cellStyle name="표준 11 12 3 3" xfId="17102"/>
    <cellStyle name="표준 11 12 3 3 2" xfId="39567"/>
    <cellStyle name="표준 11 12 3 4" xfId="24603"/>
    <cellStyle name="표준 11 12 4" xfId="9615"/>
    <cellStyle name="표준 11 12 4 2" xfId="32082"/>
    <cellStyle name="표준 11 12 5" xfId="17099"/>
    <cellStyle name="표준 11 12 5 2" xfId="39564"/>
    <cellStyle name="표준 11 12 6" xfId="24600"/>
    <cellStyle name="표준 11 12_Sheet4" xfId="252"/>
    <cellStyle name="표준 11 13" xfId="253"/>
    <cellStyle name="표준 11 13 2" xfId="254"/>
    <cellStyle name="표준 11 13 2 2" xfId="255"/>
    <cellStyle name="표준 11 13 2 2 2" xfId="9621"/>
    <cellStyle name="표준 11 13 2 2 2 2" xfId="32088"/>
    <cellStyle name="표준 11 13 2 2 3" xfId="17105"/>
    <cellStyle name="표준 11 13 2 2 3 2" xfId="39570"/>
    <cellStyle name="표준 11 13 2 2 4" xfId="24606"/>
    <cellStyle name="표준 11 13 2 3" xfId="9620"/>
    <cellStyle name="표준 11 13 2 3 2" xfId="32087"/>
    <cellStyle name="표준 11 13 2 4" xfId="17104"/>
    <cellStyle name="표준 11 13 2 4 2" xfId="39569"/>
    <cellStyle name="표준 11 13 2 5" xfId="24605"/>
    <cellStyle name="표준 11 13 2_Sheet4" xfId="256"/>
    <cellStyle name="표준 11 13 3" xfId="257"/>
    <cellStyle name="표준 11 13 3 2" xfId="9622"/>
    <cellStyle name="표준 11 13 3 2 2" xfId="32089"/>
    <cellStyle name="표준 11 13 3 3" xfId="17106"/>
    <cellStyle name="표준 11 13 3 3 2" xfId="39571"/>
    <cellStyle name="표준 11 13 3 4" xfId="24607"/>
    <cellStyle name="표준 11 13 4" xfId="9619"/>
    <cellStyle name="표준 11 13 4 2" xfId="32086"/>
    <cellStyle name="표준 11 13 5" xfId="17103"/>
    <cellStyle name="표준 11 13 5 2" xfId="39568"/>
    <cellStyle name="표준 11 13 6" xfId="24604"/>
    <cellStyle name="표준 11 13_Sheet4" xfId="258"/>
    <cellStyle name="표준 11 14" xfId="259"/>
    <cellStyle name="표준 11 14 2" xfId="260"/>
    <cellStyle name="표준 11 14 2 2" xfId="261"/>
    <cellStyle name="표준 11 14 2 2 2" xfId="9625"/>
    <cellStyle name="표준 11 14 2 2 2 2" xfId="32092"/>
    <cellStyle name="표준 11 14 2 2 3" xfId="17109"/>
    <cellStyle name="표준 11 14 2 2 3 2" xfId="39574"/>
    <cellStyle name="표준 11 14 2 2 4" xfId="24610"/>
    <cellStyle name="표준 11 14 2 3" xfId="9624"/>
    <cellStyle name="표준 11 14 2 3 2" xfId="32091"/>
    <cellStyle name="표준 11 14 2 4" xfId="17108"/>
    <cellStyle name="표준 11 14 2 4 2" xfId="39573"/>
    <cellStyle name="표준 11 14 2 5" xfId="24609"/>
    <cellStyle name="표준 11 14 2_Sheet4" xfId="262"/>
    <cellStyle name="표준 11 14 3" xfId="263"/>
    <cellStyle name="표준 11 14 3 2" xfId="9626"/>
    <cellStyle name="표준 11 14 3 2 2" xfId="32093"/>
    <cellStyle name="표준 11 14 3 3" xfId="17110"/>
    <cellStyle name="표준 11 14 3 3 2" xfId="39575"/>
    <cellStyle name="표준 11 14 3 4" xfId="24611"/>
    <cellStyle name="표준 11 14 4" xfId="9623"/>
    <cellStyle name="표준 11 14 4 2" xfId="32090"/>
    <cellStyle name="표준 11 14 5" xfId="17107"/>
    <cellStyle name="표준 11 14 5 2" xfId="39572"/>
    <cellStyle name="표준 11 14 6" xfId="24608"/>
    <cellStyle name="표준 11 14_Sheet4" xfId="264"/>
    <cellStyle name="표준 11 15" xfId="265"/>
    <cellStyle name="표준 11 15 2" xfId="266"/>
    <cellStyle name="표준 11 15 2 2" xfId="267"/>
    <cellStyle name="표준 11 15 2 2 2" xfId="9629"/>
    <cellStyle name="표준 11 15 2 2 2 2" xfId="32096"/>
    <cellStyle name="표준 11 15 2 2 3" xfId="17113"/>
    <cellStyle name="표준 11 15 2 2 3 2" xfId="39578"/>
    <cellStyle name="표준 11 15 2 2 4" xfId="24614"/>
    <cellStyle name="표준 11 15 2 3" xfId="9628"/>
    <cellStyle name="표준 11 15 2 3 2" xfId="32095"/>
    <cellStyle name="표준 11 15 2 4" xfId="17112"/>
    <cellStyle name="표준 11 15 2 4 2" xfId="39577"/>
    <cellStyle name="표준 11 15 2 5" xfId="24613"/>
    <cellStyle name="표준 11 15 2_Sheet4" xfId="268"/>
    <cellStyle name="표준 11 15 3" xfId="269"/>
    <cellStyle name="표준 11 15 3 2" xfId="9630"/>
    <cellStyle name="표준 11 15 3 2 2" xfId="32097"/>
    <cellStyle name="표준 11 15 3 3" xfId="17114"/>
    <cellStyle name="표준 11 15 3 3 2" xfId="39579"/>
    <cellStyle name="표준 11 15 3 4" xfId="24615"/>
    <cellStyle name="표준 11 15 4" xfId="9627"/>
    <cellStyle name="표준 11 15 4 2" xfId="32094"/>
    <cellStyle name="표준 11 15 5" xfId="17111"/>
    <cellStyle name="표준 11 15 5 2" xfId="39576"/>
    <cellStyle name="표준 11 15 6" xfId="24612"/>
    <cellStyle name="표준 11 15_Sheet4" xfId="270"/>
    <cellStyle name="표준 11 16" xfId="271"/>
    <cellStyle name="표준 11 16 2" xfId="272"/>
    <cellStyle name="표준 11 16 2 2" xfId="9632"/>
    <cellStyle name="표준 11 16 2 2 2" xfId="32099"/>
    <cellStyle name="표준 11 16 2 3" xfId="17116"/>
    <cellStyle name="표준 11 16 2 3 2" xfId="39581"/>
    <cellStyle name="표준 11 16 2 4" xfId="24617"/>
    <cellStyle name="표준 11 16 3" xfId="9631"/>
    <cellStyle name="표준 11 16 3 2" xfId="32098"/>
    <cellStyle name="표준 11 16 4" xfId="17115"/>
    <cellStyle name="표준 11 16 4 2" xfId="39580"/>
    <cellStyle name="표준 11 16 5" xfId="24616"/>
    <cellStyle name="표준 11 16_Sheet4" xfId="273"/>
    <cellStyle name="표준 11 17" xfId="274"/>
    <cellStyle name="표준 11 17 2" xfId="9633"/>
    <cellStyle name="표준 11 17 2 2" xfId="32100"/>
    <cellStyle name="표준 11 17 3" xfId="17117"/>
    <cellStyle name="표준 11 17 3 2" xfId="39582"/>
    <cellStyle name="표준 11 17 4" xfId="24618"/>
    <cellStyle name="표준 11 18" xfId="275"/>
    <cellStyle name="표준 11 18 2" xfId="9634"/>
    <cellStyle name="표준 11 18 2 2" xfId="32101"/>
    <cellStyle name="표준 11 18 3" xfId="17118"/>
    <cellStyle name="표준 11 18 3 2" xfId="39583"/>
    <cellStyle name="표준 11 18 4" xfId="24619"/>
    <cellStyle name="표준 11 19" xfId="9598"/>
    <cellStyle name="표준 11 19 2" xfId="32065"/>
    <cellStyle name="표준 11 2" xfId="276"/>
    <cellStyle name="표준 11 2 10" xfId="277"/>
    <cellStyle name="표준 11 2 10 2" xfId="278"/>
    <cellStyle name="표준 11 2 10 2 2" xfId="279"/>
    <cellStyle name="표준 11 2 10 2 2 2" xfId="280"/>
    <cellStyle name="표준 11 2 10 2 2 2 2" xfId="9639"/>
    <cellStyle name="표준 11 2 10 2 2 2 2 2" xfId="32106"/>
    <cellStyle name="표준 11 2 10 2 2 2 3" xfId="17123"/>
    <cellStyle name="표준 11 2 10 2 2 2 3 2" xfId="39588"/>
    <cellStyle name="표준 11 2 10 2 2 2 4" xfId="24624"/>
    <cellStyle name="표준 11 2 10 2 2 3" xfId="9638"/>
    <cellStyle name="표준 11 2 10 2 2 3 2" xfId="32105"/>
    <cellStyle name="표준 11 2 10 2 2 4" xfId="17122"/>
    <cellStyle name="표준 11 2 10 2 2 4 2" xfId="39587"/>
    <cellStyle name="표준 11 2 10 2 2 5" xfId="24623"/>
    <cellStyle name="표준 11 2 10 2 2_Sheet4" xfId="281"/>
    <cellStyle name="표준 11 2 10 2 3" xfId="282"/>
    <cellStyle name="표준 11 2 10 2 3 2" xfId="9640"/>
    <cellStyle name="표준 11 2 10 2 3 2 2" xfId="32107"/>
    <cellStyle name="표준 11 2 10 2 3 3" xfId="17124"/>
    <cellStyle name="표준 11 2 10 2 3 3 2" xfId="39589"/>
    <cellStyle name="표준 11 2 10 2 3 4" xfId="24625"/>
    <cellStyle name="표준 11 2 10 2 4" xfId="9637"/>
    <cellStyle name="표준 11 2 10 2 4 2" xfId="32104"/>
    <cellStyle name="표준 11 2 10 2 5" xfId="17121"/>
    <cellStyle name="표준 11 2 10 2 5 2" xfId="39586"/>
    <cellStyle name="표준 11 2 10 2 6" xfId="24622"/>
    <cellStyle name="표준 11 2 10 2_Sheet4" xfId="283"/>
    <cellStyle name="표준 11 2 10 3" xfId="284"/>
    <cellStyle name="표준 11 2 10 3 2" xfId="285"/>
    <cellStyle name="표준 11 2 10 3 2 2" xfId="9642"/>
    <cellStyle name="표준 11 2 10 3 2 2 2" xfId="32109"/>
    <cellStyle name="표준 11 2 10 3 2 3" xfId="17126"/>
    <cellStyle name="표준 11 2 10 3 2 3 2" xfId="39591"/>
    <cellStyle name="표준 11 2 10 3 2 4" xfId="24627"/>
    <cellStyle name="표준 11 2 10 3 3" xfId="9641"/>
    <cellStyle name="표준 11 2 10 3 3 2" xfId="32108"/>
    <cellStyle name="표준 11 2 10 3 4" xfId="17125"/>
    <cellStyle name="표준 11 2 10 3 4 2" xfId="39590"/>
    <cellStyle name="표준 11 2 10 3 5" xfId="24626"/>
    <cellStyle name="표준 11 2 10 3_Sheet4" xfId="286"/>
    <cellStyle name="표준 11 2 10 4" xfId="287"/>
    <cellStyle name="표준 11 2 10 4 2" xfId="9643"/>
    <cellStyle name="표준 11 2 10 4 2 2" xfId="32110"/>
    <cellStyle name="표준 11 2 10 4 3" xfId="17127"/>
    <cellStyle name="표준 11 2 10 4 3 2" xfId="39592"/>
    <cellStyle name="표준 11 2 10 4 4" xfId="24628"/>
    <cellStyle name="표준 11 2 10 5" xfId="9636"/>
    <cellStyle name="표준 11 2 10 5 2" xfId="32103"/>
    <cellStyle name="표준 11 2 10 6" xfId="17120"/>
    <cellStyle name="표준 11 2 10 6 2" xfId="39585"/>
    <cellStyle name="표준 11 2 10 7" xfId="24621"/>
    <cellStyle name="표준 11 2 10_Sheet4" xfId="288"/>
    <cellStyle name="표준 11 2 11" xfId="289"/>
    <cellStyle name="표준 11 2 11 2" xfId="290"/>
    <cellStyle name="표준 11 2 11 2 2" xfId="291"/>
    <cellStyle name="표준 11 2 11 2 2 2" xfId="9646"/>
    <cellStyle name="표준 11 2 11 2 2 2 2" xfId="32113"/>
    <cellStyle name="표준 11 2 11 2 2 3" xfId="17130"/>
    <cellStyle name="표준 11 2 11 2 2 3 2" xfId="39595"/>
    <cellStyle name="표준 11 2 11 2 2 4" xfId="24631"/>
    <cellStyle name="표준 11 2 11 2 3" xfId="9645"/>
    <cellStyle name="표준 11 2 11 2 3 2" xfId="32112"/>
    <cellStyle name="표준 11 2 11 2 4" xfId="17129"/>
    <cellStyle name="표준 11 2 11 2 4 2" xfId="39594"/>
    <cellStyle name="표준 11 2 11 2 5" xfId="24630"/>
    <cellStyle name="표준 11 2 11 2_Sheet4" xfId="292"/>
    <cellStyle name="표준 11 2 11 3" xfId="293"/>
    <cellStyle name="표준 11 2 11 3 2" xfId="9647"/>
    <cellStyle name="표준 11 2 11 3 2 2" xfId="32114"/>
    <cellStyle name="표준 11 2 11 3 3" xfId="17131"/>
    <cellStyle name="표준 11 2 11 3 3 2" xfId="39596"/>
    <cellStyle name="표준 11 2 11 3 4" xfId="24632"/>
    <cellStyle name="표준 11 2 11 4" xfId="9644"/>
    <cellStyle name="표준 11 2 11 4 2" xfId="32111"/>
    <cellStyle name="표준 11 2 11 5" xfId="17128"/>
    <cellStyle name="표준 11 2 11 5 2" xfId="39593"/>
    <cellStyle name="표준 11 2 11 6" xfId="24629"/>
    <cellStyle name="표준 11 2 11_Sheet4" xfId="294"/>
    <cellStyle name="표준 11 2 12" xfId="295"/>
    <cellStyle name="표준 11 2 12 2" xfId="296"/>
    <cellStyle name="표준 11 2 12 2 2" xfId="297"/>
    <cellStyle name="표준 11 2 12 2 2 2" xfId="9650"/>
    <cellStyle name="표준 11 2 12 2 2 2 2" xfId="32117"/>
    <cellStyle name="표준 11 2 12 2 2 3" xfId="17134"/>
    <cellStyle name="표준 11 2 12 2 2 3 2" xfId="39599"/>
    <cellStyle name="표준 11 2 12 2 2 4" xfId="24635"/>
    <cellStyle name="표준 11 2 12 2 3" xfId="9649"/>
    <cellStyle name="표준 11 2 12 2 3 2" xfId="32116"/>
    <cellStyle name="표준 11 2 12 2 4" xfId="17133"/>
    <cellStyle name="표준 11 2 12 2 4 2" xfId="39598"/>
    <cellStyle name="표준 11 2 12 2 5" xfId="24634"/>
    <cellStyle name="표준 11 2 12 2_Sheet4" xfId="298"/>
    <cellStyle name="표준 11 2 12 3" xfId="299"/>
    <cellStyle name="표준 11 2 12 3 2" xfId="9651"/>
    <cellStyle name="표준 11 2 12 3 2 2" xfId="32118"/>
    <cellStyle name="표준 11 2 12 3 3" xfId="17135"/>
    <cellStyle name="표준 11 2 12 3 3 2" xfId="39600"/>
    <cellStyle name="표준 11 2 12 3 4" xfId="24636"/>
    <cellStyle name="표준 11 2 12 4" xfId="9648"/>
    <cellStyle name="표준 11 2 12 4 2" xfId="32115"/>
    <cellStyle name="표준 11 2 12 5" xfId="17132"/>
    <cellStyle name="표준 11 2 12 5 2" xfId="39597"/>
    <cellStyle name="표준 11 2 12 6" xfId="24633"/>
    <cellStyle name="표준 11 2 12_Sheet4" xfId="300"/>
    <cellStyle name="표준 11 2 13" xfId="301"/>
    <cellStyle name="표준 11 2 13 2" xfId="302"/>
    <cellStyle name="표준 11 2 13 2 2" xfId="303"/>
    <cellStyle name="표준 11 2 13 2 2 2" xfId="9654"/>
    <cellStyle name="표준 11 2 13 2 2 2 2" xfId="32121"/>
    <cellStyle name="표준 11 2 13 2 2 3" xfId="17138"/>
    <cellStyle name="표준 11 2 13 2 2 3 2" xfId="39603"/>
    <cellStyle name="표준 11 2 13 2 2 4" xfId="24639"/>
    <cellStyle name="표준 11 2 13 2 3" xfId="9653"/>
    <cellStyle name="표준 11 2 13 2 3 2" xfId="32120"/>
    <cellStyle name="표준 11 2 13 2 4" xfId="17137"/>
    <cellStyle name="표준 11 2 13 2 4 2" xfId="39602"/>
    <cellStyle name="표준 11 2 13 2 5" xfId="24638"/>
    <cellStyle name="표준 11 2 13 2_Sheet4" xfId="304"/>
    <cellStyle name="표준 11 2 13 3" xfId="305"/>
    <cellStyle name="표준 11 2 13 3 2" xfId="9655"/>
    <cellStyle name="표준 11 2 13 3 2 2" xfId="32122"/>
    <cellStyle name="표준 11 2 13 3 3" xfId="17139"/>
    <cellStyle name="표준 11 2 13 3 3 2" xfId="39604"/>
    <cellStyle name="표준 11 2 13 3 4" xfId="24640"/>
    <cellStyle name="표준 11 2 13 4" xfId="9652"/>
    <cellStyle name="표준 11 2 13 4 2" xfId="32119"/>
    <cellStyle name="표준 11 2 13 5" xfId="17136"/>
    <cellStyle name="표준 11 2 13 5 2" xfId="39601"/>
    <cellStyle name="표준 11 2 13 6" xfId="24637"/>
    <cellStyle name="표준 11 2 13_Sheet4" xfId="306"/>
    <cellStyle name="표준 11 2 14" xfId="307"/>
    <cellStyle name="표준 11 2 14 2" xfId="308"/>
    <cellStyle name="표준 11 2 14 2 2" xfId="309"/>
    <cellStyle name="표준 11 2 14 2 2 2" xfId="9658"/>
    <cellStyle name="표준 11 2 14 2 2 2 2" xfId="32125"/>
    <cellStyle name="표준 11 2 14 2 2 3" xfId="17142"/>
    <cellStyle name="표준 11 2 14 2 2 3 2" xfId="39607"/>
    <cellStyle name="표준 11 2 14 2 2 4" xfId="24643"/>
    <cellStyle name="표준 11 2 14 2 3" xfId="9657"/>
    <cellStyle name="표준 11 2 14 2 3 2" xfId="32124"/>
    <cellStyle name="표준 11 2 14 2 4" xfId="17141"/>
    <cellStyle name="표준 11 2 14 2 4 2" xfId="39606"/>
    <cellStyle name="표준 11 2 14 2 5" xfId="24642"/>
    <cellStyle name="표준 11 2 14 2_Sheet4" xfId="310"/>
    <cellStyle name="표준 11 2 14 3" xfId="311"/>
    <cellStyle name="표준 11 2 14 3 2" xfId="9659"/>
    <cellStyle name="표준 11 2 14 3 2 2" xfId="32126"/>
    <cellStyle name="표준 11 2 14 3 3" xfId="17143"/>
    <cellStyle name="표준 11 2 14 3 3 2" xfId="39608"/>
    <cellStyle name="표준 11 2 14 3 4" xfId="24644"/>
    <cellStyle name="표준 11 2 14 4" xfId="9656"/>
    <cellStyle name="표준 11 2 14 4 2" xfId="32123"/>
    <cellStyle name="표준 11 2 14 5" xfId="17140"/>
    <cellStyle name="표준 11 2 14 5 2" xfId="39605"/>
    <cellStyle name="표준 11 2 14 6" xfId="24641"/>
    <cellStyle name="표준 11 2 14_Sheet4" xfId="312"/>
    <cellStyle name="표준 11 2 15" xfId="313"/>
    <cellStyle name="표준 11 2 15 2" xfId="314"/>
    <cellStyle name="표준 11 2 15 2 2" xfId="9661"/>
    <cellStyle name="표준 11 2 15 2 2 2" xfId="32128"/>
    <cellStyle name="표준 11 2 15 2 3" xfId="17145"/>
    <cellStyle name="표준 11 2 15 2 3 2" xfId="39610"/>
    <cellStyle name="표준 11 2 15 2 4" xfId="24646"/>
    <cellStyle name="표준 11 2 15 3" xfId="9660"/>
    <cellStyle name="표준 11 2 15 3 2" xfId="32127"/>
    <cellStyle name="표준 11 2 15 4" xfId="17144"/>
    <cellStyle name="표준 11 2 15 4 2" xfId="39609"/>
    <cellStyle name="표준 11 2 15 5" xfId="24645"/>
    <cellStyle name="표준 11 2 15_Sheet4" xfId="315"/>
    <cellStyle name="표준 11 2 16" xfId="316"/>
    <cellStyle name="표준 11 2 16 2" xfId="9662"/>
    <cellStyle name="표준 11 2 16 2 2" xfId="32129"/>
    <cellStyle name="표준 11 2 16 3" xfId="17146"/>
    <cellStyle name="표준 11 2 16 3 2" xfId="39611"/>
    <cellStyle name="표준 11 2 16 4" xfId="24647"/>
    <cellStyle name="표준 11 2 17" xfId="317"/>
    <cellStyle name="표준 11 2 17 2" xfId="9663"/>
    <cellStyle name="표준 11 2 17 2 2" xfId="32130"/>
    <cellStyle name="표준 11 2 17 3" xfId="17147"/>
    <cellStyle name="표준 11 2 17 3 2" xfId="39612"/>
    <cellStyle name="표준 11 2 17 4" xfId="24648"/>
    <cellStyle name="표준 11 2 18" xfId="9635"/>
    <cellStyle name="표준 11 2 18 2" xfId="32102"/>
    <cellStyle name="표준 11 2 19" xfId="17119"/>
    <cellStyle name="표준 11 2 19 2" xfId="39584"/>
    <cellStyle name="표준 11 2 2" xfId="318"/>
    <cellStyle name="표준 11 2 2 10" xfId="319"/>
    <cellStyle name="표준 11 2 2 10 2" xfId="320"/>
    <cellStyle name="표준 11 2 2 10 2 2" xfId="321"/>
    <cellStyle name="표준 11 2 2 10 2 2 2" xfId="9667"/>
    <cellStyle name="표준 11 2 2 10 2 2 2 2" xfId="32134"/>
    <cellStyle name="표준 11 2 2 10 2 2 3" xfId="17151"/>
    <cellStyle name="표준 11 2 2 10 2 2 3 2" xfId="39616"/>
    <cellStyle name="표준 11 2 2 10 2 2 4" xfId="24652"/>
    <cellStyle name="표준 11 2 2 10 2 3" xfId="9666"/>
    <cellStyle name="표준 11 2 2 10 2 3 2" xfId="32133"/>
    <cellStyle name="표준 11 2 2 10 2 4" xfId="17150"/>
    <cellStyle name="표준 11 2 2 10 2 4 2" xfId="39615"/>
    <cellStyle name="표준 11 2 2 10 2 5" xfId="24651"/>
    <cellStyle name="표준 11 2 2 10 2_Sheet4" xfId="322"/>
    <cellStyle name="표준 11 2 2 10 3" xfId="323"/>
    <cellStyle name="표준 11 2 2 10 3 2" xfId="9668"/>
    <cellStyle name="표준 11 2 2 10 3 2 2" xfId="32135"/>
    <cellStyle name="표준 11 2 2 10 3 3" xfId="17152"/>
    <cellStyle name="표준 11 2 2 10 3 3 2" xfId="39617"/>
    <cellStyle name="표준 11 2 2 10 3 4" xfId="24653"/>
    <cellStyle name="표준 11 2 2 10 4" xfId="9665"/>
    <cellStyle name="표준 11 2 2 10 4 2" xfId="32132"/>
    <cellStyle name="표준 11 2 2 10 5" xfId="17149"/>
    <cellStyle name="표준 11 2 2 10 5 2" xfId="39614"/>
    <cellStyle name="표준 11 2 2 10 6" xfId="24650"/>
    <cellStyle name="표준 11 2 2 10_Sheet4" xfId="324"/>
    <cellStyle name="표준 11 2 2 11" xfId="325"/>
    <cellStyle name="표준 11 2 2 11 2" xfId="326"/>
    <cellStyle name="표준 11 2 2 11 2 2" xfId="327"/>
    <cellStyle name="표준 11 2 2 11 2 2 2" xfId="9671"/>
    <cellStyle name="표준 11 2 2 11 2 2 2 2" xfId="32138"/>
    <cellStyle name="표준 11 2 2 11 2 2 3" xfId="17155"/>
    <cellStyle name="표준 11 2 2 11 2 2 3 2" xfId="39620"/>
    <cellStyle name="표준 11 2 2 11 2 2 4" xfId="24656"/>
    <cellStyle name="표준 11 2 2 11 2 3" xfId="9670"/>
    <cellStyle name="표준 11 2 2 11 2 3 2" xfId="32137"/>
    <cellStyle name="표준 11 2 2 11 2 4" xfId="17154"/>
    <cellStyle name="표준 11 2 2 11 2 4 2" xfId="39619"/>
    <cellStyle name="표준 11 2 2 11 2 5" xfId="24655"/>
    <cellStyle name="표준 11 2 2 11 2_Sheet4" xfId="328"/>
    <cellStyle name="표준 11 2 2 11 3" xfId="329"/>
    <cellStyle name="표준 11 2 2 11 3 2" xfId="9672"/>
    <cellStyle name="표준 11 2 2 11 3 2 2" xfId="32139"/>
    <cellStyle name="표준 11 2 2 11 3 3" xfId="17156"/>
    <cellStyle name="표준 11 2 2 11 3 3 2" xfId="39621"/>
    <cellStyle name="표준 11 2 2 11 3 4" xfId="24657"/>
    <cellStyle name="표준 11 2 2 11 4" xfId="9669"/>
    <cellStyle name="표준 11 2 2 11 4 2" xfId="32136"/>
    <cellStyle name="표준 11 2 2 11 5" xfId="17153"/>
    <cellStyle name="표준 11 2 2 11 5 2" xfId="39618"/>
    <cellStyle name="표준 11 2 2 11 6" xfId="24654"/>
    <cellStyle name="표준 11 2 2 11_Sheet4" xfId="330"/>
    <cellStyle name="표준 11 2 2 12" xfId="331"/>
    <cellStyle name="표준 11 2 2 12 2" xfId="332"/>
    <cellStyle name="표준 11 2 2 12 2 2" xfId="333"/>
    <cellStyle name="표준 11 2 2 12 2 2 2" xfId="9675"/>
    <cellStyle name="표준 11 2 2 12 2 2 2 2" xfId="32142"/>
    <cellStyle name="표준 11 2 2 12 2 2 3" xfId="17159"/>
    <cellStyle name="표준 11 2 2 12 2 2 3 2" xfId="39624"/>
    <cellStyle name="표준 11 2 2 12 2 2 4" xfId="24660"/>
    <cellStyle name="표준 11 2 2 12 2 3" xfId="9674"/>
    <cellStyle name="표준 11 2 2 12 2 3 2" xfId="32141"/>
    <cellStyle name="표준 11 2 2 12 2 4" xfId="17158"/>
    <cellStyle name="표준 11 2 2 12 2 4 2" xfId="39623"/>
    <cellStyle name="표준 11 2 2 12 2 5" xfId="24659"/>
    <cellStyle name="표준 11 2 2 12 2_Sheet4" xfId="334"/>
    <cellStyle name="표준 11 2 2 12 3" xfId="335"/>
    <cellStyle name="표준 11 2 2 12 3 2" xfId="9676"/>
    <cellStyle name="표준 11 2 2 12 3 2 2" xfId="32143"/>
    <cellStyle name="표준 11 2 2 12 3 3" xfId="17160"/>
    <cellStyle name="표준 11 2 2 12 3 3 2" xfId="39625"/>
    <cellStyle name="표준 11 2 2 12 3 4" xfId="24661"/>
    <cellStyle name="표준 11 2 2 12 4" xfId="9673"/>
    <cellStyle name="표준 11 2 2 12 4 2" xfId="32140"/>
    <cellStyle name="표준 11 2 2 12 5" xfId="17157"/>
    <cellStyle name="표준 11 2 2 12 5 2" xfId="39622"/>
    <cellStyle name="표준 11 2 2 12 6" xfId="24658"/>
    <cellStyle name="표준 11 2 2 12_Sheet4" xfId="336"/>
    <cellStyle name="표준 11 2 2 13" xfId="337"/>
    <cellStyle name="표준 11 2 2 13 2" xfId="338"/>
    <cellStyle name="표준 11 2 2 13 2 2" xfId="9678"/>
    <cellStyle name="표준 11 2 2 13 2 2 2" xfId="32145"/>
    <cellStyle name="표준 11 2 2 13 2 3" xfId="17162"/>
    <cellStyle name="표준 11 2 2 13 2 3 2" xfId="39627"/>
    <cellStyle name="표준 11 2 2 13 2 4" xfId="24663"/>
    <cellStyle name="표준 11 2 2 13 3" xfId="9677"/>
    <cellStyle name="표준 11 2 2 13 3 2" xfId="32144"/>
    <cellStyle name="표준 11 2 2 13 4" xfId="17161"/>
    <cellStyle name="표준 11 2 2 13 4 2" xfId="39626"/>
    <cellStyle name="표준 11 2 2 13 5" xfId="24662"/>
    <cellStyle name="표준 11 2 2 13_Sheet4" xfId="339"/>
    <cellStyle name="표준 11 2 2 14" xfId="340"/>
    <cellStyle name="표준 11 2 2 14 2" xfId="9679"/>
    <cellStyle name="표준 11 2 2 14 2 2" xfId="32146"/>
    <cellStyle name="표준 11 2 2 14 3" xfId="17163"/>
    <cellStyle name="표준 11 2 2 14 3 2" xfId="39628"/>
    <cellStyle name="표준 11 2 2 14 4" xfId="24664"/>
    <cellStyle name="표준 11 2 2 15" xfId="9664"/>
    <cellStyle name="표준 11 2 2 15 2" xfId="32131"/>
    <cellStyle name="표준 11 2 2 16" xfId="17148"/>
    <cellStyle name="표준 11 2 2 16 2" xfId="39613"/>
    <cellStyle name="표준 11 2 2 17" xfId="24649"/>
    <cellStyle name="표준 11 2 2 2" xfId="341"/>
    <cellStyle name="표준 11 2 2 2 10" xfId="9680"/>
    <cellStyle name="표준 11 2 2 2 10 2" xfId="32147"/>
    <cellStyle name="표준 11 2 2 2 11" xfId="17164"/>
    <cellStyle name="표준 11 2 2 2 11 2" xfId="39629"/>
    <cellStyle name="표준 11 2 2 2 12" xfId="24665"/>
    <cellStyle name="표준 11 2 2 2 2" xfId="342"/>
    <cellStyle name="표준 11 2 2 2 2 10" xfId="24666"/>
    <cellStyle name="표준 11 2 2 2 2 2" xfId="343"/>
    <cellStyle name="표준 11 2 2 2 2 2 2" xfId="344"/>
    <cellStyle name="표준 11 2 2 2 2 2 2 2" xfId="345"/>
    <cellStyle name="표준 11 2 2 2 2 2 2 2 2" xfId="346"/>
    <cellStyle name="표준 11 2 2 2 2 2 2 2 2 2" xfId="347"/>
    <cellStyle name="표준 11 2 2 2 2 2 2 2 2 2 2" xfId="9686"/>
    <cellStyle name="표준 11 2 2 2 2 2 2 2 2 2 2 2" xfId="32153"/>
    <cellStyle name="표준 11 2 2 2 2 2 2 2 2 2 3" xfId="17170"/>
    <cellStyle name="표준 11 2 2 2 2 2 2 2 2 2 3 2" xfId="39635"/>
    <cellStyle name="표준 11 2 2 2 2 2 2 2 2 2 4" xfId="24671"/>
    <cellStyle name="표준 11 2 2 2 2 2 2 2 2 3" xfId="9685"/>
    <cellStyle name="표준 11 2 2 2 2 2 2 2 2 3 2" xfId="32152"/>
    <cellStyle name="표준 11 2 2 2 2 2 2 2 2 4" xfId="17169"/>
    <cellStyle name="표준 11 2 2 2 2 2 2 2 2 4 2" xfId="39634"/>
    <cellStyle name="표준 11 2 2 2 2 2 2 2 2 5" xfId="24670"/>
    <cellStyle name="표준 11 2 2 2 2 2 2 2 2_Sheet4" xfId="348"/>
    <cellStyle name="표준 11 2 2 2 2 2 2 2 3" xfId="349"/>
    <cellStyle name="표준 11 2 2 2 2 2 2 2 3 2" xfId="9687"/>
    <cellStyle name="표준 11 2 2 2 2 2 2 2 3 2 2" xfId="32154"/>
    <cellStyle name="표준 11 2 2 2 2 2 2 2 3 3" xfId="17171"/>
    <cellStyle name="표준 11 2 2 2 2 2 2 2 3 3 2" xfId="39636"/>
    <cellStyle name="표준 11 2 2 2 2 2 2 2 3 4" xfId="24672"/>
    <cellStyle name="표준 11 2 2 2 2 2 2 2 4" xfId="9684"/>
    <cellStyle name="표준 11 2 2 2 2 2 2 2 4 2" xfId="32151"/>
    <cellStyle name="표준 11 2 2 2 2 2 2 2 5" xfId="17168"/>
    <cellStyle name="표준 11 2 2 2 2 2 2 2 5 2" xfId="39633"/>
    <cellStyle name="표준 11 2 2 2 2 2 2 2 6" xfId="24669"/>
    <cellStyle name="표준 11 2 2 2 2 2 2 2_Sheet4" xfId="350"/>
    <cellStyle name="표준 11 2 2 2 2 2 2 3" xfId="351"/>
    <cellStyle name="표준 11 2 2 2 2 2 2 3 2" xfId="352"/>
    <cellStyle name="표준 11 2 2 2 2 2 2 3 2 2" xfId="9689"/>
    <cellStyle name="표준 11 2 2 2 2 2 2 3 2 2 2" xfId="32156"/>
    <cellStyle name="표준 11 2 2 2 2 2 2 3 2 3" xfId="17173"/>
    <cellStyle name="표준 11 2 2 2 2 2 2 3 2 3 2" xfId="39638"/>
    <cellStyle name="표준 11 2 2 2 2 2 2 3 2 4" xfId="24674"/>
    <cellStyle name="표준 11 2 2 2 2 2 2 3 3" xfId="9688"/>
    <cellStyle name="표준 11 2 2 2 2 2 2 3 3 2" xfId="32155"/>
    <cellStyle name="표준 11 2 2 2 2 2 2 3 4" xfId="17172"/>
    <cellStyle name="표준 11 2 2 2 2 2 2 3 4 2" xfId="39637"/>
    <cellStyle name="표준 11 2 2 2 2 2 2 3 5" xfId="24673"/>
    <cellStyle name="표준 11 2 2 2 2 2 2 3_Sheet4" xfId="353"/>
    <cellStyle name="표준 11 2 2 2 2 2 2 4" xfId="354"/>
    <cellStyle name="표준 11 2 2 2 2 2 2 4 2" xfId="9690"/>
    <cellStyle name="표준 11 2 2 2 2 2 2 4 2 2" xfId="32157"/>
    <cellStyle name="표준 11 2 2 2 2 2 2 4 3" xfId="17174"/>
    <cellStyle name="표준 11 2 2 2 2 2 2 4 3 2" xfId="39639"/>
    <cellStyle name="표준 11 2 2 2 2 2 2 4 4" xfId="24675"/>
    <cellStyle name="표준 11 2 2 2 2 2 2 5" xfId="9683"/>
    <cellStyle name="표준 11 2 2 2 2 2 2 5 2" xfId="32150"/>
    <cellStyle name="표준 11 2 2 2 2 2 2 6" xfId="17167"/>
    <cellStyle name="표준 11 2 2 2 2 2 2 6 2" xfId="39632"/>
    <cellStyle name="표준 11 2 2 2 2 2 2 7" xfId="24668"/>
    <cellStyle name="표준 11 2 2 2 2 2 2_Sheet4" xfId="355"/>
    <cellStyle name="표준 11 2 2 2 2 2 3" xfId="356"/>
    <cellStyle name="표준 11 2 2 2 2 2 3 2" xfId="357"/>
    <cellStyle name="표준 11 2 2 2 2 2 3 2 2" xfId="358"/>
    <cellStyle name="표준 11 2 2 2 2 2 3 2 2 2" xfId="9693"/>
    <cellStyle name="표준 11 2 2 2 2 2 3 2 2 2 2" xfId="32160"/>
    <cellStyle name="표준 11 2 2 2 2 2 3 2 2 3" xfId="17177"/>
    <cellStyle name="표준 11 2 2 2 2 2 3 2 2 3 2" xfId="39642"/>
    <cellStyle name="표준 11 2 2 2 2 2 3 2 2 4" xfId="24678"/>
    <cellStyle name="표준 11 2 2 2 2 2 3 2 3" xfId="9692"/>
    <cellStyle name="표준 11 2 2 2 2 2 3 2 3 2" xfId="32159"/>
    <cellStyle name="표준 11 2 2 2 2 2 3 2 4" xfId="17176"/>
    <cellStyle name="표준 11 2 2 2 2 2 3 2 4 2" xfId="39641"/>
    <cellStyle name="표준 11 2 2 2 2 2 3 2 5" xfId="24677"/>
    <cellStyle name="표준 11 2 2 2 2 2 3 2_Sheet4" xfId="359"/>
    <cellStyle name="표준 11 2 2 2 2 2 3 3" xfId="360"/>
    <cellStyle name="표준 11 2 2 2 2 2 3 3 2" xfId="9694"/>
    <cellStyle name="표준 11 2 2 2 2 2 3 3 2 2" xfId="32161"/>
    <cellStyle name="표준 11 2 2 2 2 2 3 3 3" xfId="17178"/>
    <cellStyle name="표준 11 2 2 2 2 2 3 3 3 2" xfId="39643"/>
    <cellStyle name="표준 11 2 2 2 2 2 3 3 4" xfId="24679"/>
    <cellStyle name="표준 11 2 2 2 2 2 3 4" xfId="9691"/>
    <cellStyle name="표준 11 2 2 2 2 2 3 4 2" xfId="32158"/>
    <cellStyle name="표준 11 2 2 2 2 2 3 5" xfId="17175"/>
    <cellStyle name="표준 11 2 2 2 2 2 3 5 2" xfId="39640"/>
    <cellStyle name="표준 11 2 2 2 2 2 3 6" xfId="24676"/>
    <cellStyle name="표준 11 2 2 2 2 2 3_Sheet4" xfId="361"/>
    <cellStyle name="표준 11 2 2 2 2 2 4" xfId="362"/>
    <cellStyle name="표준 11 2 2 2 2 2 4 2" xfId="363"/>
    <cellStyle name="표준 11 2 2 2 2 2 4 2 2" xfId="9696"/>
    <cellStyle name="표준 11 2 2 2 2 2 4 2 2 2" xfId="32163"/>
    <cellStyle name="표준 11 2 2 2 2 2 4 2 3" xfId="17180"/>
    <cellStyle name="표준 11 2 2 2 2 2 4 2 3 2" xfId="39645"/>
    <cellStyle name="표준 11 2 2 2 2 2 4 2 4" xfId="24681"/>
    <cellStyle name="표준 11 2 2 2 2 2 4 3" xfId="9695"/>
    <cellStyle name="표준 11 2 2 2 2 2 4 3 2" xfId="32162"/>
    <cellStyle name="표준 11 2 2 2 2 2 4 4" xfId="17179"/>
    <cellStyle name="표준 11 2 2 2 2 2 4 4 2" xfId="39644"/>
    <cellStyle name="표준 11 2 2 2 2 2 4 5" xfId="24680"/>
    <cellStyle name="표준 11 2 2 2 2 2 4_Sheet4" xfId="364"/>
    <cellStyle name="표준 11 2 2 2 2 2 5" xfId="365"/>
    <cellStyle name="표준 11 2 2 2 2 2 5 2" xfId="9697"/>
    <cellStyle name="표준 11 2 2 2 2 2 5 2 2" xfId="32164"/>
    <cellStyle name="표준 11 2 2 2 2 2 5 3" xfId="17181"/>
    <cellStyle name="표준 11 2 2 2 2 2 5 3 2" xfId="39646"/>
    <cellStyle name="표준 11 2 2 2 2 2 5 4" xfId="24682"/>
    <cellStyle name="표준 11 2 2 2 2 2 6" xfId="9682"/>
    <cellStyle name="표준 11 2 2 2 2 2 6 2" xfId="32149"/>
    <cellStyle name="표준 11 2 2 2 2 2 7" xfId="17166"/>
    <cellStyle name="표준 11 2 2 2 2 2 7 2" xfId="39631"/>
    <cellStyle name="표준 11 2 2 2 2 2 8" xfId="24667"/>
    <cellStyle name="표준 11 2 2 2 2 2_Sheet4" xfId="366"/>
    <cellStyle name="표준 11 2 2 2 2 3" xfId="367"/>
    <cellStyle name="표준 11 2 2 2 2 3 2" xfId="368"/>
    <cellStyle name="표준 11 2 2 2 2 3 2 2" xfId="369"/>
    <cellStyle name="표준 11 2 2 2 2 3 2 2 2" xfId="370"/>
    <cellStyle name="표준 11 2 2 2 2 3 2 2 2 2" xfId="371"/>
    <cellStyle name="표준 11 2 2 2 2 3 2 2 2 2 2" xfId="9702"/>
    <cellStyle name="표준 11 2 2 2 2 3 2 2 2 2 2 2" xfId="32169"/>
    <cellStyle name="표준 11 2 2 2 2 3 2 2 2 2 3" xfId="17186"/>
    <cellStyle name="표준 11 2 2 2 2 3 2 2 2 2 3 2" xfId="39651"/>
    <cellStyle name="표준 11 2 2 2 2 3 2 2 2 2 4" xfId="24687"/>
    <cellStyle name="표준 11 2 2 2 2 3 2 2 2 3" xfId="9701"/>
    <cellStyle name="표준 11 2 2 2 2 3 2 2 2 3 2" xfId="32168"/>
    <cellStyle name="표준 11 2 2 2 2 3 2 2 2 4" xfId="17185"/>
    <cellStyle name="표준 11 2 2 2 2 3 2 2 2 4 2" xfId="39650"/>
    <cellStyle name="표준 11 2 2 2 2 3 2 2 2 5" xfId="24686"/>
    <cellStyle name="표준 11 2 2 2 2 3 2 2 2_Sheet4" xfId="372"/>
    <cellStyle name="표준 11 2 2 2 2 3 2 2 3" xfId="373"/>
    <cellStyle name="표준 11 2 2 2 2 3 2 2 3 2" xfId="9703"/>
    <cellStyle name="표준 11 2 2 2 2 3 2 2 3 2 2" xfId="32170"/>
    <cellStyle name="표준 11 2 2 2 2 3 2 2 3 3" xfId="17187"/>
    <cellStyle name="표준 11 2 2 2 2 3 2 2 3 3 2" xfId="39652"/>
    <cellStyle name="표준 11 2 2 2 2 3 2 2 3 4" xfId="24688"/>
    <cellStyle name="표준 11 2 2 2 2 3 2 2 4" xfId="9700"/>
    <cellStyle name="표준 11 2 2 2 2 3 2 2 4 2" xfId="32167"/>
    <cellStyle name="표준 11 2 2 2 2 3 2 2 5" xfId="17184"/>
    <cellStyle name="표준 11 2 2 2 2 3 2 2 5 2" xfId="39649"/>
    <cellStyle name="표준 11 2 2 2 2 3 2 2 6" xfId="24685"/>
    <cellStyle name="표준 11 2 2 2 2 3 2 2_Sheet4" xfId="374"/>
    <cellStyle name="표준 11 2 2 2 2 3 2 3" xfId="375"/>
    <cellStyle name="표준 11 2 2 2 2 3 2 3 2" xfId="376"/>
    <cellStyle name="표준 11 2 2 2 2 3 2 3 2 2" xfId="9705"/>
    <cellStyle name="표준 11 2 2 2 2 3 2 3 2 2 2" xfId="32172"/>
    <cellStyle name="표준 11 2 2 2 2 3 2 3 2 3" xfId="17189"/>
    <cellStyle name="표준 11 2 2 2 2 3 2 3 2 3 2" xfId="39654"/>
    <cellStyle name="표준 11 2 2 2 2 3 2 3 2 4" xfId="24690"/>
    <cellStyle name="표준 11 2 2 2 2 3 2 3 3" xfId="9704"/>
    <cellStyle name="표준 11 2 2 2 2 3 2 3 3 2" xfId="32171"/>
    <cellStyle name="표준 11 2 2 2 2 3 2 3 4" xfId="17188"/>
    <cellStyle name="표준 11 2 2 2 2 3 2 3 4 2" xfId="39653"/>
    <cellStyle name="표준 11 2 2 2 2 3 2 3 5" xfId="24689"/>
    <cellStyle name="표준 11 2 2 2 2 3 2 3_Sheet4" xfId="377"/>
    <cellStyle name="표준 11 2 2 2 2 3 2 4" xfId="378"/>
    <cellStyle name="표준 11 2 2 2 2 3 2 4 2" xfId="9706"/>
    <cellStyle name="표준 11 2 2 2 2 3 2 4 2 2" xfId="32173"/>
    <cellStyle name="표준 11 2 2 2 2 3 2 4 3" xfId="17190"/>
    <cellStyle name="표준 11 2 2 2 2 3 2 4 3 2" xfId="39655"/>
    <cellStyle name="표준 11 2 2 2 2 3 2 4 4" xfId="24691"/>
    <cellStyle name="표준 11 2 2 2 2 3 2 5" xfId="9699"/>
    <cellStyle name="표준 11 2 2 2 2 3 2 5 2" xfId="32166"/>
    <cellStyle name="표준 11 2 2 2 2 3 2 6" xfId="17183"/>
    <cellStyle name="표준 11 2 2 2 2 3 2 6 2" xfId="39648"/>
    <cellStyle name="표준 11 2 2 2 2 3 2 7" xfId="24684"/>
    <cellStyle name="표준 11 2 2 2 2 3 2_Sheet4" xfId="379"/>
    <cellStyle name="표준 11 2 2 2 2 3 3" xfId="380"/>
    <cellStyle name="표준 11 2 2 2 2 3 3 2" xfId="381"/>
    <cellStyle name="표준 11 2 2 2 2 3 3 2 2" xfId="382"/>
    <cellStyle name="표준 11 2 2 2 2 3 3 2 2 2" xfId="9709"/>
    <cellStyle name="표준 11 2 2 2 2 3 3 2 2 2 2" xfId="32176"/>
    <cellStyle name="표준 11 2 2 2 2 3 3 2 2 3" xfId="17193"/>
    <cellStyle name="표준 11 2 2 2 2 3 3 2 2 3 2" xfId="39658"/>
    <cellStyle name="표준 11 2 2 2 2 3 3 2 2 4" xfId="24694"/>
    <cellStyle name="표준 11 2 2 2 2 3 3 2 3" xfId="9708"/>
    <cellStyle name="표준 11 2 2 2 2 3 3 2 3 2" xfId="32175"/>
    <cellStyle name="표준 11 2 2 2 2 3 3 2 4" xfId="17192"/>
    <cellStyle name="표준 11 2 2 2 2 3 3 2 4 2" xfId="39657"/>
    <cellStyle name="표준 11 2 2 2 2 3 3 2 5" xfId="24693"/>
    <cellStyle name="표준 11 2 2 2 2 3 3 2_Sheet4" xfId="383"/>
    <cellStyle name="표준 11 2 2 2 2 3 3 3" xfId="384"/>
    <cellStyle name="표준 11 2 2 2 2 3 3 3 2" xfId="9710"/>
    <cellStyle name="표준 11 2 2 2 2 3 3 3 2 2" xfId="32177"/>
    <cellStyle name="표준 11 2 2 2 2 3 3 3 3" xfId="17194"/>
    <cellStyle name="표준 11 2 2 2 2 3 3 3 3 2" xfId="39659"/>
    <cellStyle name="표준 11 2 2 2 2 3 3 3 4" xfId="24695"/>
    <cellStyle name="표준 11 2 2 2 2 3 3 4" xfId="9707"/>
    <cellStyle name="표준 11 2 2 2 2 3 3 4 2" xfId="32174"/>
    <cellStyle name="표준 11 2 2 2 2 3 3 5" xfId="17191"/>
    <cellStyle name="표준 11 2 2 2 2 3 3 5 2" xfId="39656"/>
    <cellStyle name="표준 11 2 2 2 2 3 3 6" xfId="24692"/>
    <cellStyle name="표준 11 2 2 2 2 3 3_Sheet4" xfId="385"/>
    <cellStyle name="표준 11 2 2 2 2 3 4" xfId="386"/>
    <cellStyle name="표준 11 2 2 2 2 3 4 2" xfId="387"/>
    <cellStyle name="표준 11 2 2 2 2 3 4 2 2" xfId="9712"/>
    <cellStyle name="표준 11 2 2 2 2 3 4 2 2 2" xfId="32179"/>
    <cellStyle name="표준 11 2 2 2 2 3 4 2 3" xfId="17196"/>
    <cellStyle name="표준 11 2 2 2 2 3 4 2 3 2" xfId="39661"/>
    <cellStyle name="표준 11 2 2 2 2 3 4 2 4" xfId="24697"/>
    <cellStyle name="표준 11 2 2 2 2 3 4 3" xfId="9711"/>
    <cellStyle name="표준 11 2 2 2 2 3 4 3 2" xfId="32178"/>
    <cellStyle name="표준 11 2 2 2 2 3 4 4" xfId="17195"/>
    <cellStyle name="표준 11 2 2 2 2 3 4 4 2" xfId="39660"/>
    <cellStyle name="표준 11 2 2 2 2 3 4 5" xfId="24696"/>
    <cellStyle name="표준 11 2 2 2 2 3 4_Sheet4" xfId="388"/>
    <cellStyle name="표준 11 2 2 2 2 3 5" xfId="389"/>
    <cellStyle name="표준 11 2 2 2 2 3 5 2" xfId="9713"/>
    <cellStyle name="표준 11 2 2 2 2 3 5 2 2" xfId="32180"/>
    <cellStyle name="표준 11 2 2 2 2 3 5 3" xfId="17197"/>
    <cellStyle name="표준 11 2 2 2 2 3 5 3 2" xfId="39662"/>
    <cellStyle name="표준 11 2 2 2 2 3 5 4" xfId="24698"/>
    <cellStyle name="표준 11 2 2 2 2 3 6" xfId="9698"/>
    <cellStyle name="표준 11 2 2 2 2 3 6 2" xfId="32165"/>
    <cellStyle name="표준 11 2 2 2 2 3 7" xfId="17182"/>
    <cellStyle name="표준 11 2 2 2 2 3 7 2" xfId="39647"/>
    <cellStyle name="표준 11 2 2 2 2 3 8" xfId="24683"/>
    <cellStyle name="표준 11 2 2 2 2 3_Sheet4" xfId="390"/>
    <cellStyle name="표준 11 2 2 2 2 4" xfId="391"/>
    <cellStyle name="표준 11 2 2 2 2 4 2" xfId="392"/>
    <cellStyle name="표준 11 2 2 2 2 4 2 2" xfId="393"/>
    <cellStyle name="표준 11 2 2 2 2 4 2 2 2" xfId="394"/>
    <cellStyle name="표준 11 2 2 2 2 4 2 2 2 2" xfId="9717"/>
    <cellStyle name="표준 11 2 2 2 2 4 2 2 2 2 2" xfId="32184"/>
    <cellStyle name="표준 11 2 2 2 2 4 2 2 2 3" xfId="17201"/>
    <cellStyle name="표준 11 2 2 2 2 4 2 2 2 3 2" xfId="39666"/>
    <cellStyle name="표준 11 2 2 2 2 4 2 2 2 4" xfId="24702"/>
    <cellStyle name="표준 11 2 2 2 2 4 2 2 3" xfId="9716"/>
    <cellStyle name="표준 11 2 2 2 2 4 2 2 3 2" xfId="32183"/>
    <cellStyle name="표준 11 2 2 2 2 4 2 2 4" xfId="17200"/>
    <cellStyle name="표준 11 2 2 2 2 4 2 2 4 2" xfId="39665"/>
    <cellStyle name="표준 11 2 2 2 2 4 2 2 5" xfId="24701"/>
    <cellStyle name="표준 11 2 2 2 2 4 2 2_Sheet4" xfId="395"/>
    <cellStyle name="표준 11 2 2 2 2 4 2 3" xfId="396"/>
    <cellStyle name="표준 11 2 2 2 2 4 2 3 2" xfId="9718"/>
    <cellStyle name="표준 11 2 2 2 2 4 2 3 2 2" xfId="32185"/>
    <cellStyle name="표준 11 2 2 2 2 4 2 3 3" xfId="17202"/>
    <cellStyle name="표준 11 2 2 2 2 4 2 3 3 2" xfId="39667"/>
    <cellStyle name="표준 11 2 2 2 2 4 2 3 4" xfId="24703"/>
    <cellStyle name="표준 11 2 2 2 2 4 2 4" xfId="9715"/>
    <cellStyle name="표준 11 2 2 2 2 4 2 4 2" xfId="32182"/>
    <cellStyle name="표준 11 2 2 2 2 4 2 5" xfId="17199"/>
    <cellStyle name="표준 11 2 2 2 2 4 2 5 2" xfId="39664"/>
    <cellStyle name="표준 11 2 2 2 2 4 2 6" xfId="24700"/>
    <cellStyle name="표준 11 2 2 2 2 4 2_Sheet4" xfId="397"/>
    <cellStyle name="표준 11 2 2 2 2 4 3" xfId="398"/>
    <cellStyle name="표준 11 2 2 2 2 4 3 2" xfId="399"/>
    <cellStyle name="표준 11 2 2 2 2 4 3 2 2" xfId="9720"/>
    <cellStyle name="표준 11 2 2 2 2 4 3 2 2 2" xfId="32187"/>
    <cellStyle name="표준 11 2 2 2 2 4 3 2 3" xfId="17204"/>
    <cellStyle name="표준 11 2 2 2 2 4 3 2 3 2" xfId="39669"/>
    <cellStyle name="표준 11 2 2 2 2 4 3 2 4" xfId="24705"/>
    <cellStyle name="표준 11 2 2 2 2 4 3 3" xfId="9719"/>
    <cellStyle name="표준 11 2 2 2 2 4 3 3 2" xfId="32186"/>
    <cellStyle name="표준 11 2 2 2 2 4 3 4" xfId="17203"/>
    <cellStyle name="표준 11 2 2 2 2 4 3 4 2" xfId="39668"/>
    <cellStyle name="표준 11 2 2 2 2 4 3 5" xfId="24704"/>
    <cellStyle name="표준 11 2 2 2 2 4 3_Sheet4" xfId="400"/>
    <cellStyle name="표준 11 2 2 2 2 4 4" xfId="401"/>
    <cellStyle name="표준 11 2 2 2 2 4 4 2" xfId="9721"/>
    <cellStyle name="표준 11 2 2 2 2 4 4 2 2" xfId="32188"/>
    <cellStyle name="표준 11 2 2 2 2 4 4 3" xfId="17205"/>
    <cellStyle name="표준 11 2 2 2 2 4 4 3 2" xfId="39670"/>
    <cellStyle name="표준 11 2 2 2 2 4 4 4" xfId="24706"/>
    <cellStyle name="표준 11 2 2 2 2 4 5" xfId="9714"/>
    <cellStyle name="표준 11 2 2 2 2 4 5 2" xfId="32181"/>
    <cellStyle name="표준 11 2 2 2 2 4 6" xfId="17198"/>
    <cellStyle name="표준 11 2 2 2 2 4 6 2" xfId="39663"/>
    <cellStyle name="표준 11 2 2 2 2 4 7" xfId="24699"/>
    <cellStyle name="표준 11 2 2 2 2 4_Sheet4" xfId="402"/>
    <cellStyle name="표준 11 2 2 2 2 5" xfId="403"/>
    <cellStyle name="표준 11 2 2 2 2 5 2" xfId="404"/>
    <cellStyle name="표준 11 2 2 2 2 5 2 2" xfId="405"/>
    <cellStyle name="표준 11 2 2 2 2 5 2 2 2" xfId="9724"/>
    <cellStyle name="표준 11 2 2 2 2 5 2 2 2 2" xfId="32191"/>
    <cellStyle name="표준 11 2 2 2 2 5 2 2 3" xfId="17208"/>
    <cellStyle name="표준 11 2 2 2 2 5 2 2 3 2" xfId="39673"/>
    <cellStyle name="표준 11 2 2 2 2 5 2 2 4" xfId="24709"/>
    <cellStyle name="표준 11 2 2 2 2 5 2 3" xfId="9723"/>
    <cellStyle name="표준 11 2 2 2 2 5 2 3 2" xfId="32190"/>
    <cellStyle name="표준 11 2 2 2 2 5 2 4" xfId="17207"/>
    <cellStyle name="표준 11 2 2 2 2 5 2 4 2" xfId="39672"/>
    <cellStyle name="표준 11 2 2 2 2 5 2 5" xfId="24708"/>
    <cellStyle name="표준 11 2 2 2 2 5 2_Sheet4" xfId="406"/>
    <cellStyle name="표준 11 2 2 2 2 5 3" xfId="407"/>
    <cellStyle name="표준 11 2 2 2 2 5 3 2" xfId="9725"/>
    <cellStyle name="표준 11 2 2 2 2 5 3 2 2" xfId="32192"/>
    <cellStyle name="표준 11 2 2 2 2 5 3 3" xfId="17209"/>
    <cellStyle name="표준 11 2 2 2 2 5 3 3 2" xfId="39674"/>
    <cellStyle name="표준 11 2 2 2 2 5 3 4" xfId="24710"/>
    <cellStyle name="표준 11 2 2 2 2 5 4" xfId="9722"/>
    <cellStyle name="표준 11 2 2 2 2 5 4 2" xfId="32189"/>
    <cellStyle name="표준 11 2 2 2 2 5 5" xfId="17206"/>
    <cellStyle name="표준 11 2 2 2 2 5 5 2" xfId="39671"/>
    <cellStyle name="표준 11 2 2 2 2 5 6" xfId="24707"/>
    <cellStyle name="표준 11 2 2 2 2 5_Sheet4" xfId="408"/>
    <cellStyle name="표준 11 2 2 2 2 6" xfId="409"/>
    <cellStyle name="표준 11 2 2 2 2 6 2" xfId="410"/>
    <cellStyle name="표준 11 2 2 2 2 6 2 2" xfId="9727"/>
    <cellStyle name="표준 11 2 2 2 2 6 2 2 2" xfId="32194"/>
    <cellStyle name="표준 11 2 2 2 2 6 2 3" xfId="17211"/>
    <cellStyle name="표준 11 2 2 2 2 6 2 3 2" xfId="39676"/>
    <cellStyle name="표준 11 2 2 2 2 6 2 4" xfId="24712"/>
    <cellStyle name="표준 11 2 2 2 2 6 3" xfId="9726"/>
    <cellStyle name="표준 11 2 2 2 2 6 3 2" xfId="32193"/>
    <cellStyle name="표준 11 2 2 2 2 6 4" xfId="17210"/>
    <cellStyle name="표준 11 2 2 2 2 6 4 2" xfId="39675"/>
    <cellStyle name="표준 11 2 2 2 2 6 5" xfId="24711"/>
    <cellStyle name="표준 11 2 2 2 2 6_Sheet4" xfId="411"/>
    <cellStyle name="표준 11 2 2 2 2 7" xfId="412"/>
    <cellStyle name="표준 11 2 2 2 2 7 2" xfId="9728"/>
    <cellStyle name="표준 11 2 2 2 2 7 2 2" xfId="32195"/>
    <cellStyle name="표준 11 2 2 2 2 7 3" xfId="17212"/>
    <cellStyle name="표준 11 2 2 2 2 7 3 2" xfId="39677"/>
    <cellStyle name="표준 11 2 2 2 2 7 4" xfId="24713"/>
    <cellStyle name="표준 11 2 2 2 2 8" xfId="9681"/>
    <cellStyle name="표준 11 2 2 2 2 8 2" xfId="32148"/>
    <cellStyle name="표준 11 2 2 2 2 9" xfId="17165"/>
    <cellStyle name="표준 11 2 2 2 2 9 2" xfId="39630"/>
    <cellStyle name="표준 11 2 2 2 2_Sheet4" xfId="413"/>
    <cellStyle name="표준 11 2 2 2 3" xfId="414"/>
    <cellStyle name="표준 11 2 2 2 3 2" xfId="415"/>
    <cellStyle name="표준 11 2 2 2 3 2 2" xfId="416"/>
    <cellStyle name="표준 11 2 2 2 3 2 2 2" xfId="417"/>
    <cellStyle name="표준 11 2 2 2 3 2 2 2 2" xfId="418"/>
    <cellStyle name="표준 11 2 2 2 3 2 2 2 2 2" xfId="9733"/>
    <cellStyle name="표준 11 2 2 2 3 2 2 2 2 2 2" xfId="32200"/>
    <cellStyle name="표준 11 2 2 2 3 2 2 2 2 3" xfId="17217"/>
    <cellStyle name="표준 11 2 2 2 3 2 2 2 2 3 2" xfId="39682"/>
    <cellStyle name="표준 11 2 2 2 3 2 2 2 2 4" xfId="24718"/>
    <cellStyle name="표준 11 2 2 2 3 2 2 2 3" xfId="9732"/>
    <cellStyle name="표준 11 2 2 2 3 2 2 2 3 2" xfId="32199"/>
    <cellStyle name="표준 11 2 2 2 3 2 2 2 4" xfId="17216"/>
    <cellStyle name="표준 11 2 2 2 3 2 2 2 4 2" xfId="39681"/>
    <cellStyle name="표준 11 2 2 2 3 2 2 2 5" xfId="24717"/>
    <cellStyle name="표준 11 2 2 2 3 2 2 2_Sheet4" xfId="419"/>
    <cellStyle name="표준 11 2 2 2 3 2 2 3" xfId="420"/>
    <cellStyle name="표준 11 2 2 2 3 2 2 3 2" xfId="9734"/>
    <cellStyle name="표준 11 2 2 2 3 2 2 3 2 2" xfId="32201"/>
    <cellStyle name="표준 11 2 2 2 3 2 2 3 3" xfId="17218"/>
    <cellStyle name="표준 11 2 2 2 3 2 2 3 3 2" xfId="39683"/>
    <cellStyle name="표준 11 2 2 2 3 2 2 3 4" xfId="24719"/>
    <cellStyle name="표준 11 2 2 2 3 2 2 4" xfId="9731"/>
    <cellStyle name="표준 11 2 2 2 3 2 2 4 2" xfId="32198"/>
    <cellStyle name="표준 11 2 2 2 3 2 2 5" xfId="17215"/>
    <cellStyle name="표준 11 2 2 2 3 2 2 5 2" xfId="39680"/>
    <cellStyle name="표준 11 2 2 2 3 2 2 6" xfId="24716"/>
    <cellStyle name="표준 11 2 2 2 3 2 2_Sheet4" xfId="421"/>
    <cellStyle name="표준 11 2 2 2 3 2 3" xfId="422"/>
    <cellStyle name="표준 11 2 2 2 3 2 3 2" xfId="423"/>
    <cellStyle name="표준 11 2 2 2 3 2 3 2 2" xfId="9736"/>
    <cellStyle name="표준 11 2 2 2 3 2 3 2 2 2" xfId="32203"/>
    <cellStyle name="표준 11 2 2 2 3 2 3 2 3" xfId="17220"/>
    <cellStyle name="표준 11 2 2 2 3 2 3 2 3 2" xfId="39685"/>
    <cellStyle name="표준 11 2 2 2 3 2 3 2 4" xfId="24721"/>
    <cellStyle name="표준 11 2 2 2 3 2 3 3" xfId="9735"/>
    <cellStyle name="표준 11 2 2 2 3 2 3 3 2" xfId="32202"/>
    <cellStyle name="표준 11 2 2 2 3 2 3 4" xfId="17219"/>
    <cellStyle name="표준 11 2 2 2 3 2 3 4 2" xfId="39684"/>
    <cellStyle name="표준 11 2 2 2 3 2 3 5" xfId="24720"/>
    <cellStyle name="표준 11 2 2 2 3 2 3_Sheet4" xfId="424"/>
    <cellStyle name="표준 11 2 2 2 3 2 4" xfId="425"/>
    <cellStyle name="표준 11 2 2 2 3 2 4 2" xfId="9737"/>
    <cellStyle name="표준 11 2 2 2 3 2 4 2 2" xfId="32204"/>
    <cellStyle name="표준 11 2 2 2 3 2 4 3" xfId="17221"/>
    <cellStyle name="표준 11 2 2 2 3 2 4 3 2" xfId="39686"/>
    <cellStyle name="표준 11 2 2 2 3 2 4 4" xfId="24722"/>
    <cellStyle name="표준 11 2 2 2 3 2 5" xfId="9730"/>
    <cellStyle name="표준 11 2 2 2 3 2 5 2" xfId="32197"/>
    <cellStyle name="표준 11 2 2 2 3 2 6" xfId="17214"/>
    <cellStyle name="표준 11 2 2 2 3 2 6 2" xfId="39679"/>
    <cellStyle name="표준 11 2 2 2 3 2 7" xfId="24715"/>
    <cellStyle name="표준 11 2 2 2 3 2_Sheet4" xfId="426"/>
    <cellStyle name="표준 11 2 2 2 3 3" xfId="427"/>
    <cellStyle name="표준 11 2 2 2 3 3 2" xfId="428"/>
    <cellStyle name="표준 11 2 2 2 3 3 2 2" xfId="429"/>
    <cellStyle name="표준 11 2 2 2 3 3 2 2 2" xfId="9740"/>
    <cellStyle name="표준 11 2 2 2 3 3 2 2 2 2" xfId="32207"/>
    <cellStyle name="표준 11 2 2 2 3 3 2 2 3" xfId="17224"/>
    <cellStyle name="표준 11 2 2 2 3 3 2 2 3 2" xfId="39689"/>
    <cellStyle name="표준 11 2 2 2 3 3 2 2 4" xfId="24725"/>
    <cellStyle name="표준 11 2 2 2 3 3 2 3" xfId="9739"/>
    <cellStyle name="표준 11 2 2 2 3 3 2 3 2" xfId="32206"/>
    <cellStyle name="표준 11 2 2 2 3 3 2 4" xfId="17223"/>
    <cellStyle name="표준 11 2 2 2 3 3 2 4 2" xfId="39688"/>
    <cellStyle name="표준 11 2 2 2 3 3 2 5" xfId="24724"/>
    <cellStyle name="표준 11 2 2 2 3 3 2_Sheet4" xfId="430"/>
    <cellStyle name="표준 11 2 2 2 3 3 3" xfId="431"/>
    <cellStyle name="표준 11 2 2 2 3 3 3 2" xfId="9741"/>
    <cellStyle name="표준 11 2 2 2 3 3 3 2 2" xfId="32208"/>
    <cellStyle name="표준 11 2 2 2 3 3 3 3" xfId="17225"/>
    <cellStyle name="표준 11 2 2 2 3 3 3 3 2" xfId="39690"/>
    <cellStyle name="표준 11 2 2 2 3 3 3 4" xfId="24726"/>
    <cellStyle name="표준 11 2 2 2 3 3 4" xfId="9738"/>
    <cellStyle name="표준 11 2 2 2 3 3 4 2" xfId="32205"/>
    <cellStyle name="표준 11 2 2 2 3 3 5" xfId="17222"/>
    <cellStyle name="표준 11 2 2 2 3 3 5 2" xfId="39687"/>
    <cellStyle name="표준 11 2 2 2 3 3 6" xfId="24723"/>
    <cellStyle name="표준 11 2 2 2 3 3_Sheet4" xfId="432"/>
    <cellStyle name="표준 11 2 2 2 3 4" xfId="433"/>
    <cellStyle name="표준 11 2 2 2 3 4 2" xfId="434"/>
    <cellStyle name="표준 11 2 2 2 3 4 2 2" xfId="9743"/>
    <cellStyle name="표준 11 2 2 2 3 4 2 2 2" xfId="32210"/>
    <cellStyle name="표준 11 2 2 2 3 4 2 3" xfId="17227"/>
    <cellStyle name="표준 11 2 2 2 3 4 2 3 2" xfId="39692"/>
    <cellStyle name="표준 11 2 2 2 3 4 2 4" xfId="24728"/>
    <cellStyle name="표준 11 2 2 2 3 4 3" xfId="9742"/>
    <cellStyle name="표준 11 2 2 2 3 4 3 2" xfId="32209"/>
    <cellStyle name="표준 11 2 2 2 3 4 4" xfId="17226"/>
    <cellStyle name="표준 11 2 2 2 3 4 4 2" xfId="39691"/>
    <cellStyle name="표준 11 2 2 2 3 4 5" xfId="24727"/>
    <cellStyle name="표준 11 2 2 2 3 4_Sheet4" xfId="435"/>
    <cellStyle name="표준 11 2 2 2 3 5" xfId="436"/>
    <cellStyle name="표준 11 2 2 2 3 5 2" xfId="9744"/>
    <cellStyle name="표준 11 2 2 2 3 5 2 2" xfId="32211"/>
    <cellStyle name="표준 11 2 2 2 3 5 3" xfId="17228"/>
    <cellStyle name="표준 11 2 2 2 3 5 3 2" xfId="39693"/>
    <cellStyle name="표준 11 2 2 2 3 5 4" xfId="24729"/>
    <cellStyle name="표준 11 2 2 2 3 6" xfId="9729"/>
    <cellStyle name="표준 11 2 2 2 3 6 2" xfId="32196"/>
    <cellStyle name="표준 11 2 2 2 3 7" xfId="17213"/>
    <cellStyle name="표준 11 2 2 2 3 7 2" xfId="39678"/>
    <cellStyle name="표준 11 2 2 2 3 8" xfId="24714"/>
    <cellStyle name="표준 11 2 2 2 3_Sheet4" xfId="437"/>
    <cellStyle name="표준 11 2 2 2 4" xfId="438"/>
    <cellStyle name="표준 11 2 2 2 4 2" xfId="439"/>
    <cellStyle name="표준 11 2 2 2 4 2 2" xfId="440"/>
    <cellStyle name="표준 11 2 2 2 4 2 2 2" xfId="441"/>
    <cellStyle name="표준 11 2 2 2 4 2 2 2 2" xfId="442"/>
    <cellStyle name="표준 11 2 2 2 4 2 2 2 2 2" xfId="9749"/>
    <cellStyle name="표준 11 2 2 2 4 2 2 2 2 2 2" xfId="32216"/>
    <cellStyle name="표준 11 2 2 2 4 2 2 2 2 3" xfId="17233"/>
    <cellStyle name="표준 11 2 2 2 4 2 2 2 2 3 2" xfId="39698"/>
    <cellStyle name="표준 11 2 2 2 4 2 2 2 2 4" xfId="24734"/>
    <cellStyle name="표준 11 2 2 2 4 2 2 2 3" xfId="9748"/>
    <cellStyle name="표준 11 2 2 2 4 2 2 2 3 2" xfId="32215"/>
    <cellStyle name="표준 11 2 2 2 4 2 2 2 4" xfId="17232"/>
    <cellStyle name="표준 11 2 2 2 4 2 2 2 4 2" xfId="39697"/>
    <cellStyle name="표준 11 2 2 2 4 2 2 2 5" xfId="24733"/>
    <cellStyle name="표준 11 2 2 2 4 2 2 2_Sheet4" xfId="443"/>
    <cellStyle name="표준 11 2 2 2 4 2 2 3" xfId="444"/>
    <cellStyle name="표준 11 2 2 2 4 2 2 3 2" xfId="9750"/>
    <cellStyle name="표준 11 2 2 2 4 2 2 3 2 2" xfId="32217"/>
    <cellStyle name="표준 11 2 2 2 4 2 2 3 3" xfId="17234"/>
    <cellStyle name="표준 11 2 2 2 4 2 2 3 3 2" xfId="39699"/>
    <cellStyle name="표준 11 2 2 2 4 2 2 3 4" xfId="24735"/>
    <cellStyle name="표준 11 2 2 2 4 2 2 4" xfId="9747"/>
    <cellStyle name="표준 11 2 2 2 4 2 2 4 2" xfId="32214"/>
    <cellStyle name="표준 11 2 2 2 4 2 2 5" xfId="17231"/>
    <cellStyle name="표준 11 2 2 2 4 2 2 5 2" xfId="39696"/>
    <cellStyle name="표준 11 2 2 2 4 2 2 6" xfId="24732"/>
    <cellStyle name="표준 11 2 2 2 4 2 2_Sheet4" xfId="445"/>
    <cellStyle name="표준 11 2 2 2 4 2 3" xfId="446"/>
    <cellStyle name="표준 11 2 2 2 4 2 3 2" xfId="447"/>
    <cellStyle name="표준 11 2 2 2 4 2 3 2 2" xfId="9752"/>
    <cellStyle name="표준 11 2 2 2 4 2 3 2 2 2" xfId="32219"/>
    <cellStyle name="표준 11 2 2 2 4 2 3 2 3" xfId="17236"/>
    <cellStyle name="표준 11 2 2 2 4 2 3 2 3 2" xfId="39701"/>
    <cellStyle name="표준 11 2 2 2 4 2 3 2 4" xfId="24737"/>
    <cellStyle name="표준 11 2 2 2 4 2 3 3" xfId="9751"/>
    <cellStyle name="표준 11 2 2 2 4 2 3 3 2" xfId="32218"/>
    <cellStyle name="표준 11 2 2 2 4 2 3 4" xfId="17235"/>
    <cellStyle name="표준 11 2 2 2 4 2 3 4 2" xfId="39700"/>
    <cellStyle name="표준 11 2 2 2 4 2 3 5" xfId="24736"/>
    <cellStyle name="표준 11 2 2 2 4 2 3_Sheet4" xfId="448"/>
    <cellStyle name="표준 11 2 2 2 4 2 4" xfId="449"/>
    <cellStyle name="표준 11 2 2 2 4 2 4 2" xfId="9753"/>
    <cellStyle name="표준 11 2 2 2 4 2 4 2 2" xfId="32220"/>
    <cellStyle name="표준 11 2 2 2 4 2 4 3" xfId="17237"/>
    <cellStyle name="표준 11 2 2 2 4 2 4 3 2" xfId="39702"/>
    <cellStyle name="표준 11 2 2 2 4 2 4 4" xfId="24738"/>
    <cellStyle name="표준 11 2 2 2 4 2 5" xfId="9746"/>
    <cellStyle name="표준 11 2 2 2 4 2 5 2" xfId="32213"/>
    <cellStyle name="표준 11 2 2 2 4 2 6" xfId="17230"/>
    <cellStyle name="표준 11 2 2 2 4 2 6 2" xfId="39695"/>
    <cellStyle name="표준 11 2 2 2 4 2 7" xfId="24731"/>
    <cellStyle name="표준 11 2 2 2 4 2_Sheet4" xfId="450"/>
    <cellStyle name="표준 11 2 2 2 4 3" xfId="451"/>
    <cellStyle name="표준 11 2 2 2 4 3 2" xfId="452"/>
    <cellStyle name="표준 11 2 2 2 4 3 2 2" xfId="453"/>
    <cellStyle name="표준 11 2 2 2 4 3 2 2 2" xfId="9756"/>
    <cellStyle name="표준 11 2 2 2 4 3 2 2 2 2" xfId="32223"/>
    <cellStyle name="표준 11 2 2 2 4 3 2 2 3" xfId="17240"/>
    <cellStyle name="표준 11 2 2 2 4 3 2 2 3 2" xfId="39705"/>
    <cellStyle name="표준 11 2 2 2 4 3 2 2 4" xfId="24741"/>
    <cellStyle name="표준 11 2 2 2 4 3 2 3" xfId="9755"/>
    <cellStyle name="표준 11 2 2 2 4 3 2 3 2" xfId="32222"/>
    <cellStyle name="표준 11 2 2 2 4 3 2 4" xfId="17239"/>
    <cellStyle name="표준 11 2 2 2 4 3 2 4 2" xfId="39704"/>
    <cellStyle name="표준 11 2 2 2 4 3 2 5" xfId="24740"/>
    <cellStyle name="표준 11 2 2 2 4 3 2_Sheet4" xfId="454"/>
    <cellStyle name="표준 11 2 2 2 4 3 3" xfId="455"/>
    <cellStyle name="표준 11 2 2 2 4 3 3 2" xfId="9757"/>
    <cellStyle name="표준 11 2 2 2 4 3 3 2 2" xfId="32224"/>
    <cellStyle name="표준 11 2 2 2 4 3 3 3" xfId="17241"/>
    <cellStyle name="표준 11 2 2 2 4 3 3 3 2" xfId="39706"/>
    <cellStyle name="표준 11 2 2 2 4 3 3 4" xfId="24742"/>
    <cellStyle name="표준 11 2 2 2 4 3 4" xfId="9754"/>
    <cellStyle name="표준 11 2 2 2 4 3 4 2" xfId="32221"/>
    <cellStyle name="표준 11 2 2 2 4 3 5" xfId="17238"/>
    <cellStyle name="표준 11 2 2 2 4 3 5 2" xfId="39703"/>
    <cellStyle name="표준 11 2 2 2 4 3 6" xfId="24739"/>
    <cellStyle name="표준 11 2 2 2 4 3_Sheet4" xfId="456"/>
    <cellStyle name="표준 11 2 2 2 4 4" xfId="457"/>
    <cellStyle name="표준 11 2 2 2 4 4 2" xfId="458"/>
    <cellStyle name="표준 11 2 2 2 4 4 2 2" xfId="9759"/>
    <cellStyle name="표준 11 2 2 2 4 4 2 2 2" xfId="32226"/>
    <cellStyle name="표준 11 2 2 2 4 4 2 3" xfId="17243"/>
    <cellStyle name="표준 11 2 2 2 4 4 2 3 2" xfId="39708"/>
    <cellStyle name="표준 11 2 2 2 4 4 2 4" xfId="24744"/>
    <cellStyle name="표준 11 2 2 2 4 4 3" xfId="9758"/>
    <cellStyle name="표준 11 2 2 2 4 4 3 2" xfId="32225"/>
    <cellStyle name="표준 11 2 2 2 4 4 4" xfId="17242"/>
    <cellStyle name="표준 11 2 2 2 4 4 4 2" xfId="39707"/>
    <cellStyle name="표준 11 2 2 2 4 4 5" xfId="24743"/>
    <cellStyle name="표준 11 2 2 2 4 4_Sheet4" xfId="459"/>
    <cellStyle name="표준 11 2 2 2 4 5" xfId="460"/>
    <cellStyle name="표준 11 2 2 2 4 5 2" xfId="9760"/>
    <cellStyle name="표준 11 2 2 2 4 5 2 2" xfId="32227"/>
    <cellStyle name="표준 11 2 2 2 4 5 3" xfId="17244"/>
    <cellStyle name="표준 11 2 2 2 4 5 3 2" xfId="39709"/>
    <cellStyle name="표준 11 2 2 2 4 5 4" xfId="24745"/>
    <cellStyle name="표준 11 2 2 2 4 6" xfId="9745"/>
    <cellStyle name="표준 11 2 2 2 4 6 2" xfId="32212"/>
    <cellStyle name="표준 11 2 2 2 4 7" xfId="17229"/>
    <cellStyle name="표준 11 2 2 2 4 7 2" xfId="39694"/>
    <cellStyle name="표준 11 2 2 2 4 8" xfId="24730"/>
    <cellStyle name="표준 11 2 2 2 4_Sheet4" xfId="461"/>
    <cellStyle name="표준 11 2 2 2 5" xfId="462"/>
    <cellStyle name="표준 11 2 2 2 5 2" xfId="463"/>
    <cellStyle name="표준 11 2 2 2 5 2 2" xfId="464"/>
    <cellStyle name="표준 11 2 2 2 5 2 2 2" xfId="465"/>
    <cellStyle name="표준 11 2 2 2 5 2 2 2 2" xfId="9764"/>
    <cellStyle name="표준 11 2 2 2 5 2 2 2 2 2" xfId="32231"/>
    <cellStyle name="표준 11 2 2 2 5 2 2 2 3" xfId="17248"/>
    <cellStyle name="표준 11 2 2 2 5 2 2 2 3 2" xfId="39713"/>
    <cellStyle name="표준 11 2 2 2 5 2 2 2 4" xfId="24749"/>
    <cellStyle name="표준 11 2 2 2 5 2 2 3" xfId="9763"/>
    <cellStyle name="표준 11 2 2 2 5 2 2 3 2" xfId="32230"/>
    <cellStyle name="표준 11 2 2 2 5 2 2 4" xfId="17247"/>
    <cellStyle name="표준 11 2 2 2 5 2 2 4 2" xfId="39712"/>
    <cellStyle name="표준 11 2 2 2 5 2 2 5" xfId="24748"/>
    <cellStyle name="표준 11 2 2 2 5 2 2_Sheet4" xfId="466"/>
    <cellStyle name="표준 11 2 2 2 5 2 3" xfId="467"/>
    <cellStyle name="표준 11 2 2 2 5 2 3 2" xfId="9765"/>
    <cellStyle name="표준 11 2 2 2 5 2 3 2 2" xfId="32232"/>
    <cellStyle name="표준 11 2 2 2 5 2 3 3" xfId="17249"/>
    <cellStyle name="표준 11 2 2 2 5 2 3 3 2" xfId="39714"/>
    <cellStyle name="표준 11 2 2 2 5 2 3 4" xfId="24750"/>
    <cellStyle name="표준 11 2 2 2 5 2 4" xfId="9762"/>
    <cellStyle name="표준 11 2 2 2 5 2 4 2" xfId="32229"/>
    <cellStyle name="표준 11 2 2 2 5 2 5" xfId="17246"/>
    <cellStyle name="표준 11 2 2 2 5 2 5 2" xfId="39711"/>
    <cellStyle name="표준 11 2 2 2 5 2 6" xfId="24747"/>
    <cellStyle name="표준 11 2 2 2 5 2_Sheet4" xfId="468"/>
    <cellStyle name="표준 11 2 2 2 5 3" xfId="469"/>
    <cellStyle name="표준 11 2 2 2 5 3 2" xfId="470"/>
    <cellStyle name="표준 11 2 2 2 5 3 2 2" xfId="9767"/>
    <cellStyle name="표준 11 2 2 2 5 3 2 2 2" xfId="32234"/>
    <cellStyle name="표준 11 2 2 2 5 3 2 3" xfId="17251"/>
    <cellStyle name="표준 11 2 2 2 5 3 2 3 2" xfId="39716"/>
    <cellStyle name="표준 11 2 2 2 5 3 2 4" xfId="24752"/>
    <cellStyle name="표준 11 2 2 2 5 3 3" xfId="9766"/>
    <cellStyle name="표준 11 2 2 2 5 3 3 2" xfId="32233"/>
    <cellStyle name="표준 11 2 2 2 5 3 4" xfId="17250"/>
    <cellStyle name="표준 11 2 2 2 5 3 4 2" xfId="39715"/>
    <cellStyle name="표준 11 2 2 2 5 3 5" xfId="24751"/>
    <cellStyle name="표준 11 2 2 2 5 3_Sheet4" xfId="471"/>
    <cellStyle name="표준 11 2 2 2 5 4" xfId="472"/>
    <cellStyle name="표준 11 2 2 2 5 4 2" xfId="9768"/>
    <cellStyle name="표준 11 2 2 2 5 4 2 2" xfId="32235"/>
    <cellStyle name="표준 11 2 2 2 5 4 3" xfId="17252"/>
    <cellStyle name="표준 11 2 2 2 5 4 3 2" xfId="39717"/>
    <cellStyle name="표준 11 2 2 2 5 4 4" xfId="24753"/>
    <cellStyle name="표준 11 2 2 2 5 5" xfId="9761"/>
    <cellStyle name="표준 11 2 2 2 5 5 2" xfId="32228"/>
    <cellStyle name="표준 11 2 2 2 5 6" xfId="17245"/>
    <cellStyle name="표준 11 2 2 2 5 6 2" xfId="39710"/>
    <cellStyle name="표준 11 2 2 2 5 7" xfId="24746"/>
    <cellStyle name="표준 11 2 2 2 5_Sheet4" xfId="473"/>
    <cellStyle name="표준 11 2 2 2 6" xfId="474"/>
    <cellStyle name="표준 11 2 2 2 6 2" xfId="475"/>
    <cellStyle name="표준 11 2 2 2 6 2 2" xfId="476"/>
    <cellStyle name="표준 11 2 2 2 6 2 2 2" xfId="9771"/>
    <cellStyle name="표준 11 2 2 2 6 2 2 2 2" xfId="32238"/>
    <cellStyle name="표준 11 2 2 2 6 2 2 3" xfId="17255"/>
    <cellStyle name="표준 11 2 2 2 6 2 2 3 2" xfId="39720"/>
    <cellStyle name="표준 11 2 2 2 6 2 2 4" xfId="24756"/>
    <cellStyle name="표준 11 2 2 2 6 2 3" xfId="9770"/>
    <cellStyle name="표준 11 2 2 2 6 2 3 2" xfId="32237"/>
    <cellStyle name="표준 11 2 2 2 6 2 4" xfId="17254"/>
    <cellStyle name="표준 11 2 2 2 6 2 4 2" xfId="39719"/>
    <cellStyle name="표준 11 2 2 2 6 2 5" xfId="24755"/>
    <cellStyle name="표준 11 2 2 2 6 2_Sheet4" xfId="477"/>
    <cellStyle name="표준 11 2 2 2 6 3" xfId="478"/>
    <cellStyle name="표준 11 2 2 2 6 3 2" xfId="9772"/>
    <cellStyle name="표준 11 2 2 2 6 3 2 2" xfId="32239"/>
    <cellStyle name="표준 11 2 2 2 6 3 3" xfId="17256"/>
    <cellStyle name="표준 11 2 2 2 6 3 3 2" xfId="39721"/>
    <cellStyle name="표준 11 2 2 2 6 3 4" xfId="24757"/>
    <cellStyle name="표준 11 2 2 2 6 4" xfId="9769"/>
    <cellStyle name="표준 11 2 2 2 6 4 2" xfId="32236"/>
    <cellStyle name="표준 11 2 2 2 6 5" xfId="17253"/>
    <cellStyle name="표준 11 2 2 2 6 5 2" xfId="39718"/>
    <cellStyle name="표준 11 2 2 2 6 6" xfId="24754"/>
    <cellStyle name="표준 11 2 2 2 6_Sheet4" xfId="479"/>
    <cellStyle name="표준 11 2 2 2 7" xfId="480"/>
    <cellStyle name="표준 11 2 2 2 7 2" xfId="481"/>
    <cellStyle name="표준 11 2 2 2 7 2 2" xfId="482"/>
    <cellStyle name="표준 11 2 2 2 7 2 2 2" xfId="9775"/>
    <cellStyle name="표준 11 2 2 2 7 2 2 2 2" xfId="32242"/>
    <cellStyle name="표준 11 2 2 2 7 2 2 3" xfId="17259"/>
    <cellStyle name="표준 11 2 2 2 7 2 2 3 2" xfId="39724"/>
    <cellStyle name="표준 11 2 2 2 7 2 2 4" xfId="24760"/>
    <cellStyle name="표준 11 2 2 2 7 2 3" xfId="9774"/>
    <cellStyle name="표준 11 2 2 2 7 2 3 2" xfId="32241"/>
    <cellStyle name="표준 11 2 2 2 7 2 4" xfId="17258"/>
    <cellStyle name="표준 11 2 2 2 7 2 4 2" xfId="39723"/>
    <cellStyle name="표준 11 2 2 2 7 2 5" xfId="24759"/>
    <cellStyle name="표준 11 2 2 2 7 2_Sheet4" xfId="483"/>
    <cellStyle name="표준 11 2 2 2 7 3" xfId="484"/>
    <cellStyle name="표준 11 2 2 2 7 3 2" xfId="9776"/>
    <cellStyle name="표준 11 2 2 2 7 3 2 2" xfId="32243"/>
    <cellStyle name="표준 11 2 2 2 7 3 3" xfId="17260"/>
    <cellStyle name="표준 11 2 2 2 7 3 3 2" xfId="39725"/>
    <cellStyle name="표준 11 2 2 2 7 3 4" xfId="24761"/>
    <cellStyle name="표준 11 2 2 2 7 4" xfId="9773"/>
    <cellStyle name="표준 11 2 2 2 7 4 2" xfId="32240"/>
    <cellStyle name="표준 11 2 2 2 7 5" xfId="17257"/>
    <cellStyle name="표준 11 2 2 2 7 5 2" xfId="39722"/>
    <cellStyle name="표준 11 2 2 2 7 6" xfId="24758"/>
    <cellStyle name="표준 11 2 2 2 7_Sheet4" xfId="485"/>
    <cellStyle name="표준 11 2 2 2 8" xfId="486"/>
    <cellStyle name="표준 11 2 2 2 8 2" xfId="487"/>
    <cellStyle name="표준 11 2 2 2 8 2 2" xfId="9778"/>
    <cellStyle name="표준 11 2 2 2 8 2 2 2" xfId="32245"/>
    <cellStyle name="표준 11 2 2 2 8 2 3" xfId="17262"/>
    <cellStyle name="표준 11 2 2 2 8 2 3 2" xfId="39727"/>
    <cellStyle name="표준 11 2 2 2 8 2 4" xfId="24763"/>
    <cellStyle name="표준 11 2 2 2 8 3" xfId="9777"/>
    <cellStyle name="표준 11 2 2 2 8 3 2" xfId="32244"/>
    <cellStyle name="표준 11 2 2 2 8 4" xfId="17261"/>
    <cellStyle name="표준 11 2 2 2 8 4 2" xfId="39726"/>
    <cellStyle name="표준 11 2 2 2 8 5" xfId="24762"/>
    <cellStyle name="표준 11 2 2 2 8_Sheet4" xfId="488"/>
    <cellStyle name="표준 11 2 2 2 9" xfId="489"/>
    <cellStyle name="표준 11 2 2 2 9 2" xfId="9779"/>
    <cellStyle name="표준 11 2 2 2 9 2 2" xfId="32246"/>
    <cellStyle name="표준 11 2 2 2 9 3" xfId="17263"/>
    <cellStyle name="표준 11 2 2 2 9 3 2" xfId="39728"/>
    <cellStyle name="표준 11 2 2 2 9 4" xfId="24764"/>
    <cellStyle name="표준 11 2 2 2_Sheet4" xfId="490"/>
    <cellStyle name="표준 11 2 2 3" xfId="491"/>
    <cellStyle name="표준 11 2 2 3 10" xfId="24765"/>
    <cellStyle name="표준 11 2 2 3 2" xfId="492"/>
    <cellStyle name="표준 11 2 2 3 2 2" xfId="493"/>
    <cellStyle name="표준 11 2 2 3 2 2 2" xfId="494"/>
    <cellStyle name="표준 11 2 2 3 2 2 2 2" xfId="495"/>
    <cellStyle name="표준 11 2 2 3 2 2 2 2 2" xfId="496"/>
    <cellStyle name="표준 11 2 2 3 2 2 2 2 2 2" xfId="9785"/>
    <cellStyle name="표준 11 2 2 3 2 2 2 2 2 2 2" xfId="32252"/>
    <cellStyle name="표준 11 2 2 3 2 2 2 2 2 3" xfId="17269"/>
    <cellStyle name="표준 11 2 2 3 2 2 2 2 2 3 2" xfId="39734"/>
    <cellStyle name="표준 11 2 2 3 2 2 2 2 2 4" xfId="24770"/>
    <cellStyle name="표준 11 2 2 3 2 2 2 2 3" xfId="9784"/>
    <cellStyle name="표준 11 2 2 3 2 2 2 2 3 2" xfId="32251"/>
    <cellStyle name="표준 11 2 2 3 2 2 2 2 4" xfId="17268"/>
    <cellStyle name="표준 11 2 2 3 2 2 2 2 4 2" xfId="39733"/>
    <cellStyle name="표준 11 2 2 3 2 2 2 2 5" xfId="24769"/>
    <cellStyle name="표준 11 2 2 3 2 2 2 2_Sheet4" xfId="497"/>
    <cellStyle name="표준 11 2 2 3 2 2 2 3" xfId="498"/>
    <cellStyle name="표준 11 2 2 3 2 2 2 3 2" xfId="9786"/>
    <cellStyle name="표준 11 2 2 3 2 2 2 3 2 2" xfId="32253"/>
    <cellStyle name="표준 11 2 2 3 2 2 2 3 3" xfId="17270"/>
    <cellStyle name="표준 11 2 2 3 2 2 2 3 3 2" xfId="39735"/>
    <cellStyle name="표준 11 2 2 3 2 2 2 3 4" xfId="24771"/>
    <cellStyle name="표준 11 2 2 3 2 2 2 4" xfId="9783"/>
    <cellStyle name="표준 11 2 2 3 2 2 2 4 2" xfId="32250"/>
    <cellStyle name="표준 11 2 2 3 2 2 2 5" xfId="17267"/>
    <cellStyle name="표준 11 2 2 3 2 2 2 5 2" xfId="39732"/>
    <cellStyle name="표준 11 2 2 3 2 2 2 6" xfId="24768"/>
    <cellStyle name="표준 11 2 2 3 2 2 2_Sheet4" xfId="499"/>
    <cellStyle name="표준 11 2 2 3 2 2 3" xfId="500"/>
    <cellStyle name="표준 11 2 2 3 2 2 3 2" xfId="501"/>
    <cellStyle name="표준 11 2 2 3 2 2 3 2 2" xfId="9788"/>
    <cellStyle name="표준 11 2 2 3 2 2 3 2 2 2" xfId="32255"/>
    <cellStyle name="표준 11 2 2 3 2 2 3 2 3" xfId="17272"/>
    <cellStyle name="표준 11 2 2 3 2 2 3 2 3 2" xfId="39737"/>
    <cellStyle name="표준 11 2 2 3 2 2 3 2 4" xfId="24773"/>
    <cellStyle name="표준 11 2 2 3 2 2 3 3" xfId="9787"/>
    <cellStyle name="표준 11 2 2 3 2 2 3 3 2" xfId="32254"/>
    <cellStyle name="표준 11 2 2 3 2 2 3 4" xfId="17271"/>
    <cellStyle name="표준 11 2 2 3 2 2 3 4 2" xfId="39736"/>
    <cellStyle name="표준 11 2 2 3 2 2 3 5" xfId="24772"/>
    <cellStyle name="표준 11 2 2 3 2 2 3_Sheet4" xfId="502"/>
    <cellStyle name="표준 11 2 2 3 2 2 4" xfId="503"/>
    <cellStyle name="표준 11 2 2 3 2 2 4 2" xfId="9789"/>
    <cellStyle name="표준 11 2 2 3 2 2 4 2 2" xfId="32256"/>
    <cellStyle name="표준 11 2 2 3 2 2 4 3" xfId="17273"/>
    <cellStyle name="표준 11 2 2 3 2 2 4 3 2" xfId="39738"/>
    <cellStyle name="표준 11 2 2 3 2 2 4 4" xfId="24774"/>
    <cellStyle name="표준 11 2 2 3 2 2 5" xfId="9782"/>
    <cellStyle name="표준 11 2 2 3 2 2 5 2" xfId="32249"/>
    <cellStyle name="표준 11 2 2 3 2 2 6" xfId="17266"/>
    <cellStyle name="표준 11 2 2 3 2 2 6 2" xfId="39731"/>
    <cellStyle name="표준 11 2 2 3 2 2 7" xfId="24767"/>
    <cellStyle name="표준 11 2 2 3 2 2_Sheet4" xfId="504"/>
    <cellStyle name="표준 11 2 2 3 2 3" xfId="505"/>
    <cellStyle name="표준 11 2 2 3 2 3 2" xfId="506"/>
    <cellStyle name="표준 11 2 2 3 2 3 2 2" xfId="507"/>
    <cellStyle name="표준 11 2 2 3 2 3 2 2 2" xfId="9792"/>
    <cellStyle name="표준 11 2 2 3 2 3 2 2 2 2" xfId="32259"/>
    <cellStyle name="표준 11 2 2 3 2 3 2 2 3" xfId="17276"/>
    <cellStyle name="표준 11 2 2 3 2 3 2 2 3 2" xfId="39741"/>
    <cellStyle name="표준 11 2 2 3 2 3 2 2 4" xfId="24777"/>
    <cellStyle name="표준 11 2 2 3 2 3 2 3" xfId="9791"/>
    <cellStyle name="표준 11 2 2 3 2 3 2 3 2" xfId="32258"/>
    <cellStyle name="표준 11 2 2 3 2 3 2 4" xfId="17275"/>
    <cellStyle name="표준 11 2 2 3 2 3 2 4 2" xfId="39740"/>
    <cellStyle name="표준 11 2 2 3 2 3 2 5" xfId="24776"/>
    <cellStyle name="표준 11 2 2 3 2 3 2_Sheet4" xfId="508"/>
    <cellStyle name="표준 11 2 2 3 2 3 3" xfId="509"/>
    <cellStyle name="표준 11 2 2 3 2 3 3 2" xfId="9793"/>
    <cellStyle name="표준 11 2 2 3 2 3 3 2 2" xfId="32260"/>
    <cellStyle name="표준 11 2 2 3 2 3 3 3" xfId="17277"/>
    <cellStyle name="표준 11 2 2 3 2 3 3 3 2" xfId="39742"/>
    <cellStyle name="표준 11 2 2 3 2 3 3 4" xfId="24778"/>
    <cellStyle name="표준 11 2 2 3 2 3 4" xfId="9790"/>
    <cellStyle name="표준 11 2 2 3 2 3 4 2" xfId="32257"/>
    <cellStyle name="표준 11 2 2 3 2 3 5" xfId="17274"/>
    <cellStyle name="표준 11 2 2 3 2 3 5 2" xfId="39739"/>
    <cellStyle name="표준 11 2 2 3 2 3 6" xfId="24775"/>
    <cellStyle name="표준 11 2 2 3 2 3_Sheet4" xfId="510"/>
    <cellStyle name="표준 11 2 2 3 2 4" xfId="511"/>
    <cellStyle name="표준 11 2 2 3 2 4 2" xfId="512"/>
    <cellStyle name="표준 11 2 2 3 2 4 2 2" xfId="9795"/>
    <cellStyle name="표준 11 2 2 3 2 4 2 2 2" xfId="32262"/>
    <cellStyle name="표준 11 2 2 3 2 4 2 3" xfId="17279"/>
    <cellStyle name="표준 11 2 2 3 2 4 2 3 2" xfId="39744"/>
    <cellStyle name="표준 11 2 2 3 2 4 2 4" xfId="24780"/>
    <cellStyle name="표준 11 2 2 3 2 4 3" xfId="9794"/>
    <cellStyle name="표준 11 2 2 3 2 4 3 2" xfId="32261"/>
    <cellStyle name="표준 11 2 2 3 2 4 4" xfId="17278"/>
    <cellStyle name="표준 11 2 2 3 2 4 4 2" xfId="39743"/>
    <cellStyle name="표준 11 2 2 3 2 4 5" xfId="24779"/>
    <cellStyle name="표준 11 2 2 3 2 4_Sheet4" xfId="513"/>
    <cellStyle name="표준 11 2 2 3 2 5" xfId="514"/>
    <cellStyle name="표준 11 2 2 3 2 5 2" xfId="9796"/>
    <cellStyle name="표준 11 2 2 3 2 5 2 2" xfId="32263"/>
    <cellStyle name="표준 11 2 2 3 2 5 3" xfId="17280"/>
    <cellStyle name="표준 11 2 2 3 2 5 3 2" xfId="39745"/>
    <cellStyle name="표준 11 2 2 3 2 5 4" xfId="24781"/>
    <cellStyle name="표준 11 2 2 3 2 6" xfId="9781"/>
    <cellStyle name="표준 11 2 2 3 2 6 2" xfId="32248"/>
    <cellStyle name="표준 11 2 2 3 2 7" xfId="17265"/>
    <cellStyle name="표준 11 2 2 3 2 7 2" xfId="39730"/>
    <cellStyle name="표준 11 2 2 3 2 8" xfId="24766"/>
    <cellStyle name="표준 11 2 2 3 2_Sheet4" xfId="515"/>
    <cellStyle name="표준 11 2 2 3 3" xfId="516"/>
    <cellStyle name="표준 11 2 2 3 3 2" xfId="517"/>
    <cellStyle name="표준 11 2 2 3 3 2 2" xfId="518"/>
    <cellStyle name="표준 11 2 2 3 3 2 2 2" xfId="519"/>
    <cellStyle name="표준 11 2 2 3 3 2 2 2 2" xfId="520"/>
    <cellStyle name="표준 11 2 2 3 3 2 2 2 2 2" xfId="9801"/>
    <cellStyle name="표준 11 2 2 3 3 2 2 2 2 2 2" xfId="32268"/>
    <cellStyle name="표준 11 2 2 3 3 2 2 2 2 3" xfId="17285"/>
    <cellStyle name="표준 11 2 2 3 3 2 2 2 2 3 2" xfId="39750"/>
    <cellStyle name="표준 11 2 2 3 3 2 2 2 2 4" xfId="24786"/>
    <cellStyle name="표준 11 2 2 3 3 2 2 2 3" xfId="9800"/>
    <cellStyle name="표준 11 2 2 3 3 2 2 2 3 2" xfId="32267"/>
    <cellStyle name="표준 11 2 2 3 3 2 2 2 4" xfId="17284"/>
    <cellStyle name="표준 11 2 2 3 3 2 2 2 4 2" xfId="39749"/>
    <cellStyle name="표준 11 2 2 3 3 2 2 2 5" xfId="24785"/>
    <cellStyle name="표준 11 2 2 3 3 2 2 2_Sheet4" xfId="521"/>
    <cellStyle name="표준 11 2 2 3 3 2 2 3" xfId="522"/>
    <cellStyle name="표준 11 2 2 3 3 2 2 3 2" xfId="9802"/>
    <cellStyle name="표준 11 2 2 3 3 2 2 3 2 2" xfId="32269"/>
    <cellStyle name="표준 11 2 2 3 3 2 2 3 3" xfId="17286"/>
    <cellStyle name="표준 11 2 2 3 3 2 2 3 3 2" xfId="39751"/>
    <cellStyle name="표준 11 2 2 3 3 2 2 3 4" xfId="24787"/>
    <cellStyle name="표준 11 2 2 3 3 2 2 4" xfId="9799"/>
    <cellStyle name="표준 11 2 2 3 3 2 2 4 2" xfId="32266"/>
    <cellStyle name="표준 11 2 2 3 3 2 2 5" xfId="17283"/>
    <cellStyle name="표준 11 2 2 3 3 2 2 5 2" xfId="39748"/>
    <cellStyle name="표준 11 2 2 3 3 2 2 6" xfId="24784"/>
    <cellStyle name="표준 11 2 2 3 3 2 2_Sheet4" xfId="523"/>
    <cellStyle name="표준 11 2 2 3 3 2 3" xfId="524"/>
    <cellStyle name="표준 11 2 2 3 3 2 3 2" xfId="525"/>
    <cellStyle name="표준 11 2 2 3 3 2 3 2 2" xfId="9804"/>
    <cellStyle name="표준 11 2 2 3 3 2 3 2 2 2" xfId="32271"/>
    <cellStyle name="표준 11 2 2 3 3 2 3 2 3" xfId="17288"/>
    <cellStyle name="표준 11 2 2 3 3 2 3 2 3 2" xfId="39753"/>
    <cellStyle name="표준 11 2 2 3 3 2 3 2 4" xfId="24789"/>
    <cellStyle name="표준 11 2 2 3 3 2 3 3" xfId="9803"/>
    <cellStyle name="표준 11 2 2 3 3 2 3 3 2" xfId="32270"/>
    <cellStyle name="표준 11 2 2 3 3 2 3 4" xfId="17287"/>
    <cellStyle name="표준 11 2 2 3 3 2 3 4 2" xfId="39752"/>
    <cellStyle name="표준 11 2 2 3 3 2 3 5" xfId="24788"/>
    <cellStyle name="표준 11 2 2 3 3 2 3_Sheet4" xfId="526"/>
    <cellStyle name="표준 11 2 2 3 3 2 4" xfId="527"/>
    <cellStyle name="표준 11 2 2 3 3 2 4 2" xfId="9805"/>
    <cellStyle name="표준 11 2 2 3 3 2 4 2 2" xfId="32272"/>
    <cellStyle name="표준 11 2 2 3 3 2 4 3" xfId="17289"/>
    <cellStyle name="표준 11 2 2 3 3 2 4 3 2" xfId="39754"/>
    <cellStyle name="표준 11 2 2 3 3 2 4 4" xfId="24790"/>
    <cellStyle name="표준 11 2 2 3 3 2 5" xfId="9798"/>
    <cellStyle name="표준 11 2 2 3 3 2 5 2" xfId="32265"/>
    <cellStyle name="표준 11 2 2 3 3 2 6" xfId="17282"/>
    <cellStyle name="표준 11 2 2 3 3 2 6 2" xfId="39747"/>
    <cellStyle name="표준 11 2 2 3 3 2 7" xfId="24783"/>
    <cellStyle name="표준 11 2 2 3 3 2_Sheet4" xfId="528"/>
    <cellStyle name="표준 11 2 2 3 3 3" xfId="529"/>
    <cellStyle name="표준 11 2 2 3 3 3 2" xfId="530"/>
    <cellStyle name="표준 11 2 2 3 3 3 2 2" xfId="531"/>
    <cellStyle name="표준 11 2 2 3 3 3 2 2 2" xfId="9808"/>
    <cellStyle name="표준 11 2 2 3 3 3 2 2 2 2" xfId="32275"/>
    <cellStyle name="표준 11 2 2 3 3 3 2 2 3" xfId="17292"/>
    <cellStyle name="표준 11 2 2 3 3 3 2 2 3 2" xfId="39757"/>
    <cellStyle name="표준 11 2 2 3 3 3 2 2 4" xfId="24793"/>
    <cellStyle name="표준 11 2 2 3 3 3 2 3" xfId="9807"/>
    <cellStyle name="표준 11 2 2 3 3 3 2 3 2" xfId="32274"/>
    <cellStyle name="표준 11 2 2 3 3 3 2 4" xfId="17291"/>
    <cellStyle name="표준 11 2 2 3 3 3 2 4 2" xfId="39756"/>
    <cellStyle name="표준 11 2 2 3 3 3 2 5" xfId="24792"/>
    <cellStyle name="표준 11 2 2 3 3 3 2_Sheet4" xfId="532"/>
    <cellStyle name="표준 11 2 2 3 3 3 3" xfId="533"/>
    <cellStyle name="표준 11 2 2 3 3 3 3 2" xfId="9809"/>
    <cellStyle name="표준 11 2 2 3 3 3 3 2 2" xfId="32276"/>
    <cellStyle name="표준 11 2 2 3 3 3 3 3" xfId="17293"/>
    <cellStyle name="표준 11 2 2 3 3 3 3 3 2" xfId="39758"/>
    <cellStyle name="표준 11 2 2 3 3 3 3 4" xfId="24794"/>
    <cellStyle name="표준 11 2 2 3 3 3 4" xfId="9806"/>
    <cellStyle name="표준 11 2 2 3 3 3 4 2" xfId="32273"/>
    <cellStyle name="표준 11 2 2 3 3 3 5" xfId="17290"/>
    <cellStyle name="표준 11 2 2 3 3 3 5 2" xfId="39755"/>
    <cellStyle name="표준 11 2 2 3 3 3 6" xfId="24791"/>
    <cellStyle name="표준 11 2 2 3 3 3_Sheet4" xfId="534"/>
    <cellStyle name="표준 11 2 2 3 3 4" xfId="535"/>
    <cellStyle name="표준 11 2 2 3 3 4 2" xfId="536"/>
    <cellStyle name="표준 11 2 2 3 3 4 2 2" xfId="9811"/>
    <cellStyle name="표준 11 2 2 3 3 4 2 2 2" xfId="32278"/>
    <cellStyle name="표준 11 2 2 3 3 4 2 3" xfId="17295"/>
    <cellStyle name="표준 11 2 2 3 3 4 2 3 2" xfId="39760"/>
    <cellStyle name="표준 11 2 2 3 3 4 2 4" xfId="24796"/>
    <cellStyle name="표준 11 2 2 3 3 4 3" xfId="9810"/>
    <cellStyle name="표준 11 2 2 3 3 4 3 2" xfId="32277"/>
    <cellStyle name="표준 11 2 2 3 3 4 4" xfId="17294"/>
    <cellStyle name="표준 11 2 2 3 3 4 4 2" xfId="39759"/>
    <cellStyle name="표준 11 2 2 3 3 4 5" xfId="24795"/>
    <cellStyle name="표준 11 2 2 3 3 4_Sheet4" xfId="537"/>
    <cellStyle name="표준 11 2 2 3 3 5" xfId="538"/>
    <cellStyle name="표준 11 2 2 3 3 5 2" xfId="9812"/>
    <cellStyle name="표준 11 2 2 3 3 5 2 2" xfId="32279"/>
    <cellStyle name="표준 11 2 2 3 3 5 3" xfId="17296"/>
    <cellStyle name="표준 11 2 2 3 3 5 3 2" xfId="39761"/>
    <cellStyle name="표준 11 2 2 3 3 5 4" xfId="24797"/>
    <cellStyle name="표준 11 2 2 3 3 6" xfId="9797"/>
    <cellStyle name="표준 11 2 2 3 3 6 2" xfId="32264"/>
    <cellStyle name="표준 11 2 2 3 3 7" xfId="17281"/>
    <cellStyle name="표준 11 2 2 3 3 7 2" xfId="39746"/>
    <cellStyle name="표준 11 2 2 3 3 8" xfId="24782"/>
    <cellStyle name="표준 11 2 2 3 3_Sheet4" xfId="539"/>
    <cellStyle name="표준 11 2 2 3 4" xfId="540"/>
    <cellStyle name="표준 11 2 2 3 4 2" xfId="541"/>
    <cellStyle name="표준 11 2 2 3 4 2 2" xfId="542"/>
    <cellStyle name="표준 11 2 2 3 4 2 2 2" xfId="543"/>
    <cellStyle name="표준 11 2 2 3 4 2 2 2 2" xfId="9816"/>
    <cellStyle name="표준 11 2 2 3 4 2 2 2 2 2" xfId="32283"/>
    <cellStyle name="표준 11 2 2 3 4 2 2 2 3" xfId="17300"/>
    <cellStyle name="표준 11 2 2 3 4 2 2 2 3 2" xfId="39765"/>
    <cellStyle name="표준 11 2 2 3 4 2 2 2 4" xfId="24801"/>
    <cellStyle name="표준 11 2 2 3 4 2 2 3" xfId="9815"/>
    <cellStyle name="표준 11 2 2 3 4 2 2 3 2" xfId="32282"/>
    <cellStyle name="표준 11 2 2 3 4 2 2 4" xfId="17299"/>
    <cellStyle name="표준 11 2 2 3 4 2 2 4 2" xfId="39764"/>
    <cellStyle name="표준 11 2 2 3 4 2 2 5" xfId="24800"/>
    <cellStyle name="표준 11 2 2 3 4 2 2_Sheet4" xfId="544"/>
    <cellStyle name="표준 11 2 2 3 4 2 3" xfId="545"/>
    <cellStyle name="표준 11 2 2 3 4 2 3 2" xfId="9817"/>
    <cellStyle name="표준 11 2 2 3 4 2 3 2 2" xfId="32284"/>
    <cellStyle name="표준 11 2 2 3 4 2 3 3" xfId="17301"/>
    <cellStyle name="표준 11 2 2 3 4 2 3 3 2" xfId="39766"/>
    <cellStyle name="표준 11 2 2 3 4 2 3 4" xfId="24802"/>
    <cellStyle name="표준 11 2 2 3 4 2 4" xfId="9814"/>
    <cellStyle name="표준 11 2 2 3 4 2 4 2" xfId="32281"/>
    <cellStyle name="표준 11 2 2 3 4 2 5" xfId="17298"/>
    <cellStyle name="표준 11 2 2 3 4 2 5 2" xfId="39763"/>
    <cellStyle name="표준 11 2 2 3 4 2 6" xfId="24799"/>
    <cellStyle name="표준 11 2 2 3 4 2_Sheet4" xfId="546"/>
    <cellStyle name="표준 11 2 2 3 4 3" xfId="547"/>
    <cellStyle name="표준 11 2 2 3 4 3 2" xfId="548"/>
    <cellStyle name="표준 11 2 2 3 4 3 2 2" xfId="9819"/>
    <cellStyle name="표준 11 2 2 3 4 3 2 2 2" xfId="32286"/>
    <cellStyle name="표준 11 2 2 3 4 3 2 3" xfId="17303"/>
    <cellStyle name="표준 11 2 2 3 4 3 2 3 2" xfId="39768"/>
    <cellStyle name="표준 11 2 2 3 4 3 2 4" xfId="24804"/>
    <cellStyle name="표준 11 2 2 3 4 3 3" xfId="9818"/>
    <cellStyle name="표준 11 2 2 3 4 3 3 2" xfId="32285"/>
    <cellStyle name="표준 11 2 2 3 4 3 4" xfId="17302"/>
    <cellStyle name="표준 11 2 2 3 4 3 4 2" xfId="39767"/>
    <cellStyle name="표준 11 2 2 3 4 3 5" xfId="24803"/>
    <cellStyle name="표준 11 2 2 3 4 3_Sheet4" xfId="549"/>
    <cellStyle name="표준 11 2 2 3 4 4" xfId="550"/>
    <cellStyle name="표준 11 2 2 3 4 4 2" xfId="9820"/>
    <cellStyle name="표준 11 2 2 3 4 4 2 2" xfId="32287"/>
    <cellStyle name="표준 11 2 2 3 4 4 3" xfId="17304"/>
    <cellStyle name="표준 11 2 2 3 4 4 3 2" xfId="39769"/>
    <cellStyle name="표준 11 2 2 3 4 4 4" xfId="24805"/>
    <cellStyle name="표준 11 2 2 3 4 5" xfId="9813"/>
    <cellStyle name="표준 11 2 2 3 4 5 2" xfId="32280"/>
    <cellStyle name="표준 11 2 2 3 4 6" xfId="17297"/>
    <cellStyle name="표준 11 2 2 3 4 6 2" xfId="39762"/>
    <cellStyle name="표준 11 2 2 3 4 7" xfId="24798"/>
    <cellStyle name="표준 11 2 2 3 4_Sheet4" xfId="551"/>
    <cellStyle name="표준 11 2 2 3 5" xfId="552"/>
    <cellStyle name="표준 11 2 2 3 5 2" xfId="553"/>
    <cellStyle name="표준 11 2 2 3 5 2 2" xfId="554"/>
    <cellStyle name="표준 11 2 2 3 5 2 2 2" xfId="9823"/>
    <cellStyle name="표준 11 2 2 3 5 2 2 2 2" xfId="32290"/>
    <cellStyle name="표준 11 2 2 3 5 2 2 3" xfId="17307"/>
    <cellStyle name="표준 11 2 2 3 5 2 2 3 2" xfId="39772"/>
    <cellStyle name="표준 11 2 2 3 5 2 2 4" xfId="24808"/>
    <cellStyle name="표준 11 2 2 3 5 2 3" xfId="9822"/>
    <cellStyle name="표준 11 2 2 3 5 2 3 2" xfId="32289"/>
    <cellStyle name="표준 11 2 2 3 5 2 4" xfId="17306"/>
    <cellStyle name="표준 11 2 2 3 5 2 4 2" xfId="39771"/>
    <cellStyle name="표준 11 2 2 3 5 2 5" xfId="24807"/>
    <cellStyle name="표준 11 2 2 3 5 2_Sheet4" xfId="555"/>
    <cellStyle name="표준 11 2 2 3 5 3" xfId="556"/>
    <cellStyle name="표준 11 2 2 3 5 3 2" xfId="9824"/>
    <cellStyle name="표준 11 2 2 3 5 3 2 2" xfId="32291"/>
    <cellStyle name="표준 11 2 2 3 5 3 3" xfId="17308"/>
    <cellStyle name="표준 11 2 2 3 5 3 3 2" xfId="39773"/>
    <cellStyle name="표준 11 2 2 3 5 3 4" xfId="24809"/>
    <cellStyle name="표준 11 2 2 3 5 4" xfId="9821"/>
    <cellStyle name="표준 11 2 2 3 5 4 2" xfId="32288"/>
    <cellStyle name="표준 11 2 2 3 5 5" xfId="17305"/>
    <cellStyle name="표준 11 2 2 3 5 5 2" xfId="39770"/>
    <cellStyle name="표준 11 2 2 3 5 6" xfId="24806"/>
    <cellStyle name="표준 11 2 2 3 5_Sheet4" xfId="557"/>
    <cellStyle name="표준 11 2 2 3 6" xfId="558"/>
    <cellStyle name="표준 11 2 2 3 6 2" xfId="559"/>
    <cellStyle name="표준 11 2 2 3 6 2 2" xfId="9826"/>
    <cellStyle name="표준 11 2 2 3 6 2 2 2" xfId="32293"/>
    <cellStyle name="표준 11 2 2 3 6 2 3" xfId="17310"/>
    <cellStyle name="표준 11 2 2 3 6 2 3 2" xfId="39775"/>
    <cellStyle name="표준 11 2 2 3 6 2 4" xfId="24811"/>
    <cellStyle name="표준 11 2 2 3 6 3" xfId="9825"/>
    <cellStyle name="표준 11 2 2 3 6 3 2" xfId="32292"/>
    <cellStyle name="표준 11 2 2 3 6 4" xfId="17309"/>
    <cellStyle name="표준 11 2 2 3 6 4 2" xfId="39774"/>
    <cellStyle name="표준 11 2 2 3 6 5" xfId="24810"/>
    <cellStyle name="표준 11 2 2 3 6_Sheet4" xfId="560"/>
    <cellStyle name="표준 11 2 2 3 7" xfId="561"/>
    <cellStyle name="표준 11 2 2 3 7 2" xfId="9827"/>
    <cellStyle name="표준 11 2 2 3 7 2 2" xfId="32294"/>
    <cellStyle name="표준 11 2 2 3 7 3" xfId="17311"/>
    <cellStyle name="표준 11 2 2 3 7 3 2" xfId="39776"/>
    <cellStyle name="표준 11 2 2 3 7 4" xfId="24812"/>
    <cellStyle name="표준 11 2 2 3 8" xfId="9780"/>
    <cellStyle name="표준 11 2 2 3 8 2" xfId="32247"/>
    <cellStyle name="표준 11 2 2 3 9" xfId="17264"/>
    <cellStyle name="표준 11 2 2 3 9 2" xfId="39729"/>
    <cellStyle name="표준 11 2 2 3_Sheet4" xfId="562"/>
    <cellStyle name="표준 11 2 2 4" xfId="563"/>
    <cellStyle name="표준 11 2 2 4 2" xfId="564"/>
    <cellStyle name="표준 11 2 2 4 2 2" xfId="565"/>
    <cellStyle name="표준 11 2 2 4 2 2 2" xfId="566"/>
    <cellStyle name="표준 11 2 2 4 2 2 2 2" xfId="567"/>
    <cellStyle name="표준 11 2 2 4 2 2 2 2 2" xfId="9832"/>
    <cellStyle name="표준 11 2 2 4 2 2 2 2 2 2" xfId="32299"/>
    <cellStyle name="표준 11 2 2 4 2 2 2 2 3" xfId="17316"/>
    <cellStyle name="표준 11 2 2 4 2 2 2 2 3 2" xfId="39781"/>
    <cellStyle name="표준 11 2 2 4 2 2 2 2 4" xfId="24817"/>
    <cellStyle name="표준 11 2 2 4 2 2 2 3" xfId="9831"/>
    <cellStyle name="표준 11 2 2 4 2 2 2 3 2" xfId="32298"/>
    <cellStyle name="표준 11 2 2 4 2 2 2 4" xfId="17315"/>
    <cellStyle name="표준 11 2 2 4 2 2 2 4 2" xfId="39780"/>
    <cellStyle name="표준 11 2 2 4 2 2 2 5" xfId="24816"/>
    <cellStyle name="표준 11 2 2 4 2 2 2_Sheet4" xfId="568"/>
    <cellStyle name="표준 11 2 2 4 2 2 3" xfId="569"/>
    <cellStyle name="표준 11 2 2 4 2 2 3 2" xfId="9833"/>
    <cellStyle name="표준 11 2 2 4 2 2 3 2 2" xfId="32300"/>
    <cellStyle name="표준 11 2 2 4 2 2 3 3" xfId="17317"/>
    <cellStyle name="표준 11 2 2 4 2 2 3 3 2" xfId="39782"/>
    <cellStyle name="표준 11 2 2 4 2 2 3 4" xfId="24818"/>
    <cellStyle name="표준 11 2 2 4 2 2 4" xfId="9830"/>
    <cellStyle name="표준 11 2 2 4 2 2 4 2" xfId="32297"/>
    <cellStyle name="표준 11 2 2 4 2 2 5" xfId="17314"/>
    <cellStyle name="표준 11 2 2 4 2 2 5 2" xfId="39779"/>
    <cellStyle name="표준 11 2 2 4 2 2 6" xfId="24815"/>
    <cellStyle name="표준 11 2 2 4 2 2_Sheet4" xfId="570"/>
    <cellStyle name="표준 11 2 2 4 2 3" xfId="571"/>
    <cellStyle name="표준 11 2 2 4 2 3 2" xfId="572"/>
    <cellStyle name="표준 11 2 2 4 2 3 2 2" xfId="9835"/>
    <cellStyle name="표준 11 2 2 4 2 3 2 2 2" xfId="32302"/>
    <cellStyle name="표준 11 2 2 4 2 3 2 3" xfId="17319"/>
    <cellStyle name="표준 11 2 2 4 2 3 2 3 2" xfId="39784"/>
    <cellStyle name="표준 11 2 2 4 2 3 2 4" xfId="24820"/>
    <cellStyle name="표준 11 2 2 4 2 3 3" xfId="9834"/>
    <cellStyle name="표준 11 2 2 4 2 3 3 2" xfId="32301"/>
    <cellStyle name="표준 11 2 2 4 2 3 4" xfId="17318"/>
    <cellStyle name="표준 11 2 2 4 2 3 4 2" xfId="39783"/>
    <cellStyle name="표준 11 2 2 4 2 3 5" xfId="24819"/>
    <cellStyle name="표준 11 2 2 4 2 3_Sheet4" xfId="573"/>
    <cellStyle name="표준 11 2 2 4 2 4" xfId="574"/>
    <cellStyle name="표준 11 2 2 4 2 4 2" xfId="9836"/>
    <cellStyle name="표준 11 2 2 4 2 4 2 2" xfId="32303"/>
    <cellStyle name="표준 11 2 2 4 2 4 3" xfId="17320"/>
    <cellStyle name="표준 11 2 2 4 2 4 3 2" xfId="39785"/>
    <cellStyle name="표준 11 2 2 4 2 4 4" xfId="24821"/>
    <cellStyle name="표준 11 2 2 4 2 5" xfId="9829"/>
    <cellStyle name="표준 11 2 2 4 2 5 2" xfId="32296"/>
    <cellStyle name="표준 11 2 2 4 2 6" xfId="17313"/>
    <cellStyle name="표준 11 2 2 4 2 6 2" xfId="39778"/>
    <cellStyle name="표준 11 2 2 4 2 7" xfId="24814"/>
    <cellStyle name="표준 11 2 2 4 2_Sheet4" xfId="575"/>
    <cellStyle name="표준 11 2 2 4 3" xfId="576"/>
    <cellStyle name="표준 11 2 2 4 3 2" xfId="577"/>
    <cellStyle name="표준 11 2 2 4 3 2 2" xfId="578"/>
    <cellStyle name="표준 11 2 2 4 3 2 2 2" xfId="9839"/>
    <cellStyle name="표준 11 2 2 4 3 2 2 2 2" xfId="32306"/>
    <cellStyle name="표준 11 2 2 4 3 2 2 3" xfId="17323"/>
    <cellStyle name="표준 11 2 2 4 3 2 2 3 2" xfId="39788"/>
    <cellStyle name="표준 11 2 2 4 3 2 2 4" xfId="24824"/>
    <cellStyle name="표준 11 2 2 4 3 2 3" xfId="9838"/>
    <cellStyle name="표준 11 2 2 4 3 2 3 2" xfId="32305"/>
    <cellStyle name="표준 11 2 2 4 3 2 4" xfId="17322"/>
    <cellStyle name="표준 11 2 2 4 3 2 4 2" xfId="39787"/>
    <cellStyle name="표준 11 2 2 4 3 2 5" xfId="24823"/>
    <cellStyle name="표준 11 2 2 4 3 2_Sheet4" xfId="579"/>
    <cellStyle name="표준 11 2 2 4 3 3" xfId="580"/>
    <cellStyle name="표준 11 2 2 4 3 3 2" xfId="9840"/>
    <cellStyle name="표준 11 2 2 4 3 3 2 2" xfId="32307"/>
    <cellStyle name="표준 11 2 2 4 3 3 3" xfId="17324"/>
    <cellStyle name="표준 11 2 2 4 3 3 3 2" xfId="39789"/>
    <cellStyle name="표준 11 2 2 4 3 3 4" xfId="24825"/>
    <cellStyle name="표준 11 2 2 4 3 4" xfId="9837"/>
    <cellStyle name="표준 11 2 2 4 3 4 2" xfId="32304"/>
    <cellStyle name="표준 11 2 2 4 3 5" xfId="17321"/>
    <cellStyle name="표준 11 2 2 4 3 5 2" xfId="39786"/>
    <cellStyle name="표준 11 2 2 4 3 6" xfId="24822"/>
    <cellStyle name="표준 11 2 2 4 3_Sheet4" xfId="581"/>
    <cellStyle name="표준 11 2 2 4 4" xfId="582"/>
    <cellStyle name="표준 11 2 2 4 4 2" xfId="583"/>
    <cellStyle name="표준 11 2 2 4 4 2 2" xfId="9842"/>
    <cellStyle name="표준 11 2 2 4 4 2 2 2" xfId="32309"/>
    <cellStyle name="표준 11 2 2 4 4 2 3" xfId="17326"/>
    <cellStyle name="표준 11 2 2 4 4 2 3 2" xfId="39791"/>
    <cellStyle name="표준 11 2 2 4 4 2 4" xfId="24827"/>
    <cellStyle name="표준 11 2 2 4 4 3" xfId="9841"/>
    <cellStyle name="표준 11 2 2 4 4 3 2" xfId="32308"/>
    <cellStyle name="표준 11 2 2 4 4 4" xfId="17325"/>
    <cellStyle name="표준 11 2 2 4 4 4 2" xfId="39790"/>
    <cellStyle name="표준 11 2 2 4 4 5" xfId="24826"/>
    <cellStyle name="표준 11 2 2 4 4_Sheet4" xfId="584"/>
    <cellStyle name="표준 11 2 2 4 5" xfId="585"/>
    <cellStyle name="표준 11 2 2 4 5 2" xfId="9843"/>
    <cellStyle name="표준 11 2 2 4 5 2 2" xfId="32310"/>
    <cellStyle name="표준 11 2 2 4 5 3" xfId="17327"/>
    <cellStyle name="표준 11 2 2 4 5 3 2" xfId="39792"/>
    <cellStyle name="표준 11 2 2 4 5 4" xfId="24828"/>
    <cellStyle name="표준 11 2 2 4 6" xfId="9828"/>
    <cellStyle name="표준 11 2 2 4 6 2" xfId="32295"/>
    <cellStyle name="표준 11 2 2 4 7" xfId="17312"/>
    <cellStyle name="표준 11 2 2 4 7 2" xfId="39777"/>
    <cellStyle name="표준 11 2 2 4 8" xfId="24813"/>
    <cellStyle name="표준 11 2 2 4_Sheet4" xfId="586"/>
    <cellStyle name="표준 11 2 2 5" xfId="587"/>
    <cellStyle name="표준 11 2 2 5 2" xfId="588"/>
    <cellStyle name="표준 11 2 2 5 2 2" xfId="589"/>
    <cellStyle name="표준 11 2 2 5 2 2 2" xfId="590"/>
    <cellStyle name="표준 11 2 2 5 2 2 2 2" xfId="591"/>
    <cellStyle name="표준 11 2 2 5 2 2 2 2 2" xfId="9848"/>
    <cellStyle name="표준 11 2 2 5 2 2 2 2 2 2" xfId="32315"/>
    <cellStyle name="표준 11 2 2 5 2 2 2 2 3" xfId="17332"/>
    <cellStyle name="표준 11 2 2 5 2 2 2 2 3 2" xfId="39797"/>
    <cellStyle name="표준 11 2 2 5 2 2 2 2 4" xfId="24833"/>
    <cellStyle name="표준 11 2 2 5 2 2 2 3" xfId="9847"/>
    <cellStyle name="표준 11 2 2 5 2 2 2 3 2" xfId="32314"/>
    <cellStyle name="표준 11 2 2 5 2 2 2 4" xfId="17331"/>
    <cellStyle name="표준 11 2 2 5 2 2 2 4 2" xfId="39796"/>
    <cellStyle name="표준 11 2 2 5 2 2 2 5" xfId="24832"/>
    <cellStyle name="표준 11 2 2 5 2 2 2_Sheet4" xfId="592"/>
    <cellStyle name="표준 11 2 2 5 2 2 3" xfId="593"/>
    <cellStyle name="표준 11 2 2 5 2 2 3 2" xfId="9849"/>
    <cellStyle name="표준 11 2 2 5 2 2 3 2 2" xfId="32316"/>
    <cellStyle name="표준 11 2 2 5 2 2 3 3" xfId="17333"/>
    <cellStyle name="표준 11 2 2 5 2 2 3 3 2" xfId="39798"/>
    <cellStyle name="표준 11 2 2 5 2 2 3 4" xfId="24834"/>
    <cellStyle name="표준 11 2 2 5 2 2 4" xfId="9846"/>
    <cellStyle name="표준 11 2 2 5 2 2 4 2" xfId="32313"/>
    <cellStyle name="표준 11 2 2 5 2 2 5" xfId="17330"/>
    <cellStyle name="표준 11 2 2 5 2 2 5 2" xfId="39795"/>
    <cellStyle name="표준 11 2 2 5 2 2 6" xfId="24831"/>
    <cellStyle name="표준 11 2 2 5 2 2_Sheet4" xfId="594"/>
    <cellStyle name="표준 11 2 2 5 2 3" xfId="595"/>
    <cellStyle name="표준 11 2 2 5 2 3 2" xfId="596"/>
    <cellStyle name="표준 11 2 2 5 2 3 2 2" xfId="9851"/>
    <cellStyle name="표준 11 2 2 5 2 3 2 2 2" xfId="32318"/>
    <cellStyle name="표준 11 2 2 5 2 3 2 3" xfId="17335"/>
    <cellStyle name="표준 11 2 2 5 2 3 2 3 2" xfId="39800"/>
    <cellStyle name="표준 11 2 2 5 2 3 2 4" xfId="24836"/>
    <cellStyle name="표준 11 2 2 5 2 3 3" xfId="9850"/>
    <cellStyle name="표준 11 2 2 5 2 3 3 2" xfId="32317"/>
    <cellStyle name="표준 11 2 2 5 2 3 4" xfId="17334"/>
    <cellStyle name="표준 11 2 2 5 2 3 4 2" xfId="39799"/>
    <cellStyle name="표준 11 2 2 5 2 3 5" xfId="24835"/>
    <cellStyle name="표준 11 2 2 5 2 3_Sheet4" xfId="597"/>
    <cellStyle name="표준 11 2 2 5 2 4" xfId="598"/>
    <cellStyle name="표준 11 2 2 5 2 4 2" xfId="9852"/>
    <cellStyle name="표준 11 2 2 5 2 4 2 2" xfId="32319"/>
    <cellStyle name="표준 11 2 2 5 2 4 3" xfId="17336"/>
    <cellStyle name="표준 11 2 2 5 2 4 3 2" xfId="39801"/>
    <cellStyle name="표준 11 2 2 5 2 4 4" xfId="24837"/>
    <cellStyle name="표준 11 2 2 5 2 5" xfId="9845"/>
    <cellStyle name="표준 11 2 2 5 2 5 2" xfId="32312"/>
    <cellStyle name="표준 11 2 2 5 2 6" xfId="17329"/>
    <cellStyle name="표준 11 2 2 5 2 6 2" xfId="39794"/>
    <cellStyle name="표준 11 2 2 5 2 7" xfId="24830"/>
    <cellStyle name="표준 11 2 2 5 2_Sheet4" xfId="599"/>
    <cellStyle name="표준 11 2 2 5 3" xfId="600"/>
    <cellStyle name="표준 11 2 2 5 3 2" xfId="601"/>
    <cellStyle name="표준 11 2 2 5 3 2 2" xfId="602"/>
    <cellStyle name="표준 11 2 2 5 3 2 2 2" xfId="9855"/>
    <cellStyle name="표준 11 2 2 5 3 2 2 2 2" xfId="32322"/>
    <cellStyle name="표준 11 2 2 5 3 2 2 3" xfId="17339"/>
    <cellStyle name="표준 11 2 2 5 3 2 2 3 2" xfId="39804"/>
    <cellStyle name="표준 11 2 2 5 3 2 2 4" xfId="24840"/>
    <cellStyle name="표준 11 2 2 5 3 2 3" xfId="9854"/>
    <cellStyle name="표준 11 2 2 5 3 2 3 2" xfId="32321"/>
    <cellStyle name="표준 11 2 2 5 3 2 4" xfId="17338"/>
    <cellStyle name="표준 11 2 2 5 3 2 4 2" xfId="39803"/>
    <cellStyle name="표준 11 2 2 5 3 2 5" xfId="24839"/>
    <cellStyle name="표준 11 2 2 5 3 2_Sheet4" xfId="603"/>
    <cellStyle name="표준 11 2 2 5 3 3" xfId="604"/>
    <cellStyle name="표준 11 2 2 5 3 3 2" xfId="9856"/>
    <cellStyle name="표준 11 2 2 5 3 3 2 2" xfId="32323"/>
    <cellStyle name="표준 11 2 2 5 3 3 3" xfId="17340"/>
    <cellStyle name="표준 11 2 2 5 3 3 3 2" xfId="39805"/>
    <cellStyle name="표준 11 2 2 5 3 3 4" xfId="24841"/>
    <cellStyle name="표준 11 2 2 5 3 4" xfId="9853"/>
    <cellStyle name="표준 11 2 2 5 3 4 2" xfId="32320"/>
    <cellStyle name="표준 11 2 2 5 3 5" xfId="17337"/>
    <cellStyle name="표준 11 2 2 5 3 5 2" xfId="39802"/>
    <cellStyle name="표준 11 2 2 5 3 6" xfId="24838"/>
    <cellStyle name="표준 11 2 2 5 3_Sheet4" xfId="605"/>
    <cellStyle name="표준 11 2 2 5 4" xfId="606"/>
    <cellStyle name="표준 11 2 2 5 4 2" xfId="607"/>
    <cellStyle name="표준 11 2 2 5 4 2 2" xfId="9858"/>
    <cellStyle name="표준 11 2 2 5 4 2 2 2" xfId="32325"/>
    <cellStyle name="표준 11 2 2 5 4 2 3" xfId="17342"/>
    <cellStyle name="표준 11 2 2 5 4 2 3 2" xfId="39807"/>
    <cellStyle name="표준 11 2 2 5 4 2 4" xfId="24843"/>
    <cellStyle name="표준 11 2 2 5 4 3" xfId="9857"/>
    <cellStyle name="표준 11 2 2 5 4 3 2" xfId="32324"/>
    <cellStyle name="표준 11 2 2 5 4 4" xfId="17341"/>
    <cellStyle name="표준 11 2 2 5 4 4 2" xfId="39806"/>
    <cellStyle name="표준 11 2 2 5 4 5" xfId="24842"/>
    <cellStyle name="표준 11 2 2 5 4_Sheet4" xfId="608"/>
    <cellStyle name="표준 11 2 2 5 5" xfId="609"/>
    <cellStyle name="표준 11 2 2 5 5 2" xfId="9859"/>
    <cellStyle name="표준 11 2 2 5 5 2 2" xfId="32326"/>
    <cellStyle name="표준 11 2 2 5 5 3" xfId="17343"/>
    <cellStyle name="표준 11 2 2 5 5 3 2" xfId="39808"/>
    <cellStyle name="표준 11 2 2 5 5 4" xfId="24844"/>
    <cellStyle name="표준 11 2 2 5 6" xfId="9844"/>
    <cellStyle name="표준 11 2 2 5 6 2" xfId="32311"/>
    <cellStyle name="표준 11 2 2 5 7" xfId="17328"/>
    <cellStyle name="표준 11 2 2 5 7 2" xfId="39793"/>
    <cellStyle name="표준 11 2 2 5 8" xfId="24829"/>
    <cellStyle name="표준 11 2 2 5_Sheet4" xfId="610"/>
    <cellStyle name="표준 11 2 2 6" xfId="611"/>
    <cellStyle name="표준 11 2 2 6 2" xfId="612"/>
    <cellStyle name="표준 11 2 2 6 2 2" xfId="613"/>
    <cellStyle name="표준 11 2 2 6 2 2 2" xfId="614"/>
    <cellStyle name="표준 11 2 2 6 2 2 2 2" xfId="9863"/>
    <cellStyle name="표준 11 2 2 6 2 2 2 2 2" xfId="32330"/>
    <cellStyle name="표준 11 2 2 6 2 2 2 3" xfId="17347"/>
    <cellStyle name="표준 11 2 2 6 2 2 2 3 2" xfId="39812"/>
    <cellStyle name="표준 11 2 2 6 2 2 2 4" xfId="24848"/>
    <cellStyle name="표준 11 2 2 6 2 2 3" xfId="9862"/>
    <cellStyle name="표준 11 2 2 6 2 2 3 2" xfId="32329"/>
    <cellStyle name="표준 11 2 2 6 2 2 4" xfId="17346"/>
    <cellStyle name="표준 11 2 2 6 2 2 4 2" xfId="39811"/>
    <cellStyle name="표준 11 2 2 6 2 2 5" xfId="24847"/>
    <cellStyle name="표준 11 2 2 6 2 2_Sheet4" xfId="615"/>
    <cellStyle name="표준 11 2 2 6 2 3" xfId="616"/>
    <cellStyle name="표준 11 2 2 6 2 3 2" xfId="9864"/>
    <cellStyle name="표준 11 2 2 6 2 3 2 2" xfId="32331"/>
    <cellStyle name="표준 11 2 2 6 2 3 3" xfId="17348"/>
    <cellStyle name="표준 11 2 2 6 2 3 3 2" xfId="39813"/>
    <cellStyle name="표준 11 2 2 6 2 3 4" xfId="24849"/>
    <cellStyle name="표준 11 2 2 6 2 4" xfId="9861"/>
    <cellStyle name="표준 11 2 2 6 2 4 2" xfId="32328"/>
    <cellStyle name="표준 11 2 2 6 2 5" xfId="17345"/>
    <cellStyle name="표준 11 2 2 6 2 5 2" xfId="39810"/>
    <cellStyle name="표준 11 2 2 6 2 6" xfId="24846"/>
    <cellStyle name="표준 11 2 2 6 2_Sheet4" xfId="617"/>
    <cellStyle name="표준 11 2 2 6 3" xfId="618"/>
    <cellStyle name="표준 11 2 2 6 3 2" xfId="619"/>
    <cellStyle name="표준 11 2 2 6 3 2 2" xfId="9866"/>
    <cellStyle name="표준 11 2 2 6 3 2 2 2" xfId="32333"/>
    <cellStyle name="표준 11 2 2 6 3 2 3" xfId="17350"/>
    <cellStyle name="표준 11 2 2 6 3 2 3 2" xfId="39815"/>
    <cellStyle name="표준 11 2 2 6 3 2 4" xfId="24851"/>
    <cellStyle name="표준 11 2 2 6 3 3" xfId="9865"/>
    <cellStyle name="표준 11 2 2 6 3 3 2" xfId="32332"/>
    <cellStyle name="표준 11 2 2 6 3 4" xfId="17349"/>
    <cellStyle name="표준 11 2 2 6 3 4 2" xfId="39814"/>
    <cellStyle name="표준 11 2 2 6 3 5" xfId="24850"/>
    <cellStyle name="표준 11 2 2 6 3_Sheet4" xfId="620"/>
    <cellStyle name="표준 11 2 2 6 4" xfId="621"/>
    <cellStyle name="표준 11 2 2 6 4 2" xfId="9867"/>
    <cellStyle name="표준 11 2 2 6 4 2 2" xfId="32334"/>
    <cellStyle name="표준 11 2 2 6 4 3" xfId="17351"/>
    <cellStyle name="표준 11 2 2 6 4 3 2" xfId="39816"/>
    <cellStyle name="표준 11 2 2 6 4 4" xfId="24852"/>
    <cellStyle name="표준 11 2 2 6 5" xfId="9860"/>
    <cellStyle name="표준 11 2 2 6 5 2" xfId="32327"/>
    <cellStyle name="표준 11 2 2 6 6" xfId="17344"/>
    <cellStyle name="표준 11 2 2 6 6 2" xfId="39809"/>
    <cellStyle name="표준 11 2 2 6 7" xfId="24845"/>
    <cellStyle name="표준 11 2 2 6_Sheet4" xfId="622"/>
    <cellStyle name="표준 11 2 2 7" xfId="623"/>
    <cellStyle name="표준 11 2 2 7 2" xfId="624"/>
    <cellStyle name="표준 11 2 2 7 2 2" xfId="625"/>
    <cellStyle name="표준 11 2 2 7 2 2 2" xfId="626"/>
    <cellStyle name="표준 11 2 2 7 2 2 2 2" xfId="9871"/>
    <cellStyle name="표준 11 2 2 7 2 2 2 2 2" xfId="32338"/>
    <cellStyle name="표준 11 2 2 7 2 2 2 3" xfId="17355"/>
    <cellStyle name="표준 11 2 2 7 2 2 2 3 2" xfId="39820"/>
    <cellStyle name="표준 11 2 2 7 2 2 2 4" xfId="24856"/>
    <cellStyle name="표준 11 2 2 7 2 2 3" xfId="9870"/>
    <cellStyle name="표준 11 2 2 7 2 2 3 2" xfId="32337"/>
    <cellStyle name="표준 11 2 2 7 2 2 4" xfId="17354"/>
    <cellStyle name="표준 11 2 2 7 2 2 4 2" xfId="39819"/>
    <cellStyle name="표준 11 2 2 7 2 2 5" xfId="24855"/>
    <cellStyle name="표준 11 2 2 7 2 2_Sheet4" xfId="627"/>
    <cellStyle name="표준 11 2 2 7 2 3" xfId="628"/>
    <cellStyle name="표준 11 2 2 7 2 3 2" xfId="9872"/>
    <cellStyle name="표준 11 2 2 7 2 3 2 2" xfId="32339"/>
    <cellStyle name="표준 11 2 2 7 2 3 3" xfId="17356"/>
    <cellStyle name="표준 11 2 2 7 2 3 3 2" xfId="39821"/>
    <cellStyle name="표준 11 2 2 7 2 3 4" xfId="24857"/>
    <cellStyle name="표준 11 2 2 7 2 4" xfId="9869"/>
    <cellStyle name="표준 11 2 2 7 2 4 2" xfId="32336"/>
    <cellStyle name="표준 11 2 2 7 2 5" xfId="17353"/>
    <cellStyle name="표준 11 2 2 7 2 5 2" xfId="39818"/>
    <cellStyle name="표준 11 2 2 7 2 6" xfId="24854"/>
    <cellStyle name="표준 11 2 2 7 2_Sheet4" xfId="629"/>
    <cellStyle name="표준 11 2 2 7 3" xfId="630"/>
    <cellStyle name="표준 11 2 2 7 3 2" xfId="631"/>
    <cellStyle name="표준 11 2 2 7 3 2 2" xfId="9874"/>
    <cellStyle name="표준 11 2 2 7 3 2 2 2" xfId="32341"/>
    <cellStyle name="표준 11 2 2 7 3 2 3" xfId="17358"/>
    <cellStyle name="표준 11 2 2 7 3 2 3 2" xfId="39823"/>
    <cellStyle name="표준 11 2 2 7 3 2 4" xfId="24859"/>
    <cellStyle name="표준 11 2 2 7 3 3" xfId="9873"/>
    <cellStyle name="표준 11 2 2 7 3 3 2" xfId="32340"/>
    <cellStyle name="표준 11 2 2 7 3 4" xfId="17357"/>
    <cellStyle name="표준 11 2 2 7 3 4 2" xfId="39822"/>
    <cellStyle name="표준 11 2 2 7 3 5" xfId="24858"/>
    <cellStyle name="표준 11 2 2 7 3_Sheet4" xfId="632"/>
    <cellStyle name="표준 11 2 2 7 4" xfId="633"/>
    <cellStyle name="표준 11 2 2 7 4 2" xfId="9875"/>
    <cellStyle name="표준 11 2 2 7 4 2 2" xfId="32342"/>
    <cellStyle name="표준 11 2 2 7 4 3" xfId="17359"/>
    <cellStyle name="표준 11 2 2 7 4 3 2" xfId="39824"/>
    <cellStyle name="표준 11 2 2 7 4 4" xfId="24860"/>
    <cellStyle name="표준 11 2 2 7 5" xfId="9868"/>
    <cellStyle name="표준 11 2 2 7 5 2" xfId="32335"/>
    <cellStyle name="표준 11 2 2 7 6" xfId="17352"/>
    <cellStyle name="표준 11 2 2 7 6 2" xfId="39817"/>
    <cellStyle name="표준 11 2 2 7 7" xfId="24853"/>
    <cellStyle name="표준 11 2 2 7_Sheet4" xfId="634"/>
    <cellStyle name="표준 11 2 2 8" xfId="635"/>
    <cellStyle name="표준 11 2 2 8 2" xfId="636"/>
    <cellStyle name="표준 11 2 2 8 2 2" xfId="637"/>
    <cellStyle name="표준 11 2 2 8 2 2 2" xfId="638"/>
    <cellStyle name="표준 11 2 2 8 2 2 2 2" xfId="9879"/>
    <cellStyle name="표준 11 2 2 8 2 2 2 2 2" xfId="32346"/>
    <cellStyle name="표준 11 2 2 8 2 2 2 3" xfId="17363"/>
    <cellStyle name="표준 11 2 2 8 2 2 2 3 2" xfId="39828"/>
    <cellStyle name="표준 11 2 2 8 2 2 2 4" xfId="24864"/>
    <cellStyle name="표준 11 2 2 8 2 2 3" xfId="9878"/>
    <cellStyle name="표준 11 2 2 8 2 2 3 2" xfId="32345"/>
    <cellStyle name="표준 11 2 2 8 2 2 4" xfId="17362"/>
    <cellStyle name="표준 11 2 2 8 2 2 4 2" xfId="39827"/>
    <cellStyle name="표준 11 2 2 8 2 2 5" xfId="24863"/>
    <cellStyle name="표준 11 2 2 8 2 2_Sheet4" xfId="639"/>
    <cellStyle name="표준 11 2 2 8 2 3" xfId="640"/>
    <cellStyle name="표준 11 2 2 8 2 3 2" xfId="9880"/>
    <cellStyle name="표준 11 2 2 8 2 3 2 2" xfId="32347"/>
    <cellStyle name="표준 11 2 2 8 2 3 3" xfId="17364"/>
    <cellStyle name="표준 11 2 2 8 2 3 3 2" xfId="39829"/>
    <cellStyle name="표준 11 2 2 8 2 3 4" xfId="24865"/>
    <cellStyle name="표준 11 2 2 8 2 4" xfId="9877"/>
    <cellStyle name="표준 11 2 2 8 2 4 2" xfId="32344"/>
    <cellStyle name="표준 11 2 2 8 2 5" xfId="17361"/>
    <cellStyle name="표준 11 2 2 8 2 5 2" xfId="39826"/>
    <cellStyle name="표준 11 2 2 8 2 6" xfId="24862"/>
    <cellStyle name="표준 11 2 2 8 2_Sheet4" xfId="641"/>
    <cellStyle name="표준 11 2 2 8 3" xfId="642"/>
    <cellStyle name="표준 11 2 2 8 3 2" xfId="643"/>
    <cellStyle name="표준 11 2 2 8 3 2 2" xfId="9882"/>
    <cellStyle name="표준 11 2 2 8 3 2 2 2" xfId="32349"/>
    <cellStyle name="표준 11 2 2 8 3 2 3" xfId="17366"/>
    <cellStyle name="표준 11 2 2 8 3 2 3 2" xfId="39831"/>
    <cellStyle name="표준 11 2 2 8 3 2 4" xfId="24867"/>
    <cellStyle name="표준 11 2 2 8 3 3" xfId="9881"/>
    <cellStyle name="표준 11 2 2 8 3 3 2" xfId="32348"/>
    <cellStyle name="표준 11 2 2 8 3 4" xfId="17365"/>
    <cellStyle name="표준 11 2 2 8 3 4 2" xfId="39830"/>
    <cellStyle name="표준 11 2 2 8 3 5" xfId="24866"/>
    <cellStyle name="표준 11 2 2 8 3_Sheet4" xfId="644"/>
    <cellStyle name="표준 11 2 2 8 4" xfId="645"/>
    <cellStyle name="표준 11 2 2 8 4 2" xfId="9883"/>
    <cellStyle name="표준 11 2 2 8 4 2 2" xfId="32350"/>
    <cellStyle name="표준 11 2 2 8 4 3" xfId="17367"/>
    <cellStyle name="표준 11 2 2 8 4 3 2" xfId="39832"/>
    <cellStyle name="표준 11 2 2 8 4 4" xfId="24868"/>
    <cellStyle name="표준 11 2 2 8 5" xfId="9876"/>
    <cellStyle name="표준 11 2 2 8 5 2" xfId="32343"/>
    <cellStyle name="표준 11 2 2 8 6" xfId="17360"/>
    <cellStyle name="표준 11 2 2 8 6 2" xfId="39825"/>
    <cellStyle name="표준 11 2 2 8 7" xfId="24861"/>
    <cellStyle name="표준 11 2 2 8_Sheet4" xfId="646"/>
    <cellStyle name="표준 11 2 2 9" xfId="647"/>
    <cellStyle name="표준 11 2 2 9 2" xfId="648"/>
    <cellStyle name="표준 11 2 2 9 2 2" xfId="649"/>
    <cellStyle name="표준 11 2 2 9 2 2 2" xfId="9886"/>
    <cellStyle name="표준 11 2 2 9 2 2 2 2" xfId="32353"/>
    <cellStyle name="표준 11 2 2 9 2 2 3" xfId="17370"/>
    <cellStyle name="표준 11 2 2 9 2 2 3 2" xfId="39835"/>
    <cellStyle name="표준 11 2 2 9 2 2 4" xfId="24871"/>
    <cellStyle name="표준 11 2 2 9 2 3" xfId="9885"/>
    <cellStyle name="표준 11 2 2 9 2 3 2" xfId="32352"/>
    <cellStyle name="표준 11 2 2 9 2 4" xfId="17369"/>
    <cellStyle name="표준 11 2 2 9 2 4 2" xfId="39834"/>
    <cellStyle name="표준 11 2 2 9 2 5" xfId="24870"/>
    <cellStyle name="표준 11 2 2 9 2_Sheet4" xfId="650"/>
    <cellStyle name="표준 11 2 2 9 3" xfId="651"/>
    <cellStyle name="표준 11 2 2 9 3 2" xfId="9887"/>
    <cellStyle name="표준 11 2 2 9 3 2 2" xfId="32354"/>
    <cellStyle name="표준 11 2 2 9 3 3" xfId="17371"/>
    <cellStyle name="표준 11 2 2 9 3 3 2" xfId="39836"/>
    <cellStyle name="표준 11 2 2 9 3 4" xfId="24872"/>
    <cellStyle name="표준 11 2 2 9 4" xfId="9884"/>
    <cellStyle name="표준 11 2 2 9 4 2" xfId="32351"/>
    <cellStyle name="표준 11 2 2 9 5" xfId="17368"/>
    <cellStyle name="표준 11 2 2 9 5 2" xfId="39833"/>
    <cellStyle name="표준 11 2 2 9 6" xfId="24869"/>
    <cellStyle name="표준 11 2 2 9_Sheet4" xfId="652"/>
    <cellStyle name="표준 11 2 2_Sheet4" xfId="653"/>
    <cellStyle name="표준 11 2 20" xfId="24620"/>
    <cellStyle name="표준 11 2 3" xfId="654"/>
    <cellStyle name="표준 11 2 3 10" xfId="9888"/>
    <cellStyle name="표준 11 2 3 10 2" xfId="32355"/>
    <cellStyle name="표준 11 2 3 11" xfId="17372"/>
    <cellStyle name="표준 11 2 3 11 2" xfId="39837"/>
    <cellStyle name="표준 11 2 3 12" xfId="24873"/>
    <cellStyle name="표준 11 2 3 2" xfId="655"/>
    <cellStyle name="표준 11 2 3 2 10" xfId="24874"/>
    <cellStyle name="표준 11 2 3 2 2" xfId="656"/>
    <cellStyle name="표준 11 2 3 2 2 2" xfId="657"/>
    <cellStyle name="표준 11 2 3 2 2 2 2" xfId="658"/>
    <cellStyle name="표준 11 2 3 2 2 2 2 2" xfId="659"/>
    <cellStyle name="표준 11 2 3 2 2 2 2 2 2" xfId="660"/>
    <cellStyle name="표준 11 2 3 2 2 2 2 2 2 2" xfId="9894"/>
    <cellStyle name="표준 11 2 3 2 2 2 2 2 2 2 2" xfId="32361"/>
    <cellStyle name="표준 11 2 3 2 2 2 2 2 2 3" xfId="17378"/>
    <cellStyle name="표준 11 2 3 2 2 2 2 2 2 3 2" xfId="39843"/>
    <cellStyle name="표준 11 2 3 2 2 2 2 2 2 4" xfId="24879"/>
    <cellStyle name="표준 11 2 3 2 2 2 2 2 3" xfId="9893"/>
    <cellStyle name="표준 11 2 3 2 2 2 2 2 3 2" xfId="32360"/>
    <cellStyle name="표준 11 2 3 2 2 2 2 2 4" xfId="17377"/>
    <cellStyle name="표준 11 2 3 2 2 2 2 2 4 2" xfId="39842"/>
    <cellStyle name="표준 11 2 3 2 2 2 2 2 5" xfId="24878"/>
    <cellStyle name="표준 11 2 3 2 2 2 2 2_Sheet4" xfId="661"/>
    <cellStyle name="표준 11 2 3 2 2 2 2 3" xfId="662"/>
    <cellStyle name="표준 11 2 3 2 2 2 2 3 2" xfId="9895"/>
    <cellStyle name="표준 11 2 3 2 2 2 2 3 2 2" xfId="32362"/>
    <cellStyle name="표준 11 2 3 2 2 2 2 3 3" xfId="17379"/>
    <cellStyle name="표준 11 2 3 2 2 2 2 3 3 2" xfId="39844"/>
    <cellStyle name="표준 11 2 3 2 2 2 2 3 4" xfId="24880"/>
    <cellStyle name="표준 11 2 3 2 2 2 2 4" xfId="9892"/>
    <cellStyle name="표준 11 2 3 2 2 2 2 4 2" xfId="32359"/>
    <cellStyle name="표준 11 2 3 2 2 2 2 5" xfId="17376"/>
    <cellStyle name="표준 11 2 3 2 2 2 2 5 2" xfId="39841"/>
    <cellStyle name="표준 11 2 3 2 2 2 2 6" xfId="24877"/>
    <cellStyle name="표준 11 2 3 2 2 2 2_Sheet4" xfId="663"/>
    <cellStyle name="표준 11 2 3 2 2 2 3" xfId="664"/>
    <cellStyle name="표준 11 2 3 2 2 2 3 2" xfId="665"/>
    <cellStyle name="표준 11 2 3 2 2 2 3 2 2" xfId="9897"/>
    <cellStyle name="표준 11 2 3 2 2 2 3 2 2 2" xfId="32364"/>
    <cellStyle name="표준 11 2 3 2 2 2 3 2 3" xfId="17381"/>
    <cellStyle name="표준 11 2 3 2 2 2 3 2 3 2" xfId="39846"/>
    <cellStyle name="표준 11 2 3 2 2 2 3 2 4" xfId="24882"/>
    <cellStyle name="표준 11 2 3 2 2 2 3 3" xfId="9896"/>
    <cellStyle name="표준 11 2 3 2 2 2 3 3 2" xfId="32363"/>
    <cellStyle name="표준 11 2 3 2 2 2 3 4" xfId="17380"/>
    <cellStyle name="표준 11 2 3 2 2 2 3 4 2" xfId="39845"/>
    <cellStyle name="표준 11 2 3 2 2 2 3 5" xfId="24881"/>
    <cellStyle name="표준 11 2 3 2 2 2 3_Sheet4" xfId="666"/>
    <cellStyle name="표준 11 2 3 2 2 2 4" xfId="667"/>
    <cellStyle name="표준 11 2 3 2 2 2 4 2" xfId="9898"/>
    <cellStyle name="표준 11 2 3 2 2 2 4 2 2" xfId="32365"/>
    <cellStyle name="표준 11 2 3 2 2 2 4 3" xfId="17382"/>
    <cellStyle name="표준 11 2 3 2 2 2 4 3 2" xfId="39847"/>
    <cellStyle name="표준 11 2 3 2 2 2 4 4" xfId="24883"/>
    <cellStyle name="표준 11 2 3 2 2 2 5" xfId="9891"/>
    <cellStyle name="표준 11 2 3 2 2 2 5 2" xfId="32358"/>
    <cellStyle name="표준 11 2 3 2 2 2 6" xfId="17375"/>
    <cellStyle name="표준 11 2 3 2 2 2 6 2" xfId="39840"/>
    <cellStyle name="표준 11 2 3 2 2 2 7" xfId="24876"/>
    <cellStyle name="표준 11 2 3 2 2 2_Sheet4" xfId="668"/>
    <cellStyle name="표준 11 2 3 2 2 3" xfId="669"/>
    <cellStyle name="표준 11 2 3 2 2 3 2" xfId="670"/>
    <cellStyle name="표준 11 2 3 2 2 3 2 2" xfId="671"/>
    <cellStyle name="표준 11 2 3 2 2 3 2 2 2" xfId="9901"/>
    <cellStyle name="표준 11 2 3 2 2 3 2 2 2 2" xfId="32368"/>
    <cellStyle name="표준 11 2 3 2 2 3 2 2 3" xfId="17385"/>
    <cellStyle name="표준 11 2 3 2 2 3 2 2 3 2" xfId="39850"/>
    <cellStyle name="표준 11 2 3 2 2 3 2 2 4" xfId="24886"/>
    <cellStyle name="표준 11 2 3 2 2 3 2 3" xfId="9900"/>
    <cellStyle name="표준 11 2 3 2 2 3 2 3 2" xfId="32367"/>
    <cellStyle name="표준 11 2 3 2 2 3 2 4" xfId="17384"/>
    <cellStyle name="표준 11 2 3 2 2 3 2 4 2" xfId="39849"/>
    <cellStyle name="표준 11 2 3 2 2 3 2 5" xfId="24885"/>
    <cellStyle name="표준 11 2 3 2 2 3 2_Sheet4" xfId="672"/>
    <cellStyle name="표준 11 2 3 2 2 3 3" xfId="673"/>
    <cellStyle name="표준 11 2 3 2 2 3 3 2" xfId="9902"/>
    <cellStyle name="표준 11 2 3 2 2 3 3 2 2" xfId="32369"/>
    <cellStyle name="표준 11 2 3 2 2 3 3 3" xfId="17386"/>
    <cellStyle name="표준 11 2 3 2 2 3 3 3 2" xfId="39851"/>
    <cellStyle name="표준 11 2 3 2 2 3 3 4" xfId="24887"/>
    <cellStyle name="표준 11 2 3 2 2 3 4" xfId="9899"/>
    <cellStyle name="표준 11 2 3 2 2 3 4 2" xfId="32366"/>
    <cellStyle name="표준 11 2 3 2 2 3 5" xfId="17383"/>
    <cellStyle name="표준 11 2 3 2 2 3 5 2" xfId="39848"/>
    <cellStyle name="표준 11 2 3 2 2 3 6" xfId="24884"/>
    <cellStyle name="표준 11 2 3 2 2 3_Sheet4" xfId="674"/>
    <cellStyle name="표준 11 2 3 2 2 4" xfId="675"/>
    <cellStyle name="표준 11 2 3 2 2 4 2" xfId="676"/>
    <cellStyle name="표준 11 2 3 2 2 4 2 2" xfId="9904"/>
    <cellStyle name="표준 11 2 3 2 2 4 2 2 2" xfId="32371"/>
    <cellStyle name="표준 11 2 3 2 2 4 2 3" xfId="17388"/>
    <cellStyle name="표준 11 2 3 2 2 4 2 3 2" xfId="39853"/>
    <cellStyle name="표준 11 2 3 2 2 4 2 4" xfId="24889"/>
    <cellStyle name="표준 11 2 3 2 2 4 3" xfId="9903"/>
    <cellStyle name="표준 11 2 3 2 2 4 3 2" xfId="32370"/>
    <cellStyle name="표준 11 2 3 2 2 4 4" xfId="17387"/>
    <cellStyle name="표준 11 2 3 2 2 4 4 2" xfId="39852"/>
    <cellStyle name="표준 11 2 3 2 2 4 5" xfId="24888"/>
    <cellStyle name="표준 11 2 3 2 2 4_Sheet4" xfId="677"/>
    <cellStyle name="표준 11 2 3 2 2 5" xfId="678"/>
    <cellStyle name="표준 11 2 3 2 2 5 2" xfId="9905"/>
    <cellStyle name="표준 11 2 3 2 2 5 2 2" xfId="32372"/>
    <cellStyle name="표준 11 2 3 2 2 5 3" xfId="17389"/>
    <cellStyle name="표준 11 2 3 2 2 5 3 2" xfId="39854"/>
    <cellStyle name="표준 11 2 3 2 2 5 4" xfId="24890"/>
    <cellStyle name="표준 11 2 3 2 2 6" xfId="9890"/>
    <cellStyle name="표준 11 2 3 2 2 6 2" xfId="32357"/>
    <cellStyle name="표준 11 2 3 2 2 7" xfId="17374"/>
    <cellStyle name="표준 11 2 3 2 2 7 2" xfId="39839"/>
    <cellStyle name="표준 11 2 3 2 2 8" xfId="24875"/>
    <cellStyle name="표준 11 2 3 2 2_Sheet4" xfId="679"/>
    <cellStyle name="표준 11 2 3 2 3" xfId="680"/>
    <cellStyle name="표준 11 2 3 2 3 2" xfId="681"/>
    <cellStyle name="표준 11 2 3 2 3 2 2" xfId="682"/>
    <cellStyle name="표준 11 2 3 2 3 2 2 2" xfId="683"/>
    <cellStyle name="표준 11 2 3 2 3 2 2 2 2" xfId="684"/>
    <cellStyle name="표준 11 2 3 2 3 2 2 2 2 2" xfId="9910"/>
    <cellStyle name="표준 11 2 3 2 3 2 2 2 2 2 2" xfId="32377"/>
    <cellStyle name="표준 11 2 3 2 3 2 2 2 2 3" xfId="17394"/>
    <cellStyle name="표준 11 2 3 2 3 2 2 2 2 3 2" xfId="39859"/>
    <cellStyle name="표준 11 2 3 2 3 2 2 2 2 4" xfId="24895"/>
    <cellStyle name="표준 11 2 3 2 3 2 2 2 3" xfId="9909"/>
    <cellStyle name="표준 11 2 3 2 3 2 2 2 3 2" xfId="32376"/>
    <cellStyle name="표준 11 2 3 2 3 2 2 2 4" xfId="17393"/>
    <cellStyle name="표준 11 2 3 2 3 2 2 2 4 2" xfId="39858"/>
    <cellStyle name="표준 11 2 3 2 3 2 2 2 5" xfId="24894"/>
    <cellStyle name="표준 11 2 3 2 3 2 2 2_Sheet4" xfId="685"/>
    <cellStyle name="표준 11 2 3 2 3 2 2 3" xfId="686"/>
    <cellStyle name="표준 11 2 3 2 3 2 2 3 2" xfId="9911"/>
    <cellStyle name="표준 11 2 3 2 3 2 2 3 2 2" xfId="32378"/>
    <cellStyle name="표준 11 2 3 2 3 2 2 3 3" xfId="17395"/>
    <cellStyle name="표준 11 2 3 2 3 2 2 3 3 2" xfId="39860"/>
    <cellStyle name="표준 11 2 3 2 3 2 2 3 4" xfId="24896"/>
    <cellStyle name="표준 11 2 3 2 3 2 2 4" xfId="9908"/>
    <cellStyle name="표준 11 2 3 2 3 2 2 4 2" xfId="32375"/>
    <cellStyle name="표준 11 2 3 2 3 2 2 5" xfId="17392"/>
    <cellStyle name="표준 11 2 3 2 3 2 2 5 2" xfId="39857"/>
    <cellStyle name="표준 11 2 3 2 3 2 2 6" xfId="24893"/>
    <cellStyle name="표준 11 2 3 2 3 2 2_Sheet4" xfId="687"/>
    <cellStyle name="표준 11 2 3 2 3 2 3" xfId="688"/>
    <cellStyle name="표준 11 2 3 2 3 2 3 2" xfId="689"/>
    <cellStyle name="표준 11 2 3 2 3 2 3 2 2" xfId="9913"/>
    <cellStyle name="표준 11 2 3 2 3 2 3 2 2 2" xfId="32380"/>
    <cellStyle name="표준 11 2 3 2 3 2 3 2 3" xfId="17397"/>
    <cellStyle name="표준 11 2 3 2 3 2 3 2 3 2" xfId="39862"/>
    <cellStyle name="표준 11 2 3 2 3 2 3 2 4" xfId="24898"/>
    <cellStyle name="표준 11 2 3 2 3 2 3 3" xfId="9912"/>
    <cellStyle name="표준 11 2 3 2 3 2 3 3 2" xfId="32379"/>
    <cellStyle name="표준 11 2 3 2 3 2 3 4" xfId="17396"/>
    <cellStyle name="표준 11 2 3 2 3 2 3 4 2" xfId="39861"/>
    <cellStyle name="표준 11 2 3 2 3 2 3 5" xfId="24897"/>
    <cellStyle name="표준 11 2 3 2 3 2 3_Sheet4" xfId="690"/>
    <cellStyle name="표준 11 2 3 2 3 2 4" xfId="691"/>
    <cellStyle name="표준 11 2 3 2 3 2 4 2" xfId="9914"/>
    <cellStyle name="표준 11 2 3 2 3 2 4 2 2" xfId="32381"/>
    <cellStyle name="표준 11 2 3 2 3 2 4 3" xfId="17398"/>
    <cellStyle name="표준 11 2 3 2 3 2 4 3 2" xfId="39863"/>
    <cellStyle name="표준 11 2 3 2 3 2 4 4" xfId="24899"/>
    <cellStyle name="표준 11 2 3 2 3 2 5" xfId="9907"/>
    <cellStyle name="표준 11 2 3 2 3 2 5 2" xfId="32374"/>
    <cellStyle name="표준 11 2 3 2 3 2 6" xfId="17391"/>
    <cellStyle name="표준 11 2 3 2 3 2 6 2" xfId="39856"/>
    <cellStyle name="표준 11 2 3 2 3 2 7" xfId="24892"/>
    <cellStyle name="표준 11 2 3 2 3 2_Sheet4" xfId="692"/>
    <cellStyle name="표준 11 2 3 2 3 3" xfId="693"/>
    <cellStyle name="표준 11 2 3 2 3 3 2" xfId="694"/>
    <cellStyle name="표준 11 2 3 2 3 3 2 2" xfId="695"/>
    <cellStyle name="표준 11 2 3 2 3 3 2 2 2" xfId="9917"/>
    <cellStyle name="표준 11 2 3 2 3 3 2 2 2 2" xfId="32384"/>
    <cellStyle name="표준 11 2 3 2 3 3 2 2 3" xfId="17401"/>
    <cellStyle name="표준 11 2 3 2 3 3 2 2 3 2" xfId="39866"/>
    <cellStyle name="표준 11 2 3 2 3 3 2 2 4" xfId="24902"/>
    <cellStyle name="표준 11 2 3 2 3 3 2 3" xfId="9916"/>
    <cellStyle name="표준 11 2 3 2 3 3 2 3 2" xfId="32383"/>
    <cellStyle name="표준 11 2 3 2 3 3 2 4" xfId="17400"/>
    <cellStyle name="표준 11 2 3 2 3 3 2 4 2" xfId="39865"/>
    <cellStyle name="표준 11 2 3 2 3 3 2 5" xfId="24901"/>
    <cellStyle name="표준 11 2 3 2 3 3 2_Sheet4" xfId="696"/>
    <cellStyle name="표준 11 2 3 2 3 3 3" xfId="697"/>
    <cellStyle name="표준 11 2 3 2 3 3 3 2" xfId="9918"/>
    <cellStyle name="표준 11 2 3 2 3 3 3 2 2" xfId="32385"/>
    <cellStyle name="표준 11 2 3 2 3 3 3 3" xfId="17402"/>
    <cellStyle name="표준 11 2 3 2 3 3 3 3 2" xfId="39867"/>
    <cellStyle name="표준 11 2 3 2 3 3 3 4" xfId="24903"/>
    <cellStyle name="표준 11 2 3 2 3 3 4" xfId="9915"/>
    <cellStyle name="표준 11 2 3 2 3 3 4 2" xfId="32382"/>
    <cellStyle name="표준 11 2 3 2 3 3 5" xfId="17399"/>
    <cellStyle name="표준 11 2 3 2 3 3 5 2" xfId="39864"/>
    <cellStyle name="표준 11 2 3 2 3 3 6" xfId="24900"/>
    <cellStyle name="표준 11 2 3 2 3 3_Sheet4" xfId="698"/>
    <cellStyle name="표준 11 2 3 2 3 4" xfId="699"/>
    <cellStyle name="표준 11 2 3 2 3 4 2" xfId="700"/>
    <cellStyle name="표준 11 2 3 2 3 4 2 2" xfId="9920"/>
    <cellStyle name="표준 11 2 3 2 3 4 2 2 2" xfId="32387"/>
    <cellStyle name="표준 11 2 3 2 3 4 2 3" xfId="17404"/>
    <cellStyle name="표준 11 2 3 2 3 4 2 3 2" xfId="39869"/>
    <cellStyle name="표준 11 2 3 2 3 4 2 4" xfId="24905"/>
    <cellStyle name="표준 11 2 3 2 3 4 3" xfId="9919"/>
    <cellStyle name="표준 11 2 3 2 3 4 3 2" xfId="32386"/>
    <cellStyle name="표준 11 2 3 2 3 4 4" xfId="17403"/>
    <cellStyle name="표준 11 2 3 2 3 4 4 2" xfId="39868"/>
    <cellStyle name="표준 11 2 3 2 3 4 5" xfId="24904"/>
    <cellStyle name="표준 11 2 3 2 3 4_Sheet4" xfId="701"/>
    <cellStyle name="표준 11 2 3 2 3 5" xfId="702"/>
    <cellStyle name="표준 11 2 3 2 3 5 2" xfId="9921"/>
    <cellStyle name="표준 11 2 3 2 3 5 2 2" xfId="32388"/>
    <cellStyle name="표준 11 2 3 2 3 5 3" xfId="17405"/>
    <cellStyle name="표준 11 2 3 2 3 5 3 2" xfId="39870"/>
    <cellStyle name="표준 11 2 3 2 3 5 4" xfId="24906"/>
    <cellStyle name="표준 11 2 3 2 3 6" xfId="9906"/>
    <cellStyle name="표준 11 2 3 2 3 6 2" xfId="32373"/>
    <cellStyle name="표준 11 2 3 2 3 7" xfId="17390"/>
    <cellStyle name="표준 11 2 3 2 3 7 2" xfId="39855"/>
    <cellStyle name="표준 11 2 3 2 3 8" xfId="24891"/>
    <cellStyle name="표준 11 2 3 2 3_Sheet4" xfId="703"/>
    <cellStyle name="표준 11 2 3 2 4" xfId="704"/>
    <cellStyle name="표준 11 2 3 2 4 2" xfId="705"/>
    <cellStyle name="표준 11 2 3 2 4 2 2" xfId="706"/>
    <cellStyle name="표준 11 2 3 2 4 2 2 2" xfId="707"/>
    <cellStyle name="표준 11 2 3 2 4 2 2 2 2" xfId="9925"/>
    <cellStyle name="표준 11 2 3 2 4 2 2 2 2 2" xfId="32392"/>
    <cellStyle name="표준 11 2 3 2 4 2 2 2 3" xfId="17409"/>
    <cellStyle name="표준 11 2 3 2 4 2 2 2 3 2" xfId="39874"/>
    <cellStyle name="표준 11 2 3 2 4 2 2 2 4" xfId="24910"/>
    <cellStyle name="표준 11 2 3 2 4 2 2 3" xfId="9924"/>
    <cellStyle name="표준 11 2 3 2 4 2 2 3 2" xfId="32391"/>
    <cellStyle name="표준 11 2 3 2 4 2 2 4" xfId="17408"/>
    <cellStyle name="표준 11 2 3 2 4 2 2 4 2" xfId="39873"/>
    <cellStyle name="표준 11 2 3 2 4 2 2 5" xfId="24909"/>
    <cellStyle name="표준 11 2 3 2 4 2 2_Sheet4" xfId="708"/>
    <cellStyle name="표준 11 2 3 2 4 2 3" xfId="709"/>
    <cellStyle name="표준 11 2 3 2 4 2 3 2" xfId="9926"/>
    <cellStyle name="표준 11 2 3 2 4 2 3 2 2" xfId="32393"/>
    <cellStyle name="표준 11 2 3 2 4 2 3 3" xfId="17410"/>
    <cellStyle name="표준 11 2 3 2 4 2 3 3 2" xfId="39875"/>
    <cellStyle name="표준 11 2 3 2 4 2 3 4" xfId="24911"/>
    <cellStyle name="표준 11 2 3 2 4 2 4" xfId="9923"/>
    <cellStyle name="표준 11 2 3 2 4 2 4 2" xfId="32390"/>
    <cellStyle name="표준 11 2 3 2 4 2 5" xfId="17407"/>
    <cellStyle name="표준 11 2 3 2 4 2 5 2" xfId="39872"/>
    <cellStyle name="표준 11 2 3 2 4 2 6" xfId="24908"/>
    <cellStyle name="표준 11 2 3 2 4 2_Sheet4" xfId="710"/>
    <cellStyle name="표준 11 2 3 2 4 3" xfId="711"/>
    <cellStyle name="표준 11 2 3 2 4 3 2" xfId="712"/>
    <cellStyle name="표준 11 2 3 2 4 3 2 2" xfId="9928"/>
    <cellStyle name="표준 11 2 3 2 4 3 2 2 2" xfId="32395"/>
    <cellStyle name="표준 11 2 3 2 4 3 2 3" xfId="17412"/>
    <cellStyle name="표준 11 2 3 2 4 3 2 3 2" xfId="39877"/>
    <cellStyle name="표준 11 2 3 2 4 3 2 4" xfId="24913"/>
    <cellStyle name="표준 11 2 3 2 4 3 3" xfId="9927"/>
    <cellStyle name="표준 11 2 3 2 4 3 3 2" xfId="32394"/>
    <cellStyle name="표준 11 2 3 2 4 3 4" xfId="17411"/>
    <cellStyle name="표준 11 2 3 2 4 3 4 2" xfId="39876"/>
    <cellStyle name="표준 11 2 3 2 4 3 5" xfId="24912"/>
    <cellStyle name="표준 11 2 3 2 4 3_Sheet4" xfId="713"/>
    <cellStyle name="표준 11 2 3 2 4 4" xfId="714"/>
    <cellStyle name="표준 11 2 3 2 4 4 2" xfId="9929"/>
    <cellStyle name="표준 11 2 3 2 4 4 2 2" xfId="32396"/>
    <cellStyle name="표준 11 2 3 2 4 4 3" xfId="17413"/>
    <cellStyle name="표준 11 2 3 2 4 4 3 2" xfId="39878"/>
    <cellStyle name="표준 11 2 3 2 4 4 4" xfId="24914"/>
    <cellStyle name="표준 11 2 3 2 4 5" xfId="9922"/>
    <cellStyle name="표준 11 2 3 2 4 5 2" xfId="32389"/>
    <cellStyle name="표준 11 2 3 2 4 6" xfId="17406"/>
    <cellStyle name="표준 11 2 3 2 4 6 2" xfId="39871"/>
    <cellStyle name="표준 11 2 3 2 4 7" xfId="24907"/>
    <cellStyle name="표준 11 2 3 2 4_Sheet4" xfId="715"/>
    <cellStyle name="표준 11 2 3 2 5" xfId="716"/>
    <cellStyle name="표준 11 2 3 2 5 2" xfId="717"/>
    <cellStyle name="표준 11 2 3 2 5 2 2" xfId="718"/>
    <cellStyle name="표준 11 2 3 2 5 2 2 2" xfId="9932"/>
    <cellStyle name="표준 11 2 3 2 5 2 2 2 2" xfId="32399"/>
    <cellStyle name="표준 11 2 3 2 5 2 2 3" xfId="17416"/>
    <cellStyle name="표준 11 2 3 2 5 2 2 3 2" xfId="39881"/>
    <cellStyle name="표준 11 2 3 2 5 2 2 4" xfId="24917"/>
    <cellStyle name="표준 11 2 3 2 5 2 3" xfId="9931"/>
    <cellStyle name="표준 11 2 3 2 5 2 3 2" xfId="32398"/>
    <cellStyle name="표준 11 2 3 2 5 2 4" xfId="17415"/>
    <cellStyle name="표준 11 2 3 2 5 2 4 2" xfId="39880"/>
    <cellStyle name="표준 11 2 3 2 5 2 5" xfId="24916"/>
    <cellStyle name="표준 11 2 3 2 5 2_Sheet4" xfId="719"/>
    <cellStyle name="표준 11 2 3 2 5 3" xfId="720"/>
    <cellStyle name="표준 11 2 3 2 5 3 2" xfId="9933"/>
    <cellStyle name="표준 11 2 3 2 5 3 2 2" xfId="32400"/>
    <cellStyle name="표준 11 2 3 2 5 3 3" xfId="17417"/>
    <cellStyle name="표준 11 2 3 2 5 3 3 2" xfId="39882"/>
    <cellStyle name="표준 11 2 3 2 5 3 4" xfId="24918"/>
    <cellStyle name="표준 11 2 3 2 5 4" xfId="9930"/>
    <cellStyle name="표준 11 2 3 2 5 4 2" xfId="32397"/>
    <cellStyle name="표준 11 2 3 2 5 5" xfId="17414"/>
    <cellStyle name="표준 11 2 3 2 5 5 2" xfId="39879"/>
    <cellStyle name="표준 11 2 3 2 5 6" xfId="24915"/>
    <cellStyle name="표준 11 2 3 2 5_Sheet4" xfId="721"/>
    <cellStyle name="표준 11 2 3 2 6" xfId="722"/>
    <cellStyle name="표준 11 2 3 2 6 2" xfId="723"/>
    <cellStyle name="표준 11 2 3 2 6 2 2" xfId="9935"/>
    <cellStyle name="표준 11 2 3 2 6 2 2 2" xfId="32402"/>
    <cellStyle name="표준 11 2 3 2 6 2 3" xfId="17419"/>
    <cellStyle name="표준 11 2 3 2 6 2 3 2" xfId="39884"/>
    <cellStyle name="표준 11 2 3 2 6 2 4" xfId="24920"/>
    <cellStyle name="표준 11 2 3 2 6 3" xfId="9934"/>
    <cellStyle name="표준 11 2 3 2 6 3 2" xfId="32401"/>
    <cellStyle name="표준 11 2 3 2 6 4" xfId="17418"/>
    <cellStyle name="표준 11 2 3 2 6 4 2" xfId="39883"/>
    <cellStyle name="표준 11 2 3 2 6 5" xfId="24919"/>
    <cellStyle name="표준 11 2 3 2 6_Sheet4" xfId="724"/>
    <cellStyle name="표준 11 2 3 2 7" xfId="725"/>
    <cellStyle name="표준 11 2 3 2 7 2" xfId="9936"/>
    <cellStyle name="표준 11 2 3 2 7 2 2" xfId="32403"/>
    <cellStyle name="표준 11 2 3 2 7 3" xfId="17420"/>
    <cellStyle name="표준 11 2 3 2 7 3 2" xfId="39885"/>
    <cellStyle name="표준 11 2 3 2 7 4" xfId="24921"/>
    <cellStyle name="표준 11 2 3 2 8" xfId="9889"/>
    <cellStyle name="표준 11 2 3 2 8 2" xfId="32356"/>
    <cellStyle name="표준 11 2 3 2 9" xfId="17373"/>
    <cellStyle name="표준 11 2 3 2 9 2" xfId="39838"/>
    <cellStyle name="표준 11 2 3 2_Sheet4" xfId="726"/>
    <cellStyle name="표준 11 2 3 3" xfId="727"/>
    <cellStyle name="표준 11 2 3 3 2" xfId="728"/>
    <cellStyle name="표준 11 2 3 3 2 2" xfId="729"/>
    <cellStyle name="표준 11 2 3 3 2 2 2" xfId="730"/>
    <cellStyle name="표준 11 2 3 3 2 2 2 2" xfId="731"/>
    <cellStyle name="표준 11 2 3 3 2 2 2 2 2" xfId="9941"/>
    <cellStyle name="표준 11 2 3 3 2 2 2 2 2 2" xfId="32408"/>
    <cellStyle name="표준 11 2 3 3 2 2 2 2 3" xfId="17425"/>
    <cellStyle name="표준 11 2 3 3 2 2 2 2 3 2" xfId="39890"/>
    <cellStyle name="표준 11 2 3 3 2 2 2 2 4" xfId="24926"/>
    <cellStyle name="표준 11 2 3 3 2 2 2 3" xfId="9940"/>
    <cellStyle name="표준 11 2 3 3 2 2 2 3 2" xfId="32407"/>
    <cellStyle name="표준 11 2 3 3 2 2 2 4" xfId="17424"/>
    <cellStyle name="표준 11 2 3 3 2 2 2 4 2" xfId="39889"/>
    <cellStyle name="표준 11 2 3 3 2 2 2 5" xfId="24925"/>
    <cellStyle name="표준 11 2 3 3 2 2 2_Sheet4" xfId="732"/>
    <cellStyle name="표준 11 2 3 3 2 2 3" xfId="733"/>
    <cellStyle name="표준 11 2 3 3 2 2 3 2" xfId="9942"/>
    <cellStyle name="표준 11 2 3 3 2 2 3 2 2" xfId="32409"/>
    <cellStyle name="표준 11 2 3 3 2 2 3 3" xfId="17426"/>
    <cellStyle name="표준 11 2 3 3 2 2 3 3 2" xfId="39891"/>
    <cellStyle name="표준 11 2 3 3 2 2 3 4" xfId="24927"/>
    <cellStyle name="표준 11 2 3 3 2 2 4" xfId="9939"/>
    <cellStyle name="표준 11 2 3 3 2 2 4 2" xfId="32406"/>
    <cellStyle name="표준 11 2 3 3 2 2 5" xfId="17423"/>
    <cellStyle name="표준 11 2 3 3 2 2 5 2" xfId="39888"/>
    <cellStyle name="표준 11 2 3 3 2 2 6" xfId="24924"/>
    <cellStyle name="표준 11 2 3 3 2 2_Sheet4" xfId="734"/>
    <cellStyle name="표준 11 2 3 3 2 3" xfId="735"/>
    <cellStyle name="표준 11 2 3 3 2 3 2" xfId="736"/>
    <cellStyle name="표준 11 2 3 3 2 3 2 2" xfId="9944"/>
    <cellStyle name="표준 11 2 3 3 2 3 2 2 2" xfId="32411"/>
    <cellStyle name="표준 11 2 3 3 2 3 2 3" xfId="17428"/>
    <cellStyle name="표준 11 2 3 3 2 3 2 3 2" xfId="39893"/>
    <cellStyle name="표준 11 2 3 3 2 3 2 4" xfId="24929"/>
    <cellStyle name="표준 11 2 3 3 2 3 3" xfId="9943"/>
    <cellStyle name="표준 11 2 3 3 2 3 3 2" xfId="32410"/>
    <cellStyle name="표준 11 2 3 3 2 3 4" xfId="17427"/>
    <cellStyle name="표준 11 2 3 3 2 3 4 2" xfId="39892"/>
    <cellStyle name="표준 11 2 3 3 2 3 5" xfId="24928"/>
    <cellStyle name="표준 11 2 3 3 2 3_Sheet4" xfId="737"/>
    <cellStyle name="표준 11 2 3 3 2 4" xfId="738"/>
    <cellStyle name="표준 11 2 3 3 2 4 2" xfId="9945"/>
    <cellStyle name="표준 11 2 3 3 2 4 2 2" xfId="32412"/>
    <cellStyle name="표준 11 2 3 3 2 4 3" xfId="17429"/>
    <cellStyle name="표준 11 2 3 3 2 4 3 2" xfId="39894"/>
    <cellStyle name="표준 11 2 3 3 2 4 4" xfId="24930"/>
    <cellStyle name="표준 11 2 3 3 2 5" xfId="9938"/>
    <cellStyle name="표준 11 2 3 3 2 5 2" xfId="32405"/>
    <cellStyle name="표준 11 2 3 3 2 6" xfId="17422"/>
    <cellStyle name="표준 11 2 3 3 2 6 2" xfId="39887"/>
    <cellStyle name="표준 11 2 3 3 2 7" xfId="24923"/>
    <cellStyle name="표준 11 2 3 3 2_Sheet4" xfId="739"/>
    <cellStyle name="표준 11 2 3 3 3" xfId="740"/>
    <cellStyle name="표준 11 2 3 3 3 2" xfId="741"/>
    <cellStyle name="표준 11 2 3 3 3 2 2" xfId="742"/>
    <cellStyle name="표준 11 2 3 3 3 2 2 2" xfId="9948"/>
    <cellStyle name="표준 11 2 3 3 3 2 2 2 2" xfId="32415"/>
    <cellStyle name="표준 11 2 3 3 3 2 2 3" xfId="17432"/>
    <cellStyle name="표준 11 2 3 3 3 2 2 3 2" xfId="39897"/>
    <cellStyle name="표준 11 2 3 3 3 2 2 4" xfId="24933"/>
    <cellStyle name="표준 11 2 3 3 3 2 3" xfId="9947"/>
    <cellStyle name="표준 11 2 3 3 3 2 3 2" xfId="32414"/>
    <cellStyle name="표준 11 2 3 3 3 2 4" xfId="17431"/>
    <cellStyle name="표준 11 2 3 3 3 2 4 2" xfId="39896"/>
    <cellStyle name="표준 11 2 3 3 3 2 5" xfId="24932"/>
    <cellStyle name="표준 11 2 3 3 3 2_Sheet4" xfId="743"/>
    <cellStyle name="표준 11 2 3 3 3 3" xfId="744"/>
    <cellStyle name="표준 11 2 3 3 3 3 2" xfId="9949"/>
    <cellStyle name="표준 11 2 3 3 3 3 2 2" xfId="32416"/>
    <cellStyle name="표준 11 2 3 3 3 3 3" xfId="17433"/>
    <cellStyle name="표준 11 2 3 3 3 3 3 2" xfId="39898"/>
    <cellStyle name="표준 11 2 3 3 3 3 4" xfId="24934"/>
    <cellStyle name="표준 11 2 3 3 3 4" xfId="9946"/>
    <cellStyle name="표준 11 2 3 3 3 4 2" xfId="32413"/>
    <cellStyle name="표준 11 2 3 3 3 5" xfId="17430"/>
    <cellStyle name="표준 11 2 3 3 3 5 2" xfId="39895"/>
    <cellStyle name="표준 11 2 3 3 3 6" xfId="24931"/>
    <cellStyle name="표준 11 2 3 3 3_Sheet4" xfId="745"/>
    <cellStyle name="표준 11 2 3 3 4" xfId="746"/>
    <cellStyle name="표준 11 2 3 3 4 2" xfId="747"/>
    <cellStyle name="표준 11 2 3 3 4 2 2" xfId="9951"/>
    <cellStyle name="표준 11 2 3 3 4 2 2 2" xfId="32418"/>
    <cellStyle name="표준 11 2 3 3 4 2 3" xfId="17435"/>
    <cellStyle name="표준 11 2 3 3 4 2 3 2" xfId="39900"/>
    <cellStyle name="표준 11 2 3 3 4 2 4" xfId="24936"/>
    <cellStyle name="표준 11 2 3 3 4 3" xfId="9950"/>
    <cellStyle name="표준 11 2 3 3 4 3 2" xfId="32417"/>
    <cellStyle name="표준 11 2 3 3 4 4" xfId="17434"/>
    <cellStyle name="표준 11 2 3 3 4 4 2" xfId="39899"/>
    <cellStyle name="표준 11 2 3 3 4 5" xfId="24935"/>
    <cellStyle name="표준 11 2 3 3 4_Sheet4" xfId="748"/>
    <cellStyle name="표준 11 2 3 3 5" xfId="749"/>
    <cellStyle name="표준 11 2 3 3 5 2" xfId="9952"/>
    <cellStyle name="표준 11 2 3 3 5 2 2" xfId="32419"/>
    <cellStyle name="표준 11 2 3 3 5 3" xfId="17436"/>
    <cellStyle name="표준 11 2 3 3 5 3 2" xfId="39901"/>
    <cellStyle name="표준 11 2 3 3 5 4" xfId="24937"/>
    <cellStyle name="표준 11 2 3 3 6" xfId="9937"/>
    <cellStyle name="표준 11 2 3 3 6 2" xfId="32404"/>
    <cellStyle name="표준 11 2 3 3 7" xfId="17421"/>
    <cellStyle name="표준 11 2 3 3 7 2" xfId="39886"/>
    <cellStyle name="표준 11 2 3 3 8" xfId="24922"/>
    <cellStyle name="표준 11 2 3 3_Sheet4" xfId="750"/>
    <cellStyle name="표준 11 2 3 4" xfId="751"/>
    <cellStyle name="표준 11 2 3 4 2" xfId="752"/>
    <cellStyle name="표준 11 2 3 4 2 2" xfId="753"/>
    <cellStyle name="표준 11 2 3 4 2 2 2" xfId="754"/>
    <cellStyle name="표준 11 2 3 4 2 2 2 2" xfId="755"/>
    <cellStyle name="표준 11 2 3 4 2 2 2 2 2" xfId="9957"/>
    <cellStyle name="표준 11 2 3 4 2 2 2 2 2 2" xfId="32424"/>
    <cellStyle name="표준 11 2 3 4 2 2 2 2 3" xfId="17441"/>
    <cellStyle name="표준 11 2 3 4 2 2 2 2 3 2" xfId="39906"/>
    <cellStyle name="표준 11 2 3 4 2 2 2 2 4" xfId="24942"/>
    <cellStyle name="표준 11 2 3 4 2 2 2 3" xfId="9956"/>
    <cellStyle name="표준 11 2 3 4 2 2 2 3 2" xfId="32423"/>
    <cellStyle name="표준 11 2 3 4 2 2 2 4" xfId="17440"/>
    <cellStyle name="표준 11 2 3 4 2 2 2 4 2" xfId="39905"/>
    <cellStyle name="표준 11 2 3 4 2 2 2 5" xfId="24941"/>
    <cellStyle name="표준 11 2 3 4 2 2 2_Sheet4" xfId="756"/>
    <cellStyle name="표준 11 2 3 4 2 2 3" xfId="757"/>
    <cellStyle name="표준 11 2 3 4 2 2 3 2" xfId="9958"/>
    <cellStyle name="표준 11 2 3 4 2 2 3 2 2" xfId="32425"/>
    <cellStyle name="표준 11 2 3 4 2 2 3 3" xfId="17442"/>
    <cellStyle name="표준 11 2 3 4 2 2 3 3 2" xfId="39907"/>
    <cellStyle name="표준 11 2 3 4 2 2 3 4" xfId="24943"/>
    <cellStyle name="표준 11 2 3 4 2 2 4" xfId="9955"/>
    <cellStyle name="표준 11 2 3 4 2 2 4 2" xfId="32422"/>
    <cellStyle name="표준 11 2 3 4 2 2 5" xfId="17439"/>
    <cellStyle name="표준 11 2 3 4 2 2 5 2" xfId="39904"/>
    <cellStyle name="표준 11 2 3 4 2 2 6" xfId="24940"/>
    <cellStyle name="표준 11 2 3 4 2 2_Sheet4" xfId="758"/>
    <cellStyle name="표준 11 2 3 4 2 3" xfId="759"/>
    <cellStyle name="표준 11 2 3 4 2 3 2" xfId="760"/>
    <cellStyle name="표준 11 2 3 4 2 3 2 2" xfId="9960"/>
    <cellStyle name="표준 11 2 3 4 2 3 2 2 2" xfId="32427"/>
    <cellStyle name="표준 11 2 3 4 2 3 2 3" xfId="17444"/>
    <cellStyle name="표준 11 2 3 4 2 3 2 3 2" xfId="39909"/>
    <cellStyle name="표준 11 2 3 4 2 3 2 4" xfId="24945"/>
    <cellStyle name="표준 11 2 3 4 2 3 3" xfId="9959"/>
    <cellStyle name="표준 11 2 3 4 2 3 3 2" xfId="32426"/>
    <cellStyle name="표준 11 2 3 4 2 3 4" xfId="17443"/>
    <cellStyle name="표준 11 2 3 4 2 3 4 2" xfId="39908"/>
    <cellStyle name="표준 11 2 3 4 2 3 5" xfId="24944"/>
    <cellStyle name="표준 11 2 3 4 2 3_Sheet4" xfId="761"/>
    <cellStyle name="표준 11 2 3 4 2 4" xfId="762"/>
    <cellStyle name="표준 11 2 3 4 2 4 2" xfId="9961"/>
    <cellStyle name="표준 11 2 3 4 2 4 2 2" xfId="32428"/>
    <cellStyle name="표준 11 2 3 4 2 4 3" xfId="17445"/>
    <cellStyle name="표준 11 2 3 4 2 4 3 2" xfId="39910"/>
    <cellStyle name="표준 11 2 3 4 2 4 4" xfId="24946"/>
    <cellStyle name="표준 11 2 3 4 2 5" xfId="9954"/>
    <cellStyle name="표준 11 2 3 4 2 5 2" xfId="32421"/>
    <cellStyle name="표준 11 2 3 4 2 6" xfId="17438"/>
    <cellStyle name="표준 11 2 3 4 2 6 2" xfId="39903"/>
    <cellStyle name="표준 11 2 3 4 2 7" xfId="24939"/>
    <cellStyle name="표준 11 2 3 4 2_Sheet4" xfId="763"/>
    <cellStyle name="표준 11 2 3 4 3" xfId="764"/>
    <cellStyle name="표준 11 2 3 4 3 2" xfId="765"/>
    <cellStyle name="표준 11 2 3 4 3 2 2" xfId="766"/>
    <cellStyle name="표준 11 2 3 4 3 2 2 2" xfId="9964"/>
    <cellStyle name="표준 11 2 3 4 3 2 2 2 2" xfId="32431"/>
    <cellStyle name="표준 11 2 3 4 3 2 2 3" xfId="17448"/>
    <cellStyle name="표준 11 2 3 4 3 2 2 3 2" xfId="39913"/>
    <cellStyle name="표준 11 2 3 4 3 2 2 4" xfId="24949"/>
    <cellStyle name="표준 11 2 3 4 3 2 3" xfId="9963"/>
    <cellStyle name="표준 11 2 3 4 3 2 3 2" xfId="32430"/>
    <cellStyle name="표준 11 2 3 4 3 2 4" xfId="17447"/>
    <cellStyle name="표준 11 2 3 4 3 2 4 2" xfId="39912"/>
    <cellStyle name="표준 11 2 3 4 3 2 5" xfId="24948"/>
    <cellStyle name="표준 11 2 3 4 3 2_Sheet4" xfId="767"/>
    <cellStyle name="표준 11 2 3 4 3 3" xfId="768"/>
    <cellStyle name="표준 11 2 3 4 3 3 2" xfId="9965"/>
    <cellStyle name="표준 11 2 3 4 3 3 2 2" xfId="32432"/>
    <cellStyle name="표준 11 2 3 4 3 3 3" xfId="17449"/>
    <cellStyle name="표준 11 2 3 4 3 3 3 2" xfId="39914"/>
    <cellStyle name="표준 11 2 3 4 3 3 4" xfId="24950"/>
    <cellStyle name="표준 11 2 3 4 3 4" xfId="9962"/>
    <cellStyle name="표준 11 2 3 4 3 4 2" xfId="32429"/>
    <cellStyle name="표준 11 2 3 4 3 5" xfId="17446"/>
    <cellStyle name="표준 11 2 3 4 3 5 2" xfId="39911"/>
    <cellStyle name="표준 11 2 3 4 3 6" xfId="24947"/>
    <cellStyle name="표준 11 2 3 4 3_Sheet4" xfId="769"/>
    <cellStyle name="표준 11 2 3 4 4" xfId="770"/>
    <cellStyle name="표준 11 2 3 4 4 2" xfId="771"/>
    <cellStyle name="표준 11 2 3 4 4 2 2" xfId="9967"/>
    <cellStyle name="표준 11 2 3 4 4 2 2 2" xfId="32434"/>
    <cellStyle name="표준 11 2 3 4 4 2 3" xfId="17451"/>
    <cellStyle name="표준 11 2 3 4 4 2 3 2" xfId="39916"/>
    <cellStyle name="표준 11 2 3 4 4 2 4" xfId="24952"/>
    <cellStyle name="표준 11 2 3 4 4 3" xfId="9966"/>
    <cellStyle name="표준 11 2 3 4 4 3 2" xfId="32433"/>
    <cellStyle name="표준 11 2 3 4 4 4" xfId="17450"/>
    <cellStyle name="표준 11 2 3 4 4 4 2" xfId="39915"/>
    <cellStyle name="표준 11 2 3 4 4 5" xfId="24951"/>
    <cellStyle name="표준 11 2 3 4 4_Sheet4" xfId="772"/>
    <cellStyle name="표준 11 2 3 4 5" xfId="773"/>
    <cellStyle name="표준 11 2 3 4 5 2" xfId="9968"/>
    <cellStyle name="표준 11 2 3 4 5 2 2" xfId="32435"/>
    <cellStyle name="표준 11 2 3 4 5 3" xfId="17452"/>
    <cellStyle name="표준 11 2 3 4 5 3 2" xfId="39917"/>
    <cellStyle name="표준 11 2 3 4 5 4" xfId="24953"/>
    <cellStyle name="표준 11 2 3 4 6" xfId="9953"/>
    <cellStyle name="표준 11 2 3 4 6 2" xfId="32420"/>
    <cellStyle name="표준 11 2 3 4 7" xfId="17437"/>
    <cellStyle name="표준 11 2 3 4 7 2" xfId="39902"/>
    <cellStyle name="표준 11 2 3 4 8" xfId="24938"/>
    <cellStyle name="표준 11 2 3 4_Sheet4" xfId="774"/>
    <cellStyle name="표준 11 2 3 5" xfId="775"/>
    <cellStyle name="표준 11 2 3 5 2" xfId="776"/>
    <cellStyle name="표준 11 2 3 5 2 2" xfId="777"/>
    <cellStyle name="표준 11 2 3 5 2 2 2" xfId="778"/>
    <cellStyle name="표준 11 2 3 5 2 2 2 2" xfId="9972"/>
    <cellStyle name="표준 11 2 3 5 2 2 2 2 2" xfId="32439"/>
    <cellStyle name="표준 11 2 3 5 2 2 2 3" xfId="17456"/>
    <cellStyle name="표준 11 2 3 5 2 2 2 3 2" xfId="39921"/>
    <cellStyle name="표준 11 2 3 5 2 2 2 4" xfId="24957"/>
    <cellStyle name="표준 11 2 3 5 2 2 3" xfId="9971"/>
    <cellStyle name="표준 11 2 3 5 2 2 3 2" xfId="32438"/>
    <cellStyle name="표준 11 2 3 5 2 2 4" xfId="17455"/>
    <cellStyle name="표준 11 2 3 5 2 2 4 2" xfId="39920"/>
    <cellStyle name="표준 11 2 3 5 2 2 5" xfId="24956"/>
    <cellStyle name="표준 11 2 3 5 2 2_Sheet4" xfId="779"/>
    <cellStyle name="표준 11 2 3 5 2 3" xfId="780"/>
    <cellStyle name="표준 11 2 3 5 2 3 2" xfId="9973"/>
    <cellStyle name="표준 11 2 3 5 2 3 2 2" xfId="32440"/>
    <cellStyle name="표준 11 2 3 5 2 3 3" xfId="17457"/>
    <cellStyle name="표준 11 2 3 5 2 3 3 2" xfId="39922"/>
    <cellStyle name="표준 11 2 3 5 2 3 4" xfId="24958"/>
    <cellStyle name="표준 11 2 3 5 2 4" xfId="9970"/>
    <cellStyle name="표준 11 2 3 5 2 4 2" xfId="32437"/>
    <cellStyle name="표준 11 2 3 5 2 5" xfId="17454"/>
    <cellStyle name="표준 11 2 3 5 2 5 2" xfId="39919"/>
    <cellStyle name="표준 11 2 3 5 2 6" xfId="24955"/>
    <cellStyle name="표준 11 2 3 5 2_Sheet4" xfId="781"/>
    <cellStyle name="표준 11 2 3 5 3" xfId="782"/>
    <cellStyle name="표준 11 2 3 5 3 2" xfId="783"/>
    <cellStyle name="표준 11 2 3 5 3 2 2" xfId="9975"/>
    <cellStyle name="표준 11 2 3 5 3 2 2 2" xfId="32442"/>
    <cellStyle name="표준 11 2 3 5 3 2 3" xfId="17459"/>
    <cellStyle name="표준 11 2 3 5 3 2 3 2" xfId="39924"/>
    <cellStyle name="표준 11 2 3 5 3 2 4" xfId="24960"/>
    <cellStyle name="표준 11 2 3 5 3 3" xfId="9974"/>
    <cellStyle name="표준 11 2 3 5 3 3 2" xfId="32441"/>
    <cellStyle name="표준 11 2 3 5 3 4" xfId="17458"/>
    <cellStyle name="표준 11 2 3 5 3 4 2" xfId="39923"/>
    <cellStyle name="표준 11 2 3 5 3 5" xfId="24959"/>
    <cellStyle name="표준 11 2 3 5 3_Sheet4" xfId="784"/>
    <cellStyle name="표준 11 2 3 5 4" xfId="785"/>
    <cellStyle name="표준 11 2 3 5 4 2" xfId="9976"/>
    <cellStyle name="표준 11 2 3 5 4 2 2" xfId="32443"/>
    <cellStyle name="표준 11 2 3 5 4 3" xfId="17460"/>
    <cellStyle name="표준 11 2 3 5 4 3 2" xfId="39925"/>
    <cellStyle name="표준 11 2 3 5 4 4" xfId="24961"/>
    <cellStyle name="표준 11 2 3 5 5" xfId="9969"/>
    <cellStyle name="표준 11 2 3 5 5 2" xfId="32436"/>
    <cellStyle name="표준 11 2 3 5 6" xfId="17453"/>
    <cellStyle name="표준 11 2 3 5 6 2" xfId="39918"/>
    <cellStyle name="표준 11 2 3 5 7" xfId="24954"/>
    <cellStyle name="표준 11 2 3 5_Sheet4" xfId="786"/>
    <cellStyle name="표준 11 2 3 6" xfId="787"/>
    <cellStyle name="표준 11 2 3 6 2" xfId="788"/>
    <cellStyle name="표준 11 2 3 6 2 2" xfId="789"/>
    <cellStyle name="표준 11 2 3 6 2 2 2" xfId="9979"/>
    <cellStyle name="표준 11 2 3 6 2 2 2 2" xfId="32446"/>
    <cellStyle name="표준 11 2 3 6 2 2 3" xfId="17463"/>
    <cellStyle name="표준 11 2 3 6 2 2 3 2" xfId="39928"/>
    <cellStyle name="표준 11 2 3 6 2 2 4" xfId="24964"/>
    <cellStyle name="표준 11 2 3 6 2 3" xfId="9978"/>
    <cellStyle name="표준 11 2 3 6 2 3 2" xfId="32445"/>
    <cellStyle name="표준 11 2 3 6 2 4" xfId="17462"/>
    <cellStyle name="표준 11 2 3 6 2 4 2" xfId="39927"/>
    <cellStyle name="표준 11 2 3 6 2 5" xfId="24963"/>
    <cellStyle name="표준 11 2 3 6 2_Sheet4" xfId="790"/>
    <cellStyle name="표준 11 2 3 6 3" xfId="791"/>
    <cellStyle name="표준 11 2 3 6 3 2" xfId="9980"/>
    <cellStyle name="표준 11 2 3 6 3 2 2" xfId="32447"/>
    <cellStyle name="표준 11 2 3 6 3 3" xfId="17464"/>
    <cellStyle name="표준 11 2 3 6 3 3 2" xfId="39929"/>
    <cellStyle name="표준 11 2 3 6 3 4" xfId="24965"/>
    <cellStyle name="표준 11 2 3 6 4" xfId="9977"/>
    <cellStyle name="표준 11 2 3 6 4 2" xfId="32444"/>
    <cellStyle name="표준 11 2 3 6 5" xfId="17461"/>
    <cellStyle name="표준 11 2 3 6 5 2" xfId="39926"/>
    <cellStyle name="표준 11 2 3 6 6" xfId="24962"/>
    <cellStyle name="표준 11 2 3 6_Sheet4" xfId="792"/>
    <cellStyle name="표준 11 2 3 7" xfId="793"/>
    <cellStyle name="표준 11 2 3 7 2" xfId="794"/>
    <cellStyle name="표준 11 2 3 7 2 2" xfId="795"/>
    <cellStyle name="표준 11 2 3 7 2 2 2" xfId="9983"/>
    <cellStyle name="표준 11 2 3 7 2 2 2 2" xfId="32450"/>
    <cellStyle name="표준 11 2 3 7 2 2 3" xfId="17467"/>
    <cellStyle name="표준 11 2 3 7 2 2 3 2" xfId="39932"/>
    <cellStyle name="표준 11 2 3 7 2 2 4" xfId="24968"/>
    <cellStyle name="표준 11 2 3 7 2 3" xfId="9982"/>
    <cellStyle name="표준 11 2 3 7 2 3 2" xfId="32449"/>
    <cellStyle name="표준 11 2 3 7 2 4" xfId="17466"/>
    <cellStyle name="표준 11 2 3 7 2 4 2" xfId="39931"/>
    <cellStyle name="표준 11 2 3 7 2 5" xfId="24967"/>
    <cellStyle name="표준 11 2 3 7 2_Sheet4" xfId="796"/>
    <cellStyle name="표준 11 2 3 7 3" xfId="797"/>
    <cellStyle name="표준 11 2 3 7 3 2" xfId="9984"/>
    <cellStyle name="표준 11 2 3 7 3 2 2" xfId="32451"/>
    <cellStyle name="표준 11 2 3 7 3 3" xfId="17468"/>
    <cellStyle name="표준 11 2 3 7 3 3 2" xfId="39933"/>
    <cellStyle name="표준 11 2 3 7 3 4" xfId="24969"/>
    <cellStyle name="표준 11 2 3 7 4" xfId="9981"/>
    <cellStyle name="표준 11 2 3 7 4 2" xfId="32448"/>
    <cellStyle name="표준 11 2 3 7 5" xfId="17465"/>
    <cellStyle name="표준 11 2 3 7 5 2" xfId="39930"/>
    <cellStyle name="표준 11 2 3 7 6" xfId="24966"/>
    <cellStyle name="표준 11 2 3 7_Sheet4" xfId="798"/>
    <cellStyle name="표준 11 2 3 8" xfId="799"/>
    <cellStyle name="표준 11 2 3 8 2" xfId="800"/>
    <cellStyle name="표준 11 2 3 8 2 2" xfId="9986"/>
    <cellStyle name="표준 11 2 3 8 2 2 2" xfId="32453"/>
    <cellStyle name="표준 11 2 3 8 2 3" xfId="17470"/>
    <cellStyle name="표준 11 2 3 8 2 3 2" xfId="39935"/>
    <cellStyle name="표준 11 2 3 8 2 4" xfId="24971"/>
    <cellStyle name="표준 11 2 3 8 3" xfId="9985"/>
    <cellStyle name="표준 11 2 3 8 3 2" xfId="32452"/>
    <cellStyle name="표준 11 2 3 8 4" xfId="17469"/>
    <cellStyle name="표준 11 2 3 8 4 2" xfId="39934"/>
    <cellStyle name="표준 11 2 3 8 5" xfId="24970"/>
    <cellStyle name="표준 11 2 3 8_Sheet4" xfId="801"/>
    <cellStyle name="표준 11 2 3 9" xfId="802"/>
    <cellStyle name="표준 11 2 3 9 2" xfId="9987"/>
    <cellStyle name="표준 11 2 3 9 2 2" xfId="32454"/>
    <cellStyle name="표준 11 2 3 9 3" xfId="17471"/>
    <cellStyle name="표준 11 2 3 9 3 2" xfId="39936"/>
    <cellStyle name="표준 11 2 3 9 4" xfId="24972"/>
    <cellStyle name="표준 11 2 3_Sheet4" xfId="803"/>
    <cellStyle name="표준 11 2 4" xfId="804"/>
    <cellStyle name="표준 11 2 4 10" xfId="17472"/>
    <cellStyle name="표준 11 2 4 10 2" xfId="39937"/>
    <cellStyle name="표준 11 2 4 11" xfId="24973"/>
    <cellStyle name="표준 11 2 4 2" xfId="805"/>
    <cellStyle name="표준 11 2 4 2 10" xfId="24974"/>
    <cellStyle name="표준 11 2 4 2 2" xfId="806"/>
    <cellStyle name="표준 11 2 4 2 2 2" xfId="807"/>
    <cellStyle name="표준 11 2 4 2 2 2 2" xfId="808"/>
    <cellStyle name="표준 11 2 4 2 2 2 2 2" xfId="809"/>
    <cellStyle name="표준 11 2 4 2 2 2 2 2 2" xfId="810"/>
    <cellStyle name="표준 11 2 4 2 2 2 2 2 2 2" xfId="9994"/>
    <cellStyle name="표준 11 2 4 2 2 2 2 2 2 2 2" xfId="32461"/>
    <cellStyle name="표준 11 2 4 2 2 2 2 2 2 3" xfId="17478"/>
    <cellStyle name="표준 11 2 4 2 2 2 2 2 2 3 2" xfId="39943"/>
    <cellStyle name="표준 11 2 4 2 2 2 2 2 2 4" xfId="24979"/>
    <cellStyle name="표준 11 2 4 2 2 2 2 2 3" xfId="9993"/>
    <cellStyle name="표준 11 2 4 2 2 2 2 2 3 2" xfId="32460"/>
    <cellStyle name="표준 11 2 4 2 2 2 2 2 4" xfId="17477"/>
    <cellStyle name="표준 11 2 4 2 2 2 2 2 4 2" xfId="39942"/>
    <cellStyle name="표준 11 2 4 2 2 2 2 2 5" xfId="24978"/>
    <cellStyle name="표준 11 2 4 2 2 2 2 2_Sheet4" xfId="811"/>
    <cellStyle name="표준 11 2 4 2 2 2 2 3" xfId="812"/>
    <cellStyle name="표준 11 2 4 2 2 2 2 3 2" xfId="9995"/>
    <cellStyle name="표준 11 2 4 2 2 2 2 3 2 2" xfId="32462"/>
    <cellStyle name="표준 11 2 4 2 2 2 2 3 3" xfId="17479"/>
    <cellStyle name="표준 11 2 4 2 2 2 2 3 3 2" xfId="39944"/>
    <cellStyle name="표준 11 2 4 2 2 2 2 3 4" xfId="24980"/>
    <cellStyle name="표준 11 2 4 2 2 2 2 4" xfId="9992"/>
    <cellStyle name="표준 11 2 4 2 2 2 2 4 2" xfId="32459"/>
    <cellStyle name="표준 11 2 4 2 2 2 2 5" xfId="17476"/>
    <cellStyle name="표준 11 2 4 2 2 2 2 5 2" xfId="39941"/>
    <cellStyle name="표준 11 2 4 2 2 2 2 6" xfId="24977"/>
    <cellStyle name="표준 11 2 4 2 2 2 2_Sheet4" xfId="813"/>
    <cellStyle name="표준 11 2 4 2 2 2 3" xfId="814"/>
    <cellStyle name="표준 11 2 4 2 2 2 3 2" xfId="815"/>
    <cellStyle name="표준 11 2 4 2 2 2 3 2 2" xfId="9997"/>
    <cellStyle name="표준 11 2 4 2 2 2 3 2 2 2" xfId="32464"/>
    <cellStyle name="표준 11 2 4 2 2 2 3 2 3" xfId="17481"/>
    <cellStyle name="표준 11 2 4 2 2 2 3 2 3 2" xfId="39946"/>
    <cellStyle name="표준 11 2 4 2 2 2 3 2 4" xfId="24982"/>
    <cellStyle name="표준 11 2 4 2 2 2 3 3" xfId="9996"/>
    <cellStyle name="표준 11 2 4 2 2 2 3 3 2" xfId="32463"/>
    <cellStyle name="표준 11 2 4 2 2 2 3 4" xfId="17480"/>
    <cellStyle name="표준 11 2 4 2 2 2 3 4 2" xfId="39945"/>
    <cellStyle name="표준 11 2 4 2 2 2 3 5" xfId="24981"/>
    <cellStyle name="표준 11 2 4 2 2 2 3_Sheet4" xfId="816"/>
    <cellStyle name="표준 11 2 4 2 2 2 4" xfId="817"/>
    <cellStyle name="표준 11 2 4 2 2 2 4 2" xfId="9998"/>
    <cellStyle name="표준 11 2 4 2 2 2 4 2 2" xfId="32465"/>
    <cellStyle name="표준 11 2 4 2 2 2 4 3" xfId="17482"/>
    <cellStyle name="표준 11 2 4 2 2 2 4 3 2" xfId="39947"/>
    <cellStyle name="표준 11 2 4 2 2 2 4 4" xfId="24983"/>
    <cellStyle name="표준 11 2 4 2 2 2 5" xfId="9991"/>
    <cellStyle name="표준 11 2 4 2 2 2 5 2" xfId="32458"/>
    <cellStyle name="표준 11 2 4 2 2 2 6" xfId="17475"/>
    <cellStyle name="표준 11 2 4 2 2 2 6 2" xfId="39940"/>
    <cellStyle name="표준 11 2 4 2 2 2 7" xfId="24976"/>
    <cellStyle name="표준 11 2 4 2 2 2_Sheet4" xfId="818"/>
    <cellStyle name="표준 11 2 4 2 2 3" xfId="819"/>
    <cellStyle name="표준 11 2 4 2 2 3 2" xfId="820"/>
    <cellStyle name="표준 11 2 4 2 2 3 2 2" xfId="821"/>
    <cellStyle name="표준 11 2 4 2 2 3 2 2 2" xfId="10001"/>
    <cellStyle name="표준 11 2 4 2 2 3 2 2 2 2" xfId="32468"/>
    <cellStyle name="표준 11 2 4 2 2 3 2 2 3" xfId="17485"/>
    <cellStyle name="표준 11 2 4 2 2 3 2 2 3 2" xfId="39950"/>
    <cellStyle name="표준 11 2 4 2 2 3 2 2 4" xfId="24986"/>
    <cellStyle name="표준 11 2 4 2 2 3 2 3" xfId="10000"/>
    <cellStyle name="표준 11 2 4 2 2 3 2 3 2" xfId="32467"/>
    <cellStyle name="표준 11 2 4 2 2 3 2 4" xfId="17484"/>
    <cellStyle name="표준 11 2 4 2 2 3 2 4 2" xfId="39949"/>
    <cellStyle name="표준 11 2 4 2 2 3 2 5" xfId="24985"/>
    <cellStyle name="표준 11 2 4 2 2 3 2_Sheet4" xfId="822"/>
    <cellStyle name="표준 11 2 4 2 2 3 3" xfId="823"/>
    <cellStyle name="표준 11 2 4 2 2 3 3 2" xfId="10002"/>
    <cellStyle name="표준 11 2 4 2 2 3 3 2 2" xfId="32469"/>
    <cellStyle name="표준 11 2 4 2 2 3 3 3" xfId="17486"/>
    <cellStyle name="표준 11 2 4 2 2 3 3 3 2" xfId="39951"/>
    <cellStyle name="표준 11 2 4 2 2 3 3 4" xfId="24987"/>
    <cellStyle name="표준 11 2 4 2 2 3 4" xfId="9999"/>
    <cellStyle name="표준 11 2 4 2 2 3 4 2" xfId="32466"/>
    <cellStyle name="표준 11 2 4 2 2 3 5" xfId="17483"/>
    <cellStyle name="표준 11 2 4 2 2 3 5 2" xfId="39948"/>
    <cellStyle name="표준 11 2 4 2 2 3 6" xfId="24984"/>
    <cellStyle name="표준 11 2 4 2 2 3_Sheet4" xfId="824"/>
    <cellStyle name="표준 11 2 4 2 2 4" xfId="825"/>
    <cellStyle name="표준 11 2 4 2 2 4 2" xfId="826"/>
    <cellStyle name="표준 11 2 4 2 2 4 2 2" xfId="10004"/>
    <cellStyle name="표준 11 2 4 2 2 4 2 2 2" xfId="32471"/>
    <cellStyle name="표준 11 2 4 2 2 4 2 3" xfId="17488"/>
    <cellStyle name="표준 11 2 4 2 2 4 2 3 2" xfId="39953"/>
    <cellStyle name="표준 11 2 4 2 2 4 2 4" xfId="24989"/>
    <cellStyle name="표준 11 2 4 2 2 4 3" xfId="10003"/>
    <cellStyle name="표준 11 2 4 2 2 4 3 2" xfId="32470"/>
    <cellStyle name="표준 11 2 4 2 2 4 4" xfId="17487"/>
    <cellStyle name="표준 11 2 4 2 2 4 4 2" xfId="39952"/>
    <cellStyle name="표준 11 2 4 2 2 4 5" xfId="24988"/>
    <cellStyle name="표준 11 2 4 2 2 4_Sheet4" xfId="827"/>
    <cellStyle name="표준 11 2 4 2 2 5" xfId="828"/>
    <cellStyle name="표준 11 2 4 2 2 5 2" xfId="10005"/>
    <cellStyle name="표준 11 2 4 2 2 5 2 2" xfId="32472"/>
    <cellStyle name="표준 11 2 4 2 2 5 3" xfId="17489"/>
    <cellStyle name="표준 11 2 4 2 2 5 3 2" xfId="39954"/>
    <cellStyle name="표준 11 2 4 2 2 5 4" xfId="24990"/>
    <cellStyle name="표준 11 2 4 2 2 6" xfId="9990"/>
    <cellStyle name="표준 11 2 4 2 2 6 2" xfId="32457"/>
    <cellStyle name="표준 11 2 4 2 2 7" xfId="17474"/>
    <cellStyle name="표준 11 2 4 2 2 7 2" xfId="39939"/>
    <cellStyle name="표준 11 2 4 2 2 8" xfId="24975"/>
    <cellStyle name="표준 11 2 4 2 2_Sheet4" xfId="829"/>
    <cellStyle name="표준 11 2 4 2 3" xfId="830"/>
    <cellStyle name="표준 11 2 4 2 3 2" xfId="831"/>
    <cellStyle name="표준 11 2 4 2 3 2 2" xfId="832"/>
    <cellStyle name="표준 11 2 4 2 3 2 2 2" xfId="833"/>
    <cellStyle name="표준 11 2 4 2 3 2 2 2 2" xfId="834"/>
    <cellStyle name="표준 11 2 4 2 3 2 2 2 2 2" xfId="10010"/>
    <cellStyle name="표준 11 2 4 2 3 2 2 2 2 2 2" xfId="32477"/>
    <cellStyle name="표준 11 2 4 2 3 2 2 2 2 3" xfId="17494"/>
    <cellStyle name="표준 11 2 4 2 3 2 2 2 2 3 2" xfId="39959"/>
    <cellStyle name="표준 11 2 4 2 3 2 2 2 2 4" xfId="24995"/>
    <cellStyle name="표준 11 2 4 2 3 2 2 2 3" xfId="10009"/>
    <cellStyle name="표준 11 2 4 2 3 2 2 2 3 2" xfId="32476"/>
    <cellStyle name="표준 11 2 4 2 3 2 2 2 4" xfId="17493"/>
    <cellStyle name="표준 11 2 4 2 3 2 2 2 4 2" xfId="39958"/>
    <cellStyle name="표준 11 2 4 2 3 2 2 2 5" xfId="24994"/>
    <cellStyle name="표준 11 2 4 2 3 2 2 2_Sheet4" xfId="835"/>
    <cellStyle name="표준 11 2 4 2 3 2 2 3" xfId="836"/>
    <cellStyle name="표준 11 2 4 2 3 2 2 3 2" xfId="10011"/>
    <cellStyle name="표준 11 2 4 2 3 2 2 3 2 2" xfId="32478"/>
    <cellStyle name="표준 11 2 4 2 3 2 2 3 3" xfId="17495"/>
    <cellStyle name="표준 11 2 4 2 3 2 2 3 3 2" xfId="39960"/>
    <cellStyle name="표준 11 2 4 2 3 2 2 3 4" xfId="24996"/>
    <cellStyle name="표준 11 2 4 2 3 2 2 4" xfId="10008"/>
    <cellStyle name="표준 11 2 4 2 3 2 2 4 2" xfId="32475"/>
    <cellStyle name="표준 11 2 4 2 3 2 2 5" xfId="17492"/>
    <cellStyle name="표준 11 2 4 2 3 2 2 5 2" xfId="39957"/>
    <cellStyle name="표준 11 2 4 2 3 2 2 6" xfId="24993"/>
    <cellStyle name="표준 11 2 4 2 3 2 2_Sheet4" xfId="837"/>
    <cellStyle name="표준 11 2 4 2 3 2 3" xfId="838"/>
    <cellStyle name="표준 11 2 4 2 3 2 3 2" xfId="839"/>
    <cellStyle name="표준 11 2 4 2 3 2 3 2 2" xfId="10013"/>
    <cellStyle name="표준 11 2 4 2 3 2 3 2 2 2" xfId="32480"/>
    <cellStyle name="표준 11 2 4 2 3 2 3 2 3" xfId="17497"/>
    <cellStyle name="표준 11 2 4 2 3 2 3 2 3 2" xfId="39962"/>
    <cellStyle name="표준 11 2 4 2 3 2 3 2 4" xfId="24998"/>
    <cellStyle name="표준 11 2 4 2 3 2 3 3" xfId="10012"/>
    <cellStyle name="표준 11 2 4 2 3 2 3 3 2" xfId="32479"/>
    <cellStyle name="표준 11 2 4 2 3 2 3 4" xfId="17496"/>
    <cellStyle name="표준 11 2 4 2 3 2 3 4 2" xfId="39961"/>
    <cellStyle name="표준 11 2 4 2 3 2 3 5" xfId="24997"/>
    <cellStyle name="표준 11 2 4 2 3 2 3_Sheet4" xfId="840"/>
    <cellStyle name="표준 11 2 4 2 3 2 4" xfId="841"/>
    <cellStyle name="표준 11 2 4 2 3 2 4 2" xfId="10014"/>
    <cellStyle name="표준 11 2 4 2 3 2 4 2 2" xfId="32481"/>
    <cellStyle name="표준 11 2 4 2 3 2 4 3" xfId="17498"/>
    <cellStyle name="표준 11 2 4 2 3 2 4 3 2" xfId="39963"/>
    <cellStyle name="표준 11 2 4 2 3 2 4 4" xfId="24999"/>
    <cellStyle name="표준 11 2 4 2 3 2 5" xfId="10007"/>
    <cellStyle name="표준 11 2 4 2 3 2 5 2" xfId="32474"/>
    <cellStyle name="표준 11 2 4 2 3 2 6" xfId="17491"/>
    <cellStyle name="표준 11 2 4 2 3 2 6 2" xfId="39956"/>
    <cellStyle name="표준 11 2 4 2 3 2 7" xfId="24992"/>
    <cellStyle name="표준 11 2 4 2 3 2_Sheet4" xfId="842"/>
    <cellStyle name="표준 11 2 4 2 3 3" xfId="843"/>
    <cellStyle name="표준 11 2 4 2 3 3 2" xfId="844"/>
    <cellStyle name="표준 11 2 4 2 3 3 2 2" xfId="845"/>
    <cellStyle name="표준 11 2 4 2 3 3 2 2 2" xfId="10017"/>
    <cellStyle name="표준 11 2 4 2 3 3 2 2 2 2" xfId="32484"/>
    <cellStyle name="표준 11 2 4 2 3 3 2 2 3" xfId="17501"/>
    <cellStyle name="표준 11 2 4 2 3 3 2 2 3 2" xfId="39966"/>
    <cellStyle name="표준 11 2 4 2 3 3 2 2 4" xfId="25002"/>
    <cellStyle name="표준 11 2 4 2 3 3 2 3" xfId="10016"/>
    <cellStyle name="표준 11 2 4 2 3 3 2 3 2" xfId="32483"/>
    <cellStyle name="표준 11 2 4 2 3 3 2 4" xfId="17500"/>
    <cellStyle name="표준 11 2 4 2 3 3 2 4 2" xfId="39965"/>
    <cellStyle name="표준 11 2 4 2 3 3 2 5" xfId="25001"/>
    <cellStyle name="표준 11 2 4 2 3 3 2_Sheet4" xfId="846"/>
    <cellStyle name="표준 11 2 4 2 3 3 3" xfId="847"/>
    <cellStyle name="표준 11 2 4 2 3 3 3 2" xfId="10018"/>
    <cellStyle name="표준 11 2 4 2 3 3 3 2 2" xfId="32485"/>
    <cellStyle name="표준 11 2 4 2 3 3 3 3" xfId="17502"/>
    <cellStyle name="표준 11 2 4 2 3 3 3 3 2" xfId="39967"/>
    <cellStyle name="표준 11 2 4 2 3 3 3 4" xfId="25003"/>
    <cellStyle name="표준 11 2 4 2 3 3 4" xfId="10015"/>
    <cellStyle name="표준 11 2 4 2 3 3 4 2" xfId="32482"/>
    <cellStyle name="표준 11 2 4 2 3 3 5" xfId="17499"/>
    <cellStyle name="표준 11 2 4 2 3 3 5 2" xfId="39964"/>
    <cellStyle name="표준 11 2 4 2 3 3 6" xfId="25000"/>
    <cellStyle name="표준 11 2 4 2 3 3_Sheet4" xfId="848"/>
    <cellStyle name="표준 11 2 4 2 3 4" xfId="849"/>
    <cellStyle name="표준 11 2 4 2 3 4 2" xfId="850"/>
    <cellStyle name="표준 11 2 4 2 3 4 2 2" xfId="10020"/>
    <cellStyle name="표준 11 2 4 2 3 4 2 2 2" xfId="32487"/>
    <cellStyle name="표준 11 2 4 2 3 4 2 3" xfId="17504"/>
    <cellStyle name="표준 11 2 4 2 3 4 2 3 2" xfId="39969"/>
    <cellStyle name="표준 11 2 4 2 3 4 2 4" xfId="25005"/>
    <cellStyle name="표준 11 2 4 2 3 4 3" xfId="10019"/>
    <cellStyle name="표준 11 2 4 2 3 4 3 2" xfId="32486"/>
    <cellStyle name="표준 11 2 4 2 3 4 4" xfId="17503"/>
    <cellStyle name="표준 11 2 4 2 3 4 4 2" xfId="39968"/>
    <cellStyle name="표준 11 2 4 2 3 4 5" xfId="25004"/>
    <cellStyle name="표준 11 2 4 2 3 4_Sheet4" xfId="851"/>
    <cellStyle name="표준 11 2 4 2 3 5" xfId="852"/>
    <cellStyle name="표준 11 2 4 2 3 5 2" xfId="10021"/>
    <cellStyle name="표준 11 2 4 2 3 5 2 2" xfId="32488"/>
    <cellStyle name="표준 11 2 4 2 3 5 3" xfId="17505"/>
    <cellStyle name="표준 11 2 4 2 3 5 3 2" xfId="39970"/>
    <cellStyle name="표준 11 2 4 2 3 5 4" xfId="25006"/>
    <cellStyle name="표준 11 2 4 2 3 6" xfId="10006"/>
    <cellStyle name="표준 11 2 4 2 3 6 2" xfId="32473"/>
    <cellStyle name="표준 11 2 4 2 3 7" xfId="17490"/>
    <cellStyle name="표준 11 2 4 2 3 7 2" xfId="39955"/>
    <cellStyle name="표준 11 2 4 2 3 8" xfId="24991"/>
    <cellStyle name="표준 11 2 4 2 3_Sheet4" xfId="853"/>
    <cellStyle name="표준 11 2 4 2 4" xfId="854"/>
    <cellStyle name="표준 11 2 4 2 4 2" xfId="855"/>
    <cellStyle name="표준 11 2 4 2 4 2 2" xfId="856"/>
    <cellStyle name="표준 11 2 4 2 4 2 2 2" xfId="857"/>
    <cellStyle name="표준 11 2 4 2 4 2 2 2 2" xfId="10025"/>
    <cellStyle name="표준 11 2 4 2 4 2 2 2 2 2" xfId="32492"/>
    <cellStyle name="표준 11 2 4 2 4 2 2 2 3" xfId="17509"/>
    <cellStyle name="표준 11 2 4 2 4 2 2 2 3 2" xfId="39974"/>
    <cellStyle name="표준 11 2 4 2 4 2 2 2 4" xfId="25010"/>
    <cellStyle name="표준 11 2 4 2 4 2 2 3" xfId="10024"/>
    <cellStyle name="표준 11 2 4 2 4 2 2 3 2" xfId="32491"/>
    <cellStyle name="표준 11 2 4 2 4 2 2 4" xfId="17508"/>
    <cellStyle name="표준 11 2 4 2 4 2 2 4 2" xfId="39973"/>
    <cellStyle name="표준 11 2 4 2 4 2 2 5" xfId="25009"/>
    <cellStyle name="표준 11 2 4 2 4 2 2_Sheet4" xfId="858"/>
    <cellStyle name="표준 11 2 4 2 4 2 3" xfId="859"/>
    <cellStyle name="표준 11 2 4 2 4 2 3 2" xfId="10026"/>
    <cellStyle name="표준 11 2 4 2 4 2 3 2 2" xfId="32493"/>
    <cellStyle name="표준 11 2 4 2 4 2 3 3" xfId="17510"/>
    <cellStyle name="표준 11 2 4 2 4 2 3 3 2" xfId="39975"/>
    <cellStyle name="표준 11 2 4 2 4 2 3 4" xfId="25011"/>
    <cellStyle name="표준 11 2 4 2 4 2 4" xfId="10023"/>
    <cellStyle name="표준 11 2 4 2 4 2 4 2" xfId="32490"/>
    <cellStyle name="표준 11 2 4 2 4 2 5" xfId="17507"/>
    <cellStyle name="표준 11 2 4 2 4 2 5 2" xfId="39972"/>
    <cellStyle name="표준 11 2 4 2 4 2 6" xfId="25008"/>
    <cellStyle name="표준 11 2 4 2 4 2_Sheet4" xfId="860"/>
    <cellStyle name="표준 11 2 4 2 4 3" xfId="861"/>
    <cellStyle name="표준 11 2 4 2 4 3 2" xfId="862"/>
    <cellStyle name="표준 11 2 4 2 4 3 2 2" xfId="10028"/>
    <cellStyle name="표준 11 2 4 2 4 3 2 2 2" xfId="32495"/>
    <cellStyle name="표준 11 2 4 2 4 3 2 3" xfId="17512"/>
    <cellStyle name="표준 11 2 4 2 4 3 2 3 2" xfId="39977"/>
    <cellStyle name="표준 11 2 4 2 4 3 2 4" xfId="25013"/>
    <cellStyle name="표준 11 2 4 2 4 3 3" xfId="10027"/>
    <cellStyle name="표준 11 2 4 2 4 3 3 2" xfId="32494"/>
    <cellStyle name="표준 11 2 4 2 4 3 4" xfId="17511"/>
    <cellStyle name="표준 11 2 4 2 4 3 4 2" xfId="39976"/>
    <cellStyle name="표준 11 2 4 2 4 3 5" xfId="25012"/>
    <cellStyle name="표준 11 2 4 2 4 3_Sheet4" xfId="863"/>
    <cellStyle name="표준 11 2 4 2 4 4" xfId="864"/>
    <cellStyle name="표준 11 2 4 2 4 4 2" xfId="10029"/>
    <cellStyle name="표준 11 2 4 2 4 4 2 2" xfId="32496"/>
    <cellStyle name="표준 11 2 4 2 4 4 3" xfId="17513"/>
    <cellStyle name="표준 11 2 4 2 4 4 3 2" xfId="39978"/>
    <cellStyle name="표준 11 2 4 2 4 4 4" xfId="25014"/>
    <cellStyle name="표준 11 2 4 2 4 5" xfId="10022"/>
    <cellStyle name="표준 11 2 4 2 4 5 2" xfId="32489"/>
    <cellStyle name="표준 11 2 4 2 4 6" xfId="17506"/>
    <cellStyle name="표준 11 2 4 2 4 6 2" xfId="39971"/>
    <cellStyle name="표준 11 2 4 2 4 7" xfId="25007"/>
    <cellStyle name="표준 11 2 4 2 4_Sheet4" xfId="865"/>
    <cellStyle name="표준 11 2 4 2 5" xfId="866"/>
    <cellStyle name="표준 11 2 4 2 5 2" xfId="867"/>
    <cellStyle name="표준 11 2 4 2 5 2 2" xfId="868"/>
    <cellStyle name="표준 11 2 4 2 5 2 2 2" xfId="10032"/>
    <cellStyle name="표준 11 2 4 2 5 2 2 2 2" xfId="32499"/>
    <cellStyle name="표준 11 2 4 2 5 2 2 3" xfId="17516"/>
    <cellStyle name="표준 11 2 4 2 5 2 2 3 2" xfId="39981"/>
    <cellStyle name="표준 11 2 4 2 5 2 2 4" xfId="25017"/>
    <cellStyle name="표준 11 2 4 2 5 2 3" xfId="10031"/>
    <cellStyle name="표준 11 2 4 2 5 2 3 2" xfId="32498"/>
    <cellStyle name="표준 11 2 4 2 5 2 4" xfId="17515"/>
    <cellStyle name="표준 11 2 4 2 5 2 4 2" xfId="39980"/>
    <cellStyle name="표준 11 2 4 2 5 2 5" xfId="25016"/>
    <cellStyle name="표준 11 2 4 2 5 2_Sheet4" xfId="869"/>
    <cellStyle name="표준 11 2 4 2 5 3" xfId="870"/>
    <cellStyle name="표준 11 2 4 2 5 3 2" xfId="10033"/>
    <cellStyle name="표준 11 2 4 2 5 3 2 2" xfId="32500"/>
    <cellStyle name="표준 11 2 4 2 5 3 3" xfId="17517"/>
    <cellStyle name="표준 11 2 4 2 5 3 3 2" xfId="39982"/>
    <cellStyle name="표준 11 2 4 2 5 3 4" xfId="25018"/>
    <cellStyle name="표준 11 2 4 2 5 4" xfId="10030"/>
    <cellStyle name="표준 11 2 4 2 5 4 2" xfId="32497"/>
    <cellStyle name="표준 11 2 4 2 5 5" xfId="17514"/>
    <cellStyle name="표준 11 2 4 2 5 5 2" xfId="39979"/>
    <cellStyle name="표준 11 2 4 2 5 6" xfId="25015"/>
    <cellStyle name="표준 11 2 4 2 5_Sheet4" xfId="871"/>
    <cellStyle name="표준 11 2 4 2 6" xfId="872"/>
    <cellStyle name="표준 11 2 4 2 6 2" xfId="873"/>
    <cellStyle name="표준 11 2 4 2 6 2 2" xfId="10035"/>
    <cellStyle name="표준 11 2 4 2 6 2 2 2" xfId="32502"/>
    <cellStyle name="표준 11 2 4 2 6 2 3" xfId="17519"/>
    <cellStyle name="표준 11 2 4 2 6 2 3 2" xfId="39984"/>
    <cellStyle name="표준 11 2 4 2 6 2 4" xfId="25020"/>
    <cellStyle name="표준 11 2 4 2 6 3" xfId="10034"/>
    <cellStyle name="표준 11 2 4 2 6 3 2" xfId="32501"/>
    <cellStyle name="표준 11 2 4 2 6 4" xfId="17518"/>
    <cellStyle name="표준 11 2 4 2 6 4 2" xfId="39983"/>
    <cellStyle name="표준 11 2 4 2 6 5" xfId="25019"/>
    <cellStyle name="표준 11 2 4 2 6_Sheet4" xfId="874"/>
    <cellStyle name="표준 11 2 4 2 7" xfId="875"/>
    <cellStyle name="표준 11 2 4 2 7 2" xfId="10036"/>
    <cellStyle name="표준 11 2 4 2 7 2 2" xfId="32503"/>
    <cellStyle name="표준 11 2 4 2 7 3" xfId="17520"/>
    <cellStyle name="표준 11 2 4 2 7 3 2" xfId="39985"/>
    <cellStyle name="표준 11 2 4 2 7 4" xfId="25021"/>
    <cellStyle name="표준 11 2 4 2 8" xfId="9989"/>
    <cellStyle name="표준 11 2 4 2 8 2" xfId="32456"/>
    <cellStyle name="표준 11 2 4 2 9" xfId="17473"/>
    <cellStyle name="표준 11 2 4 2 9 2" xfId="39938"/>
    <cellStyle name="표준 11 2 4 2_Sheet4" xfId="876"/>
    <cellStyle name="표준 11 2 4 3" xfId="877"/>
    <cellStyle name="표준 11 2 4 3 2" xfId="878"/>
    <cellStyle name="표준 11 2 4 3 2 2" xfId="879"/>
    <cellStyle name="표준 11 2 4 3 2 2 2" xfId="880"/>
    <cellStyle name="표준 11 2 4 3 2 2 2 2" xfId="881"/>
    <cellStyle name="표준 11 2 4 3 2 2 2 2 2" xfId="10041"/>
    <cellStyle name="표준 11 2 4 3 2 2 2 2 2 2" xfId="32508"/>
    <cellStyle name="표준 11 2 4 3 2 2 2 2 3" xfId="17525"/>
    <cellStyle name="표준 11 2 4 3 2 2 2 2 3 2" xfId="39990"/>
    <cellStyle name="표준 11 2 4 3 2 2 2 2 4" xfId="25026"/>
    <cellStyle name="표준 11 2 4 3 2 2 2 3" xfId="10040"/>
    <cellStyle name="표준 11 2 4 3 2 2 2 3 2" xfId="32507"/>
    <cellStyle name="표준 11 2 4 3 2 2 2 4" xfId="17524"/>
    <cellStyle name="표준 11 2 4 3 2 2 2 4 2" xfId="39989"/>
    <cellStyle name="표준 11 2 4 3 2 2 2 5" xfId="25025"/>
    <cellStyle name="표준 11 2 4 3 2 2 2_Sheet4" xfId="882"/>
    <cellStyle name="표준 11 2 4 3 2 2 3" xfId="883"/>
    <cellStyle name="표준 11 2 4 3 2 2 3 2" xfId="10042"/>
    <cellStyle name="표준 11 2 4 3 2 2 3 2 2" xfId="32509"/>
    <cellStyle name="표준 11 2 4 3 2 2 3 3" xfId="17526"/>
    <cellStyle name="표준 11 2 4 3 2 2 3 3 2" xfId="39991"/>
    <cellStyle name="표준 11 2 4 3 2 2 3 4" xfId="25027"/>
    <cellStyle name="표준 11 2 4 3 2 2 4" xfId="10039"/>
    <cellStyle name="표준 11 2 4 3 2 2 4 2" xfId="32506"/>
    <cellStyle name="표준 11 2 4 3 2 2 5" xfId="17523"/>
    <cellStyle name="표준 11 2 4 3 2 2 5 2" xfId="39988"/>
    <cellStyle name="표준 11 2 4 3 2 2 6" xfId="25024"/>
    <cellStyle name="표준 11 2 4 3 2 2_Sheet4" xfId="884"/>
    <cellStyle name="표준 11 2 4 3 2 3" xfId="885"/>
    <cellStyle name="표준 11 2 4 3 2 3 2" xfId="886"/>
    <cellStyle name="표준 11 2 4 3 2 3 2 2" xfId="10044"/>
    <cellStyle name="표준 11 2 4 3 2 3 2 2 2" xfId="32511"/>
    <cellStyle name="표준 11 2 4 3 2 3 2 3" xfId="17528"/>
    <cellStyle name="표준 11 2 4 3 2 3 2 3 2" xfId="39993"/>
    <cellStyle name="표준 11 2 4 3 2 3 2 4" xfId="25029"/>
    <cellStyle name="표준 11 2 4 3 2 3 3" xfId="10043"/>
    <cellStyle name="표준 11 2 4 3 2 3 3 2" xfId="32510"/>
    <cellStyle name="표준 11 2 4 3 2 3 4" xfId="17527"/>
    <cellStyle name="표준 11 2 4 3 2 3 4 2" xfId="39992"/>
    <cellStyle name="표준 11 2 4 3 2 3 5" xfId="25028"/>
    <cellStyle name="표준 11 2 4 3 2 3_Sheet4" xfId="887"/>
    <cellStyle name="표준 11 2 4 3 2 4" xfId="888"/>
    <cellStyle name="표준 11 2 4 3 2 4 2" xfId="10045"/>
    <cellStyle name="표준 11 2 4 3 2 4 2 2" xfId="32512"/>
    <cellStyle name="표준 11 2 4 3 2 4 3" xfId="17529"/>
    <cellStyle name="표준 11 2 4 3 2 4 3 2" xfId="39994"/>
    <cellStyle name="표준 11 2 4 3 2 4 4" xfId="25030"/>
    <cellStyle name="표준 11 2 4 3 2 5" xfId="10038"/>
    <cellStyle name="표준 11 2 4 3 2 5 2" xfId="32505"/>
    <cellStyle name="표준 11 2 4 3 2 6" xfId="17522"/>
    <cellStyle name="표준 11 2 4 3 2 6 2" xfId="39987"/>
    <cellStyle name="표준 11 2 4 3 2 7" xfId="25023"/>
    <cellStyle name="표준 11 2 4 3 2_Sheet4" xfId="889"/>
    <cellStyle name="표준 11 2 4 3 3" xfId="890"/>
    <cellStyle name="표준 11 2 4 3 3 2" xfId="891"/>
    <cellStyle name="표준 11 2 4 3 3 2 2" xfId="892"/>
    <cellStyle name="표준 11 2 4 3 3 2 2 2" xfId="10048"/>
    <cellStyle name="표준 11 2 4 3 3 2 2 2 2" xfId="32515"/>
    <cellStyle name="표준 11 2 4 3 3 2 2 3" xfId="17532"/>
    <cellStyle name="표준 11 2 4 3 3 2 2 3 2" xfId="39997"/>
    <cellStyle name="표준 11 2 4 3 3 2 2 4" xfId="25033"/>
    <cellStyle name="표준 11 2 4 3 3 2 3" xfId="10047"/>
    <cellStyle name="표준 11 2 4 3 3 2 3 2" xfId="32514"/>
    <cellStyle name="표준 11 2 4 3 3 2 4" xfId="17531"/>
    <cellStyle name="표준 11 2 4 3 3 2 4 2" xfId="39996"/>
    <cellStyle name="표준 11 2 4 3 3 2 5" xfId="25032"/>
    <cellStyle name="표준 11 2 4 3 3 2_Sheet4" xfId="893"/>
    <cellStyle name="표준 11 2 4 3 3 3" xfId="894"/>
    <cellStyle name="표준 11 2 4 3 3 3 2" xfId="10049"/>
    <cellStyle name="표준 11 2 4 3 3 3 2 2" xfId="32516"/>
    <cellStyle name="표준 11 2 4 3 3 3 3" xfId="17533"/>
    <cellStyle name="표준 11 2 4 3 3 3 3 2" xfId="39998"/>
    <cellStyle name="표준 11 2 4 3 3 3 4" xfId="25034"/>
    <cellStyle name="표준 11 2 4 3 3 4" xfId="10046"/>
    <cellStyle name="표준 11 2 4 3 3 4 2" xfId="32513"/>
    <cellStyle name="표준 11 2 4 3 3 5" xfId="17530"/>
    <cellStyle name="표준 11 2 4 3 3 5 2" xfId="39995"/>
    <cellStyle name="표준 11 2 4 3 3 6" xfId="25031"/>
    <cellStyle name="표준 11 2 4 3 3_Sheet4" xfId="895"/>
    <cellStyle name="표준 11 2 4 3 4" xfId="896"/>
    <cellStyle name="표준 11 2 4 3 4 2" xfId="897"/>
    <cellStyle name="표준 11 2 4 3 4 2 2" xfId="10051"/>
    <cellStyle name="표준 11 2 4 3 4 2 2 2" xfId="32518"/>
    <cellStyle name="표준 11 2 4 3 4 2 3" xfId="17535"/>
    <cellStyle name="표준 11 2 4 3 4 2 3 2" xfId="40000"/>
    <cellStyle name="표준 11 2 4 3 4 2 4" xfId="25036"/>
    <cellStyle name="표준 11 2 4 3 4 3" xfId="10050"/>
    <cellStyle name="표준 11 2 4 3 4 3 2" xfId="32517"/>
    <cellStyle name="표준 11 2 4 3 4 4" xfId="17534"/>
    <cellStyle name="표준 11 2 4 3 4 4 2" xfId="39999"/>
    <cellStyle name="표준 11 2 4 3 4 5" xfId="25035"/>
    <cellStyle name="표준 11 2 4 3 4_Sheet4" xfId="898"/>
    <cellStyle name="표준 11 2 4 3 5" xfId="899"/>
    <cellStyle name="표준 11 2 4 3 5 2" xfId="10052"/>
    <cellStyle name="표준 11 2 4 3 5 2 2" xfId="32519"/>
    <cellStyle name="표준 11 2 4 3 5 3" xfId="17536"/>
    <cellStyle name="표준 11 2 4 3 5 3 2" xfId="40001"/>
    <cellStyle name="표준 11 2 4 3 5 4" xfId="25037"/>
    <cellStyle name="표준 11 2 4 3 6" xfId="10037"/>
    <cellStyle name="표준 11 2 4 3 6 2" xfId="32504"/>
    <cellStyle name="표준 11 2 4 3 7" xfId="17521"/>
    <cellStyle name="표준 11 2 4 3 7 2" xfId="39986"/>
    <cellStyle name="표준 11 2 4 3 8" xfId="25022"/>
    <cellStyle name="표준 11 2 4 3_Sheet4" xfId="900"/>
    <cellStyle name="표준 11 2 4 4" xfId="901"/>
    <cellStyle name="표준 11 2 4 4 2" xfId="902"/>
    <cellStyle name="표준 11 2 4 4 2 2" xfId="903"/>
    <cellStyle name="표준 11 2 4 4 2 2 2" xfId="904"/>
    <cellStyle name="표준 11 2 4 4 2 2 2 2" xfId="905"/>
    <cellStyle name="표준 11 2 4 4 2 2 2 2 2" xfId="10057"/>
    <cellStyle name="표준 11 2 4 4 2 2 2 2 2 2" xfId="32524"/>
    <cellStyle name="표준 11 2 4 4 2 2 2 2 3" xfId="17541"/>
    <cellStyle name="표준 11 2 4 4 2 2 2 2 3 2" xfId="40006"/>
    <cellStyle name="표준 11 2 4 4 2 2 2 2 4" xfId="25042"/>
    <cellStyle name="표준 11 2 4 4 2 2 2 3" xfId="10056"/>
    <cellStyle name="표준 11 2 4 4 2 2 2 3 2" xfId="32523"/>
    <cellStyle name="표준 11 2 4 4 2 2 2 4" xfId="17540"/>
    <cellStyle name="표준 11 2 4 4 2 2 2 4 2" xfId="40005"/>
    <cellStyle name="표준 11 2 4 4 2 2 2 5" xfId="25041"/>
    <cellStyle name="표준 11 2 4 4 2 2 2_Sheet4" xfId="906"/>
    <cellStyle name="표준 11 2 4 4 2 2 3" xfId="907"/>
    <cellStyle name="표준 11 2 4 4 2 2 3 2" xfId="10058"/>
    <cellStyle name="표준 11 2 4 4 2 2 3 2 2" xfId="32525"/>
    <cellStyle name="표준 11 2 4 4 2 2 3 3" xfId="17542"/>
    <cellStyle name="표준 11 2 4 4 2 2 3 3 2" xfId="40007"/>
    <cellStyle name="표준 11 2 4 4 2 2 3 4" xfId="25043"/>
    <cellStyle name="표준 11 2 4 4 2 2 4" xfId="10055"/>
    <cellStyle name="표준 11 2 4 4 2 2 4 2" xfId="32522"/>
    <cellStyle name="표준 11 2 4 4 2 2 5" xfId="17539"/>
    <cellStyle name="표준 11 2 4 4 2 2 5 2" xfId="40004"/>
    <cellStyle name="표준 11 2 4 4 2 2 6" xfId="25040"/>
    <cellStyle name="표준 11 2 4 4 2 2_Sheet4" xfId="908"/>
    <cellStyle name="표준 11 2 4 4 2 3" xfId="909"/>
    <cellStyle name="표준 11 2 4 4 2 3 2" xfId="910"/>
    <cellStyle name="표준 11 2 4 4 2 3 2 2" xfId="10060"/>
    <cellStyle name="표준 11 2 4 4 2 3 2 2 2" xfId="32527"/>
    <cellStyle name="표준 11 2 4 4 2 3 2 3" xfId="17544"/>
    <cellStyle name="표준 11 2 4 4 2 3 2 3 2" xfId="40009"/>
    <cellStyle name="표준 11 2 4 4 2 3 2 4" xfId="25045"/>
    <cellStyle name="표준 11 2 4 4 2 3 3" xfId="10059"/>
    <cellStyle name="표준 11 2 4 4 2 3 3 2" xfId="32526"/>
    <cellStyle name="표준 11 2 4 4 2 3 4" xfId="17543"/>
    <cellStyle name="표준 11 2 4 4 2 3 4 2" xfId="40008"/>
    <cellStyle name="표준 11 2 4 4 2 3 5" xfId="25044"/>
    <cellStyle name="표준 11 2 4 4 2 3_Sheet4" xfId="911"/>
    <cellStyle name="표준 11 2 4 4 2 4" xfId="912"/>
    <cellStyle name="표준 11 2 4 4 2 4 2" xfId="10061"/>
    <cellStyle name="표준 11 2 4 4 2 4 2 2" xfId="32528"/>
    <cellStyle name="표준 11 2 4 4 2 4 3" xfId="17545"/>
    <cellStyle name="표준 11 2 4 4 2 4 3 2" xfId="40010"/>
    <cellStyle name="표준 11 2 4 4 2 4 4" xfId="25046"/>
    <cellStyle name="표준 11 2 4 4 2 5" xfId="10054"/>
    <cellStyle name="표준 11 2 4 4 2 5 2" xfId="32521"/>
    <cellStyle name="표준 11 2 4 4 2 6" xfId="17538"/>
    <cellStyle name="표준 11 2 4 4 2 6 2" xfId="40003"/>
    <cellStyle name="표준 11 2 4 4 2 7" xfId="25039"/>
    <cellStyle name="표준 11 2 4 4 2_Sheet4" xfId="913"/>
    <cellStyle name="표준 11 2 4 4 3" xfId="914"/>
    <cellStyle name="표준 11 2 4 4 3 2" xfId="915"/>
    <cellStyle name="표준 11 2 4 4 3 2 2" xfId="916"/>
    <cellStyle name="표준 11 2 4 4 3 2 2 2" xfId="10064"/>
    <cellStyle name="표준 11 2 4 4 3 2 2 2 2" xfId="32531"/>
    <cellStyle name="표준 11 2 4 4 3 2 2 3" xfId="17548"/>
    <cellStyle name="표준 11 2 4 4 3 2 2 3 2" xfId="40013"/>
    <cellStyle name="표준 11 2 4 4 3 2 2 4" xfId="25049"/>
    <cellStyle name="표준 11 2 4 4 3 2 3" xfId="10063"/>
    <cellStyle name="표준 11 2 4 4 3 2 3 2" xfId="32530"/>
    <cellStyle name="표준 11 2 4 4 3 2 4" xfId="17547"/>
    <cellStyle name="표준 11 2 4 4 3 2 4 2" xfId="40012"/>
    <cellStyle name="표준 11 2 4 4 3 2 5" xfId="25048"/>
    <cellStyle name="표준 11 2 4 4 3 2_Sheet4" xfId="917"/>
    <cellStyle name="표준 11 2 4 4 3 3" xfId="918"/>
    <cellStyle name="표준 11 2 4 4 3 3 2" xfId="10065"/>
    <cellStyle name="표준 11 2 4 4 3 3 2 2" xfId="32532"/>
    <cellStyle name="표준 11 2 4 4 3 3 3" xfId="17549"/>
    <cellStyle name="표준 11 2 4 4 3 3 3 2" xfId="40014"/>
    <cellStyle name="표준 11 2 4 4 3 3 4" xfId="25050"/>
    <cellStyle name="표준 11 2 4 4 3 4" xfId="10062"/>
    <cellStyle name="표준 11 2 4 4 3 4 2" xfId="32529"/>
    <cellStyle name="표준 11 2 4 4 3 5" xfId="17546"/>
    <cellStyle name="표준 11 2 4 4 3 5 2" xfId="40011"/>
    <cellStyle name="표준 11 2 4 4 3 6" xfId="25047"/>
    <cellStyle name="표준 11 2 4 4 3_Sheet4" xfId="919"/>
    <cellStyle name="표준 11 2 4 4 4" xfId="920"/>
    <cellStyle name="표준 11 2 4 4 4 2" xfId="921"/>
    <cellStyle name="표준 11 2 4 4 4 2 2" xfId="10067"/>
    <cellStyle name="표준 11 2 4 4 4 2 2 2" xfId="32534"/>
    <cellStyle name="표준 11 2 4 4 4 2 3" xfId="17551"/>
    <cellStyle name="표준 11 2 4 4 4 2 3 2" xfId="40016"/>
    <cellStyle name="표준 11 2 4 4 4 2 4" xfId="25052"/>
    <cellStyle name="표준 11 2 4 4 4 3" xfId="10066"/>
    <cellStyle name="표준 11 2 4 4 4 3 2" xfId="32533"/>
    <cellStyle name="표준 11 2 4 4 4 4" xfId="17550"/>
    <cellStyle name="표준 11 2 4 4 4 4 2" xfId="40015"/>
    <cellStyle name="표준 11 2 4 4 4 5" xfId="25051"/>
    <cellStyle name="표준 11 2 4 4 4_Sheet4" xfId="922"/>
    <cellStyle name="표준 11 2 4 4 5" xfId="923"/>
    <cellStyle name="표준 11 2 4 4 5 2" xfId="10068"/>
    <cellStyle name="표준 11 2 4 4 5 2 2" xfId="32535"/>
    <cellStyle name="표준 11 2 4 4 5 3" xfId="17552"/>
    <cellStyle name="표준 11 2 4 4 5 3 2" xfId="40017"/>
    <cellStyle name="표준 11 2 4 4 5 4" xfId="25053"/>
    <cellStyle name="표준 11 2 4 4 6" xfId="10053"/>
    <cellStyle name="표준 11 2 4 4 6 2" xfId="32520"/>
    <cellStyle name="표준 11 2 4 4 7" xfId="17537"/>
    <cellStyle name="표준 11 2 4 4 7 2" xfId="40002"/>
    <cellStyle name="표준 11 2 4 4 8" xfId="25038"/>
    <cellStyle name="표준 11 2 4 4_Sheet4" xfId="924"/>
    <cellStyle name="표준 11 2 4 5" xfId="925"/>
    <cellStyle name="표준 11 2 4 5 2" xfId="926"/>
    <cellStyle name="표준 11 2 4 5 2 2" xfId="927"/>
    <cellStyle name="표준 11 2 4 5 2 2 2" xfId="928"/>
    <cellStyle name="표준 11 2 4 5 2 2 2 2" xfId="10072"/>
    <cellStyle name="표준 11 2 4 5 2 2 2 2 2" xfId="32539"/>
    <cellStyle name="표준 11 2 4 5 2 2 2 3" xfId="17556"/>
    <cellStyle name="표준 11 2 4 5 2 2 2 3 2" xfId="40021"/>
    <cellStyle name="표준 11 2 4 5 2 2 2 4" xfId="25057"/>
    <cellStyle name="표준 11 2 4 5 2 2 3" xfId="10071"/>
    <cellStyle name="표준 11 2 4 5 2 2 3 2" xfId="32538"/>
    <cellStyle name="표준 11 2 4 5 2 2 4" xfId="17555"/>
    <cellStyle name="표준 11 2 4 5 2 2 4 2" xfId="40020"/>
    <cellStyle name="표준 11 2 4 5 2 2 5" xfId="25056"/>
    <cellStyle name="표준 11 2 4 5 2 2_Sheet4" xfId="929"/>
    <cellStyle name="표준 11 2 4 5 2 3" xfId="930"/>
    <cellStyle name="표준 11 2 4 5 2 3 2" xfId="10073"/>
    <cellStyle name="표준 11 2 4 5 2 3 2 2" xfId="32540"/>
    <cellStyle name="표준 11 2 4 5 2 3 3" xfId="17557"/>
    <cellStyle name="표준 11 2 4 5 2 3 3 2" xfId="40022"/>
    <cellStyle name="표준 11 2 4 5 2 3 4" xfId="25058"/>
    <cellStyle name="표준 11 2 4 5 2 4" xfId="10070"/>
    <cellStyle name="표준 11 2 4 5 2 4 2" xfId="32537"/>
    <cellStyle name="표준 11 2 4 5 2 5" xfId="17554"/>
    <cellStyle name="표준 11 2 4 5 2 5 2" xfId="40019"/>
    <cellStyle name="표준 11 2 4 5 2 6" xfId="25055"/>
    <cellStyle name="표준 11 2 4 5 2_Sheet4" xfId="931"/>
    <cellStyle name="표준 11 2 4 5 3" xfId="932"/>
    <cellStyle name="표준 11 2 4 5 3 2" xfId="933"/>
    <cellStyle name="표준 11 2 4 5 3 2 2" xfId="10075"/>
    <cellStyle name="표준 11 2 4 5 3 2 2 2" xfId="32542"/>
    <cellStyle name="표준 11 2 4 5 3 2 3" xfId="17559"/>
    <cellStyle name="표준 11 2 4 5 3 2 3 2" xfId="40024"/>
    <cellStyle name="표준 11 2 4 5 3 2 4" xfId="25060"/>
    <cellStyle name="표준 11 2 4 5 3 3" xfId="10074"/>
    <cellStyle name="표준 11 2 4 5 3 3 2" xfId="32541"/>
    <cellStyle name="표준 11 2 4 5 3 4" xfId="17558"/>
    <cellStyle name="표준 11 2 4 5 3 4 2" xfId="40023"/>
    <cellStyle name="표준 11 2 4 5 3 5" xfId="25059"/>
    <cellStyle name="표준 11 2 4 5 3_Sheet4" xfId="934"/>
    <cellStyle name="표준 11 2 4 5 4" xfId="935"/>
    <cellStyle name="표준 11 2 4 5 4 2" xfId="10076"/>
    <cellStyle name="표준 11 2 4 5 4 2 2" xfId="32543"/>
    <cellStyle name="표준 11 2 4 5 4 3" xfId="17560"/>
    <cellStyle name="표준 11 2 4 5 4 3 2" xfId="40025"/>
    <cellStyle name="표준 11 2 4 5 4 4" xfId="25061"/>
    <cellStyle name="표준 11 2 4 5 5" xfId="10069"/>
    <cellStyle name="표준 11 2 4 5 5 2" xfId="32536"/>
    <cellStyle name="표준 11 2 4 5 6" xfId="17553"/>
    <cellStyle name="표준 11 2 4 5 6 2" xfId="40018"/>
    <cellStyle name="표준 11 2 4 5 7" xfId="25054"/>
    <cellStyle name="표준 11 2 4 5_Sheet4" xfId="936"/>
    <cellStyle name="표준 11 2 4 6" xfId="937"/>
    <cellStyle name="표준 11 2 4 6 2" xfId="938"/>
    <cellStyle name="표준 11 2 4 6 2 2" xfId="939"/>
    <cellStyle name="표준 11 2 4 6 2 2 2" xfId="10079"/>
    <cellStyle name="표준 11 2 4 6 2 2 2 2" xfId="32546"/>
    <cellStyle name="표준 11 2 4 6 2 2 3" xfId="17563"/>
    <cellStyle name="표준 11 2 4 6 2 2 3 2" xfId="40028"/>
    <cellStyle name="표준 11 2 4 6 2 2 4" xfId="25064"/>
    <cellStyle name="표준 11 2 4 6 2 3" xfId="10078"/>
    <cellStyle name="표준 11 2 4 6 2 3 2" xfId="32545"/>
    <cellStyle name="표준 11 2 4 6 2 4" xfId="17562"/>
    <cellStyle name="표준 11 2 4 6 2 4 2" xfId="40027"/>
    <cellStyle name="표준 11 2 4 6 2 5" xfId="25063"/>
    <cellStyle name="표준 11 2 4 6 2_Sheet4" xfId="940"/>
    <cellStyle name="표준 11 2 4 6 3" xfId="941"/>
    <cellStyle name="표준 11 2 4 6 3 2" xfId="10080"/>
    <cellStyle name="표준 11 2 4 6 3 2 2" xfId="32547"/>
    <cellStyle name="표준 11 2 4 6 3 3" xfId="17564"/>
    <cellStyle name="표준 11 2 4 6 3 3 2" xfId="40029"/>
    <cellStyle name="표준 11 2 4 6 3 4" xfId="25065"/>
    <cellStyle name="표준 11 2 4 6 4" xfId="10077"/>
    <cellStyle name="표준 11 2 4 6 4 2" xfId="32544"/>
    <cellStyle name="표준 11 2 4 6 5" xfId="17561"/>
    <cellStyle name="표준 11 2 4 6 5 2" xfId="40026"/>
    <cellStyle name="표준 11 2 4 6 6" xfId="25062"/>
    <cellStyle name="표준 11 2 4 6_Sheet4" xfId="942"/>
    <cellStyle name="표준 11 2 4 7" xfId="943"/>
    <cellStyle name="표준 11 2 4 7 2" xfId="944"/>
    <cellStyle name="표준 11 2 4 7 2 2" xfId="10082"/>
    <cellStyle name="표준 11 2 4 7 2 2 2" xfId="32549"/>
    <cellStyle name="표준 11 2 4 7 2 3" xfId="17566"/>
    <cellStyle name="표준 11 2 4 7 2 3 2" xfId="40031"/>
    <cellStyle name="표준 11 2 4 7 2 4" xfId="25067"/>
    <cellStyle name="표준 11 2 4 7 3" xfId="10081"/>
    <cellStyle name="표준 11 2 4 7 3 2" xfId="32548"/>
    <cellStyle name="표준 11 2 4 7 4" xfId="17565"/>
    <cellStyle name="표준 11 2 4 7 4 2" xfId="40030"/>
    <cellStyle name="표준 11 2 4 7 5" xfId="25066"/>
    <cellStyle name="표준 11 2 4 7_Sheet4" xfId="945"/>
    <cellStyle name="표준 11 2 4 8" xfId="946"/>
    <cellStyle name="표준 11 2 4 8 2" xfId="10083"/>
    <cellStyle name="표준 11 2 4 8 2 2" xfId="32550"/>
    <cellStyle name="표준 11 2 4 8 3" xfId="17567"/>
    <cellStyle name="표준 11 2 4 8 3 2" xfId="40032"/>
    <cellStyle name="표준 11 2 4 8 4" xfId="25068"/>
    <cellStyle name="표준 11 2 4 9" xfId="9988"/>
    <cellStyle name="표준 11 2 4 9 2" xfId="32455"/>
    <cellStyle name="표준 11 2 4_Sheet4" xfId="947"/>
    <cellStyle name="표준 11 2 5" xfId="948"/>
    <cellStyle name="표준 11 2 5 10" xfId="25069"/>
    <cellStyle name="표준 11 2 5 2" xfId="949"/>
    <cellStyle name="표준 11 2 5 2 2" xfId="950"/>
    <cellStyle name="표준 11 2 5 2 2 2" xfId="951"/>
    <cellStyle name="표준 11 2 5 2 2 2 2" xfId="952"/>
    <cellStyle name="표준 11 2 5 2 2 2 2 2" xfId="953"/>
    <cellStyle name="표준 11 2 5 2 2 2 2 2 2" xfId="10089"/>
    <cellStyle name="표준 11 2 5 2 2 2 2 2 2 2" xfId="32556"/>
    <cellStyle name="표준 11 2 5 2 2 2 2 2 3" xfId="17573"/>
    <cellStyle name="표준 11 2 5 2 2 2 2 2 3 2" xfId="40038"/>
    <cellStyle name="표준 11 2 5 2 2 2 2 2 4" xfId="25074"/>
    <cellStyle name="표준 11 2 5 2 2 2 2 3" xfId="10088"/>
    <cellStyle name="표준 11 2 5 2 2 2 2 3 2" xfId="32555"/>
    <cellStyle name="표준 11 2 5 2 2 2 2 4" xfId="17572"/>
    <cellStyle name="표준 11 2 5 2 2 2 2 4 2" xfId="40037"/>
    <cellStyle name="표준 11 2 5 2 2 2 2 5" xfId="25073"/>
    <cellStyle name="표준 11 2 5 2 2 2 2_Sheet4" xfId="954"/>
    <cellStyle name="표준 11 2 5 2 2 2 3" xfId="955"/>
    <cellStyle name="표준 11 2 5 2 2 2 3 2" xfId="10090"/>
    <cellStyle name="표준 11 2 5 2 2 2 3 2 2" xfId="32557"/>
    <cellStyle name="표준 11 2 5 2 2 2 3 3" xfId="17574"/>
    <cellStyle name="표준 11 2 5 2 2 2 3 3 2" xfId="40039"/>
    <cellStyle name="표준 11 2 5 2 2 2 3 4" xfId="25075"/>
    <cellStyle name="표준 11 2 5 2 2 2 4" xfId="10087"/>
    <cellStyle name="표준 11 2 5 2 2 2 4 2" xfId="32554"/>
    <cellStyle name="표준 11 2 5 2 2 2 5" xfId="17571"/>
    <cellStyle name="표준 11 2 5 2 2 2 5 2" xfId="40036"/>
    <cellStyle name="표준 11 2 5 2 2 2 6" xfId="25072"/>
    <cellStyle name="표준 11 2 5 2 2 2_Sheet4" xfId="956"/>
    <cellStyle name="표준 11 2 5 2 2 3" xfId="957"/>
    <cellStyle name="표준 11 2 5 2 2 3 2" xfId="958"/>
    <cellStyle name="표준 11 2 5 2 2 3 2 2" xfId="10092"/>
    <cellStyle name="표준 11 2 5 2 2 3 2 2 2" xfId="32559"/>
    <cellStyle name="표준 11 2 5 2 2 3 2 3" xfId="17576"/>
    <cellStyle name="표준 11 2 5 2 2 3 2 3 2" xfId="40041"/>
    <cellStyle name="표준 11 2 5 2 2 3 2 4" xfId="25077"/>
    <cellStyle name="표준 11 2 5 2 2 3 3" xfId="10091"/>
    <cellStyle name="표준 11 2 5 2 2 3 3 2" xfId="32558"/>
    <cellStyle name="표준 11 2 5 2 2 3 4" xfId="17575"/>
    <cellStyle name="표준 11 2 5 2 2 3 4 2" xfId="40040"/>
    <cellStyle name="표준 11 2 5 2 2 3 5" xfId="25076"/>
    <cellStyle name="표준 11 2 5 2 2 3_Sheet4" xfId="959"/>
    <cellStyle name="표준 11 2 5 2 2 4" xfId="960"/>
    <cellStyle name="표준 11 2 5 2 2 4 2" xfId="10093"/>
    <cellStyle name="표준 11 2 5 2 2 4 2 2" xfId="32560"/>
    <cellStyle name="표준 11 2 5 2 2 4 3" xfId="17577"/>
    <cellStyle name="표준 11 2 5 2 2 4 3 2" xfId="40042"/>
    <cellStyle name="표준 11 2 5 2 2 4 4" xfId="25078"/>
    <cellStyle name="표준 11 2 5 2 2 5" xfId="10086"/>
    <cellStyle name="표준 11 2 5 2 2 5 2" xfId="32553"/>
    <cellStyle name="표준 11 2 5 2 2 6" xfId="17570"/>
    <cellStyle name="표준 11 2 5 2 2 6 2" xfId="40035"/>
    <cellStyle name="표준 11 2 5 2 2 7" xfId="25071"/>
    <cellStyle name="표준 11 2 5 2 2_Sheet4" xfId="961"/>
    <cellStyle name="표준 11 2 5 2 3" xfId="962"/>
    <cellStyle name="표준 11 2 5 2 3 2" xfId="963"/>
    <cellStyle name="표준 11 2 5 2 3 2 2" xfId="964"/>
    <cellStyle name="표준 11 2 5 2 3 2 2 2" xfId="10096"/>
    <cellStyle name="표준 11 2 5 2 3 2 2 2 2" xfId="32563"/>
    <cellStyle name="표준 11 2 5 2 3 2 2 3" xfId="17580"/>
    <cellStyle name="표준 11 2 5 2 3 2 2 3 2" xfId="40045"/>
    <cellStyle name="표준 11 2 5 2 3 2 2 4" xfId="25081"/>
    <cellStyle name="표준 11 2 5 2 3 2 3" xfId="10095"/>
    <cellStyle name="표준 11 2 5 2 3 2 3 2" xfId="32562"/>
    <cellStyle name="표준 11 2 5 2 3 2 4" xfId="17579"/>
    <cellStyle name="표준 11 2 5 2 3 2 4 2" xfId="40044"/>
    <cellStyle name="표준 11 2 5 2 3 2 5" xfId="25080"/>
    <cellStyle name="표준 11 2 5 2 3 2_Sheet4" xfId="965"/>
    <cellStyle name="표준 11 2 5 2 3 3" xfId="966"/>
    <cellStyle name="표준 11 2 5 2 3 3 2" xfId="10097"/>
    <cellStyle name="표준 11 2 5 2 3 3 2 2" xfId="32564"/>
    <cellStyle name="표준 11 2 5 2 3 3 3" xfId="17581"/>
    <cellStyle name="표준 11 2 5 2 3 3 3 2" xfId="40046"/>
    <cellStyle name="표준 11 2 5 2 3 3 4" xfId="25082"/>
    <cellStyle name="표준 11 2 5 2 3 4" xfId="10094"/>
    <cellStyle name="표준 11 2 5 2 3 4 2" xfId="32561"/>
    <cellStyle name="표준 11 2 5 2 3 5" xfId="17578"/>
    <cellStyle name="표준 11 2 5 2 3 5 2" xfId="40043"/>
    <cellStyle name="표준 11 2 5 2 3 6" xfId="25079"/>
    <cellStyle name="표준 11 2 5 2 3_Sheet4" xfId="967"/>
    <cellStyle name="표준 11 2 5 2 4" xfId="968"/>
    <cellStyle name="표준 11 2 5 2 4 2" xfId="969"/>
    <cellStyle name="표준 11 2 5 2 4 2 2" xfId="10099"/>
    <cellStyle name="표준 11 2 5 2 4 2 2 2" xfId="32566"/>
    <cellStyle name="표준 11 2 5 2 4 2 3" xfId="17583"/>
    <cellStyle name="표준 11 2 5 2 4 2 3 2" xfId="40048"/>
    <cellStyle name="표준 11 2 5 2 4 2 4" xfId="25084"/>
    <cellStyle name="표준 11 2 5 2 4 3" xfId="10098"/>
    <cellStyle name="표준 11 2 5 2 4 3 2" xfId="32565"/>
    <cellStyle name="표준 11 2 5 2 4 4" xfId="17582"/>
    <cellStyle name="표준 11 2 5 2 4 4 2" xfId="40047"/>
    <cellStyle name="표준 11 2 5 2 4 5" xfId="25083"/>
    <cellStyle name="표준 11 2 5 2 4_Sheet4" xfId="970"/>
    <cellStyle name="표준 11 2 5 2 5" xfId="971"/>
    <cellStyle name="표준 11 2 5 2 5 2" xfId="10100"/>
    <cellStyle name="표준 11 2 5 2 5 2 2" xfId="32567"/>
    <cellStyle name="표준 11 2 5 2 5 3" xfId="17584"/>
    <cellStyle name="표준 11 2 5 2 5 3 2" xfId="40049"/>
    <cellStyle name="표준 11 2 5 2 5 4" xfId="25085"/>
    <cellStyle name="표준 11 2 5 2 6" xfId="10085"/>
    <cellStyle name="표준 11 2 5 2 6 2" xfId="32552"/>
    <cellStyle name="표준 11 2 5 2 7" xfId="17569"/>
    <cellStyle name="표준 11 2 5 2 7 2" xfId="40034"/>
    <cellStyle name="표준 11 2 5 2 8" xfId="25070"/>
    <cellStyle name="표준 11 2 5 2_Sheet4" xfId="972"/>
    <cellStyle name="표준 11 2 5 3" xfId="973"/>
    <cellStyle name="표준 11 2 5 3 2" xfId="974"/>
    <cellStyle name="표준 11 2 5 3 2 2" xfId="975"/>
    <cellStyle name="표준 11 2 5 3 2 2 2" xfId="976"/>
    <cellStyle name="표준 11 2 5 3 2 2 2 2" xfId="977"/>
    <cellStyle name="표준 11 2 5 3 2 2 2 2 2" xfId="10105"/>
    <cellStyle name="표준 11 2 5 3 2 2 2 2 2 2" xfId="32572"/>
    <cellStyle name="표준 11 2 5 3 2 2 2 2 3" xfId="17589"/>
    <cellStyle name="표준 11 2 5 3 2 2 2 2 3 2" xfId="40054"/>
    <cellStyle name="표준 11 2 5 3 2 2 2 2 4" xfId="25090"/>
    <cellStyle name="표준 11 2 5 3 2 2 2 3" xfId="10104"/>
    <cellStyle name="표준 11 2 5 3 2 2 2 3 2" xfId="32571"/>
    <cellStyle name="표준 11 2 5 3 2 2 2 4" xfId="17588"/>
    <cellStyle name="표준 11 2 5 3 2 2 2 4 2" xfId="40053"/>
    <cellStyle name="표준 11 2 5 3 2 2 2 5" xfId="25089"/>
    <cellStyle name="표준 11 2 5 3 2 2 2_Sheet4" xfId="978"/>
    <cellStyle name="표준 11 2 5 3 2 2 3" xfId="979"/>
    <cellStyle name="표준 11 2 5 3 2 2 3 2" xfId="10106"/>
    <cellStyle name="표준 11 2 5 3 2 2 3 2 2" xfId="32573"/>
    <cellStyle name="표준 11 2 5 3 2 2 3 3" xfId="17590"/>
    <cellStyle name="표준 11 2 5 3 2 2 3 3 2" xfId="40055"/>
    <cellStyle name="표준 11 2 5 3 2 2 3 4" xfId="25091"/>
    <cellStyle name="표준 11 2 5 3 2 2 4" xfId="10103"/>
    <cellStyle name="표준 11 2 5 3 2 2 4 2" xfId="32570"/>
    <cellStyle name="표준 11 2 5 3 2 2 5" xfId="17587"/>
    <cellStyle name="표준 11 2 5 3 2 2 5 2" xfId="40052"/>
    <cellStyle name="표준 11 2 5 3 2 2 6" xfId="25088"/>
    <cellStyle name="표준 11 2 5 3 2 2_Sheet4" xfId="980"/>
    <cellStyle name="표준 11 2 5 3 2 3" xfId="981"/>
    <cellStyle name="표준 11 2 5 3 2 3 2" xfId="982"/>
    <cellStyle name="표준 11 2 5 3 2 3 2 2" xfId="10108"/>
    <cellStyle name="표준 11 2 5 3 2 3 2 2 2" xfId="32575"/>
    <cellStyle name="표준 11 2 5 3 2 3 2 3" xfId="17592"/>
    <cellStyle name="표준 11 2 5 3 2 3 2 3 2" xfId="40057"/>
    <cellStyle name="표준 11 2 5 3 2 3 2 4" xfId="25093"/>
    <cellStyle name="표준 11 2 5 3 2 3 3" xfId="10107"/>
    <cellStyle name="표준 11 2 5 3 2 3 3 2" xfId="32574"/>
    <cellStyle name="표준 11 2 5 3 2 3 4" xfId="17591"/>
    <cellStyle name="표준 11 2 5 3 2 3 4 2" xfId="40056"/>
    <cellStyle name="표준 11 2 5 3 2 3 5" xfId="25092"/>
    <cellStyle name="표준 11 2 5 3 2 3_Sheet4" xfId="983"/>
    <cellStyle name="표준 11 2 5 3 2 4" xfId="984"/>
    <cellStyle name="표준 11 2 5 3 2 4 2" xfId="10109"/>
    <cellStyle name="표준 11 2 5 3 2 4 2 2" xfId="32576"/>
    <cellStyle name="표준 11 2 5 3 2 4 3" xfId="17593"/>
    <cellStyle name="표준 11 2 5 3 2 4 3 2" xfId="40058"/>
    <cellStyle name="표준 11 2 5 3 2 4 4" xfId="25094"/>
    <cellStyle name="표준 11 2 5 3 2 5" xfId="10102"/>
    <cellStyle name="표준 11 2 5 3 2 5 2" xfId="32569"/>
    <cellStyle name="표준 11 2 5 3 2 6" xfId="17586"/>
    <cellStyle name="표준 11 2 5 3 2 6 2" xfId="40051"/>
    <cellStyle name="표준 11 2 5 3 2 7" xfId="25087"/>
    <cellStyle name="표준 11 2 5 3 2_Sheet4" xfId="985"/>
    <cellStyle name="표준 11 2 5 3 3" xfId="986"/>
    <cellStyle name="표준 11 2 5 3 3 2" xfId="987"/>
    <cellStyle name="표준 11 2 5 3 3 2 2" xfId="988"/>
    <cellStyle name="표준 11 2 5 3 3 2 2 2" xfId="10112"/>
    <cellStyle name="표준 11 2 5 3 3 2 2 2 2" xfId="32579"/>
    <cellStyle name="표준 11 2 5 3 3 2 2 3" xfId="17596"/>
    <cellStyle name="표준 11 2 5 3 3 2 2 3 2" xfId="40061"/>
    <cellStyle name="표준 11 2 5 3 3 2 2 4" xfId="25097"/>
    <cellStyle name="표준 11 2 5 3 3 2 3" xfId="10111"/>
    <cellStyle name="표준 11 2 5 3 3 2 3 2" xfId="32578"/>
    <cellStyle name="표준 11 2 5 3 3 2 4" xfId="17595"/>
    <cellStyle name="표준 11 2 5 3 3 2 4 2" xfId="40060"/>
    <cellStyle name="표준 11 2 5 3 3 2 5" xfId="25096"/>
    <cellStyle name="표준 11 2 5 3 3 2_Sheet4" xfId="989"/>
    <cellStyle name="표준 11 2 5 3 3 3" xfId="990"/>
    <cellStyle name="표준 11 2 5 3 3 3 2" xfId="10113"/>
    <cellStyle name="표준 11 2 5 3 3 3 2 2" xfId="32580"/>
    <cellStyle name="표준 11 2 5 3 3 3 3" xfId="17597"/>
    <cellStyle name="표준 11 2 5 3 3 3 3 2" xfId="40062"/>
    <cellStyle name="표준 11 2 5 3 3 3 4" xfId="25098"/>
    <cellStyle name="표준 11 2 5 3 3 4" xfId="10110"/>
    <cellStyle name="표준 11 2 5 3 3 4 2" xfId="32577"/>
    <cellStyle name="표준 11 2 5 3 3 5" xfId="17594"/>
    <cellStyle name="표준 11 2 5 3 3 5 2" xfId="40059"/>
    <cellStyle name="표준 11 2 5 3 3 6" xfId="25095"/>
    <cellStyle name="표준 11 2 5 3 3_Sheet4" xfId="991"/>
    <cellStyle name="표준 11 2 5 3 4" xfId="992"/>
    <cellStyle name="표준 11 2 5 3 4 2" xfId="993"/>
    <cellStyle name="표준 11 2 5 3 4 2 2" xfId="10115"/>
    <cellStyle name="표준 11 2 5 3 4 2 2 2" xfId="32582"/>
    <cellStyle name="표준 11 2 5 3 4 2 3" xfId="17599"/>
    <cellStyle name="표준 11 2 5 3 4 2 3 2" xfId="40064"/>
    <cellStyle name="표준 11 2 5 3 4 2 4" xfId="25100"/>
    <cellStyle name="표준 11 2 5 3 4 3" xfId="10114"/>
    <cellStyle name="표준 11 2 5 3 4 3 2" xfId="32581"/>
    <cellStyle name="표준 11 2 5 3 4 4" xfId="17598"/>
    <cellStyle name="표준 11 2 5 3 4 4 2" xfId="40063"/>
    <cellStyle name="표준 11 2 5 3 4 5" xfId="25099"/>
    <cellStyle name="표준 11 2 5 3 4_Sheet4" xfId="994"/>
    <cellStyle name="표준 11 2 5 3 5" xfId="995"/>
    <cellStyle name="표준 11 2 5 3 5 2" xfId="10116"/>
    <cellStyle name="표준 11 2 5 3 5 2 2" xfId="32583"/>
    <cellStyle name="표준 11 2 5 3 5 3" xfId="17600"/>
    <cellStyle name="표준 11 2 5 3 5 3 2" xfId="40065"/>
    <cellStyle name="표준 11 2 5 3 5 4" xfId="25101"/>
    <cellStyle name="표준 11 2 5 3 6" xfId="10101"/>
    <cellStyle name="표준 11 2 5 3 6 2" xfId="32568"/>
    <cellStyle name="표준 11 2 5 3 7" xfId="17585"/>
    <cellStyle name="표준 11 2 5 3 7 2" xfId="40050"/>
    <cellStyle name="표준 11 2 5 3 8" xfId="25086"/>
    <cellStyle name="표준 11 2 5 3_Sheet4" xfId="996"/>
    <cellStyle name="표준 11 2 5 4" xfId="997"/>
    <cellStyle name="표준 11 2 5 4 2" xfId="998"/>
    <cellStyle name="표준 11 2 5 4 2 2" xfId="999"/>
    <cellStyle name="표준 11 2 5 4 2 2 2" xfId="1000"/>
    <cellStyle name="표준 11 2 5 4 2 2 2 2" xfId="10120"/>
    <cellStyle name="표준 11 2 5 4 2 2 2 2 2" xfId="32587"/>
    <cellStyle name="표준 11 2 5 4 2 2 2 3" xfId="17604"/>
    <cellStyle name="표준 11 2 5 4 2 2 2 3 2" xfId="40069"/>
    <cellStyle name="표준 11 2 5 4 2 2 2 4" xfId="25105"/>
    <cellStyle name="표준 11 2 5 4 2 2 3" xfId="10119"/>
    <cellStyle name="표준 11 2 5 4 2 2 3 2" xfId="32586"/>
    <cellStyle name="표준 11 2 5 4 2 2 4" xfId="17603"/>
    <cellStyle name="표준 11 2 5 4 2 2 4 2" xfId="40068"/>
    <cellStyle name="표준 11 2 5 4 2 2 5" xfId="25104"/>
    <cellStyle name="표준 11 2 5 4 2 2_Sheet4" xfId="1001"/>
    <cellStyle name="표준 11 2 5 4 2 3" xfId="1002"/>
    <cellStyle name="표준 11 2 5 4 2 3 2" xfId="10121"/>
    <cellStyle name="표준 11 2 5 4 2 3 2 2" xfId="32588"/>
    <cellStyle name="표준 11 2 5 4 2 3 3" xfId="17605"/>
    <cellStyle name="표준 11 2 5 4 2 3 3 2" xfId="40070"/>
    <cellStyle name="표준 11 2 5 4 2 3 4" xfId="25106"/>
    <cellStyle name="표준 11 2 5 4 2 4" xfId="10118"/>
    <cellStyle name="표준 11 2 5 4 2 4 2" xfId="32585"/>
    <cellStyle name="표준 11 2 5 4 2 5" xfId="17602"/>
    <cellStyle name="표준 11 2 5 4 2 5 2" xfId="40067"/>
    <cellStyle name="표준 11 2 5 4 2 6" xfId="25103"/>
    <cellStyle name="표준 11 2 5 4 2_Sheet4" xfId="1003"/>
    <cellStyle name="표준 11 2 5 4 3" xfId="1004"/>
    <cellStyle name="표준 11 2 5 4 3 2" xfId="1005"/>
    <cellStyle name="표준 11 2 5 4 3 2 2" xfId="10123"/>
    <cellStyle name="표준 11 2 5 4 3 2 2 2" xfId="32590"/>
    <cellStyle name="표준 11 2 5 4 3 2 3" xfId="17607"/>
    <cellStyle name="표준 11 2 5 4 3 2 3 2" xfId="40072"/>
    <cellStyle name="표준 11 2 5 4 3 2 4" xfId="25108"/>
    <cellStyle name="표준 11 2 5 4 3 3" xfId="10122"/>
    <cellStyle name="표준 11 2 5 4 3 3 2" xfId="32589"/>
    <cellStyle name="표준 11 2 5 4 3 4" xfId="17606"/>
    <cellStyle name="표준 11 2 5 4 3 4 2" xfId="40071"/>
    <cellStyle name="표준 11 2 5 4 3 5" xfId="25107"/>
    <cellStyle name="표준 11 2 5 4 3_Sheet4" xfId="1006"/>
    <cellStyle name="표준 11 2 5 4 4" xfId="1007"/>
    <cellStyle name="표준 11 2 5 4 4 2" xfId="10124"/>
    <cellStyle name="표준 11 2 5 4 4 2 2" xfId="32591"/>
    <cellStyle name="표준 11 2 5 4 4 3" xfId="17608"/>
    <cellStyle name="표준 11 2 5 4 4 3 2" xfId="40073"/>
    <cellStyle name="표준 11 2 5 4 4 4" xfId="25109"/>
    <cellStyle name="표준 11 2 5 4 5" xfId="10117"/>
    <cellStyle name="표준 11 2 5 4 5 2" xfId="32584"/>
    <cellStyle name="표준 11 2 5 4 6" xfId="17601"/>
    <cellStyle name="표준 11 2 5 4 6 2" xfId="40066"/>
    <cellStyle name="표준 11 2 5 4 7" xfId="25102"/>
    <cellStyle name="표준 11 2 5 4_Sheet4" xfId="1008"/>
    <cellStyle name="표준 11 2 5 5" xfId="1009"/>
    <cellStyle name="표준 11 2 5 5 2" xfId="1010"/>
    <cellStyle name="표준 11 2 5 5 2 2" xfId="1011"/>
    <cellStyle name="표준 11 2 5 5 2 2 2" xfId="10127"/>
    <cellStyle name="표준 11 2 5 5 2 2 2 2" xfId="32594"/>
    <cellStyle name="표준 11 2 5 5 2 2 3" xfId="17611"/>
    <cellStyle name="표준 11 2 5 5 2 2 3 2" xfId="40076"/>
    <cellStyle name="표준 11 2 5 5 2 2 4" xfId="25112"/>
    <cellStyle name="표준 11 2 5 5 2 3" xfId="10126"/>
    <cellStyle name="표준 11 2 5 5 2 3 2" xfId="32593"/>
    <cellStyle name="표준 11 2 5 5 2 4" xfId="17610"/>
    <cellStyle name="표준 11 2 5 5 2 4 2" xfId="40075"/>
    <cellStyle name="표준 11 2 5 5 2 5" xfId="25111"/>
    <cellStyle name="표준 11 2 5 5 2_Sheet4" xfId="1012"/>
    <cellStyle name="표준 11 2 5 5 3" xfId="1013"/>
    <cellStyle name="표준 11 2 5 5 3 2" xfId="10128"/>
    <cellStyle name="표준 11 2 5 5 3 2 2" xfId="32595"/>
    <cellStyle name="표준 11 2 5 5 3 3" xfId="17612"/>
    <cellStyle name="표준 11 2 5 5 3 3 2" xfId="40077"/>
    <cellStyle name="표준 11 2 5 5 3 4" xfId="25113"/>
    <cellStyle name="표준 11 2 5 5 4" xfId="10125"/>
    <cellStyle name="표준 11 2 5 5 4 2" xfId="32592"/>
    <cellStyle name="표준 11 2 5 5 5" xfId="17609"/>
    <cellStyle name="표준 11 2 5 5 5 2" xfId="40074"/>
    <cellStyle name="표준 11 2 5 5 6" xfId="25110"/>
    <cellStyle name="표준 11 2 5 5_Sheet4" xfId="1014"/>
    <cellStyle name="표준 11 2 5 6" xfId="1015"/>
    <cellStyle name="표준 11 2 5 6 2" xfId="1016"/>
    <cellStyle name="표준 11 2 5 6 2 2" xfId="10130"/>
    <cellStyle name="표준 11 2 5 6 2 2 2" xfId="32597"/>
    <cellStyle name="표준 11 2 5 6 2 3" xfId="17614"/>
    <cellStyle name="표준 11 2 5 6 2 3 2" xfId="40079"/>
    <cellStyle name="표준 11 2 5 6 2 4" xfId="25115"/>
    <cellStyle name="표준 11 2 5 6 3" xfId="10129"/>
    <cellStyle name="표준 11 2 5 6 3 2" xfId="32596"/>
    <cellStyle name="표준 11 2 5 6 4" xfId="17613"/>
    <cellStyle name="표준 11 2 5 6 4 2" xfId="40078"/>
    <cellStyle name="표준 11 2 5 6 5" xfId="25114"/>
    <cellStyle name="표준 11 2 5 6_Sheet4" xfId="1017"/>
    <cellStyle name="표준 11 2 5 7" xfId="1018"/>
    <cellStyle name="표준 11 2 5 7 2" xfId="10131"/>
    <cellStyle name="표준 11 2 5 7 2 2" xfId="32598"/>
    <cellStyle name="표준 11 2 5 7 3" xfId="17615"/>
    <cellStyle name="표준 11 2 5 7 3 2" xfId="40080"/>
    <cellStyle name="표준 11 2 5 7 4" xfId="25116"/>
    <cellStyle name="표준 11 2 5 8" xfId="10084"/>
    <cellStyle name="표준 11 2 5 8 2" xfId="32551"/>
    <cellStyle name="표준 11 2 5 9" xfId="17568"/>
    <cellStyle name="표준 11 2 5 9 2" xfId="40033"/>
    <cellStyle name="표준 11 2 5_Sheet4" xfId="1019"/>
    <cellStyle name="표준 11 2 6" xfId="1020"/>
    <cellStyle name="표준 11 2 6 2" xfId="1021"/>
    <cellStyle name="표준 11 2 6 2 2" xfId="1022"/>
    <cellStyle name="표준 11 2 6 2 2 2" xfId="1023"/>
    <cellStyle name="표준 11 2 6 2 2 2 2" xfId="1024"/>
    <cellStyle name="표준 11 2 6 2 2 2 2 2" xfId="10136"/>
    <cellStyle name="표준 11 2 6 2 2 2 2 2 2" xfId="32603"/>
    <cellStyle name="표준 11 2 6 2 2 2 2 3" xfId="17620"/>
    <cellStyle name="표준 11 2 6 2 2 2 2 3 2" xfId="40085"/>
    <cellStyle name="표준 11 2 6 2 2 2 2 4" xfId="25121"/>
    <cellStyle name="표준 11 2 6 2 2 2 3" xfId="10135"/>
    <cellStyle name="표준 11 2 6 2 2 2 3 2" xfId="32602"/>
    <cellStyle name="표준 11 2 6 2 2 2 4" xfId="17619"/>
    <cellStyle name="표준 11 2 6 2 2 2 4 2" xfId="40084"/>
    <cellStyle name="표준 11 2 6 2 2 2 5" xfId="25120"/>
    <cellStyle name="표준 11 2 6 2 2 2_Sheet4" xfId="1025"/>
    <cellStyle name="표준 11 2 6 2 2 3" xfId="1026"/>
    <cellStyle name="표준 11 2 6 2 2 3 2" xfId="10137"/>
    <cellStyle name="표준 11 2 6 2 2 3 2 2" xfId="32604"/>
    <cellStyle name="표준 11 2 6 2 2 3 3" xfId="17621"/>
    <cellStyle name="표준 11 2 6 2 2 3 3 2" xfId="40086"/>
    <cellStyle name="표준 11 2 6 2 2 3 4" xfId="25122"/>
    <cellStyle name="표준 11 2 6 2 2 4" xfId="10134"/>
    <cellStyle name="표준 11 2 6 2 2 4 2" xfId="32601"/>
    <cellStyle name="표준 11 2 6 2 2 5" xfId="17618"/>
    <cellStyle name="표준 11 2 6 2 2 5 2" xfId="40083"/>
    <cellStyle name="표준 11 2 6 2 2 6" xfId="25119"/>
    <cellStyle name="표준 11 2 6 2 2_Sheet4" xfId="1027"/>
    <cellStyle name="표준 11 2 6 2 3" xfId="1028"/>
    <cellStyle name="표준 11 2 6 2 3 2" xfId="1029"/>
    <cellStyle name="표준 11 2 6 2 3 2 2" xfId="10139"/>
    <cellStyle name="표준 11 2 6 2 3 2 2 2" xfId="32606"/>
    <cellStyle name="표준 11 2 6 2 3 2 3" xfId="17623"/>
    <cellStyle name="표준 11 2 6 2 3 2 3 2" xfId="40088"/>
    <cellStyle name="표준 11 2 6 2 3 2 4" xfId="25124"/>
    <cellStyle name="표준 11 2 6 2 3 3" xfId="10138"/>
    <cellStyle name="표준 11 2 6 2 3 3 2" xfId="32605"/>
    <cellStyle name="표준 11 2 6 2 3 4" xfId="17622"/>
    <cellStyle name="표준 11 2 6 2 3 4 2" xfId="40087"/>
    <cellStyle name="표준 11 2 6 2 3 5" xfId="25123"/>
    <cellStyle name="표준 11 2 6 2 3_Sheet4" xfId="1030"/>
    <cellStyle name="표준 11 2 6 2 4" xfId="1031"/>
    <cellStyle name="표준 11 2 6 2 4 2" xfId="10140"/>
    <cellStyle name="표준 11 2 6 2 4 2 2" xfId="32607"/>
    <cellStyle name="표준 11 2 6 2 4 3" xfId="17624"/>
    <cellStyle name="표준 11 2 6 2 4 3 2" xfId="40089"/>
    <cellStyle name="표준 11 2 6 2 4 4" xfId="25125"/>
    <cellStyle name="표준 11 2 6 2 5" xfId="10133"/>
    <cellStyle name="표준 11 2 6 2 5 2" xfId="32600"/>
    <cellStyle name="표준 11 2 6 2 6" xfId="17617"/>
    <cellStyle name="표준 11 2 6 2 6 2" xfId="40082"/>
    <cellStyle name="표준 11 2 6 2 7" xfId="25118"/>
    <cellStyle name="표준 11 2 6 2_Sheet4" xfId="1032"/>
    <cellStyle name="표준 11 2 6 3" xfId="1033"/>
    <cellStyle name="표준 11 2 6 3 2" xfId="1034"/>
    <cellStyle name="표준 11 2 6 3 2 2" xfId="1035"/>
    <cellStyle name="표준 11 2 6 3 2 2 2" xfId="10143"/>
    <cellStyle name="표준 11 2 6 3 2 2 2 2" xfId="32610"/>
    <cellStyle name="표준 11 2 6 3 2 2 3" xfId="17627"/>
    <cellStyle name="표준 11 2 6 3 2 2 3 2" xfId="40092"/>
    <cellStyle name="표준 11 2 6 3 2 2 4" xfId="25128"/>
    <cellStyle name="표준 11 2 6 3 2 3" xfId="10142"/>
    <cellStyle name="표준 11 2 6 3 2 3 2" xfId="32609"/>
    <cellStyle name="표준 11 2 6 3 2 4" xfId="17626"/>
    <cellStyle name="표준 11 2 6 3 2 4 2" xfId="40091"/>
    <cellStyle name="표준 11 2 6 3 2 5" xfId="25127"/>
    <cellStyle name="표준 11 2 6 3 2_Sheet4" xfId="1036"/>
    <cellStyle name="표준 11 2 6 3 3" xfId="1037"/>
    <cellStyle name="표준 11 2 6 3 3 2" xfId="10144"/>
    <cellStyle name="표준 11 2 6 3 3 2 2" xfId="32611"/>
    <cellStyle name="표준 11 2 6 3 3 3" xfId="17628"/>
    <cellStyle name="표준 11 2 6 3 3 3 2" xfId="40093"/>
    <cellStyle name="표준 11 2 6 3 3 4" xfId="25129"/>
    <cellStyle name="표준 11 2 6 3 4" xfId="10141"/>
    <cellStyle name="표준 11 2 6 3 4 2" xfId="32608"/>
    <cellStyle name="표준 11 2 6 3 5" xfId="17625"/>
    <cellStyle name="표준 11 2 6 3 5 2" xfId="40090"/>
    <cellStyle name="표준 11 2 6 3 6" xfId="25126"/>
    <cellStyle name="표준 11 2 6 3_Sheet4" xfId="1038"/>
    <cellStyle name="표준 11 2 6 4" xfId="1039"/>
    <cellStyle name="표준 11 2 6 4 2" xfId="1040"/>
    <cellStyle name="표준 11 2 6 4 2 2" xfId="10146"/>
    <cellStyle name="표준 11 2 6 4 2 2 2" xfId="32613"/>
    <cellStyle name="표준 11 2 6 4 2 3" xfId="17630"/>
    <cellStyle name="표준 11 2 6 4 2 3 2" xfId="40095"/>
    <cellStyle name="표준 11 2 6 4 2 4" xfId="25131"/>
    <cellStyle name="표준 11 2 6 4 3" xfId="10145"/>
    <cellStyle name="표준 11 2 6 4 3 2" xfId="32612"/>
    <cellStyle name="표준 11 2 6 4 4" xfId="17629"/>
    <cellStyle name="표준 11 2 6 4 4 2" xfId="40094"/>
    <cellStyle name="표준 11 2 6 4 5" xfId="25130"/>
    <cellStyle name="표준 11 2 6 4_Sheet4" xfId="1041"/>
    <cellStyle name="표준 11 2 6 5" xfId="1042"/>
    <cellStyle name="표준 11 2 6 5 2" xfId="10147"/>
    <cellStyle name="표준 11 2 6 5 2 2" xfId="32614"/>
    <cellStyle name="표준 11 2 6 5 3" xfId="17631"/>
    <cellStyle name="표준 11 2 6 5 3 2" xfId="40096"/>
    <cellStyle name="표준 11 2 6 5 4" xfId="25132"/>
    <cellStyle name="표준 11 2 6 6" xfId="10132"/>
    <cellStyle name="표준 11 2 6 6 2" xfId="32599"/>
    <cellStyle name="표준 11 2 6 7" xfId="17616"/>
    <cellStyle name="표준 11 2 6 7 2" xfId="40081"/>
    <cellStyle name="표준 11 2 6 8" xfId="25117"/>
    <cellStyle name="표준 11 2 6_Sheet4" xfId="1043"/>
    <cellStyle name="표준 11 2 7" xfId="1044"/>
    <cellStyle name="표준 11 2 7 2" xfId="1045"/>
    <cellStyle name="표준 11 2 7 2 2" xfId="1046"/>
    <cellStyle name="표준 11 2 7 2 2 2" xfId="1047"/>
    <cellStyle name="표준 11 2 7 2 2 2 2" xfId="1048"/>
    <cellStyle name="표준 11 2 7 2 2 2 2 2" xfId="10152"/>
    <cellStyle name="표준 11 2 7 2 2 2 2 2 2" xfId="32619"/>
    <cellStyle name="표준 11 2 7 2 2 2 2 3" xfId="17636"/>
    <cellStyle name="표준 11 2 7 2 2 2 2 3 2" xfId="40101"/>
    <cellStyle name="표준 11 2 7 2 2 2 2 4" xfId="25137"/>
    <cellStyle name="표준 11 2 7 2 2 2 3" xfId="10151"/>
    <cellStyle name="표준 11 2 7 2 2 2 3 2" xfId="32618"/>
    <cellStyle name="표준 11 2 7 2 2 2 4" xfId="17635"/>
    <cellStyle name="표준 11 2 7 2 2 2 4 2" xfId="40100"/>
    <cellStyle name="표준 11 2 7 2 2 2 5" xfId="25136"/>
    <cellStyle name="표준 11 2 7 2 2 2_Sheet4" xfId="1049"/>
    <cellStyle name="표준 11 2 7 2 2 3" xfId="1050"/>
    <cellStyle name="표준 11 2 7 2 2 3 2" xfId="10153"/>
    <cellStyle name="표준 11 2 7 2 2 3 2 2" xfId="32620"/>
    <cellStyle name="표준 11 2 7 2 2 3 3" xfId="17637"/>
    <cellStyle name="표준 11 2 7 2 2 3 3 2" xfId="40102"/>
    <cellStyle name="표준 11 2 7 2 2 3 4" xfId="25138"/>
    <cellStyle name="표준 11 2 7 2 2 4" xfId="10150"/>
    <cellStyle name="표준 11 2 7 2 2 4 2" xfId="32617"/>
    <cellStyle name="표준 11 2 7 2 2 5" xfId="17634"/>
    <cellStyle name="표준 11 2 7 2 2 5 2" xfId="40099"/>
    <cellStyle name="표준 11 2 7 2 2 6" xfId="25135"/>
    <cellStyle name="표준 11 2 7 2 2_Sheet4" xfId="1051"/>
    <cellStyle name="표준 11 2 7 2 3" xfId="1052"/>
    <cellStyle name="표준 11 2 7 2 3 2" xfId="1053"/>
    <cellStyle name="표준 11 2 7 2 3 2 2" xfId="10155"/>
    <cellStyle name="표준 11 2 7 2 3 2 2 2" xfId="32622"/>
    <cellStyle name="표준 11 2 7 2 3 2 3" xfId="17639"/>
    <cellStyle name="표준 11 2 7 2 3 2 3 2" xfId="40104"/>
    <cellStyle name="표준 11 2 7 2 3 2 4" xfId="25140"/>
    <cellStyle name="표준 11 2 7 2 3 3" xfId="10154"/>
    <cellStyle name="표준 11 2 7 2 3 3 2" xfId="32621"/>
    <cellStyle name="표준 11 2 7 2 3 4" xfId="17638"/>
    <cellStyle name="표준 11 2 7 2 3 4 2" xfId="40103"/>
    <cellStyle name="표준 11 2 7 2 3 5" xfId="25139"/>
    <cellStyle name="표준 11 2 7 2 3_Sheet4" xfId="1054"/>
    <cellStyle name="표준 11 2 7 2 4" xfId="1055"/>
    <cellStyle name="표준 11 2 7 2 4 2" xfId="10156"/>
    <cellStyle name="표준 11 2 7 2 4 2 2" xfId="32623"/>
    <cellStyle name="표준 11 2 7 2 4 3" xfId="17640"/>
    <cellStyle name="표준 11 2 7 2 4 3 2" xfId="40105"/>
    <cellStyle name="표준 11 2 7 2 4 4" xfId="25141"/>
    <cellStyle name="표준 11 2 7 2 5" xfId="10149"/>
    <cellStyle name="표준 11 2 7 2 5 2" xfId="32616"/>
    <cellStyle name="표준 11 2 7 2 6" xfId="17633"/>
    <cellStyle name="표준 11 2 7 2 6 2" xfId="40098"/>
    <cellStyle name="표준 11 2 7 2 7" xfId="25134"/>
    <cellStyle name="표준 11 2 7 2_Sheet4" xfId="1056"/>
    <cellStyle name="표준 11 2 7 3" xfId="1057"/>
    <cellStyle name="표준 11 2 7 3 2" xfId="1058"/>
    <cellStyle name="표준 11 2 7 3 2 2" xfId="1059"/>
    <cellStyle name="표준 11 2 7 3 2 2 2" xfId="10159"/>
    <cellStyle name="표준 11 2 7 3 2 2 2 2" xfId="32626"/>
    <cellStyle name="표준 11 2 7 3 2 2 3" xfId="17643"/>
    <cellStyle name="표준 11 2 7 3 2 2 3 2" xfId="40108"/>
    <cellStyle name="표준 11 2 7 3 2 2 4" xfId="25144"/>
    <cellStyle name="표준 11 2 7 3 2 3" xfId="10158"/>
    <cellStyle name="표준 11 2 7 3 2 3 2" xfId="32625"/>
    <cellStyle name="표준 11 2 7 3 2 4" xfId="17642"/>
    <cellStyle name="표준 11 2 7 3 2 4 2" xfId="40107"/>
    <cellStyle name="표준 11 2 7 3 2 5" xfId="25143"/>
    <cellStyle name="표준 11 2 7 3 2_Sheet4" xfId="1060"/>
    <cellStyle name="표준 11 2 7 3 3" xfId="1061"/>
    <cellStyle name="표준 11 2 7 3 3 2" xfId="10160"/>
    <cellStyle name="표준 11 2 7 3 3 2 2" xfId="32627"/>
    <cellStyle name="표준 11 2 7 3 3 3" xfId="17644"/>
    <cellStyle name="표준 11 2 7 3 3 3 2" xfId="40109"/>
    <cellStyle name="표준 11 2 7 3 3 4" xfId="25145"/>
    <cellStyle name="표준 11 2 7 3 4" xfId="10157"/>
    <cellStyle name="표준 11 2 7 3 4 2" xfId="32624"/>
    <cellStyle name="표준 11 2 7 3 5" xfId="17641"/>
    <cellStyle name="표준 11 2 7 3 5 2" xfId="40106"/>
    <cellStyle name="표준 11 2 7 3 6" xfId="25142"/>
    <cellStyle name="표준 11 2 7 3_Sheet4" xfId="1062"/>
    <cellStyle name="표준 11 2 7 4" xfId="1063"/>
    <cellStyle name="표준 11 2 7 4 2" xfId="1064"/>
    <cellStyle name="표준 11 2 7 4 2 2" xfId="10162"/>
    <cellStyle name="표준 11 2 7 4 2 2 2" xfId="32629"/>
    <cellStyle name="표준 11 2 7 4 2 3" xfId="17646"/>
    <cellStyle name="표준 11 2 7 4 2 3 2" xfId="40111"/>
    <cellStyle name="표준 11 2 7 4 2 4" xfId="25147"/>
    <cellStyle name="표준 11 2 7 4 3" xfId="10161"/>
    <cellStyle name="표준 11 2 7 4 3 2" xfId="32628"/>
    <cellStyle name="표준 11 2 7 4 4" xfId="17645"/>
    <cellStyle name="표준 11 2 7 4 4 2" xfId="40110"/>
    <cellStyle name="표준 11 2 7 4 5" xfId="25146"/>
    <cellStyle name="표준 11 2 7 4_Sheet4" xfId="1065"/>
    <cellStyle name="표준 11 2 7 5" xfId="1066"/>
    <cellStyle name="표준 11 2 7 5 2" xfId="10163"/>
    <cellStyle name="표준 11 2 7 5 2 2" xfId="32630"/>
    <cellStyle name="표준 11 2 7 5 3" xfId="17647"/>
    <cellStyle name="표준 11 2 7 5 3 2" xfId="40112"/>
    <cellStyle name="표준 11 2 7 5 4" xfId="25148"/>
    <cellStyle name="표준 11 2 7 6" xfId="10148"/>
    <cellStyle name="표준 11 2 7 6 2" xfId="32615"/>
    <cellStyle name="표준 11 2 7 7" xfId="17632"/>
    <cellStyle name="표준 11 2 7 7 2" xfId="40097"/>
    <cellStyle name="표준 11 2 7 8" xfId="25133"/>
    <cellStyle name="표준 11 2 7_Sheet4" xfId="1067"/>
    <cellStyle name="표준 11 2 8" xfId="1068"/>
    <cellStyle name="표준 11 2 8 2" xfId="1069"/>
    <cellStyle name="표준 11 2 8 2 2" xfId="1070"/>
    <cellStyle name="표준 11 2 8 2 2 2" xfId="1071"/>
    <cellStyle name="표준 11 2 8 2 2 2 2" xfId="10167"/>
    <cellStyle name="표준 11 2 8 2 2 2 2 2" xfId="32634"/>
    <cellStyle name="표준 11 2 8 2 2 2 3" xfId="17651"/>
    <cellStyle name="표준 11 2 8 2 2 2 3 2" xfId="40116"/>
    <cellStyle name="표준 11 2 8 2 2 2 4" xfId="25152"/>
    <cellStyle name="표준 11 2 8 2 2 3" xfId="10166"/>
    <cellStyle name="표준 11 2 8 2 2 3 2" xfId="32633"/>
    <cellStyle name="표준 11 2 8 2 2 4" xfId="17650"/>
    <cellStyle name="표준 11 2 8 2 2 4 2" xfId="40115"/>
    <cellStyle name="표준 11 2 8 2 2 5" xfId="25151"/>
    <cellStyle name="표준 11 2 8 2 2_Sheet4" xfId="1072"/>
    <cellStyle name="표준 11 2 8 2 3" xfId="1073"/>
    <cellStyle name="표준 11 2 8 2 3 2" xfId="10168"/>
    <cellStyle name="표준 11 2 8 2 3 2 2" xfId="32635"/>
    <cellStyle name="표준 11 2 8 2 3 3" xfId="17652"/>
    <cellStyle name="표준 11 2 8 2 3 3 2" xfId="40117"/>
    <cellStyle name="표준 11 2 8 2 3 4" xfId="25153"/>
    <cellStyle name="표준 11 2 8 2 4" xfId="10165"/>
    <cellStyle name="표준 11 2 8 2 4 2" xfId="32632"/>
    <cellStyle name="표준 11 2 8 2 5" xfId="17649"/>
    <cellStyle name="표준 11 2 8 2 5 2" xfId="40114"/>
    <cellStyle name="표준 11 2 8 2 6" xfId="25150"/>
    <cellStyle name="표준 11 2 8 2_Sheet4" xfId="1074"/>
    <cellStyle name="표준 11 2 8 3" xfId="1075"/>
    <cellStyle name="표준 11 2 8 3 2" xfId="1076"/>
    <cellStyle name="표준 11 2 8 3 2 2" xfId="10170"/>
    <cellStyle name="표준 11 2 8 3 2 2 2" xfId="32637"/>
    <cellStyle name="표준 11 2 8 3 2 3" xfId="17654"/>
    <cellStyle name="표준 11 2 8 3 2 3 2" xfId="40119"/>
    <cellStyle name="표준 11 2 8 3 2 4" xfId="25155"/>
    <cellStyle name="표준 11 2 8 3 3" xfId="10169"/>
    <cellStyle name="표준 11 2 8 3 3 2" xfId="32636"/>
    <cellStyle name="표준 11 2 8 3 4" xfId="17653"/>
    <cellStyle name="표준 11 2 8 3 4 2" xfId="40118"/>
    <cellStyle name="표준 11 2 8 3 5" xfId="25154"/>
    <cellStyle name="표준 11 2 8 3_Sheet4" xfId="1077"/>
    <cellStyle name="표준 11 2 8 4" xfId="1078"/>
    <cellStyle name="표준 11 2 8 4 2" xfId="10171"/>
    <cellStyle name="표준 11 2 8 4 2 2" xfId="32638"/>
    <cellStyle name="표준 11 2 8 4 3" xfId="17655"/>
    <cellStyle name="표준 11 2 8 4 3 2" xfId="40120"/>
    <cellStyle name="표준 11 2 8 4 4" xfId="25156"/>
    <cellStyle name="표준 11 2 8 5" xfId="10164"/>
    <cellStyle name="표준 11 2 8 5 2" xfId="32631"/>
    <cellStyle name="표준 11 2 8 6" xfId="17648"/>
    <cellStyle name="표준 11 2 8 6 2" xfId="40113"/>
    <cellStyle name="표준 11 2 8 7" xfId="25149"/>
    <cellStyle name="표준 11 2 8_Sheet4" xfId="1079"/>
    <cellStyle name="표준 11 2 9" xfId="1080"/>
    <cellStyle name="표준 11 2 9 2" xfId="1081"/>
    <cellStyle name="표준 11 2 9 2 2" xfId="1082"/>
    <cellStyle name="표준 11 2 9 2 2 2" xfId="1083"/>
    <cellStyle name="표준 11 2 9 2 2 2 2" xfId="10175"/>
    <cellStyle name="표준 11 2 9 2 2 2 2 2" xfId="32642"/>
    <cellStyle name="표준 11 2 9 2 2 2 3" xfId="17659"/>
    <cellStyle name="표준 11 2 9 2 2 2 3 2" xfId="40124"/>
    <cellStyle name="표준 11 2 9 2 2 2 4" xfId="25160"/>
    <cellStyle name="표준 11 2 9 2 2 3" xfId="10174"/>
    <cellStyle name="표준 11 2 9 2 2 3 2" xfId="32641"/>
    <cellStyle name="표준 11 2 9 2 2 4" xfId="17658"/>
    <cellStyle name="표준 11 2 9 2 2 4 2" xfId="40123"/>
    <cellStyle name="표준 11 2 9 2 2 5" xfId="25159"/>
    <cellStyle name="표준 11 2 9 2 2_Sheet4" xfId="1084"/>
    <cellStyle name="표준 11 2 9 2 3" xfId="1085"/>
    <cellStyle name="표준 11 2 9 2 3 2" xfId="10176"/>
    <cellStyle name="표준 11 2 9 2 3 2 2" xfId="32643"/>
    <cellStyle name="표준 11 2 9 2 3 3" xfId="17660"/>
    <cellStyle name="표준 11 2 9 2 3 3 2" xfId="40125"/>
    <cellStyle name="표준 11 2 9 2 3 4" xfId="25161"/>
    <cellStyle name="표준 11 2 9 2 4" xfId="10173"/>
    <cellStyle name="표준 11 2 9 2 4 2" xfId="32640"/>
    <cellStyle name="표준 11 2 9 2 5" xfId="17657"/>
    <cellStyle name="표준 11 2 9 2 5 2" xfId="40122"/>
    <cellStyle name="표준 11 2 9 2 6" xfId="25158"/>
    <cellStyle name="표준 11 2 9 2_Sheet4" xfId="1086"/>
    <cellStyle name="표준 11 2 9 3" xfId="1087"/>
    <cellStyle name="표준 11 2 9 3 2" xfId="1088"/>
    <cellStyle name="표준 11 2 9 3 2 2" xfId="10178"/>
    <cellStyle name="표준 11 2 9 3 2 2 2" xfId="32645"/>
    <cellStyle name="표준 11 2 9 3 2 3" xfId="17662"/>
    <cellStyle name="표준 11 2 9 3 2 3 2" xfId="40127"/>
    <cellStyle name="표준 11 2 9 3 2 4" xfId="25163"/>
    <cellStyle name="표준 11 2 9 3 3" xfId="10177"/>
    <cellStyle name="표준 11 2 9 3 3 2" xfId="32644"/>
    <cellStyle name="표준 11 2 9 3 4" xfId="17661"/>
    <cellStyle name="표준 11 2 9 3 4 2" xfId="40126"/>
    <cellStyle name="표준 11 2 9 3 5" xfId="25162"/>
    <cellStyle name="표준 11 2 9 3_Sheet4" xfId="1089"/>
    <cellStyle name="표준 11 2 9 4" xfId="1090"/>
    <cellStyle name="표준 11 2 9 4 2" xfId="10179"/>
    <cellStyle name="표준 11 2 9 4 2 2" xfId="32646"/>
    <cellStyle name="표준 11 2 9 4 3" xfId="17663"/>
    <cellStyle name="표준 11 2 9 4 3 2" xfId="40128"/>
    <cellStyle name="표준 11 2 9 4 4" xfId="25164"/>
    <cellStyle name="표준 11 2 9 5" xfId="10172"/>
    <cellStyle name="표준 11 2 9 5 2" xfId="32639"/>
    <cellStyle name="표준 11 2 9 6" xfId="17656"/>
    <cellStyle name="표준 11 2 9 6 2" xfId="40121"/>
    <cellStyle name="표준 11 2 9 7" xfId="25157"/>
    <cellStyle name="표준 11 2 9_Sheet4" xfId="1091"/>
    <cellStyle name="표준 11 2_Sheet4" xfId="1092"/>
    <cellStyle name="표준 11 20" xfId="17082"/>
    <cellStyle name="표준 11 20 2" xfId="39547"/>
    <cellStyle name="표준 11 21" xfId="24583"/>
    <cellStyle name="표준 11 3" xfId="1093"/>
    <cellStyle name="표준 11 3 10" xfId="1094"/>
    <cellStyle name="표준 11 3 10 2" xfId="1095"/>
    <cellStyle name="표준 11 3 10 2 2" xfId="1096"/>
    <cellStyle name="표준 11 3 10 2 2 2" xfId="10183"/>
    <cellStyle name="표준 11 3 10 2 2 2 2" xfId="32650"/>
    <cellStyle name="표준 11 3 10 2 2 3" xfId="17667"/>
    <cellStyle name="표준 11 3 10 2 2 3 2" xfId="40132"/>
    <cellStyle name="표준 11 3 10 2 2 4" xfId="25168"/>
    <cellStyle name="표준 11 3 10 2 3" xfId="10182"/>
    <cellStyle name="표준 11 3 10 2 3 2" xfId="32649"/>
    <cellStyle name="표준 11 3 10 2 4" xfId="17666"/>
    <cellStyle name="표준 11 3 10 2 4 2" xfId="40131"/>
    <cellStyle name="표준 11 3 10 2 5" xfId="25167"/>
    <cellStyle name="표준 11 3 10 2_Sheet4" xfId="1097"/>
    <cellStyle name="표준 11 3 10 3" xfId="1098"/>
    <cellStyle name="표준 11 3 10 3 2" xfId="10184"/>
    <cellStyle name="표준 11 3 10 3 2 2" xfId="32651"/>
    <cellStyle name="표준 11 3 10 3 3" xfId="17668"/>
    <cellStyle name="표준 11 3 10 3 3 2" xfId="40133"/>
    <cellStyle name="표준 11 3 10 3 4" xfId="25169"/>
    <cellStyle name="표준 11 3 10 4" xfId="10181"/>
    <cellStyle name="표준 11 3 10 4 2" xfId="32648"/>
    <cellStyle name="표준 11 3 10 5" xfId="17665"/>
    <cellStyle name="표준 11 3 10 5 2" xfId="40130"/>
    <cellStyle name="표준 11 3 10 6" xfId="25166"/>
    <cellStyle name="표준 11 3 10_Sheet4" xfId="1099"/>
    <cellStyle name="표준 11 3 11" xfId="1100"/>
    <cellStyle name="표준 11 3 11 2" xfId="1101"/>
    <cellStyle name="표준 11 3 11 2 2" xfId="1102"/>
    <cellStyle name="표준 11 3 11 2 2 2" xfId="10187"/>
    <cellStyle name="표준 11 3 11 2 2 2 2" xfId="32654"/>
    <cellStyle name="표준 11 3 11 2 2 3" xfId="17671"/>
    <cellStyle name="표준 11 3 11 2 2 3 2" xfId="40136"/>
    <cellStyle name="표준 11 3 11 2 2 4" xfId="25172"/>
    <cellStyle name="표준 11 3 11 2 3" xfId="10186"/>
    <cellStyle name="표준 11 3 11 2 3 2" xfId="32653"/>
    <cellStyle name="표준 11 3 11 2 4" xfId="17670"/>
    <cellStyle name="표준 11 3 11 2 4 2" xfId="40135"/>
    <cellStyle name="표준 11 3 11 2 5" xfId="25171"/>
    <cellStyle name="표준 11 3 11 2_Sheet4" xfId="1103"/>
    <cellStyle name="표준 11 3 11 3" xfId="1104"/>
    <cellStyle name="표준 11 3 11 3 2" xfId="10188"/>
    <cellStyle name="표준 11 3 11 3 2 2" xfId="32655"/>
    <cellStyle name="표준 11 3 11 3 3" xfId="17672"/>
    <cellStyle name="표준 11 3 11 3 3 2" xfId="40137"/>
    <cellStyle name="표준 11 3 11 3 4" xfId="25173"/>
    <cellStyle name="표준 11 3 11 4" xfId="10185"/>
    <cellStyle name="표준 11 3 11 4 2" xfId="32652"/>
    <cellStyle name="표준 11 3 11 5" xfId="17669"/>
    <cellStyle name="표준 11 3 11 5 2" xfId="40134"/>
    <cellStyle name="표준 11 3 11 6" xfId="25170"/>
    <cellStyle name="표준 11 3 11_Sheet4" xfId="1105"/>
    <cellStyle name="표준 11 3 12" xfId="1106"/>
    <cellStyle name="표준 11 3 12 2" xfId="1107"/>
    <cellStyle name="표준 11 3 12 2 2" xfId="1108"/>
    <cellStyle name="표준 11 3 12 2 2 2" xfId="10191"/>
    <cellStyle name="표준 11 3 12 2 2 2 2" xfId="32658"/>
    <cellStyle name="표준 11 3 12 2 2 3" xfId="17675"/>
    <cellStyle name="표준 11 3 12 2 2 3 2" xfId="40140"/>
    <cellStyle name="표준 11 3 12 2 2 4" xfId="25176"/>
    <cellStyle name="표준 11 3 12 2 3" xfId="10190"/>
    <cellStyle name="표준 11 3 12 2 3 2" xfId="32657"/>
    <cellStyle name="표준 11 3 12 2 4" xfId="17674"/>
    <cellStyle name="표준 11 3 12 2 4 2" xfId="40139"/>
    <cellStyle name="표준 11 3 12 2 5" xfId="25175"/>
    <cellStyle name="표준 11 3 12 2_Sheet4" xfId="1109"/>
    <cellStyle name="표준 11 3 12 3" xfId="1110"/>
    <cellStyle name="표준 11 3 12 3 2" xfId="10192"/>
    <cellStyle name="표준 11 3 12 3 2 2" xfId="32659"/>
    <cellStyle name="표준 11 3 12 3 3" xfId="17676"/>
    <cellStyle name="표준 11 3 12 3 3 2" xfId="40141"/>
    <cellStyle name="표준 11 3 12 3 4" xfId="25177"/>
    <cellStyle name="표준 11 3 12 4" xfId="10189"/>
    <cellStyle name="표준 11 3 12 4 2" xfId="32656"/>
    <cellStyle name="표준 11 3 12 5" xfId="17673"/>
    <cellStyle name="표준 11 3 12 5 2" xfId="40138"/>
    <cellStyle name="표준 11 3 12 6" xfId="25174"/>
    <cellStyle name="표준 11 3 12_Sheet4" xfId="1111"/>
    <cellStyle name="표준 11 3 13" xfId="1112"/>
    <cellStyle name="표준 11 3 13 2" xfId="1113"/>
    <cellStyle name="표준 11 3 13 2 2" xfId="10194"/>
    <cellStyle name="표준 11 3 13 2 2 2" xfId="32661"/>
    <cellStyle name="표준 11 3 13 2 3" xfId="17678"/>
    <cellStyle name="표준 11 3 13 2 3 2" xfId="40143"/>
    <cellStyle name="표준 11 3 13 2 4" xfId="25179"/>
    <cellStyle name="표준 11 3 13 3" xfId="10193"/>
    <cellStyle name="표준 11 3 13 3 2" xfId="32660"/>
    <cellStyle name="표준 11 3 13 4" xfId="17677"/>
    <cellStyle name="표준 11 3 13 4 2" xfId="40142"/>
    <cellStyle name="표준 11 3 13 5" xfId="25178"/>
    <cellStyle name="표준 11 3 13_Sheet4" xfId="1114"/>
    <cellStyle name="표준 11 3 14" xfId="1115"/>
    <cellStyle name="표준 11 3 14 2" xfId="10195"/>
    <cellStyle name="표준 11 3 14 2 2" xfId="32662"/>
    <cellStyle name="표준 11 3 14 3" xfId="17679"/>
    <cellStyle name="표준 11 3 14 3 2" xfId="40144"/>
    <cellStyle name="표준 11 3 14 4" xfId="25180"/>
    <cellStyle name="표준 11 3 15" xfId="10180"/>
    <cellStyle name="표준 11 3 15 2" xfId="32647"/>
    <cellStyle name="표준 11 3 16" xfId="17664"/>
    <cellStyle name="표준 11 3 16 2" xfId="40129"/>
    <cellStyle name="표준 11 3 17" xfId="25165"/>
    <cellStyle name="표준 11 3 2" xfId="1116"/>
    <cellStyle name="표준 11 3 2 10" xfId="10196"/>
    <cellStyle name="표준 11 3 2 10 2" xfId="32663"/>
    <cellStyle name="표준 11 3 2 11" xfId="17680"/>
    <cellStyle name="표준 11 3 2 11 2" xfId="40145"/>
    <cellStyle name="표준 11 3 2 12" xfId="25181"/>
    <cellStyle name="표준 11 3 2 2" xfId="1117"/>
    <cellStyle name="표준 11 3 2 2 10" xfId="25182"/>
    <cellStyle name="표준 11 3 2 2 2" xfId="1118"/>
    <cellStyle name="표준 11 3 2 2 2 2" xfId="1119"/>
    <cellStyle name="표준 11 3 2 2 2 2 2" xfId="1120"/>
    <cellStyle name="표준 11 3 2 2 2 2 2 2" xfId="1121"/>
    <cellStyle name="표준 11 3 2 2 2 2 2 2 2" xfId="1122"/>
    <cellStyle name="표준 11 3 2 2 2 2 2 2 2 2" xfId="10202"/>
    <cellStyle name="표준 11 3 2 2 2 2 2 2 2 2 2" xfId="32669"/>
    <cellStyle name="표준 11 3 2 2 2 2 2 2 2 3" xfId="17686"/>
    <cellStyle name="표준 11 3 2 2 2 2 2 2 2 3 2" xfId="40151"/>
    <cellStyle name="표준 11 3 2 2 2 2 2 2 2 4" xfId="25187"/>
    <cellStyle name="표준 11 3 2 2 2 2 2 2 3" xfId="10201"/>
    <cellStyle name="표준 11 3 2 2 2 2 2 2 3 2" xfId="32668"/>
    <cellStyle name="표준 11 3 2 2 2 2 2 2 4" xfId="17685"/>
    <cellStyle name="표준 11 3 2 2 2 2 2 2 4 2" xfId="40150"/>
    <cellStyle name="표준 11 3 2 2 2 2 2 2 5" xfId="25186"/>
    <cellStyle name="표준 11 3 2 2 2 2 2 2_Sheet4" xfId="1123"/>
    <cellStyle name="표준 11 3 2 2 2 2 2 3" xfId="1124"/>
    <cellStyle name="표준 11 3 2 2 2 2 2 3 2" xfId="10203"/>
    <cellStyle name="표준 11 3 2 2 2 2 2 3 2 2" xfId="32670"/>
    <cellStyle name="표준 11 3 2 2 2 2 2 3 3" xfId="17687"/>
    <cellStyle name="표준 11 3 2 2 2 2 2 3 3 2" xfId="40152"/>
    <cellStyle name="표준 11 3 2 2 2 2 2 3 4" xfId="25188"/>
    <cellStyle name="표준 11 3 2 2 2 2 2 4" xfId="10200"/>
    <cellStyle name="표준 11 3 2 2 2 2 2 4 2" xfId="32667"/>
    <cellStyle name="표준 11 3 2 2 2 2 2 5" xfId="17684"/>
    <cellStyle name="표준 11 3 2 2 2 2 2 5 2" xfId="40149"/>
    <cellStyle name="표준 11 3 2 2 2 2 2 6" xfId="25185"/>
    <cellStyle name="표준 11 3 2 2 2 2 2_Sheet4" xfId="1125"/>
    <cellStyle name="표준 11 3 2 2 2 2 3" xfId="1126"/>
    <cellStyle name="표준 11 3 2 2 2 2 3 2" xfId="1127"/>
    <cellStyle name="표준 11 3 2 2 2 2 3 2 2" xfId="10205"/>
    <cellStyle name="표준 11 3 2 2 2 2 3 2 2 2" xfId="32672"/>
    <cellStyle name="표준 11 3 2 2 2 2 3 2 3" xfId="17689"/>
    <cellStyle name="표준 11 3 2 2 2 2 3 2 3 2" xfId="40154"/>
    <cellStyle name="표준 11 3 2 2 2 2 3 2 4" xfId="25190"/>
    <cellStyle name="표준 11 3 2 2 2 2 3 3" xfId="10204"/>
    <cellStyle name="표준 11 3 2 2 2 2 3 3 2" xfId="32671"/>
    <cellStyle name="표준 11 3 2 2 2 2 3 4" xfId="17688"/>
    <cellStyle name="표준 11 3 2 2 2 2 3 4 2" xfId="40153"/>
    <cellStyle name="표준 11 3 2 2 2 2 3 5" xfId="25189"/>
    <cellStyle name="표준 11 3 2 2 2 2 3_Sheet4" xfId="1128"/>
    <cellStyle name="표준 11 3 2 2 2 2 4" xfId="1129"/>
    <cellStyle name="표준 11 3 2 2 2 2 4 2" xfId="10206"/>
    <cellStyle name="표준 11 3 2 2 2 2 4 2 2" xfId="32673"/>
    <cellStyle name="표준 11 3 2 2 2 2 4 3" xfId="17690"/>
    <cellStyle name="표준 11 3 2 2 2 2 4 3 2" xfId="40155"/>
    <cellStyle name="표준 11 3 2 2 2 2 4 4" xfId="25191"/>
    <cellStyle name="표준 11 3 2 2 2 2 5" xfId="10199"/>
    <cellStyle name="표준 11 3 2 2 2 2 5 2" xfId="32666"/>
    <cellStyle name="표준 11 3 2 2 2 2 6" xfId="17683"/>
    <cellStyle name="표준 11 3 2 2 2 2 6 2" xfId="40148"/>
    <cellStyle name="표준 11 3 2 2 2 2 7" xfId="25184"/>
    <cellStyle name="표준 11 3 2 2 2 2_Sheet4" xfId="1130"/>
    <cellStyle name="표준 11 3 2 2 2 3" xfId="1131"/>
    <cellStyle name="표준 11 3 2 2 2 3 2" xfId="1132"/>
    <cellStyle name="표준 11 3 2 2 2 3 2 2" xfId="1133"/>
    <cellStyle name="표준 11 3 2 2 2 3 2 2 2" xfId="10209"/>
    <cellStyle name="표준 11 3 2 2 2 3 2 2 2 2" xfId="32676"/>
    <cellStyle name="표준 11 3 2 2 2 3 2 2 3" xfId="17693"/>
    <cellStyle name="표준 11 3 2 2 2 3 2 2 3 2" xfId="40158"/>
    <cellStyle name="표준 11 3 2 2 2 3 2 2 4" xfId="25194"/>
    <cellStyle name="표준 11 3 2 2 2 3 2 3" xfId="10208"/>
    <cellStyle name="표준 11 3 2 2 2 3 2 3 2" xfId="32675"/>
    <cellStyle name="표준 11 3 2 2 2 3 2 4" xfId="17692"/>
    <cellStyle name="표준 11 3 2 2 2 3 2 4 2" xfId="40157"/>
    <cellStyle name="표준 11 3 2 2 2 3 2 5" xfId="25193"/>
    <cellStyle name="표준 11 3 2 2 2 3 2_Sheet4" xfId="1134"/>
    <cellStyle name="표준 11 3 2 2 2 3 3" xfId="1135"/>
    <cellStyle name="표준 11 3 2 2 2 3 3 2" xfId="10210"/>
    <cellStyle name="표준 11 3 2 2 2 3 3 2 2" xfId="32677"/>
    <cellStyle name="표준 11 3 2 2 2 3 3 3" xfId="17694"/>
    <cellStyle name="표준 11 3 2 2 2 3 3 3 2" xfId="40159"/>
    <cellStyle name="표준 11 3 2 2 2 3 3 4" xfId="25195"/>
    <cellStyle name="표준 11 3 2 2 2 3 4" xfId="10207"/>
    <cellStyle name="표준 11 3 2 2 2 3 4 2" xfId="32674"/>
    <cellStyle name="표준 11 3 2 2 2 3 5" xfId="17691"/>
    <cellStyle name="표준 11 3 2 2 2 3 5 2" xfId="40156"/>
    <cellStyle name="표준 11 3 2 2 2 3 6" xfId="25192"/>
    <cellStyle name="표준 11 3 2 2 2 3_Sheet4" xfId="1136"/>
    <cellStyle name="표준 11 3 2 2 2 4" xfId="1137"/>
    <cellStyle name="표준 11 3 2 2 2 4 2" xfId="1138"/>
    <cellStyle name="표준 11 3 2 2 2 4 2 2" xfId="10212"/>
    <cellStyle name="표준 11 3 2 2 2 4 2 2 2" xfId="32679"/>
    <cellStyle name="표준 11 3 2 2 2 4 2 3" xfId="17696"/>
    <cellStyle name="표준 11 3 2 2 2 4 2 3 2" xfId="40161"/>
    <cellStyle name="표준 11 3 2 2 2 4 2 4" xfId="25197"/>
    <cellStyle name="표준 11 3 2 2 2 4 3" xfId="10211"/>
    <cellStyle name="표준 11 3 2 2 2 4 3 2" xfId="32678"/>
    <cellStyle name="표준 11 3 2 2 2 4 4" xfId="17695"/>
    <cellStyle name="표준 11 3 2 2 2 4 4 2" xfId="40160"/>
    <cellStyle name="표준 11 3 2 2 2 4 5" xfId="25196"/>
    <cellStyle name="표준 11 3 2 2 2 4_Sheet4" xfId="1139"/>
    <cellStyle name="표준 11 3 2 2 2 5" xfId="1140"/>
    <cellStyle name="표준 11 3 2 2 2 5 2" xfId="10213"/>
    <cellStyle name="표준 11 3 2 2 2 5 2 2" xfId="32680"/>
    <cellStyle name="표준 11 3 2 2 2 5 3" xfId="17697"/>
    <cellStyle name="표준 11 3 2 2 2 5 3 2" xfId="40162"/>
    <cellStyle name="표준 11 3 2 2 2 5 4" xfId="25198"/>
    <cellStyle name="표준 11 3 2 2 2 6" xfId="10198"/>
    <cellStyle name="표준 11 3 2 2 2 6 2" xfId="32665"/>
    <cellStyle name="표준 11 3 2 2 2 7" xfId="17682"/>
    <cellStyle name="표준 11 3 2 2 2 7 2" xfId="40147"/>
    <cellStyle name="표준 11 3 2 2 2 8" xfId="25183"/>
    <cellStyle name="표준 11 3 2 2 2_Sheet4" xfId="1141"/>
    <cellStyle name="표준 11 3 2 2 3" xfId="1142"/>
    <cellStyle name="표준 11 3 2 2 3 2" xfId="1143"/>
    <cellStyle name="표준 11 3 2 2 3 2 2" xfId="1144"/>
    <cellStyle name="표준 11 3 2 2 3 2 2 2" xfId="1145"/>
    <cellStyle name="표준 11 3 2 2 3 2 2 2 2" xfId="1146"/>
    <cellStyle name="표준 11 3 2 2 3 2 2 2 2 2" xfId="10218"/>
    <cellStyle name="표준 11 3 2 2 3 2 2 2 2 2 2" xfId="32685"/>
    <cellStyle name="표준 11 3 2 2 3 2 2 2 2 3" xfId="17702"/>
    <cellStyle name="표준 11 3 2 2 3 2 2 2 2 3 2" xfId="40167"/>
    <cellStyle name="표준 11 3 2 2 3 2 2 2 2 4" xfId="25203"/>
    <cellStyle name="표준 11 3 2 2 3 2 2 2 3" xfId="10217"/>
    <cellStyle name="표준 11 3 2 2 3 2 2 2 3 2" xfId="32684"/>
    <cellStyle name="표준 11 3 2 2 3 2 2 2 4" xfId="17701"/>
    <cellStyle name="표준 11 3 2 2 3 2 2 2 4 2" xfId="40166"/>
    <cellStyle name="표준 11 3 2 2 3 2 2 2 5" xfId="25202"/>
    <cellStyle name="표준 11 3 2 2 3 2 2 2_Sheet4" xfId="1147"/>
    <cellStyle name="표준 11 3 2 2 3 2 2 3" xfId="1148"/>
    <cellStyle name="표준 11 3 2 2 3 2 2 3 2" xfId="10219"/>
    <cellStyle name="표준 11 3 2 2 3 2 2 3 2 2" xfId="32686"/>
    <cellStyle name="표준 11 3 2 2 3 2 2 3 3" xfId="17703"/>
    <cellStyle name="표준 11 3 2 2 3 2 2 3 3 2" xfId="40168"/>
    <cellStyle name="표준 11 3 2 2 3 2 2 3 4" xfId="25204"/>
    <cellStyle name="표준 11 3 2 2 3 2 2 4" xfId="10216"/>
    <cellStyle name="표준 11 3 2 2 3 2 2 4 2" xfId="32683"/>
    <cellStyle name="표준 11 3 2 2 3 2 2 5" xfId="17700"/>
    <cellStyle name="표준 11 3 2 2 3 2 2 5 2" xfId="40165"/>
    <cellStyle name="표준 11 3 2 2 3 2 2 6" xfId="25201"/>
    <cellStyle name="표준 11 3 2 2 3 2 2_Sheet4" xfId="1149"/>
    <cellStyle name="표준 11 3 2 2 3 2 3" xfId="1150"/>
    <cellStyle name="표준 11 3 2 2 3 2 3 2" xfId="1151"/>
    <cellStyle name="표준 11 3 2 2 3 2 3 2 2" xfId="10221"/>
    <cellStyle name="표준 11 3 2 2 3 2 3 2 2 2" xfId="32688"/>
    <cellStyle name="표준 11 3 2 2 3 2 3 2 3" xfId="17705"/>
    <cellStyle name="표준 11 3 2 2 3 2 3 2 3 2" xfId="40170"/>
    <cellStyle name="표준 11 3 2 2 3 2 3 2 4" xfId="25206"/>
    <cellStyle name="표준 11 3 2 2 3 2 3 3" xfId="10220"/>
    <cellStyle name="표준 11 3 2 2 3 2 3 3 2" xfId="32687"/>
    <cellStyle name="표준 11 3 2 2 3 2 3 4" xfId="17704"/>
    <cellStyle name="표준 11 3 2 2 3 2 3 4 2" xfId="40169"/>
    <cellStyle name="표준 11 3 2 2 3 2 3 5" xfId="25205"/>
    <cellStyle name="표준 11 3 2 2 3 2 3_Sheet4" xfId="1152"/>
    <cellStyle name="표준 11 3 2 2 3 2 4" xfId="1153"/>
    <cellStyle name="표준 11 3 2 2 3 2 4 2" xfId="10222"/>
    <cellStyle name="표준 11 3 2 2 3 2 4 2 2" xfId="32689"/>
    <cellStyle name="표준 11 3 2 2 3 2 4 3" xfId="17706"/>
    <cellStyle name="표준 11 3 2 2 3 2 4 3 2" xfId="40171"/>
    <cellStyle name="표준 11 3 2 2 3 2 4 4" xfId="25207"/>
    <cellStyle name="표준 11 3 2 2 3 2 5" xfId="10215"/>
    <cellStyle name="표준 11 3 2 2 3 2 5 2" xfId="32682"/>
    <cellStyle name="표준 11 3 2 2 3 2 6" xfId="17699"/>
    <cellStyle name="표준 11 3 2 2 3 2 6 2" xfId="40164"/>
    <cellStyle name="표준 11 3 2 2 3 2 7" xfId="25200"/>
    <cellStyle name="표준 11 3 2 2 3 2_Sheet4" xfId="1154"/>
    <cellStyle name="표준 11 3 2 2 3 3" xfId="1155"/>
    <cellStyle name="표준 11 3 2 2 3 3 2" xfId="1156"/>
    <cellStyle name="표준 11 3 2 2 3 3 2 2" xfId="1157"/>
    <cellStyle name="표준 11 3 2 2 3 3 2 2 2" xfId="10225"/>
    <cellStyle name="표준 11 3 2 2 3 3 2 2 2 2" xfId="32692"/>
    <cellStyle name="표준 11 3 2 2 3 3 2 2 3" xfId="17709"/>
    <cellStyle name="표준 11 3 2 2 3 3 2 2 3 2" xfId="40174"/>
    <cellStyle name="표준 11 3 2 2 3 3 2 2 4" xfId="25210"/>
    <cellStyle name="표준 11 3 2 2 3 3 2 3" xfId="10224"/>
    <cellStyle name="표준 11 3 2 2 3 3 2 3 2" xfId="32691"/>
    <cellStyle name="표준 11 3 2 2 3 3 2 4" xfId="17708"/>
    <cellStyle name="표준 11 3 2 2 3 3 2 4 2" xfId="40173"/>
    <cellStyle name="표준 11 3 2 2 3 3 2 5" xfId="25209"/>
    <cellStyle name="표준 11 3 2 2 3 3 2_Sheet4" xfId="1158"/>
    <cellStyle name="표준 11 3 2 2 3 3 3" xfId="1159"/>
    <cellStyle name="표준 11 3 2 2 3 3 3 2" xfId="10226"/>
    <cellStyle name="표준 11 3 2 2 3 3 3 2 2" xfId="32693"/>
    <cellStyle name="표준 11 3 2 2 3 3 3 3" xfId="17710"/>
    <cellStyle name="표준 11 3 2 2 3 3 3 3 2" xfId="40175"/>
    <cellStyle name="표준 11 3 2 2 3 3 3 4" xfId="25211"/>
    <cellStyle name="표준 11 3 2 2 3 3 4" xfId="10223"/>
    <cellStyle name="표준 11 3 2 2 3 3 4 2" xfId="32690"/>
    <cellStyle name="표준 11 3 2 2 3 3 5" xfId="17707"/>
    <cellStyle name="표준 11 3 2 2 3 3 5 2" xfId="40172"/>
    <cellStyle name="표준 11 3 2 2 3 3 6" xfId="25208"/>
    <cellStyle name="표준 11 3 2 2 3 3_Sheet4" xfId="1160"/>
    <cellStyle name="표준 11 3 2 2 3 4" xfId="1161"/>
    <cellStyle name="표준 11 3 2 2 3 4 2" xfId="1162"/>
    <cellStyle name="표준 11 3 2 2 3 4 2 2" xfId="10228"/>
    <cellStyle name="표준 11 3 2 2 3 4 2 2 2" xfId="32695"/>
    <cellStyle name="표준 11 3 2 2 3 4 2 3" xfId="17712"/>
    <cellStyle name="표준 11 3 2 2 3 4 2 3 2" xfId="40177"/>
    <cellStyle name="표준 11 3 2 2 3 4 2 4" xfId="25213"/>
    <cellStyle name="표준 11 3 2 2 3 4 3" xfId="10227"/>
    <cellStyle name="표준 11 3 2 2 3 4 3 2" xfId="32694"/>
    <cellStyle name="표준 11 3 2 2 3 4 4" xfId="17711"/>
    <cellStyle name="표준 11 3 2 2 3 4 4 2" xfId="40176"/>
    <cellStyle name="표준 11 3 2 2 3 4 5" xfId="25212"/>
    <cellStyle name="표준 11 3 2 2 3 4_Sheet4" xfId="1163"/>
    <cellStyle name="표준 11 3 2 2 3 5" xfId="1164"/>
    <cellStyle name="표준 11 3 2 2 3 5 2" xfId="10229"/>
    <cellStyle name="표준 11 3 2 2 3 5 2 2" xfId="32696"/>
    <cellStyle name="표준 11 3 2 2 3 5 3" xfId="17713"/>
    <cellStyle name="표준 11 3 2 2 3 5 3 2" xfId="40178"/>
    <cellStyle name="표준 11 3 2 2 3 5 4" xfId="25214"/>
    <cellStyle name="표준 11 3 2 2 3 6" xfId="10214"/>
    <cellStyle name="표준 11 3 2 2 3 6 2" xfId="32681"/>
    <cellStyle name="표준 11 3 2 2 3 7" xfId="17698"/>
    <cellStyle name="표준 11 3 2 2 3 7 2" xfId="40163"/>
    <cellStyle name="표준 11 3 2 2 3 8" xfId="25199"/>
    <cellStyle name="표준 11 3 2 2 3_Sheet4" xfId="1165"/>
    <cellStyle name="표준 11 3 2 2 4" xfId="1166"/>
    <cellStyle name="표준 11 3 2 2 4 2" xfId="1167"/>
    <cellStyle name="표준 11 3 2 2 4 2 2" xfId="1168"/>
    <cellStyle name="표준 11 3 2 2 4 2 2 2" xfId="1169"/>
    <cellStyle name="표준 11 3 2 2 4 2 2 2 2" xfId="10233"/>
    <cellStyle name="표준 11 3 2 2 4 2 2 2 2 2" xfId="32700"/>
    <cellStyle name="표준 11 3 2 2 4 2 2 2 3" xfId="17717"/>
    <cellStyle name="표준 11 3 2 2 4 2 2 2 3 2" xfId="40182"/>
    <cellStyle name="표준 11 3 2 2 4 2 2 2 4" xfId="25218"/>
    <cellStyle name="표준 11 3 2 2 4 2 2 3" xfId="10232"/>
    <cellStyle name="표준 11 3 2 2 4 2 2 3 2" xfId="32699"/>
    <cellStyle name="표준 11 3 2 2 4 2 2 4" xfId="17716"/>
    <cellStyle name="표준 11 3 2 2 4 2 2 4 2" xfId="40181"/>
    <cellStyle name="표준 11 3 2 2 4 2 2 5" xfId="25217"/>
    <cellStyle name="표준 11 3 2 2 4 2 2_Sheet4" xfId="1170"/>
    <cellStyle name="표준 11 3 2 2 4 2 3" xfId="1171"/>
    <cellStyle name="표준 11 3 2 2 4 2 3 2" xfId="10234"/>
    <cellStyle name="표준 11 3 2 2 4 2 3 2 2" xfId="32701"/>
    <cellStyle name="표준 11 3 2 2 4 2 3 3" xfId="17718"/>
    <cellStyle name="표준 11 3 2 2 4 2 3 3 2" xfId="40183"/>
    <cellStyle name="표준 11 3 2 2 4 2 3 4" xfId="25219"/>
    <cellStyle name="표준 11 3 2 2 4 2 4" xfId="10231"/>
    <cellStyle name="표준 11 3 2 2 4 2 4 2" xfId="32698"/>
    <cellStyle name="표준 11 3 2 2 4 2 5" xfId="17715"/>
    <cellStyle name="표준 11 3 2 2 4 2 5 2" xfId="40180"/>
    <cellStyle name="표준 11 3 2 2 4 2 6" xfId="25216"/>
    <cellStyle name="표준 11 3 2 2 4 2_Sheet4" xfId="1172"/>
    <cellStyle name="표준 11 3 2 2 4 3" xfId="1173"/>
    <cellStyle name="표준 11 3 2 2 4 3 2" xfId="1174"/>
    <cellStyle name="표준 11 3 2 2 4 3 2 2" xfId="10236"/>
    <cellStyle name="표준 11 3 2 2 4 3 2 2 2" xfId="32703"/>
    <cellStyle name="표준 11 3 2 2 4 3 2 3" xfId="17720"/>
    <cellStyle name="표준 11 3 2 2 4 3 2 3 2" xfId="40185"/>
    <cellStyle name="표준 11 3 2 2 4 3 2 4" xfId="25221"/>
    <cellStyle name="표준 11 3 2 2 4 3 3" xfId="10235"/>
    <cellStyle name="표준 11 3 2 2 4 3 3 2" xfId="32702"/>
    <cellStyle name="표준 11 3 2 2 4 3 4" xfId="17719"/>
    <cellStyle name="표준 11 3 2 2 4 3 4 2" xfId="40184"/>
    <cellStyle name="표준 11 3 2 2 4 3 5" xfId="25220"/>
    <cellStyle name="표준 11 3 2 2 4 3_Sheet4" xfId="1175"/>
    <cellStyle name="표준 11 3 2 2 4 4" xfId="1176"/>
    <cellStyle name="표준 11 3 2 2 4 4 2" xfId="10237"/>
    <cellStyle name="표준 11 3 2 2 4 4 2 2" xfId="32704"/>
    <cellStyle name="표준 11 3 2 2 4 4 3" xfId="17721"/>
    <cellStyle name="표준 11 3 2 2 4 4 3 2" xfId="40186"/>
    <cellStyle name="표준 11 3 2 2 4 4 4" xfId="25222"/>
    <cellStyle name="표준 11 3 2 2 4 5" xfId="10230"/>
    <cellStyle name="표준 11 3 2 2 4 5 2" xfId="32697"/>
    <cellStyle name="표준 11 3 2 2 4 6" xfId="17714"/>
    <cellStyle name="표준 11 3 2 2 4 6 2" xfId="40179"/>
    <cellStyle name="표준 11 3 2 2 4 7" xfId="25215"/>
    <cellStyle name="표준 11 3 2 2 4_Sheet4" xfId="1177"/>
    <cellStyle name="표준 11 3 2 2 5" xfId="1178"/>
    <cellStyle name="표준 11 3 2 2 5 2" xfId="1179"/>
    <cellStyle name="표준 11 3 2 2 5 2 2" xfId="1180"/>
    <cellStyle name="표준 11 3 2 2 5 2 2 2" xfId="10240"/>
    <cellStyle name="표준 11 3 2 2 5 2 2 2 2" xfId="32707"/>
    <cellStyle name="표준 11 3 2 2 5 2 2 3" xfId="17724"/>
    <cellStyle name="표준 11 3 2 2 5 2 2 3 2" xfId="40189"/>
    <cellStyle name="표준 11 3 2 2 5 2 2 4" xfId="25225"/>
    <cellStyle name="표준 11 3 2 2 5 2 3" xfId="10239"/>
    <cellStyle name="표준 11 3 2 2 5 2 3 2" xfId="32706"/>
    <cellStyle name="표준 11 3 2 2 5 2 4" xfId="17723"/>
    <cellStyle name="표준 11 3 2 2 5 2 4 2" xfId="40188"/>
    <cellStyle name="표준 11 3 2 2 5 2 5" xfId="25224"/>
    <cellStyle name="표준 11 3 2 2 5 2_Sheet4" xfId="1181"/>
    <cellStyle name="표준 11 3 2 2 5 3" xfId="1182"/>
    <cellStyle name="표준 11 3 2 2 5 3 2" xfId="10241"/>
    <cellStyle name="표준 11 3 2 2 5 3 2 2" xfId="32708"/>
    <cellStyle name="표준 11 3 2 2 5 3 3" xfId="17725"/>
    <cellStyle name="표준 11 3 2 2 5 3 3 2" xfId="40190"/>
    <cellStyle name="표준 11 3 2 2 5 3 4" xfId="25226"/>
    <cellStyle name="표준 11 3 2 2 5 4" xfId="10238"/>
    <cellStyle name="표준 11 3 2 2 5 4 2" xfId="32705"/>
    <cellStyle name="표준 11 3 2 2 5 5" xfId="17722"/>
    <cellStyle name="표준 11 3 2 2 5 5 2" xfId="40187"/>
    <cellStyle name="표준 11 3 2 2 5 6" xfId="25223"/>
    <cellStyle name="표준 11 3 2 2 5_Sheet4" xfId="1183"/>
    <cellStyle name="표준 11 3 2 2 6" xfId="1184"/>
    <cellStyle name="표준 11 3 2 2 6 2" xfId="1185"/>
    <cellStyle name="표준 11 3 2 2 6 2 2" xfId="10243"/>
    <cellStyle name="표준 11 3 2 2 6 2 2 2" xfId="32710"/>
    <cellStyle name="표준 11 3 2 2 6 2 3" xfId="17727"/>
    <cellStyle name="표준 11 3 2 2 6 2 3 2" xfId="40192"/>
    <cellStyle name="표준 11 3 2 2 6 2 4" xfId="25228"/>
    <cellStyle name="표준 11 3 2 2 6 3" xfId="10242"/>
    <cellStyle name="표준 11 3 2 2 6 3 2" xfId="32709"/>
    <cellStyle name="표준 11 3 2 2 6 4" xfId="17726"/>
    <cellStyle name="표준 11 3 2 2 6 4 2" xfId="40191"/>
    <cellStyle name="표준 11 3 2 2 6 5" xfId="25227"/>
    <cellStyle name="표준 11 3 2 2 6_Sheet4" xfId="1186"/>
    <cellStyle name="표준 11 3 2 2 7" xfId="1187"/>
    <cellStyle name="표준 11 3 2 2 7 2" xfId="10244"/>
    <cellStyle name="표준 11 3 2 2 7 2 2" xfId="32711"/>
    <cellStyle name="표준 11 3 2 2 7 3" xfId="17728"/>
    <cellStyle name="표준 11 3 2 2 7 3 2" xfId="40193"/>
    <cellStyle name="표준 11 3 2 2 7 4" xfId="25229"/>
    <cellStyle name="표준 11 3 2 2 8" xfId="10197"/>
    <cellStyle name="표준 11 3 2 2 8 2" xfId="32664"/>
    <cellStyle name="표준 11 3 2 2 9" xfId="17681"/>
    <cellStyle name="표준 11 3 2 2 9 2" xfId="40146"/>
    <cellStyle name="표준 11 3 2 2_Sheet4" xfId="1188"/>
    <cellStyle name="표준 11 3 2 3" xfId="1189"/>
    <cellStyle name="표준 11 3 2 3 2" xfId="1190"/>
    <cellStyle name="표준 11 3 2 3 2 2" xfId="1191"/>
    <cellStyle name="표준 11 3 2 3 2 2 2" xfId="1192"/>
    <cellStyle name="표준 11 3 2 3 2 2 2 2" xfId="1193"/>
    <cellStyle name="표준 11 3 2 3 2 2 2 2 2" xfId="10249"/>
    <cellStyle name="표준 11 3 2 3 2 2 2 2 2 2" xfId="32716"/>
    <cellStyle name="표준 11 3 2 3 2 2 2 2 3" xfId="17733"/>
    <cellStyle name="표준 11 3 2 3 2 2 2 2 3 2" xfId="40198"/>
    <cellStyle name="표준 11 3 2 3 2 2 2 2 4" xfId="25234"/>
    <cellStyle name="표준 11 3 2 3 2 2 2 3" xfId="10248"/>
    <cellStyle name="표준 11 3 2 3 2 2 2 3 2" xfId="32715"/>
    <cellStyle name="표준 11 3 2 3 2 2 2 4" xfId="17732"/>
    <cellStyle name="표준 11 3 2 3 2 2 2 4 2" xfId="40197"/>
    <cellStyle name="표준 11 3 2 3 2 2 2 5" xfId="25233"/>
    <cellStyle name="표준 11 3 2 3 2 2 2_Sheet4" xfId="1194"/>
    <cellStyle name="표준 11 3 2 3 2 2 3" xfId="1195"/>
    <cellStyle name="표준 11 3 2 3 2 2 3 2" xfId="10250"/>
    <cellStyle name="표준 11 3 2 3 2 2 3 2 2" xfId="32717"/>
    <cellStyle name="표준 11 3 2 3 2 2 3 3" xfId="17734"/>
    <cellStyle name="표준 11 3 2 3 2 2 3 3 2" xfId="40199"/>
    <cellStyle name="표준 11 3 2 3 2 2 3 4" xfId="25235"/>
    <cellStyle name="표준 11 3 2 3 2 2 4" xfId="10247"/>
    <cellStyle name="표준 11 3 2 3 2 2 4 2" xfId="32714"/>
    <cellStyle name="표준 11 3 2 3 2 2 5" xfId="17731"/>
    <cellStyle name="표준 11 3 2 3 2 2 5 2" xfId="40196"/>
    <cellStyle name="표준 11 3 2 3 2 2 6" xfId="25232"/>
    <cellStyle name="표준 11 3 2 3 2 2_Sheet4" xfId="1196"/>
    <cellStyle name="표준 11 3 2 3 2 3" xfId="1197"/>
    <cellStyle name="표준 11 3 2 3 2 3 2" xfId="1198"/>
    <cellStyle name="표준 11 3 2 3 2 3 2 2" xfId="10252"/>
    <cellStyle name="표준 11 3 2 3 2 3 2 2 2" xfId="32719"/>
    <cellStyle name="표준 11 3 2 3 2 3 2 3" xfId="17736"/>
    <cellStyle name="표준 11 3 2 3 2 3 2 3 2" xfId="40201"/>
    <cellStyle name="표준 11 3 2 3 2 3 2 4" xfId="25237"/>
    <cellStyle name="표준 11 3 2 3 2 3 3" xfId="10251"/>
    <cellStyle name="표준 11 3 2 3 2 3 3 2" xfId="32718"/>
    <cellStyle name="표준 11 3 2 3 2 3 4" xfId="17735"/>
    <cellStyle name="표준 11 3 2 3 2 3 4 2" xfId="40200"/>
    <cellStyle name="표준 11 3 2 3 2 3 5" xfId="25236"/>
    <cellStyle name="표준 11 3 2 3 2 3_Sheet4" xfId="1199"/>
    <cellStyle name="표준 11 3 2 3 2 4" xfId="1200"/>
    <cellStyle name="표준 11 3 2 3 2 4 2" xfId="10253"/>
    <cellStyle name="표준 11 3 2 3 2 4 2 2" xfId="32720"/>
    <cellStyle name="표준 11 3 2 3 2 4 3" xfId="17737"/>
    <cellStyle name="표준 11 3 2 3 2 4 3 2" xfId="40202"/>
    <cellStyle name="표준 11 3 2 3 2 4 4" xfId="25238"/>
    <cellStyle name="표준 11 3 2 3 2 5" xfId="10246"/>
    <cellStyle name="표준 11 3 2 3 2 5 2" xfId="32713"/>
    <cellStyle name="표준 11 3 2 3 2 6" xfId="17730"/>
    <cellStyle name="표준 11 3 2 3 2 6 2" xfId="40195"/>
    <cellStyle name="표준 11 3 2 3 2 7" xfId="25231"/>
    <cellStyle name="표준 11 3 2 3 2_Sheet4" xfId="1201"/>
    <cellStyle name="표준 11 3 2 3 3" xfId="1202"/>
    <cellStyle name="표준 11 3 2 3 3 2" xfId="1203"/>
    <cellStyle name="표준 11 3 2 3 3 2 2" xfId="1204"/>
    <cellStyle name="표준 11 3 2 3 3 2 2 2" xfId="10256"/>
    <cellStyle name="표준 11 3 2 3 3 2 2 2 2" xfId="32723"/>
    <cellStyle name="표준 11 3 2 3 3 2 2 3" xfId="17740"/>
    <cellStyle name="표준 11 3 2 3 3 2 2 3 2" xfId="40205"/>
    <cellStyle name="표준 11 3 2 3 3 2 2 4" xfId="25241"/>
    <cellStyle name="표준 11 3 2 3 3 2 3" xfId="10255"/>
    <cellStyle name="표준 11 3 2 3 3 2 3 2" xfId="32722"/>
    <cellStyle name="표준 11 3 2 3 3 2 4" xfId="17739"/>
    <cellStyle name="표준 11 3 2 3 3 2 4 2" xfId="40204"/>
    <cellStyle name="표준 11 3 2 3 3 2 5" xfId="25240"/>
    <cellStyle name="표준 11 3 2 3 3 2_Sheet4" xfId="1205"/>
    <cellStyle name="표준 11 3 2 3 3 3" xfId="1206"/>
    <cellStyle name="표준 11 3 2 3 3 3 2" xfId="10257"/>
    <cellStyle name="표준 11 3 2 3 3 3 2 2" xfId="32724"/>
    <cellStyle name="표준 11 3 2 3 3 3 3" xfId="17741"/>
    <cellStyle name="표준 11 3 2 3 3 3 3 2" xfId="40206"/>
    <cellStyle name="표준 11 3 2 3 3 3 4" xfId="25242"/>
    <cellStyle name="표준 11 3 2 3 3 4" xfId="10254"/>
    <cellStyle name="표준 11 3 2 3 3 4 2" xfId="32721"/>
    <cellStyle name="표준 11 3 2 3 3 5" xfId="17738"/>
    <cellStyle name="표준 11 3 2 3 3 5 2" xfId="40203"/>
    <cellStyle name="표준 11 3 2 3 3 6" xfId="25239"/>
    <cellStyle name="표준 11 3 2 3 3_Sheet4" xfId="1207"/>
    <cellStyle name="표준 11 3 2 3 4" xfId="1208"/>
    <cellStyle name="표준 11 3 2 3 4 2" xfId="1209"/>
    <cellStyle name="표준 11 3 2 3 4 2 2" xfId="10259"/>
    <cellStyle name="표준 11 3 2 3 4 2 2 2" xfId="32726"/>
    <cellStyle name="표준 11 3 2 3 4 2 3" xfId="17743"/>
    <cellStyle name="표준 11 3 2 3 4 2 3 2" xfId="40208"/>
    <cellStyle name="표준 11 3 2 3 4 2 4" xfId="25244"/>
    <cellStyle name="표준 11 3 2 3 4 3" xfId="10258"/>
    <cellStyle name="표준 11 3 2 3 4 3 2" xfId="32725"/>
    <cellStyle name="표준 11 3 2 3 4 4" xfId="17742"/>
    <cellStyle name="표준 11 3 2 3 4 4 2" xfId="40207"/>
    <cellStyle name="표준 11 3 2 3 4 5" xfId="25243"/>
    <cellStyle name="표준 11 3 2 3 4_Sheet4" xfId="1210"/>
    <cellStyle name="표준 11 3 2 3 5" xfId="1211"/>
    <cellStyle name="표준 11 3 2 3 5 2" xfId="10260"/>
    <cellStyle name="표준 11 3 2 3 5 2 2" xfId="32727"/>
    <cellStyle name="표준 11 3 2 3 5 3" xfId="17744"/>
    <cellStyle name="표준 11 3 2 3 5 3 2" xfId="40209"/>
    <cellStyle name="표준 11 3 2 3 5 4" xfId="25245"/>
    <cellStyle name="표준 11 3 2 3 6" xfId="10245"/>
    <cellStyle name="표준 11 3 2 3 6 2" xfId="32712"/>
    <cellStyle name="표준 11 3 2 3 7" xfId="17729"/>
    <cellStyle name="표준 11 3 2 3 7 2" xfId="40194"/>
    <cellStyle name="표준 11 3 2 3 8" xfId="25230"/>
    <cellStyle name="표준 11 3 2 3_Sheet4" xfId="1212"/>
    <cellStyle name="표준 11 3 2 4" xfId="1213"/>
    <cellStyle name="표준 11 3 2 4 2" xfId="1214"/>
    <cellStyle name="표준 11 3 2 4 2 2" xfId="1215"/>
    <cellStyle name="표준 11 3 2 4 2 2 2" xfId="1216"/>
    <cellStyle name="표준 11 3 2 4 2 2 2 2" xfId="1217"/>
    <cellStyle name="표준 11 3 2 4 2 2 2 2 2" xfId="10265"/>
    <cellStyle name="표준 11 3 2 4 2 2 2 2 2 2" xfId="32732"/>
    <cellStyle name="표준 11 3 2 4 2 2 2 2 3" xfId="17749"/>
    <cellStyle name="표준 11 3 2 4 2 2 2 2 3 2" xfId="40214"/>
    <cellStyle name="표준 11 3 2 4 2 2 2 2 4" xfId="25250"/>
    <cellStyle name="표준 11 3 2 4 2 2 2 3" xfId="10264"/>
    <cellStyle name="표준 11 3 2 4 2 2 2 3 2" xfId="32731"/>
    <cellStyle name="표준 11 3 2 4 2 2 2 4" xfId="17748"/>
    <cellStyle name="표준 11 3 2 4 2 2 2 4 2" xfId="40213"/>
    <cellStyle name="표준 11 3 2 4 2 2 2 5" xfId="25249"/>
    <cellStyle name="표준 11 3 2 4 2 2 2_Sheet4" xfId="1218"/>
    <cellStyle name="표준 11 3 2 4 2 2 3" xfId="1219"/>
    <cellStyle name="표준 11 3 2 4 2 2 3 2" xfId="10266"/>
    <cellStyle name="표준 11 3 2 4 2 2 3 2 2" xfId="32733"/>
    <cellStyle name="표준 11 3 2 4 2 2 3 3" xfId="17750"/>
    <cellStyle name="표준 11 3 2 4 2 2 3 3 2" xfId="40215"/>
    <cellStyle name="표준 11 3 2 4 2 2 3 4" xfId="25251"/>
    <cellStyle name="표준 11 3 2 4 2 2 4" xfId="10263"/>
    <cellStyle name="표준 11 3 2 4 2 2 4 2" xfId="32730"/>
    <cellStyle name="표준 11 3 2 4 2 2 5" xfId="17747"/>
    <cellStyle name="표준 11 3 2 4 2 2 5 2" xfId="40212"/>
    <cellStyle name="표준 11 3 2 4 2 2 6" xfId="25248"/>
    <cellStyle name="표준 11 3 2 4 2 2_Sheet4" xfId="1220"/>
    <cellStyle name="표준 11 3 2 4 2 3" xfId="1221"/>
    <cellStyle name="표준 11 3 2 4 2 3 2" xfId="1222"/>
    <cellStyle name="표준 11 3 2 4 2 3 2 2" xfId="10268"/>
    <cellStyle name="표준 11 3 2 4 2 3 2 2 2" xfId="32735"/>
    <cellStyle name="표준 11 3 2 4 2 3 2 3" xfId="17752"/>
    <cellStyle name="표준 11 3 2 4 2 3 2 3 2" xfId="40217"/>
    <cellStyle name="표준 11 3 2 4 2 3 2 4" xfId="25253"/>
    <cellStyle name="표준 11 3 2 4 2 3 3" xfId="10267"/>
    <cellStyle name="표준 11 3 2 4 2 3 3 2" xfId="32734"/>
    <cellStyle name="표준 11 3 2 4 2 3 4" xfId="17751"/>
    <cellStyle name="표준 11 3 2 4 2 3 4 2" xfId="40216"/>
    <cellStyle name="표준 11 3 2 4 2 3 5" xfId="25252"/>
    <cellStyle name="표준 11 3 2 4 2 3_Sheet4" xfId="1223"/>
    <cellStyle name="표준 11 3 2 4 2 4" xfId="1224"/>
    <cellStyle name="표준 11 3 2 4 2 4 2" xfId="10269"/>
    <cellStyle name="표준 11 3 2 4 2 4 2 2" xfId="32736"/>
    <cellStyle name="표준 11 3 2 4 2 4 3" xfId="17753"/>
    <cellStyle name="표준 11 3 2 4 2 4 3 2" xfId="40218"/>
    <cellStyle name="표준 11 3 2 4 2 4 4" xfId="25254"/>
    <cellStyle name="표준 11 3 2 4 2 5" xfId="10262"/>
    <cellStyle name="표준 11 3 2 4 2 5 2" xfId="32729"/>
    <cellStyle name="표준 11 3 2 4 2 6" xfId="17746"/>
    <cellStyle name="표준 11 3 2 4 2 6 2" xfId="40211"/>
    <cellStyle name="표준 11 3 2 4 2 7" xfId="25247"/>
    <cellStyle name="표준 11 3 2 4 2_Sheet4" xfId="1225"/>
    <cellStyle name="표준 11 3 2 4 3" xfId="1226"/>
    <cellStyle name="표준 11 3 2 4 3 2" xfId="1227"/>
    <cellStyle name="표준 11 3 2 4 3 2 2" xfId="1228"/>
    <cellStyle name="표준 11 3 2 4 3 2 2 2" xfId="10272"/>
    <cellStyle name="표준 11 3 2 4 3 2 2 2 2" xfId="32739"/>
    <cellStyle name="표준 11 3 2 4 3 2 2 3" xfId="17756"/>
    <cellStyle name="표준 11 3 2 4 3 2 2 3 2" xfId="40221"/>
    <cellStyle name="표준 11 3 2 4 3 2 2 4" xfId="25257"/>
    <cellStyle name="표준 11 3 2 4 3 2 3" xfId="10271"/>
    <cellStyle name="표준 11 3 2 4 3 2 3 2" xfId="32738"/>
    <cellStyle name="표준 11 3 2 4 3 2 4" xfId="17755"/>
    <cellStyle name="표준 11 3 2 4 3 2 4 2" xfId="40220"/>
    <cellStyle name="표준 11 3 2 4 3 2 5" xfId="25256"/>
    <cellStyle name="표준 11 3 2 4 3 2_Sheet4" xfId="1229"/>
    <cellStyle name="표준 11 3 2 4 3 3" xfId="1230"/>
    <cellStyle name="표준 11 3 2 4 3 3 2" xfId="10273"/>
    <cellStyle name="표준 11 3 2 4 3 3 2 2" xfId="32740"/>
    <cellStyle name="표준 11 3 2 4 3 3 3" xfId="17757"/>
    <cellStyle name="표준 11 3 2 4 3 3 3 2" xfId="40222"/>
    <cellStyle name="표준 11 3 2 4 3 3 4" xfId="25258"/>
    <cellStyle name="표준 11 3 2 4 3 4" xfId="10270"/>
    <cellStyle name="표준 11 3 2 4 3 4 2" xfId="32737"/>
    <cellStyle name="표준 11 3 2 4 3 5" xfId="17754"/>
    <cellStyle name="표준 11 3 2 4 3 5 2" xfId="40219"/>
    <cellStyle name="표준 11 3 2 4 3 6" xfId="25255"/>
    <cellStyle name="표준 11 3 2 4 3_Sheet4" xfId="1231"/>
    <cellStyle name="표준 11 3 2 4 4" xfId="1232"/>
    <cellStyle name="표준 11 3 2 4 4 2" xfId="1233"/>
    <cellStyle name="표준 11 3 2 4 4 2 2" xfId="10275"/>
    <cellStyle name="표준 11 3 2 4 4 2 2 2" xfId="32742"/>
    <cellStyle name="표준 11 3 2 4 4 2 3" xfId="17759"/>
    <cellStyle name="표준 11 3 2 4 4 2 3 2" xfId="40224"/>
    <cellStyle name="표준 11 3 2 4 4 2 4" xfId="25260"/>
    <cellStyle name="표준 11 3 2 4 4 3" xfId="10274"/>
    <cellStyle name="표준 11 3 2 4 4 3 2" xfId="32741"/>
    <cellStyle name="표준 11 3 2 4 4 4" xfId="17758"/>
    <cellStyle name="표준 11 3 2 4 4 4 2" xfId="40223"/>
    <cellStyle name="표준 11 3 2 4 4 5" xfId="25259"/>
    <cellStyle name="표준 11 3 2 4 4_Sheet4" xfId="1234"/>
    <cellStyle name="표준 11 3 2 4 5" xfId="1235"/>
    <cellStyle name="표준 11 3 2 4 5 2" xfId="10276"/>
    <cellStyle name="표준 11 3 2 4 5 2 2" xfId="32743"/>
    <cellStyle name="표준 11 3 2 4 5 3" xfId="17760"/>
    <cellStyle name="표준 11 3 2 4 5 3 2" xfId="40225"/>
    <cellStyle name="표준 11 3 2 4 5 4" xfId="25261"/>
    <cellStyle name="표준 11 3 2 4 6" xfId="10261"/>
    <cellStyle name="표준 11 3 2 4 6 2" xfId="32728"/>
    <cellStyle name="표준 11 3 2 4 7" xfId="17745"/>
    <cellStyle name="표준 11 3 2 4 7 2" xfId="40210"/>
    <cellStyle name="표준 11 3 2 4 8" xfId="25246"/>
    <cellStyle name="표준 11 3 2 4_Sheet4" xfId="1236"/>
    <cellStyle name="표준 11 3 2 5" xfId="1237"/>
    <cellStyle name="표준 11 3 2 5 2" xfId="1238"/>
    <cellStyle name="표준 11 3 2 5 2 2" xfId="1239"/>
    <cellStyle name="표준 11 3 2 5 2 2 2" xfId="1240"/>
    <cellStyle name="표준 11 3 2 5 2 2 2 2" xfId="10280"/>
    <cellStyle name="표준 11 3 2 5 2 2 2 2 2" xfId="32747"/>
    <cellStyle name="표준 11 3 2 5 2 2 2 3" xfId="17764"/>
    <cellStyle name="표준 11 3 2 5 2 2 2 3 2" xfId="40229"/>
    <cellStyle name="표준 11 3 2 5 2 2 2 4" xfId="25265"/>
    <cellStyle name="표준 11 3 2 5 2 2 3" xfId="10279"/>
    <cellStyle name="표준 11 3 2 5 2 2 3 2" xfId="32746"/>
    <cellStyle name="표준 11 3 2 5 2 2 4" xfId="17763"/>
    <cellStyle name="표준 11 3 2 5 2 2 4 2" xfId="40228"/>
    <cellStyle name="표준 11 3 2 5 2 2 5" xfId="25264"/>
    <cellStyle name="표준 11 3 2 5 2 2_Sheet4" xfId="1241"/>
    <cellStyle name="표준 11 3 2 5 2 3" xfId="1242"/>
    <cellStyle name="표준 11 3 2 5 2 3 2" xfId="10281"/>
    <cellStyle name="표준 11 3 2 5 2 3 2 2" xfId="32748"/>
    <cellStyle name="표준 11 3 2 5 2 3 3" xfId="17765"/>
    <cellStyle name="표준 11 3 2 5 2 3 3 2" xfId="40230"/>
    <cellStyle name="표준 11 3 2 5 2 3 4" xfId="25266"/>
    <cellStyle name="표준 11 3 2 5 2 4" xfId="10278"/>
    <cellStyle name="표준 11 3 2 5 2 4 2" xfId="32745"/>
    <cellStyle name="표준 11 3 2 5 2 5" xfId="17762"/>
    <cellStyle name="표준 11 3 2 5 2 5 2" xfId="40227"/>
    <cellStyle name="표준 11 3 2 5 2 6" xfId="25263"/>
    <cellStyle name="표준 11 3 2 5 2_Sheet4" xfId="1243"/>
    <cellStyle name="표준 11 3 2 5 3" xfId="1244"/>
    <cellStyle name="표준 11 3 2 5 3 2" xfId="1245"/>
    <cellStyle name="표준 11 3 2 5 3 2 2" xfId="10283"/>
    <cellStyle name="표준 11 3 2 5 3 2 2 2" xfId="32750"/>
    <cellStyle name="표준 11 3 2 5 3 2 3" xfId="17767"/>
    <cellStyle name="표준 11 3 2 5 3 2 3 2" xfId="40232"/>
    <cellStyle name="표준 11 3 2 5 3 2 4" xfId="25268"/>
    <cellStyle name="표준 11 3 2 5 3 3" xfId="10282"/>
    <cellStyle name="표준 11 3 2 5 3 3 2" xfId="32749"/>
    <cellStyle name="표준 11 3 2 5 3 4" xfId="17766"/>
    <cellStyle name="표준 11 3 2 5 3 4 2" xfId="40231"/>
    <cellStyle name="표준 11 3 2 5 3 5" xfId="25267"/>
    <cellStyle name="표준 11 3 2 5 3_Sheet4" xfId="1246"/>
    <cellStyle name="표준 11 3 2 5 4" xfId="1247"/>
    <cellStyle name="표준 11 3 2 5 4 2" xfId="10284"/>
    <cellStyle name="표준 11 3 2 5 4 2 2" xfId="32751"/>
    <cellStyle name="표준 11 3 2 5 4 3" xfId="17768"/>
    <cellStyle name="표준 11 3 2 5 4 3 2" xfId="40233"/>
    <cellStyle name="표준 11 3 2 5 4 4" xfId="25269"/>
    <cellStyle name="표준 11 3 2 5 5" xfId="10277"/>
    <cellStyle name="표준 11 3 2 5 5 2" xfId="32744"/>
    <cellStyle name="표준 11 3 2 5 6" xfId="17761"/>
    <cellStyle name="표준 11 3 2 5 6 2" xfId="40226"/>
    <cellStyle name="표준 11 3 2 5 7" xfId="25262"/>
    <cellStyle name="표준 11 3 2 5_Sheet4" xfId="1248"/>
    <cellStyle name="표준 11 3 2 6" xfId="1249"/>
    <cellStyle name="표준 11 3 2 6 2" xfId="1250"/>
    <cellStyle name="표준 11 3 2 6 2 2" xfId="1251"/>
    <cellStyle name="표준 11 3 2 6 2 2 2" xfId="10287"/>
    <cellStyle name="표준 11 3 2 6 2 2 2 2" xfId="32754"/>
    <cellStyle name="표준 11 3 2 6 2 2 3" xfId="17771"/>
    <cellStyle name="표준 11 3 2 6 2 2 3 2" xfId="40236"/>
    <cellStyle name="표준 11 3 2 6 2 2 4" xfId="25272"/>
    <cellStyle name="표준 11 3 2 6 2 3" xfId="10286"/>
    <cellStyle name="표준 11 3 2 6 2 3 2" xfId="32753"/>
    <cellStyle name="표준 11 3 2 6 2 4" xfId="17770"/>
    <cellStyle name="표준 11 3 2 6 2 4 2" xfId="40235"/>
    <cellStyle name="표준 11 3 2 6 2 5" xfId="25271"/>
    <cellStyle name="표준 11 3 2 6 2_Sheet4" xfId="1252"/>
    <cellStyle name="표준 11 3 2 6 3" xfId="1253"/>
    <cellStyle name="표준 11 3 2 6 3 2" xfId="10288"/>
    <cellStyle name="표준 11 3 2 6 3 2 2" xfId="32755"/>
    <cellStyle name="표준 11 3 2 6 3 3" xfId="17772"/>
    <cellStyle name="표준 11 3 2 6 3 3 2" xfId="40237"/>
    <cellStyle name="표준 11 3 2 6 3 4" xfId="25273"/>
    <cellStyle name="표준 11 3 2 6 4" xfId="10285"/>
    <cellStyle name="표준 11 3 2 6 4 2" xfId="32752"/>
    <cellStyle name="표준 11 3 2 6 5" xfId="17769"/>
    <cellStyle name="표준 11 3 2 6 5 2" xfId="40234"/>
    <cellStyle name="표준 11 3 2 6 6" xfId="25270"/>
    <cellStyle name="표준 11 3 2 6_Sheet4" xfId="1254"/>
    <cellStyle name="표준 11 3 2 7" xfId="1255"/>
    <cellStyle name="표준 11 3 2 7 2" xfId="1256"/>
    <cellStyle name="표준 11 3 2 7 2 2" xfId="1257"/>
    <cellStyle name="표준 11 3 2 7 2 2 2" xfId="10291"/>
    <cellStyle name="표준 11 3 2 7 2 2 2 2" xfId="32758"/>
    <cellStyle name="표준 11 3 2 7 2 2 3" xfId="17775"/>
    <cellStyle name="표준 11 3 2 7 2 2 3 2" xfId="40240"/>
    <cellStyle name="표준 11 3 2 7 2 2 4" xfId="25276"/>
    <cellStyle name="표준 11 3 2 7 2 3" xfId="10290"/>
    <cellStyle name="표준 11 3 2 7 2 3 2" xfId="32757"/>
    <cellStyle name="표준 11 3 2 7 2 4" xfId="17774"/>
    <cellStyle name="표준 11 3 2 7 2 4 2" xfId="40239"/>
    <cellStyle name="표준 11 3 2 7 2 5" xfId="25275"/>
    <cellStyle name="표준 11 3 2 7 2_Sheet4" xfId="1258"/>
    <cellStyle name="표준 11 3 2 7 3" xfId="1259"/>
    <cellStyle name="표준 11 3 2 7 3 2" xfId="10292"/>
    <cellStyle name="표준 11 3 2 7 3 2 2" xfId="32759"/>
    <cellStyle name="표준 11 3 2 7 3 3" xfId="17776"/>
    <cellStyle name="표준 11 3 2 7 3 3 2" xfId="40241"/>
    <cellStyle name="표준 11 3 2 7 3 4" xfId="25277"/>
    <cellStyle name="표준 11 3 2 7 4" xfId="10289"/>
    <cellStyle name="표준 11 3 2 7 4 2" xfId="32756"/>
    <cellStyle name="표준 11 3 2 7 5" xfId="17773"/>
    <cellStyle name="표준 11 3 2 7 5 2" xfId="40238"/>
    <cellStyle name="표준 11 3 2 7 6" xfId="25274"/>
    <cellStyle name="표준 11 3 2 7_Sheet4" xfId="1260"/>
    <cellStyle name="표준 11 3 2 8" xfId="1261"/>
    <cellStyle name="표준 11 3 2 8 2" xfId="1262"/>
    <cellStyle name="표준 11 3 2 8 2 2" xfId="10294"/>
    <cellStyle name="표준 11 3 2 8 2 2 2" xfId="32761"/>
    <cellStyle name="표준 11 3 2 8 2 3" xfId="17778"/>
    <cellStyle name="표준 11 3 2 8 2 3 2" xfId="40243"/>
    <cellStyle name="표준 11 3 2 8 2 4" xfId="25279"/>
    <cellStyle name="표준 11 3 2 8 3" xfId="10293"/>
    <cellStyle name="표준 11 3 2 8 3 2" xfId="32760"/>
    <cellStyle name="표준 11 3 2 8 4" xfId="17777"/>
    <cellStyle name="표준 11 3 2 8 4 2" xfId="40242"/>
    <cellStyle name="표준 11 3 2 8 5" xfId="25278"/>
    <cellStyle name="표준 11 3 2 8_Sheet4" xfId="1263"/>
    <cellStyle name="표준 11 3 2 9" xfId="1264"/>
    <cellStyle name="표준 11 3 2 9 2" xfId="10295"/>
    <cellStyle name="표준 11 3 2 9 2 2" xfId="32762"/>
    <cellStyle name="표준 11 3 2 9 3" xfId="17779"/>
    <cellStyle name="표준 11 3 2 9 3 2" xfId="40244"/>
    <cellStyle name="표준 11 3 2 9 4" xfId="25280"/>
    <cellStyle name="표준 11 3 2_Sheet4" xfId="1265"/>
    <cellStyle name="표준 11 3 3" xfId="1266"/>
    <cellStyle name="표준 11 3 3 10" xfId="25281"/>
    <cellStyle name="표준 11 3 3 2" xfId="1267"/>
    <cellStyle name="표준 11 3 3 2 2" xfId="1268"/>
    <cellStyle name="표준 11 3 3 2 2 2" xfId="1269"/>
    <cellStyle name="표준 11 3 3 2 2 2 2" xfId="1270"/>
    <cellStyle name="표준 11 3 3 2 2 2 2 2" xfId="1271"/>
    <cellStyle name="표준 11 3 3 2 2 2 2 2 2" xfId="10301"/>
    <cellStyle name="표준 11 3 3 2 2 2 2 2 2 2" xfId="32768"/>
    <cellStyle name="표준 11 3 3 2 2 2 2 2 3" xfId="17785"/>
    <cellStyle name="표준 11 3 3 2 2 2 2 2 3 2" xfId="40250"/>
    <cellStyle name="표준 11 3 3 2 2 2 2 2 4" xfId="25286"/>
    <cellStyle name="표준 11 3 3 2 2 2 2 3" xfId="10300"/>
    <cellStyle name="표준 11 3 3 2 2 2 2 3 2" xfId="32767"/>
    <cellStyle name="표준 11 3 3 2 2 2 2 4" xfId="17784"/>
    <cellStyle name="표준 11 3 3 2 2 2 2 4 2" xfId="40249"/>
    <cellStyle name="표준 11 3 3 2 2 2 2 5" xfId="25285"/>
    <cellStyle name="표준 11 3 3 2 2 2 2_Sheet4" xfId="1272"/>
    <cellStyle name="표준 11 3 3 2 2 2 3" xfId="1273"/>
    <cellStyle name="표준 11 3 3 2 2 2 3 2" xfId="10302"/>
    <cellStyle name="표준 11 3 3 2 2 2 3 2 2" xfId="32769"/>
    <cellStyle name="표준 11 3 3 2 2 2 3 3" xfId="17786"/>
    <cellStyle name="표준 11 3 3 2 2 2 3 3 2" xfId="40251"/>
    <cellStyle name="표준 11 3 3 2 2 2 3 4" xfId="25287"/>
    <cellStyle name="표준 11 3 3 2 2 2 4" xfId="10299"/>
    <cellStyle name="표준 11 3 3 2 2 2 4 2" xfId="32766"/>
    <cellStyle name="표준 11 3 3 2 2 2 5" xfId="17783"/>
    <cellStyle name="표준 11 3 3 2 2 2 5 2" xfId="40248"/>
    <cellStyle name="표준 11 3 3 2 2 2 6" xfId="25284"/>
    <cellStyle name="표준 11 3 3 2 2 2_Sheet4" xfId="1274"/>
    <cellStyle name="표준 11 3 3 2 2 3" xfId="1275"/>
    <cellStyle name="표준 11 3 3 2 2 3 2" xfId="1276"/>
    <cellStyle name="표준 11 3 3 2 2 3 2 2" xfId="10304"/>
    <cellStyle name="표준 11 3 3 2 2 3 2 2 2" xfId="32771"/>
    <cellStyle name="표준 11 3 3 2 2 3 2 3" xfId="17788"/>
    <cellStyle name="표준 11 3 3 2 2 3 2 3 2" xfId="40253"/>
    <cellStyle name="표준 11 3 3 2 2 3 2 4" xfId="25289"/>
    <cellStyle name="표준 11 3 3 2 2 3 3" xfId="10303"/>
    <cellStyle name="표준 11 3 3 2 2 3 3 2" xfId="32770"/>
    <cellStyle name="표준 11 3 3 2 2 3 4" xfId="17787"/>
    <cellStyle name="표준 11 3 3 2 2 3 4 2" xfId="40252"/>
    <cellStyle name="표준 11 3 3 2 2 3 5" xfId="25288"/>
    <cellStyle name="표준 11 3 3 2 2 3_Sheet4" xfId="1277"/>
    <cellStyle name="표준 11 3 3 2 2 4" xfId="1278"/>
    <cellStyle name="표준 11 3 3 2 2 4 2" xfId="10305"/>
    <cellStyle name="표준 11 3 3 2 2 4 2 2" xfId="32772"/>
    <cellStyle name="표준 11 3 3 2 2 4 3" xfId="17789"/>
    <cellStyle name="표준 11 3 3 2 2 4 3 2" xfId="40254"/>
    <cellStyle name="표준 11 3 3 2 2 4 4" xfId="25290"/>
    <cellStyle name="표준 11 3 3 2 2 5" xfId="10298"/>
    <cellStyle name="표준 11 3 3 2 2 5 2" xfId="32765"/>
    <cellStyle name="표준 11 3 3 2 2 6" xfId="17782"/>
    <cellStyle name="표준 11 3 3 2 2 6 2" xfId="40247"/>
    <cellStyle name="표준 11 3 3 2 2 7" xfId="25283"/>
    <cellStyle name="표준 11 3 3 2 2_Sheet4" xfId="1279"/>
    <cellStyle name="표준 11 3 3 2 3" xfId="1280"/>
    <cellStyle name="표준 11 3 3 2 3 2" xfId="1281"/>
    <cellStyle name="표준 11 3 3 2 3 2 2" xfId="1282"/>
    <cellStyle name="표준 11 3 3 2 3 2 2 2" xfId="10308"/>
    <cellStyle name="표준 11 3 3 2 3 2 2 2 2" xfId="32775"/>
    <cellStyle name="표준 11 3 3 2 3 2 2 3" xfId="17792"/>
    <cellStyle name="표준 11 3 3 2 3 2 2 3 2" xfId="40257"/>
    <cellStyle name="표준 11 3 3 2 3 2 2 4" xfId="25293"/>
    <cellStyle name="표준 11 3 3 2 3 2 3" xfId="10307"/>
    <cellStyle name="표준 11 3 3 2 3 2 3 2" xfId="32774"/>
    <cellStyle name="표준 11 3 3 2 3 2 4" xfId="17791"/>
    <cellStyle name="표준 11 3 3 2 3 2 4 2" xfId="40256"/>
    <cellStyle name="표준 11 3 3 2 3 2 5" xfId="25292"/>
    <cellStyle name="표준 11 3 3 2 3 2_Sheet4" xfId="1283"/>
    <cellStyle name="표준 11 3 3 2 3 3" xfId="1284"/>
    <cellStyle name="표준 11 3 3 2 3 3 2" xfId="10309"/>
    <cellStyle name="표준 11 3 3 2 3 3 2 2" xfId="32776"/>
    <cellStyle name="표준 11 3 3 2 3 3 3" xfId="17793"/>
    <cellStyle name="표준 11 3 3 2 3 3 3 2" xfId="40258"/>
    <cellStyle name="표준 11 3 3 2 3 3 4" xfId="25294"/>
    <cellStyle name="표준 11 3 3 2 3 4" xfId="10306"/>
    <cellStyle name="표준 11 3 3 2 3 4 2" xfId="32773"/>
    <cellStyle name="표준 11 3 3 2 3 5" xfId="17790"/>
    <cellStyle name="표준 11 3 3 2 3 5 2" xfId="40255"/>
    <cellStyle name="표준 11 3 3 2 3 6" xfId="25291"/>
    <cellStyle name="표준 11 3 3 2 3_Sheet4" xfId="1285"/>
    <cellStyle name="표준 11 3 3 2 4" xfId="1286"/>
    <cellStyle name="표준 11 3 3 2 4 2" xfId="1287"/>
    <cellStyle name="표준 11 3 3 2 4 2 2" xfId="10311"/>
    <cellStyle name="표준 11 3 3 2 4 2 2 2" xfId="32778"/>
    <cellStyle name="표준 11 3 3 2 4 2 3" xfId="17795"/>
    <cellStyle name="표준 11 3 3 2 4 2 3 2" xfId="40260"/>
    <cellStyle name="표준 11 3 3 2 4 2 4" xfId="25296"/>
    <cellStyle name="표준 11 3 3 2 4 3" xfId="10310"/>
    <cellStyle name="표준 11 3 3 2 4 3 2" xfId="32777"/>
    <cellStyle name="표준 11 3 3 2 4 4" xfId="17794"/>
    <cellStyle name="표준 11 3 3 2 4 4 2" xfId="40259"/>
    <cellStyle name="표준 11 3 3 2 4 5" xfId="25295"/>
    <cellStyle name="표준 11 3 3 2 4_Sheet4" xfId="1288"/>
    <cellStyle name="표준 11 3 3 2 5" xfId="1289"/>
    <cellStyle name="표준 11 3 3 2 5 2" xfId="10312"/>
    <cellStyle name="표준 11 3 3 2 5 2 2" xfId="32779"/>
    <cellStyle name="표준 11 3 3 2 5 3" xfId="17796"/>
    <cellStyle name="표준 11 3 3 2 5 3 2" xfId="40261"/>
    <cellStyle name="표준 11 3 3 2 5 4" xfId="25297"/>
    <cellStyle name="표준 11 3 3 2 6" xfId="10297"/>
    <cellStyle name="표준 11 3 3 2 6 2" xfId="32764"/>
    <cellStyle name="표준 11 3 3 2 7" xfId="17781"/>
    <cellStyle name="표준 11 3 3 2 7 2" xfId="40246"/>
    <cellStyle name="표준 11 3 3 2 8" xfId="25282"/>
    <cellStyle name="표준 11 3 3 2_Sheet4" xfId="1290"/>
    <cellStyle name="표준 11 3 3 3" xfId="1291"/>
    <cellStyle name="표준 11 3 3 3 2" xfId="1292"/>
    <cellStyle name="표준 11 3 3 3 2 2" xfId="1293"/>
    <cellStyle name="표준 11 3 3 3 2 2 2" xfId="1294"/>
    <cellStyle name="표준 11 3 3 3 2 2 2 2" xfId="1295"/>
    <cellStyle name="표준 11 3 3 3 2 2 2 2 2" xfId="10317"/>
    <cellStyle name="표준 11 3 3 3 2 2 2 2 2 2" xfId="32784"/>
    <cellStyle name="표준 11 3 3 3 2 2 2 2 3" xfId="17801"/>
    <cellStyle name="표준 11 3 3 3 2 2 2 2 3 2" xfId="40266"/>
    <cellStyle name="표준 11 3 3 3 2 2 2 2 4" xfId="25302"/>
    <cellStyle name="표준 11 3 3 3 2 2 2 3" xfId="10316"/>
    <cellStyle name="표준 11 3 3 3 2 2 2 3 2" xfId="32783"/>
    <cellStyle name="표준 11 3 3 3 2 2 2 4" xfId="17800"/>
    <cellStyle name="표준 11 3 3 3 2 2 2 4 2" xfId="40265"/>
    <cellStyle name="표준 11 3 3 3 2 2 2 5" xfId="25301"/>
    <cellStyle name="표준 11 3 3 3 2 2 2_Sheet4" xfId="1296"/>
    <cellStyle name="표준 11 3 3 3 2 2 3" xfId="1297"/>
    <cellStyle name="표준 11 3 3 3 2 2 3 2" xfId="10318"/>
    <cellStyle name="표준 11 3 3 3 2 2 3 2 2" xfId="32785"/>
    <cellStyle name="표준 11 3 3 3 2 2 3 3" xfId="17802"/>
    <cellStyle name="표준 11 3 3 3 2 2 3 3 2" xfId="40267"/>
    <cellStyle name="표준 11 3 3 3 2 2 3 4" xfId="25303"/>
    <cellStyle name="표준 11 3 3 3 2 2 4" xfId="10315"/>
    <cellStyle name="표준 11 3 3 3 2 2 4 2" xfId="32782"/>
    <cellStyle name="표준 11 3 3 3 2 2 5" xfId="17799"/>
    <cellStyle name="표준 11 3 3 3 2 2 5 2" xfId="40264"/>
    <cellStyle name="표준 11 3 3 3 2 2 6" xfId="25300"/>
    <cellStyle name="표준 11 3 3 3 2 2_Sheet4" xfId="1298"/>
    <cellStyle name="표준 11 3 3 3 2 3" xfId="1299"/>
    <cellStyle name="표준 11 3 3 3 2 3 2" xfId="1300"/>
    <cellStyle name="표준 11 3 3 3 2 3 2 2" xfId="10320"/>
    <cellStyle name="표준 11 3 3 3 2 3 2 2 2" xfId="32787"/>
    <cellStyle name="표준 11 3 3 3 2 3 2 3" xfId="17804"/>
    <cellStyle name="표준 11 3 3 3 2 3 2 3 2" xfId="40269"/>
    <cellStyle name="표준 11 3 3 3 2 3 2 4" xfId="25305"/>
    <cellStyle name="표준 11 3 3 3 2 3 3" xfId="10319"/>
    <cellStyle name="표준 11 3 3 3 2 3 3 2" xfId="32786"/>
    <cellStyle name="표준 11 3 3 3 2 3 4" xfId="17803"/>
    <cellStyle name="표준 11 3 3 3 2 3 4 2" xfId="40268"/>
    <cellStyle name="표준 11 3 3 3 2 3 5" xfId="25304"/>
    <cellStyle name="표준 11 3 3 3 2 3_Sheet4" xfId="1301"/>
    <cellStyle name="표준 11 3 3 3 2 4" xfId="1302"/>
    <cellStyle name="표준 11 3 3 3 2 4 2" xfId="10321"/>
    <cellStyle name="표준 11 3 3 3 2 4 2 2" xfId="32788"/>
    <cellStyle name="표준 11 3 3 3 2 4 3" xfId="17805"/>
    <cellStyle name="표준 11 3 3 3 2 4 3 2" xfId="40270"/>
    <cellStyle name="표준 11 3 3 3 2 4 4" xfId="25306"/>
    <cellStyle name="표준 11 3 3 3 2 5" xfId="10314"/>
    <cellStyle name="표준 11 3 3 3 2 5 2" xfId="32781"/>
    <cellStyle name="표준 11 3 3 3 2 6" xfId="17798"/>
    <cellStyle name="표준 11 3 3 3 2 6 2" xfId="40263"/>
    <cellStyle name="표준 11 3 3 3 2 7" xfId="25299"/>
    <cellStyle name="표준 11 3 3 3 2_Sheet4" xfId="1303"/>
    <cellStyle name="표준 11 3 3 3 3" xfId="1304"/>
    <cellStyle name="표준 11 3 3 3 3 2" xfId="1305"/>
    <cellStyle name="표준 11 3 3 3 3 2 2" xfId="1306"/>
    <cellStyle name="표준 11 3 3 3 3 2 2 2" xfId="10324"/>
    <cellStyle name="표준 11 3 3 3 3 2 2 2 2" xfId="32791"/>
    <cellStyle name="표준 11 3 3 3 3 2 2 3" xfId="17808"/>
    <cellStyle name="표준 11 3 3 3 3 2 2 3 2" xfId="40273"/>
    <cellStyle name="표준 11 3 3 3 3 2 2 4" xfId="25309"/>
    <cellStyle name="표준 11 3 3 3 3 2 3" xfId="10323"/>
    <cellStyle name="표준 11 3 3 3 3 2 3 2" xfId="32790"/>
    <cellStyle name="표준 11 3 3 3 3 2 4" xfId="17807"/>
    <cellStyle name="표준 11 3 3 3 3 2 4 2" xfId="40272"/>
    <cellStyle name="표준 11 3 3 3 3 2 5" xfId="25308"/>
    <cellStyle name="표준 11 3 3 3 3 2_Sheet4" xfId="1307"/>
    <cellStyle name="표준 11 3 3 3 3 3" xfId="1308"/>
    <cellStyle name="표준 11 3 3 3 3 3 2" xfId="10325"/>
    <cellStyle name="표준 11 3 3 3 3 3 2 2" xfId="32792"/>
    <cellStyle name="표준 11 3 3 3 3 3 3" xfId="17809"/>
    <cellStyle name="표준 11 3 3 3 3 3 3 2" xfId="40274"/>
    <cellStyle name="표준 11 3 3 3 3 3 4" xfId="25310"/>
    <cellStyle name="표준 11 3 3 3 3 4" xfId="10322"/>
    <cellStyle name="표준 11 3 3 3 3 4 2" xfId="32789"/>
    <cellStyle name="표준 11 3 3 3 3 5" xfId="17806"/>
    <cellStyle name="표준 11 3 3 3 3 5 2" xfId="40271"/>
    <cellStyle name="표준 11 3 3 3 3 6" xfId="25307"/>
    <cellStyle name="표준 11 3 3 3 3_Sheet4" xfId="1309"/>
    <cellStyle name="표준 11 3 3 3 4" xfId="1310"/>
    <cellStyle name="표준 11 3 3 3 4 2" xfId="1311"/>
    <cellStyle name="표준 11 3 3 3 4 2 2" xfId="10327"/>
    <cellStyle name="표준 11 3 3 3 4 2 2 2" xfId="32794"/>
    <cellStyle name="표준 11 3 3 3 4 2 3" xfId="17811"/>
    <cellStyle name="표준 11 3 3 3 4 2 3 2" xfId="40276"/>
    <cellStyle name="표준 11 3 3 3 4 2 4" xfId="25312"/>
    <cellStyle name="표준 11 3 3 3 4 3" xfId="10326"/>
    <cellStyle name="표준 11 3 3 3 4 3 2" xfId="32793"/>
    <cellStyle name="표준 11 3 3 3 4 4" xfId="17810"/>
    <cellStyle name="표준 11 3 3 3 4 4 2" xfId="40275"/>
    <cellStyle name="표준 11 3 3 3 4 5" xfId="25311"/>
    <cellStyle name="표준 11 3 3 3 4_Sheet4" xfId="1312"/>
    <cellStyle name="표준 11 3 3 3 5" xfId="1313"/>
    <cellStyle name="표준 11 3 3 3 5 2" xfId="10328"/>
    <cellStyle name="표준 11 3 3 3 5 2 2" xfId="32795"/>
    <cellStyle name="표준 11 3 3 3 5 3" xfId="17812"/>
    <cellStyle name="표준 11 3 3 3 5 3 2" xfId="40277"/>
    <cellStyle name="표준 11 3 3 3 5 4" xfId="25313"/>
    <cellStyle name="표준 11 3 3 3 6" xfId="10313"/>
    <cellStyle name="표준 11 3 3 3 6 2" xfId="32780"/>
    <cellStyle name="표준 11 3 3 3 7" xfId="17797"/>
    <cellStyle name="표준 11 3 3 3 7 2" xfId="40262"/>
    <cellStyle name="표준 11 3 3 3 8" xfId="25298"/>
    <cellStyle name="표준 11 3 3 3_Sheet4" xfId="1314"/>
    <cellStyle name="표준 11 3 3 4" xfId="1315"/>
    <cellStyle name="표준 11 3 3 4 2" xfId="1316"/>
    <cellStyle name="표준 11 3 3 4 2 2" xfId="1317"/>
    <cellStyle name="표준 11 3 3 4 2 2 2" xfId="1318"/>
    <cellStyle name="표준 11 3 3 4 2 2 2 2" xfId="10332"/>
    <cellStyle name="표준 11 3 3 4 2 2 2 2 2" xfId="32799"/>
    <cellStyle name="표준 11 3 3 4 2 2 2 3" xfId="17816"/>
    <cellStyle name="표준 11 3 3 4 2 2 2 3 2" xfId="40281"/>
    <cellStyle name="표준 11 3 3 4 2 2 2 4" xfId="25317"/>
    <cellStyle name="표준 11 3 3 4 2 2 3" xfId="10331"/>
    <cellStyle name="표준 11 3 3 4 2 2 3 2" xfId="32798"/>
    <cellStyle name="표준 11 3 3 4 2 2 4" xfId="17815"/>
    <cellStyle name="표준 11 3 3 4 2 2 4 2" xfId="40280"/>
    <cellStyle name="표준 11 3 3 4 2 2 5" xfId="25316"/>
    <cellStyle name="표준 11 3 3 4 2 2_Sheet4" xfId="1319"/>
    <cellStyle name="표준 11 3 3 4 2 3" xfId="1320"/>
    <cellStyle name="표준 11 3 3 4 2 3 2" xfId="10333"/>
    <cellStyle name="표준 11 3 3 4 2 3 2 2" xfId="32800"/>
    <cellStyle name="표준 11 3 3 4 2 3 3" xfId="17817"/>
    <cellStyle name="표준 11 3 3 4 2 3 3 2" xfId="40282"/>
    <cellStyle name="표준 11 3 3 4 2 3 4" xfId="25318"/>
    <cellStyle name="표준 11 3 3 4 2 4" xfId="10330"/>
    <cellStyle name="표준 11 3 3 4 2 4 2" xfId="32797"/>
    <cellStyle name="표준 11 3 3 4 2 5" xfId="17814"/>
    <cellStyle name="표준 11 3 3 4 2 5 2" xfId="40279"/>
    <cellStyle name="표준 11 3 3 4 2 6" xfId="25315"/>
    <cellStyle name="표준 11 3 3 4 2_Sheet4" xfId="1321"/>
    <cellStyle name="표준 11 3 3 4 3" xfId="1322"/>
    <cellStyle name="표준 11 3 3 4 3 2" xfId="1323"/>
    <cellStyle name="표준 11 3 3 4 3 2 2" xfId="10335"/>
    <cellStyle name="표준 11 3 3 4 3 2 2 2" xfId="32802"/>
    <cellStyle name="표준 11 3 3 4 3 2 3" xfId="17819"/>
    <cellStyle name="표준 11 3 3 4 3 2 3 2" xfId="40284"/>
    <cellStyle name="표준 11 3 3 4 3 2 4" xfId="25320"/>
    <cellStyle name="표준 11 3 3 4 3 3" xfId="10334"/>
    <cellStyle name="표준 11 3 3 4 3 3 2" xfId="32801"/>
    <cellStyle name="표준 11 3 3 4 3 4" xfId="17818"/>
    <cellStyle name="표준 11 3 3 4 3 4 2" xfId="40283"/>
    <cellStyle name="표준 11 3 3 4 3 5" xfId="25319"/>
    <cellStyle name="표준 11 3 3 4 3_Sheet4" xfId="1324"/>
    <cellStyle name="표준 11 3 3 4 4" xfId="1325"/>
    <cellStyle name="표준 11 3 3 4 4 2" xfId="10336"/>
    <cellStyle name="표준 11 3 3 4 4 2 2" xfId="32803"/>
    <cellStyle name="표준 11 3 3 4 4 3" xfId="17820"/>
    <cellStyle name="표준 11 3 3 4 4 3 2" xfId="40285"/>
    <cellStyle name="표준 11 3 3 4 4 4" xfId="25321"/>
    <cellStyle name="표준 11 3 3 4 5" xfId="10329"/>
    <cellStyle name="표준 11 3 3 4 5 2" xfId="32796"/>
    <cellStyle name="표준 11 3 3 4 6" xfId="17813"/>
    <cellStyle name="표준 11 3 3 4 6 2" xfId="40278"/>
    <cellStyle name="표준 11 3 3 4 7" xfId="25314"/>
    <cellStyle name="표준 11 3 3 4_Sheet4" xfId="1326"/>
    <cellStyle name="표준 11 3 3 5" xfId="1327"/>
    <cellStyle name="표준 11 3 3 5 2" xfId="1328"/>
    <cellStyle name="표준 11 3 3 5 2 2" xfId="1329"/>
    <cellStyle name="표준 11 3 3 5 2 2 2" xfId="10339"/>
    <cellStyle name="표준 11 3 3 5 2 2 2 2" xfId="32806"/>
    <cellStyle name="표준 11 3 3 5 2 2 3" xfId="17823"/>
    <cellStyle name="표준 11 3 3 5 2 2 3 2" xfId="40288"/>
    <cellStyle name="표준 11 3 3 5 2 2 4" xfId="25324"/>
    <cellStyle name="표준 11 3 3 5 2 3" xfId="10338"/>
    <cellStyle name="표준 11 3 3 5 2 3 2" xfId="32805"/>
    <cellStyle name="표준 11 3 3 5 2 4" xfId="17822"/>
    <cellStyle name="표준 11 3 3 5 2 4 2" xfId="40287"/>
    <cellStyle name="표준 11 3 3 5 2 5" xfId="25323"/>
    <cellStyle name="표준 11 3 3 5 2_Sheet4" xfId="1330"/>
    <cellStyle name="표준 11 3 3 5 3" xfId="1331"/>
    <cellStyle name="표준 11 3 3 5 3 2" xfId="10340"/>
    <cellStyle name="표준 11 3 3 5 3 2 2" xfId="32807"/>
    <cellStyle name="표준 11 3 3 5 3 3" xfId="17824"/>
    <cellStyle name="표준 11 3 3 5 3 3 2" xfId="40289"/>
    <cellStyle name="표준 11 3 3 5 3 4" xfId="25325"/>
    <cellStyle name="표준 11 3 3 5 4" xfId="10337"/>
    <cellStyle name="표준 11 3 3 5 4 2" xfId="32804"/>
    <cellStyle name="표준 11 3 3 5 5" xfId="17821"/>
    <cellStyle name="표준 11 3 3 5 5 2" xfId="40286"/>
    <cellStyle name="표준 11 3 3 5 6" xfId="25322"/>
    <cellStyle name="표준 11 3 3 5_Sheet4" xfId="1332"/>
    <cellStyle name="표준 11 3 3 6" xfId="1333"/>
    <cellStyle name="표준 11 3 3 6 2" xfId="1334"/>
    <cellStyle name="표준 11 3 3 6 2 2" xfId="10342"/>
    <cellStyle name="표준 11 3 3 6 2 2 2" xfId="32809"/>
    <cellStyle name="표준 11 3 3 6 2 3" xfId="17826"/>
    <cellStyle name="표준 11 3 3 6 2 3 2" xfId="40291"/>
    <cellStyle name="표준 11 3 3 6 2 4" xfId="25327"/>
    <cellStyle name="표준 11 3 3 6 3" xfId="10341"/>
    <cellStyle name="표준 11 3 3 6 3 2" xfId="32808"/>
    <cellStyle name="표준 11 3 3 6 4" xfId="17825"/>
    <cellStyle name="표준 11 3 3 6 4 2" xfId="40290"/>
    <cellStyle name="표준 11 3 3 6 5" xfId="25326"/>
    <cellStyle name="표준 11 3 3 6_Sheet4" xfId="1335"/>
    <cellStyle name="표준 11 3 3 7" xfId="1336"/>
    <cellStyle name="표준 11 3 3 7 2" xfId="10343"/>
    <cellStyle name="표준 11 3 3 7 2 2" xfId="32810"/>
    <cellStyle name="표준 11 3 3 7 3" xfId="17827"/>
    <cellStyle name="표준 11 3 3 7 3 2" xfId="40292"/>
    <cellStyle name="표준 11 3 3 7 4" xfId="25328"/>
    <cellStyle name="표준 11 3 3 8" xfId="10296"/>
    <cellStyle name="표준 11 3 3 8 2" xfId="32763"/>
    <cellStyle name="표준 11 3 3 9" xfId="17780"/>
    <cellStyle name="표준 11 3 3 9 2" xfId="40245"/>
    <cellStyle name="표준 11 3 3_Sheet4" xfId="1337"/>
    <cellStyle name="표준 11 3 4" xfId="1338"/>
    <cellStyle name="표준 11 3 4 2" xfId="1339"/>
    <cellStyle name="표준 11 3 4 2 2" xfId="1340"/>
    <cellStyle name="표준 11 3 4 2 2 2" xfId="1341"/>
    <cellStyle name="표준 11 3 4 2 2 2 2" xfId="1342"/>
    <cellStyle name="표준 11 3 4 2 2 2 2 2" xfId="10348"/>
    <cellStyle name="표준 11 3 4 2 2 2 2 2 2" xfId="32815"/>
    <cellStyle name="표준 11 3 4 2 2 2 2 3" xfId="17832"/>
    <cellStyle name="표준 11 3 4 2 2 2 2 3 2" xfId="40297"/>
    <cellStyle name="표준 11 3 4 2 2 2 2 4" xfId="25333"/>
    <cellStyle name="표준 11 3 4 2 2 2 3" xfId="10347"/>
    <cellStyle name="표준 11 3 4 2 2 2 3 2" xfId="32814"/>
    <cellStyle name="표준 11 3 4 2 2 2 4" xfId="17831"/>
    <cellStyle name="표준 11 3 4 2 2 2 4 2" xfId="40296"/>
    <cellStyle name="표준 11 3 4 2 2 2 5" xfId="25332"/>
    <cellStyle name="표준 11 3 4 2 2 2_Sheet4" xfId="1343"/>
    <cellStyle name="표준 11 3 4 2 2 3" xfId="1344"/>
    <cellStyle name="표준 11 3 4 2 2 3 2" xfId="10349"/>
    <cellStyle name="표준 11 3 4 2 2 3 2 2" xfId="32816"/>
    <cellStyle name="표준 11 3 4 2 2 3 3" xfId="17833"/>
    <cellStyle name="표준 11 3 4 2 2 3 3 2" xfId="40298"/>
    <cellStyle name="표준 11 3 4 2 2 3 4" xfId="25334"/>
    <cellStyle name="표준 11 3 4 2 2 4" xfId="10346"/>
    <cellStyle name="표준 11 3 4 2 2 4 2" xfId="32813"/>
    <cellStyle name="표준 11 3 4 2 2 5" xfId="17830"/>
    <cellStyle name="표준 11 3 4 2 2 5 2" xfId="40295"/>
    <cellStyle name="표준 11 3 4 2 2 6" xfId="25331"/>
    <cellStyle name="표준 11 3 4 2 2_Sheet4" xfId="1345"/>
    <cellStyle name="표준 11 3 4 2 3" xfId="1346"/>
    <cellStyle name="표준 11 3 4 2 3 2" xfId="1347"/>
    <cellStyle name="표준 11 3 4 2 3 2 2" xfId="10351"/>
    <cellStyle name="표준 11 3 4 2 3 2 2 2" xfId="32818"/>
    <cellStyle name="표준 11 3 4 2 3 2 3" xfId="17835"/>
    <cellStyle name="표준 11 3 4 2 3 2 3 2" xfId="40300"/>
    <cellStyle name="표준 11 3 4 2 3 2 4" xfId="25336"/>
    <cellStyle name="표준 11 3 4 2 3 3" xfId="10350"/>
    <cellStyle name="표준 11 3 4 2 3 3 2" xfId="32817"/>
    <cellStyle name="표준 11 3 4 2 3 4" xfId="17834"/>
    <cellStyle name="표준 11 3 4 2 3 4 2" xfId="40299"/>
    <cellStyle name="표준 11 3 4 2 3 5" xfId="25335"/>
    <cellStyle name="표준 11 3 4 2 3_Sheet4" xfId="1348"/>
    <cellStyle name="표준 11 3 4 2 4" xfId="1349"/>
    <cellStyle name="표준 11 3 4 2 4 2" xfId="10352"/>
    <cellStyle name="표준 11 3 4 2 4 2 2" xfId="32819"/>
    <cellStyle name="표준 11 3 4 2 4 3" xfId="17836"/>
    <cellStyle name="표준 11 3 4 2 4 3 2" xfId="40301"/>
    <cellStyle name="표준 11 3 4 2 4 4" xfId="25337"/>
    <cellStyle name="표준 11 3 4 2 5" xfId="10345"/>
    <cellStyle name="표준 11 3 4 2 5 2" xfId="32812"/>
    <cellStyle name="표준 11 3 4 2 6" xfId="17829"/>
    <cellStyle name="표준 11 3 4 2 6 2" xfId="40294"/>
    <cellStyle name="표준 11 3 4 2 7" xfId="25330"/>
    <cellStyle name="표준 11 3 4 2_Sheet4" xfId="1350"/>
    <cellStyle name="표준 11 3 4 3" xfId="1351"/>
    <cellStyle name="표준 11 3 4 3 2" xfId="1352"/>
    <cellStyle name="표준 11 3 4 3 2 2" xfId="1353"/>
    <cellStyle name="표준 11 3 4 3 2 2 2" xfId="10355"/>
    <cellStyle name="표준 11 3 4 3 2 2 2 2" xfId="32822"/>
    <cellStyle name="표준 11 3 4 3 2 2 3" xfId="17839"/>
    <cellStyle name="표준 11 3 4 3 2 2 3 2" xfId="40304"/>
    <cellStyle name="표준 11 3 4 3 2 2 4" xfId="25340"/>
    <cellStyle name="표준 11 3 4 3 2 3" xfId="10354"/>
    <cellStyle name="표준 11 3 4 3 2 3 2" xfId="32821"/>
    <cellStyle name="표준 11 3 4 3 2 4" xfId="17838"/>
    <cellStyle name="표준 11 3 4 3 2 4 2" xfId="40303"/>
    <cellStyle name="표준 11 3 4 3 2 5" xfId="25339"/>
    <cellStyle name="표준 11 3 4 3 2_Sheet4" xfId="1354"/>
    <cellStyle name="표준 11 3 4 3 3" xfId="1355"/>
    <cellStyle name="표준 11 3 4 3 3 2" xfId="10356"/>
    <cellStyle name="표준 11 3 4 3 3 2 2" xfId="32823"/>
    <cellStyle name="표준 11 3 4 3 3 3" xfId="17840"/>
    <cellStyle name="표준 11 3 4 3 3 3 2" xfId="40305"/>
    <cellStyle name="표준 11 3 4 3 3 4" xfId="25341"/>
    <cellStyle name="표준 11 3 4 3 4" xfId="10353"/>
    <cellStyle name="표준 11 3 4 3 4 2" xfId="32820"/>
    <cellStyle name="표준 11 3 4 3 5" xfId="17837"/>
    <cellStyle name="표준 11 3 4 3 5 2" xfId="40302"/>
    <cellStyle name="표준 11 3 4 3 6" xfId="25338"/>
    <cellStyle name="표준 11 3 4 3_Sheet4" xfId="1356"/>
    <cellStyle name="표준 11 3 4 4" xfId="1357"/>
    <cellStyle name="표준 11 3 4 4 2" xfId="1358"/>
    <cellStyle name="표준 11 3 4 4 2 2" xfId="10358"/>
    <cellStyle name="표준 11 3 4 4 2 2 2" xfId="32825"/>
    <cellStyle name="표준 11 3 4 4 2 3" xfId="17842"/>
    <cellStyle name="표준 11 3 4 4 2 3 2" xfId="40307"/>
    <cellStyle name="표준 11 3 4 4 2 4" xfId="25343"/>
    <cellStyle name="표준 11 3 4 4 3" xfId="10357"/>
    <cellStyle name="표준 11 3 4 4 3 2" xfId="32824"/>
    <cellStyle name="표준 11 3 4 4 4" xfId="17841"/>
    <cellStyle name="표준 11 3 4 4 4 2" xfId="40306"/>
    <cellStyle name="표준 11 3 4 4 5" xfId="25342"/>
    <cellStyle name="표준 11 3 4 4_Sheet4" xfId="1359"/>
    <cellStyle name="표준 11 3 4 5" xfId="1360"/>
    <cellStyle name="표준 11 3 4 5 2" xfId="10359"/>
    <cellStyle name="표준 11 3 4 5 2 2" xfId="32826"/>
    <cellStyle name="표준 11 3 4 5 3" xfId="17843"/>
    <cellStyle name="표준 11 3 4 5 3 2" xfId="40308"/>
    <cellStyle name="표준 11 3 4 5 4" xfId="25344"/>
    <cellStyle name="표준 11 3 4 6" xfId="10344"/>
    <cellStyle name="표준 11 3 4 6 2" xfId="32811"/>
    <cellStyle name="표준 11 3 4 7" xfId="17828"/>
    <cellStyle name="표준 11 3 4 7 2" xfId="40293"/>
    <cellStyle name="표준 11 3 4 8" xfId="25329"/>
    <cellStyle name="표준 11 3 4_Sheet4" xfId="1361"/>
    <cellStyle name="표준 11 3 5" xfId="1362"/>
    <cellStyle name="표준 11 3 5 2" xfId="1363"/>
    <cellStyle name="표준 11 3 5 2 2" xfId="1364"/>
    <cellStyle name="표준 11 3 5 2 2 2" xfId="1365"/>
    <cellStyle name="표준 11 3 5 2 2 2 2" xfId="1366"/>
    <cellStyle name="표준 11 3 5 2 2 2 2 2" xfId="10364"/>
    <cellStyle name="표준 11 3 5 2 2 2 2 2 2" xfId="32831"/>
    <cellStyle name="표준 11 3 5 2 2 2 2 3" xfId="17848"/>
    <cellStyle name="표준 11 3 5 2 2 2 2 3 2" xfId="40313"/>
    <cellStyle name="표준 11 3 5 2 2 2 2 4" xfId="25349"/>
    <cellStyle name="표준 11 3 5 2 2 2 3" xfId="10363"/>
    <cellStyle name="표준 11 3 5 2 2 2 3 2" xfId="32830"/>
    <cellStyle name="표준 11 3 5 2 2 2 4" xfId="17847"/>
    <cellStyle name="표준 11 3 5 2 2 2 4 2" xfId="40312"/>
    <cellStyle name="표준 11 3 5 2 2 2 5" xfId="25348"/>
    <cellStyle name="표준 11 3 5 2 2 2_Sheet4" xfId="1367"/>
    <cellStyle name="표준 11 3 5 2 2 3" xfId="1368"/>
    <cellStyle name="표준 11 3 5 2 2 3 2" xfId="10365"/>
    <cellStyle name="표준 11 3 5 2 2 3 2 2" xfId="32832"/>
    <cellStyle name="표준 11 3 5 2 2 3 3" xfId="17849"/>
    <cellStyle name="표준 11 3 5 2 2 3 3 2" xfId="40314"/>
    <cellStyle name="표준 11 3 5 2 2 3 4" xfId="25350"/>
    <cellStyle name="표준 11 3 5 2 2 4" xfId="10362"/>
    <cellStyle name="표준 11 3 5 2 2 4 2" xfId="32829"/>
    <cellStyle name="표준 11 3 5 2 2 5" xfId="17846"/>
    <cellStyle name="표준 11 3 5 2 2 5 2" xfId="40311"/>
    <cellStyle name="표준 11 3 5 2 2 6" xfId="25347"/>
    <cellStyle name="표준 11 3 5 2 2_Sheet4" xfId="1369"/>
    <cellStyle name="표준 11 3 5 2 3" xfId="1370"/>
    <cellStyle name="표준 11 3 5 2 3 2" xfId="1371"/>
    <cellStyle name="표준 11 3 5 2 3 2 2" xfId="10367"/>
    <cellStyle name="표준 11 3 5 2 3 2 2 2" xfId="32834"/>
    <cellStyle name="표준 11 3 5 2 3 2 3" xfId="17851"/>
    <cellStyle name="표준 11 3 5 2 3 2 3 2" xfId="40316"/>
    <cellStyle name="표준 11 3 5 2 3 2 4" xfId="25352"/>
    <cellStyle name="표준 11 3 5 2 3 3" xfId="10366"/>
    <cellStyle name="표준 11 3 5 2 3 3 2" xfId="32833"/>
    <cellStyle name="표준 11 3 5 2 3 4" xfId="17850"/>
    <cellStyle name="표준 11 3 5 2 3 4 2" xfId="40315"/>
    <cellStyle name="표준 11 3 5 2 3 5" xfId="25351"/>
    <cellStyle name="표준 11 3 5 2 3_Sheet4" xfId="1372"/>
    <cellStyle name="표준 11 3 5 2 4" xfId="1373"/>
    <cellStyle name="표준 11 3 5 2 4 2" xfId="10368"/>
    <cellStyle name="표준 11 3 5 2 4 2 2" xfId="32835"/>
    <cellStyle name="표준 11 3 5 2 4 3" xfId="17852"/>
    <cellStyle name="표준 11 3 5 2 4 3 2" xfId="40317"/>
    <cellStyle name="표준 11 3 5 2 4 4" xfId="25353"/>
    <cellStyle name="표준 11 3 5 2 5" xfId="10361"/>
    <cellStyle name="표준 11 3 5 2 5 2" xfId="32828"/>
    <cellStyle name="표준 11 3 5 2 6" xfId="17845"/>
    <cellStyle name="표준 11 3 5 2 6 2" xfId="40310"/>
    <cellStyle name="표준 11 3 5 2 7" xfId="25346"/>
    <cellStyle name="표준 11 3 5 2_Sheet4" xfId="1374"/>
    <cellStyle name="표준 11 3 5 3" xfId="1375"/>
    <cellStyle name="표준 11 3 5 3 2" xfId="1376"/>
    <cellStyle name="표준 11 3 5 3 2 2" xfId="1377"/>
    <cellStyle name="표준 11 3 5 3 2 2 2" xfId="10371"/>
    <cellStyle name="표준 11 3 5 3 2 2 2 2" xfId="32838"/>
    <cellStyle name="표준 11 3 5 3 2 2 3" xfId="17855"/>
    <cellStyle name="표준 11 3 5 3 2 2 3 2" xfId="40320"/>
    <cellStyle name="표준 11 3 5 3 2 2 4" xfId="25356"/>
    <cellStyle name="표준 11 3 5 3 2 3" xfId="10370"/>
    <cellStyle name="표준 11 3 5 3 2 3 2" xfId="32837"/>
    <cellStyle name="표준 11 3 5 3 2 4" xfId="17854"/>
    <cellStyle name="표준 11 3 5 3 2 4 2" xfId="40319"/>
    <cellStyle name="표준 11 3 5 3 2 5" xfId="25355"/>
    <cellStyle name="표준 11 3 5 3 2_Sheet4" xfId="1378"/>
    <cellStyle name="표준 11 3 5 3 3" xfId="1379"/>
    <cellStyle name="표준 11 3 5 3 3 2" xfId="10372"/>
    <cellStyle name="표준 11 3 5 3 3 2 2" xfId="32839"/>
    <cellStyle name="표준 11 3 5 3 3 3" xfId="17856"/>
    <cellStyle name="표준 11 3 5 3 3 3 2" xfId="40321"/>
    <cellStyle name="표준 11 3 5 3 3 4" xfId="25357"/>
    <cellStyle name="표준 11 3 5 3 4" xfId="10369"/>
    <cellStyle name="표준 11 3 5 3 4 2" xfId="32836"/>
    <cellStyle name="표준 11 3 5 3 5" xfId="17853"/>
    <cellStyle name="표준 11 3 5 3 5 2" xfId="40318"/>
    <cellStyle name="표준 11 3 5 3 6" xfId="25354"/>
    <cellStyle name="표준 11 3 5 3_Sheet4" xfId="1380"/>
    <cellStyle name="표준 11 3 5 4" xfId="1381"/>
    <cellStyle name="표준 11 3 5 4 2" xfId="1382"/>
    <cellStyle name="표준 11 3 5 4 2 2" xfId="10374"/>
    <cellStyle name="표준 11 3 5 4 2 2 2" xfId="32841"/>
    <cellStyle name="표준 11 3 5 4 2 3" xfId="17858"/>
    <cellStyle name="표준 11 3 5 4 2 3 2" xfId="40323"/>
    <cellStyle name="표준 11 3 5 4 2 4" xfId="25359"/>
    <cellStyle name="표준 11 3 5 4 3" xfId="10373"/>
    <cellStyle name="표준 11 3 5 4 3 2" xfId="32840"/>
    <cellStyle name="표준 11 3 5 4 4" xfId="17857"/>
    <cellStyle name="표준 11 3 5 4 4 2" xfId="40322"/>
    <cellStyle name="표준 11 3 5 4 5" xfId="25358"/>
    <cellStyle name="표준 11 3 5 4_Sheet4" xfId="1383"/>
    <cellStyle name="표준 11 3 5 5" xfId="1384"/>
    <cellStyle name="표준 11 3 5 5 2" xfId="10375"/>
    <cellStyle name="표준 11 3 5 5 2 2" xfId="32842"/>
    <cellStyle name="표준 11 3 5 5 3" xfId="17859"/>
    <cellStyle name="표준 11 3 5 5 3 2" xfId="40324"/>
    <cellStyle name="표준 11 3 5 5 4" xfId="25360"/>
    <cellStyle name="표준 11 3 5 6" xfId="10360"/>
    <cellStyle name="표준 11 3 5 6 2" xfId="32827"/>
    <cellStyle name="표준 11 3 5 7" xfId="17844"/>
    <cellStyle name="표준 11 3 5 7 2" xfId="40309"/>
    <cellStyle name="표준 11 3 5 8" xfId="25345"/>
    <cellStyle name="표준 11 3 5_Sheet4" xfId="1385"/>
    <cellStyle name="표준 11 3 6" xfId="1386"/>
    <cellStyle name="표준 11 3 6 2" xfId="1387"/>
    <cellStyle name="표준 11 3 6 2 2" xfId="1388"/>
    <cellStyle name="표준 11 3 6 2 2 2" xfId="1389"/>
    <cellStyle name="표준 11 3 6 2 2 2 2" xfId="10379"/>
    <cellStyle name="표준 11 3 6 2 2 2 2 2" xfId="32846"/>
    <cellStyle name="표준 11 3 6 2 2 2 3" xfId="17863"/>
    <cellStyle name="표준 11 3 6 2 2 2 3 2" xfId="40328"/>
    <cellStyle name="표준 11 3 6 2 2 2 4" xfId="25364"/>
    <cellStyle name="표준 11 3 6 2 2 3" xfId="10378"/>
    <cellStyle name="표준 11 3 6 2 2 3 2" xfId="32845"/>
    <cellStyle name="표준 11 3 6 2 2 4" xfId="17862"/>
    <cellStyle name="표준 11 3 6 2 2 4 2" xfId="40327"/>
    <cellStyle name="표준 11 3 6 2 2 5" xfId="25363"/>
    <cellStyle name="표준 11 3 6 2 2_Sheet4" xfId="1390"/>
    <cellStyle name="표준 11 3 6 2 3" xfId="1391"/>
    <cellStyle name="표준 11 3 6 2 3 2" xfId="10380"/>
    <cellStyle name="표준 11 3 6 2 3 2 2" xfId="32847"/>
    <cellStyle name="표준 11 3 6 2 3 3" xfId="17864"/>
    <cellStyle name="표준 11 3 6 2 3 3 2" xfId="40329"/>
    <cellStyle name="표준 11 3 6 2 3 4" xfId="25365"/>
    <cellStyle name="표준 11 3 6 2 4" xfId="10377"/>
    <cellStyle name="표준 11 3 6 2 4 2" xfId="32844"/>
    <cellStyle name="표준 11 3 6 2 5" xfId="17861"/>
    <cellStyle name="표준 11 3 6 2 5 2" xfId="40326"/>
    <cellStyle name="표준 11 3 6 2 6" xfId="25362"/>
    <cellStyle name="표준 11 3 6 2_Sheet4" xfId="1392"/>
    <cellStyle name="표준 11 3 6 3" xfId="1393"/>
    <cellStyle name="표준 11 3 6 3 2" xfId="1394"/>
    <cellStyle name="표준 11 3 6 3 2 2" xfId="10382"/>
    <cellStyle name="표준 11 3 6 3 2 2 2" xfId="32849"/>
    <cellStyle name="표준 11 3 6 3 2 3" xfId="17866"/>
    <cellStyle name="표준 11 3 6 3 2 3 2" xfId="40331"/>
    <cellStyle name="표준 11 3 6 3 2 4" xfId="25367"/>
    <cellStyle name="표준 11 3 6 3 3" xfId="10381"/>
    <cellStyle name="표준 11 3 6 3 3 2" xfId="32848"/>
    <cellStyle name="표준 11 3 6 3 4" xfId="17865"/>
    <cellStyle name="표준 11 3 6 3 4 2" xfId="40330"/>
    <cellStyle name="표준 11 3 6 3 5" xfId="25366"/>
    <cellStyle name="표준 11 3 6 3_Sheet4" xfId="1395"/>
    <cellStyle name="표준 11 3 6 4" xfId="1396"/>
    <cellStyle name="표준 11 3 6 4 2" xfId="10383"/>
    <cellStyle name="표준 11 3 6 4 2 2" xfId="32850"/>
    <cellStyle name="표준 11 3 6 4 3" xfId="17867"/>
    <cellStyle name="표준 11 3 6 4 3 2" xfId="40332"/>
    <cellStyle name="표준 11 3 6 4 4" xfId="25368"/>
    <cellStyle name="표준 11 3 6 5" xfId="10376"/>
    <cellStyle name="표준 11 3 6 5 2" xfId="32843"/>
    <cellStyle name="표준 11 3 6 6" xfId="17860"/>
    <cellStyle name="표준 11 3 6 6 2" xfId="40325"/>
    <cellStyle name="표준 11 3 6 7" xfId="25361"/>
    <cellStyle name="표준 11 3 6_Sheet4" xfId="1397"/>
    <cellStyle name="표준 11 3 7" xfId="1398"/>
    <cellStyle name="표준 11 3 7 2" xfId="1399"/>
    <cellStyle name="표준 11 3 7 2 2" xfId="1400"/>
    <cellStyle name="표준 11 3 7 2 2 2" xfId="1401"/>
    <cellStyle name="표준 11 3 7 2 2 2 2" xfId="10387"/>
    <cellStyle name="표준 11 3 7 2 2 2 2 2" xfId="32854"/>
    <cellStyle name="표준 11 3 7 2 2 2 3" xfId="17871"/>
    <cellStyle name="표준 11 3 7 2 2 2 3 2" xfId="40336"/>
    <cellStyle name="표준 11 3 7 2 2 2 4" xfId="25372"/>
    <cellStyle name="표준 11 3 7 2 2 3" xfId="10386"/>
    <cellStyle name="표준 11 3 7 2 2 3 2" xfId="32853"/>
    <cellStyle name="표준 11 3 7 2 2 4" xfId="17870"/>
    <cellStyle name="표준 11 3 7 2 2 4 2" xfId="40335"/>
    <cellStyle name="표준 11 3 7 2 2 5" xfId="25371"/>
    <cellStyle name="표준 11 3 7 2 2_Sheet4" xfId="1402"/>
    <cellStyle name="표준 11 3 7 2 3" xfId="1403"/>
    <cellStyle name="표준 11 3 7 2 3 2" xfId="10388"/>
    <cellStyle name="표준 11 3 7 2 3 2 2" xfId="32855"/>
    <cellStyle name="표준 11 3 7 2 3 3" xfId="17872"/>
    <cellStyle name="표준 11 3 7 2 3 3 2" xfId="40337"/>
    <cellStyle name="표준 11 3 7 2 3 4" xfId="25373"/>
    <cellStyle name="표준 11 3 7 2 4" xfId="10385"/>
    <cellStyle name="표준 11 3 7 2 4 2" xfId="32852"/>
    <cellStyle name="표준 11 3 7 2 5" xfId="17869"/>
    <cellStyle name="표준 11 3 7 2 5 2" xfId="40334"/>
    <cellStyle name="표준 11 3 7 2 6" xfId="25370"/>
    <cellStyle name="표준 11 3 7 2_Sheet4" xfId="1404"/>
    <cellStyle name="표준 11 3 7 3" xfId="1405"/>
    <cellStyle name="표준 11 3 7 3 2" xfId="1406"/>
    <cellStyle name="표준 11 3 7 3 2 2" xfId="10390"/>
    <cellStyle name="표준 11 3 7 3 2 2 2" xfId="32857"/>
    <cellStyle name="표준 11 3 7 3 2 3" xfId="17874"/>
    <cellStyle name="표준 11 3 7 3 2 3 2" xfId="40339"/>
    <cellStyle name="표준 11 3 7 3 2 4" xfId="25375"/>
    <cellStyle name="표준 11 3 7 3 3" xfId="10389"/>
    <cellStyle name="표준 11 3 7 3 3 2" xfId="32856"/>
    <cellStyle name="표준 11 3 7 3 4" xfId="17873"/>
    <cellStyle name="표준 11 3 7 3 4 2" xfId="40338"/>
    <cellStyle name="표준 11 3 7 3 5" xfId="25374"/>
    <cellStyle name="표준 11 3 7 3_Sheet4" xfId="1407"/>
    <cellStyle name="표준 11 3 7 4" xfId="1408"/>
    <cellStyle name="표준 11 3 7 4 2" xfId="10391"/>
    <cellStyle name="표준 11 3 7 4 2 2" xfId="32858"/>
    <cellStyle name="표준 11 3 7 4 3" xfId="17875"/>
    <cellStyle name="표준 11 3 7 4 3 2" xfId="40340"/>
    <cellStyle name="표준 11 3 7 4 4" xfId="25376"/>
    <cellStyle name="표준 11 3 7 5" xfId="10384"/>
    <cellStyle name="표준 11 3 7 5 2" xfId="32851"/>
    <cellStyle name="표준 11 3 7 6" xfId="17868"/>
    <cellStyle name="표준 11 3 7 6 2" xfId="40333"/>
    <cellStyle name="표준 11 3 7 7" xfId="25369"/>
    <cellStyle name="표준 11 3 7_Sheet4" xfId="1409"/>
    <cellStyle name="표준 11 3 8" xfId="1410"/>
    <cellStyle name="표준 11 3 8 2" xfId="1411"/>
    <cellStyle name="표준 11 3 8 2 2" xfId="1412"/>
    <cellStyle name="표준 11 3 8 2 2 2" xfId="1413"/>
    <cellStyle name="표준 11 3 8 2 2 2 2" xfId="10395"/>
    <cellStyle name="표준 11 3 8 2 2 2 2 2" xfId="32862"/>
    <cellStyle name="표준 11 3 8 2 2 2 3" xfId="17879"/>
    <cellStyle name="표준 11 3 8 2 2 2 3 2" xfId="40344"/>
    <cellStyle name="표준 11 3 8 2 2 2 4" xfId="25380"/>
    <cellStyle name="표준 11 3 8 2 2 3" xfId="10394"/>
    <cellStyle name="표준 11 3 8 2 2 3 2" xfId="32861"/>
    <cellStyle name="표준 11 3 8 2 2 4" xfId="17878"/>
    <cellStyle name="표준 11 3 8 2 2 4 2" xfId="40343"/>
    <cellStyle name="표준 11 3 8 2 2 5" xfId="25379"/>
    <cellStyle name="표준 11 3 8 2 2_Sheet4" xfId="1414"/>
    <cellStyle name="표준 11 3 8 2 3" xfId="1415"/>
    <cellStyle name="표준 11 3 8 2 3 2" xfId="10396"/>
    <cellStyle name="표준 11 3 8 2 3 2 2" xfId="32863"/>
    <cellStyle name="표준 11 3 8 2 3 3" xfId="17880"/>
    <cellStyle name="표준 11 3 8 2 3 3 2" xfId="40345"/>
    <cellStyle name="표준 11 3 8 2 3 4" xfId="25381"/>
    <cellStyle name="표준 11 3 8 2 4" xfId="10393"/>
    <cellStyle name="표준 11 3 8 2 4 2" xfId="32860"/>
    <cellStyle name="표준 11 3 8 2 5" xfId="17877"/>
    <cellStyle name="표준 11 3 8 2 5 2" xfId="40342"/>
    <cellStyle name="표준 11 3 8 2 6" xfId="25378"/>
    <cellStyle name="표준 11 3 8 2_Sheet4" xfId="1416"/>
    <cellStyle name="표준 11 3 8 3" xfId="1417"/>
    <cellStyle name="표준 11 3 8 3 2" xfId="1418"/>
    <cellStyle name="표준 11 3 8 3 2 2" xfId="10398"/>
    <cellStyle name="표준 11 3 8 3 2 2 2" xfId="32865"/>
    <cellStyle name="표준 11 3 8 3 2 3" xfId="17882"/>
    <cellStyle name="표준 11 3 8 3 2 3 2" xfId="40347"/>
    <cellStyle name="표준 11 3 8 3 2 4" xfId="25383"/>
    <cellStyle name="표준 11 3 8 3 3" xfId="10397"/>
    <cellStyle name="표준 11 3 8 3 3 2" xfId="32864"/>
    <cellStyle name="표준 11 3 8 3 4" xfId="17881"/>
    <cellStyle name="표준 11 3 8 3 4 2" xfId="40346"/>
    <cellStyle name="표준 11 3 8 3 5" xfId="25382"/>
    <cellStyle name="표준 11 3 8 3_Sheet4" xfId="1419"/>
    <cellStyle name="표준 11 3 8 4" xfId="1420"/>
    <cellStyle name="표준 11 3 8 4 2" xfId="10399"/>
    <cellStyle name="표준 11 3 8 4 2 2" xfId="32866"/>
    <cellStyle name="표준 11 3 8 4 3" xfId="17883"/>
    <cellStyle name="표준 11 3 8 4 3 2" xfId="40348"/>
    <cellStyle name="표준 11 3 8 4 4" xfId="25384"/>
    <cellStyle name="표준 11 3 8 5" xfId="10392"/>
    <cellStyle name="표준 11 3 8 5 2" xfId="32859"/>
    <cellStyle name="표준 11 3 8 6" xfId="17876"/>
    <cellStyle name="표준 11 3 8 6 2" xfId="40341"/>
    <cellStyle name="표준 11 3 8 7" xfId="25377"/>
    <cellStyle name="표준 11 3 8_Sheet4" xfId="1421"/>
    <cellStyle name="표준 11 3 9" xfId="1422"/>
    <cellStyle name="표준 11 3 9 2" xfId="1423"/>
    <cellStyle name="표준 11 3 9 2 2" xfId="1424"/>
    <cellStyle name="표준 11 3 9 2 2 2" xfId="10402"/>
    <cellStyle name="표준 11 3 9 2 2 2 2" xfId="32869"/>
    <cellStyle name="표준 11 3 9 2 2 3" xfId="17886"/>
    <cellStyle name="표준 11 3 9 2 2 3 2" xfId="40351"/>
    <cellStyle name="표준 11 3 9 2 2 4" xfId="25387"/>
    <cellStyle name="표준 11 3 9 2 3" xfId="10401"/>
    <cellStyle name="표준 11 3 9 2 3 2" xfId="32868"/>
    <cellStyle name="표준 11 3 9 2 4" xfId="17885"/>
    <cellStyle name="표준 11 3 9 2 4 2" xfId="40350"/>
    <cellStyle name="표준 11 3 9 2 5" xfId="25386"/>
    <cellStyle name="표준 11 3 9 2_Sheet4" xfId="1425"/>
    <cellStyle name="표준 11 3 9 3" xfId="1426"/>
    <cellStyle name="표준 11 3 9 3 2" xfId="10403"/>
    <cellStyle name="표준 11 3 9 3 2 2" xfId="32870"/>
    <cellStyle name="표준 11 3 9 3 3" xfId="17887"/>
    <cellStyle name="표준 11 3 9 3 3 2" xfId="40352"/>
    <cellStyle name="표준 11 3 9 3 4" xfId="25388"/>
    <cellStyle name="표준 11 3 9 4" xfId="10400"/>
    <cellStyle name="표준 11 3 9 4 2" xfId="32867"/>
    <cellStyle name="표준 11 3 9 5" xfId="17884"/>
    <cellStyle name="표준 11 3 9 5 2" xfId="40349"/>
    <cellStyle name="표준 11 3 9 6" xfId="25385"/>
    <cellStyle name="표준 11 3 9_Sheet4" xfId="1427"/>
    <cellStyle name="표준 11 3_Sheet4" xfId="1428"/>
    <cellStyle name="표준 11 4" xfId="1429"/>
    <cellStyle name="표준 11 4 10" xfId="10404"/>
    <cellStyle name="표준 11 4 10 2" xfId="32871"/>
    <cellStyle name="표준 11 4 11" xfId="17888"/>
    <cellStyle name="표준 11 4 11 2" xfId="40353"/>
    <cellStyle name="표준 11 4 12" xfId="25389"/>
    <cellStyle name="표준 11 4 2" xfId="1430"/>
    <cellStyle name="표준 11 4 2 10" xfId="25390"/>
    <cellStyle name="표준 11 4 2 2" xfId="1431"/>
    <cellStyle name="표준 11 4 2 2 2" xfId="1432"/>
    <cellStyle name="표준 11 4 2 2 2 2" xfId="1433"/>
    <cellStyle name="표준 11 4 2 2 2 2 2" xfId="1434"/>
    <cellStyle name="표준 11 4 2 2 2 2 2 2" xfId="1435"/>
    <cellStyle name="표준 11 4 2 2 2 2 2 2 2" xfId="10410"/>
    <cellStyle name="표준 11 4 2 2 2 2 2 2 2 2" xfId="32877"/>
    <cellStyle name="표준 11 4 2 2 2 2 2 2 3" xfId="17894"/>
    <cellStyle name="표준 11 4 2 2 2 2 2 2 3 2" xfId="40359"/>
    <cellStyle name="표준 11 4 2 2 2 2 2 2 4" xfId="25395"/>
    <cellStyle name="표준 11 4 2 2 2 2 2 3" xfId="10409"/>
    <cellStyle name="표준 11 4 2 2 2 2 2 3 2" xfId="32876"/>
    <cellStyle name="표준 11 4 2 2 2 2 2 4" xfId="17893"/>
    <cellStyle name="표준 11 4 2 2 2 2 2 4 2" xfId="40358"/>
    <cellStyle name="표준 11 4 2 2 2 2 2 5" xfId="25394"/>
    <cellStyle name="표준 11 4 2 2 2 2 2_Sheet4" xfId="1436"/>
    <cellStyle name="표준 11 4 2 2 2 2 3" xfId="1437"/>
    <cellStyle name="표준 11 4 2 2 2 2 3 2" xfId="10411"/>
    <cellStyle name="표준 11 4 2 2 2 2 3 2 2" xfId="32878"/>
    <cellStyle name="표준 11 4 2 2 2 2 3 3" xfId="17895"/>
    <cellStyle name="표준 11 4 2 2 2 2 3 3 2" xfId="40360"/>
    <cellStyle name="표준 11 4 2 2 2 2 3 4" xfId="25396"/>
    <cellStyle name="표준 11 4 2 2 2 2 4" xfId="10408"/>
    <cellStyle name="표준 11 4 2 2 2 2 4 2" xfId="32875"/>
    <cellStyle name="표준 11 4 2 2 2 2 5" xfId="17892"/>
    <cellStyle name="표준 11 4 2 2 2 2 5 2" xfId="40357"/>
    <cellStyle name="표준 11 4 2 2 2 2 6" xfId="25393"/>
    <cellStyle name="표준 11 4 2 2 2 2_Sheet4" xfId="1438"/>
    <cellStyle name="표준 11 4 2 2 2 3" xfId="1439"/>
    <cellStyle name="표준 11 4 2 2 2 3 2" xfId="1440"/>
    <cellStyle name="표준 11 4 2 2 2 3 2 2" xfId="10413"/>
    <cellStyle name="표준 11 4 2 2 2 3 2 2 2" xfId="32880"/>
    <cellStyle name="표준 11 4 2 2 2 3 2 3" xfId="17897"/>
    <cellStyle name="표준 11 4 2 2 2 3 2 3 2" xfId="40362"/>
    <cellStyle name="표준 11 4 2 2 2 3 2 4" xfId="25398"/>
    <cellStyle name="표준 11 4 2 2 2 3 3" xfId="10412"/>
    <cellStyle name="표준 11 4 2 2 2 3 3 2" xfId="32879"/>
    <cellStyle name="표준 11 4 2 2 2 3 4" xfId="17896"/>
    <cellStyle name="표준 11 4 2 2 2 3 4 2" xfId="40361"/>
    <cellStyle name="표준 11 4 2 2 2 3 5" xfId="25397"/>
    <cellStyle name="표준 11 4 2 2 2 3_Sheet4" xfId="1441"/>
    <cellStyle name="표준 11 4 2 2 2 4" xfId="1442"/>
    <cellStyle name="표준 11 4 2 2 2 4 2" xfId="10414"/>
    <cellStyle name="표준 11 4 2 2 2 4 2 2" xfId="32881"/>
    <cellStyle name="표준 11 4 2 2 2 4 3" xfId="17898"/>
    <cellStyle name="표준 11 4 2 2 2 4 3 2" xfId="40363"/>
    <cellStyle name="표준 11 4 2 2 2 4 4" xfId="25399"/>
    <cellStyle name="표준 11 4 2 2 2 5" xfId="10407"/>
    <cellStyle name="표준 11 4 2 2 2 5 2" xfId="32874"/>
    <cellStyle name="표준 11 4 2 2 2 6" xfId="17891"/>
    <cellStyle name="표준 11 4 2 2 2 6 2" xfId="40356"/>
    <cellStyle name="표준 11 4 2 2 2 7" xfId="25392"/>
    <cellStyle name="표준 11 4 2 2 2_Sheet4" xfId="1443"/>
    <cellStyle name="표준 11 4 2 2 3" xfId="1444"/>
    <cellStyle name="표준 11 4 2 2 3 2" xfId="1445"/>
    <cellStyle name="표준 11 4 2 2 3 2 2" xfId="1446"/>
    <cellStyle name="표준 11 4 2 2 3 2 2 2" xfId="10417"/>
    <cellStyle name="표준 11 4 2 2 3 2 2 2 2" xfId="32884"/>
    <cellStyle name="표준 11 4 2 2 3 2 2 3" xfId="17901"/>
    <cellStyle name="표준 11 4 2 2 3 2 2 3 2" xfId="40366"/>
    <cellStyle name="표준 11 4 2 2 3 2 2 4" xfId="25402"/>
    <cellStyle name="표준 11 4 2 2 3 2 3" xfId="10416"/>
    <cellStyle name="표준 11 4 2 2 3 2 3 2" xfId="32883"/>
    <cellStyle name="표준 11 4 2 2 3 2 4" xfId="17900"/>
    <cellStyle name="표준 11 4 2 2 3 2 4 2" xfId="40365"/>
    <cellStyle name="표준 11 4 2 2 3 2 5" xfId="25401"/>
    <cellStyle name="표준 11 4 2 2 3 2_Sheet4" xfId="1447"/>
    <cellStyle name="표준 11 4 2 2 3 3" xfId="1448"/>
    <cellStyle name="표준 11 4 2 2 3 3 2" xfId="10418"/>
    <cellStyle name="표준 11 4 2 2 3 3 2 2" xfId="32885"/>
    <cellStyle name="표준 11 4 2 2 3 3 3" xfId="17902"/>
    <cellStyle name="표준 11 4 2 2 3 3 3 2" xfId="40367"/>
    <cellStyle name="표준 11 4 2 2 3 3 4" xfId="25403"/>
    <cellStyle name="표준 11 4 2 2 3 4" xfId="10415"/>
    <cellStyle name="표준 11 4 2 2 3 4 2" xfId="32882"/>
    <cellStyle name="표준 11 4 2 2 3 5" xfId="17899"/>
    <cellStyle name="표준 11 4 2 2 3 5 2" xfId="40364"/>
    <cellStyle name="표준 11 4 2 2 3 6" xfId="25400"/>
    <cellStyle name="표준 11 4 2 2 3_Sheet4" xfId="1449"/>
    <cellStyle name="표준 11 4 2 2 4" xfId="1450"/>
    <cellStyle name="표준 11 4 2 2 4 2" xfId="1451"/>
    <cellStyle name="표준 11 4 2 2 4 2 2" xfId="10420"/>
    <cellStyle name="표준 11 4 2 2 4 2 2 2" xfId="32887"/>
    <cellStyle name="표준 11 4 2 2 4 2 3" xfId="17904"/>
    <cellStyle name="표준 11 4 2 2 4 2 3 2" xfId="40369"/>
    <cellStyle name="표준 11 4 2 2 4 2 4" xfId="25405"/>
    <cellStyle name="표준 11 4 2 2 4 3" xfId="10419"/>
    <cellStyle name="표준 11 4 2 2 4 3 2" xfId="32886"/>
    <cellStyle name="표준 11 4 2 2 4 4" xfId="17903"/>
    <cellStyle name="표준 11 4 2 2 4 4 2" xfId="40368"/>
    <cellStyle name="표준 11 4 2 2 4 5" xfId="25404"/>
    <cellStyle name="표준 11 4 2 2 4_Sheet4" xfId="1452"/>
    <cellStyle name="표준 11 4 2 2 5" xfId="1453"/>
    <cellStyle name="표준 11 4 2 2 5 2" xfId="10421"/>
    <cellStyle name="표준 11 4 2 2 5 2 2" xfId="32888"/>
    <cellStyle name="표준 11 4 2 2 5 3" xfId="17905"/>
    <cellStyle name="표준 11 4 2 2 5 3 2" xfId="40370"/>
    <cellStyle name="표준 11 4 2 2 5 4" xfId="25406"/>
    <cellStyle name="표준 11 4 2 2 6" xfId="10406"/>
    <cellStyle name="표준 11 4 2 2 6 2" xfId="32873"/>
    <cellStyle name="표준 11 4 2 2 7" xfId="17890"/>
    <cellStyle name="표준 11 4 2 2 7 2" xfId="40355"/>
    <cellStyle name="표준 11 4 2 2 8" xfId="25391"/>
    <cellStyle name="표준 11 4 2 2_Sheet4" xfId="1454"/>
    <cellStyle name="표준 11 4 2 3" xfId="1455"/>
    <cellStyle name="표준 11 4 2 3 2" xfId="1456"/>
    <cellStyle name="표준 11 4 2 3 2 2" xfId="1457"/>
    <cellStyle name="표준 11 4 2 3 2 2 2" xfId="1458"/>
    <cellStyle name="표준 11 4 2 3 2 2 2 2" xfId="1459"/>
    <cellStyle name="표준 11 4 2 3 2 2 2 2 2" xfId="10426"/>
    <cellStyle name="표준 11 4 2 3 2 2 2 2 2 2" xfId="32893"/>
    <cellStyle name="표준 11 4 2 3 2 2 2 2 3" xfId="17910"/>
    <cellStyle name="표준 11 4 2 3 2 2 2 2 3 2" xfId="40375"/>
    <cellStyle name="표준 11 4 2 3 2 2 2 2 4" xfId="25411"/>
    <cellStyle name="표준 11 4 2 3 2 2 2 3" xfId="10425"/>
    <cellStyle name="표준 11 4 2 3 2 2 2 3 2" xfId="32892"/>
    <cellStyle name="표준 11 4 2 3 2 2 2 4" xfId="17909"/>
    <cellStyle name="표준 11 4 2 3 2 2 2 4 2" xfId="40374"/>
    <cellStyle name="표준 11 4 2 3 2 2 2 5" xfId="25410"/>
    <cellStyle name="표준 11 4 2 3 2 2 2_Sheet4" xfId="1460"/>
    <cellStyle name="표준 11 4 2 3 2 2 3" xfId="1461"/>
    <cellStyle name="표준 11 4 2 3 2 2 3 2" xfId="10427"/>
    <cellStyle name="표준 11 4 2 3 2 2 3 2 2" xfId="32894"/>
    <cellStyle name="표준 11 4 2 3 2 2 3 3" xfId="17911"/>
    <cellStyle name="표준 11 4 2 3 2 2 3 3 2" xfId="40376"/>
    <cellStyle name="표준 11 4 2 3 2 2 3 4" xfId="25412"/>
    <cellStyle name="표준 11 4 2 3 2 2 4" xfId="10424"/>
    <cellStyle name="표준 11 4 2 3 2 2 4 2" xfId="32891"/>
    <cellStyle name="표준 11 4 2 3 2 2 5" xfId="17908"/>
    <cellStyle name="표준 11 4 2 3 2 2 5 2" xfId="40373"/>
    <cellStyle name="표준 11 4 2 3 2 2 6" xfId="25409"/>
    <cellStyle name="표준 11 4 2 3 2 2_Sheet4" xfId="1462"/>
    <cellStyle name="표준 11 4 2 3 2 3" xfId="1463"/>
    <cellStyle name="표준 11 4 2 3 2 3 2" xfId="1464"/>
    <cellStyle name="표준 11 4 2 3 2 3 2 2" xfId="10429"/>
    <cellStyle name="표준 11 4 2 3 2 3 2 2 2" xfId="32896"/>
    <cellStyle name="표준 11 4 2 3 2 3 2 3" xfId="17913"/>
    <cellStyle name="표준 11 4 2 3 2 3 2 3 2" xfId="40378"/>
    <cellStyle name="표준 11 4 2 3 2 3 2 4" xfId="25414"/>
    <cellStyle name="표준 11 4 2 3 2 3 3" xfId="10428"/>
    <cellStyle name="표준 11 4 2 3 2 3 3 2" xfId="32895"/>
    <cellStyle name="표준 11 4 2 3 2 3 4" xfId="17912"/>
    <cellStyle name="표준 11 4 2 3 2 3 4 2" xfId="40377"/>
    <cellStyle name="표준 11 4 2 3 2 3 5" xfId="25413"/>
    <cellStyle name="표준 11 4 2 3 2 3_Sheet4" xfId="1465"/>
    <cellStyle name="표준 11 4 2 3 2 4" xfId="1466"/>
    <cellStyle name="표준 11 4 2 3 2 4 2" xfId="10430"/>
    <cellStyle name="표준 11 4 2 3 2 4 2 2" xfId="32897"/>
    <cellStyle name="표준 11 4 2 3 2 4 3" xfId="17914"/>
    <cellStyle name="표준 11 4 2 3 2 4 3 2" xfId="40379"/>
    <cellStyle name="표준 11 4 2 3 2 4 4" xfId="25415"/>
    <cellStyle name="표준 11 4 2 3 2 5" xfId="10423"/>
    <cellStyle name="표준 11 4 2 3 2 5 2" xfId="32890"/>
    <cellStyle name="표준 11 4 2 3 2 6" xfId="17907"/>
    <cellStyle name="표준 11 4 2 3 2 6 2" xfId="40372"/>
    <cellStyle name="표준 11 4 2 3 2 7" xfId="25408"/>
    <cellStyle name="표준 11 4 2 3 2_Sheet4" xfId="1467"/>
    <cellStyle name="표준 11 4 2 3 3" xfId="1468"/>
    <cellStyle name="표준 11 4 2 3 3 2" xfId="1469"/>
    <cellStyle name="표준 11 4 2 3 3 2 2" xfId="1470"/>
    <cellStyle name="표준 11 4 2 3 3 2 2 2" xfId="10433"/>
    <cellStyle name="표준 11 4 2 3 3 2 2 2 2" xfId="32900"/>
    <cellStyle name="표준 11 4 2 3 3 2 2 3" xfId="17917"/>
    <cellStyle name="표준 11 4 2 3 3 2 2 3 2" xfId="40382"/>
    <cellStyle name="표준 11 4 2 3 3 2 2 4" xfId="25418"/>
    <cellStyle name="표준 11 4 2 3 3 2 3" xfId="10432"/>
    <cellStyle name="표준 11 4 2 3 3 2 3 2" xfId="32899"/>
    <cellStyle name="표준 11 4 2 3 3 2 4" xfId="17916"/>
    <cellStyle name="표준 11 4 2 3 3 2 4 2" xfId="40381"/>
    <cellStyle name="표준 11 4 2 3 3 2 5" xfId="25417"/>
    <cellStyle name="표준 11 4 2 3 3 2_Sheet4" xfId="1471"/>
    <cellStyle name="표준 11 4 2 3 3 3" xfId="1472"/>
    <cellStyle name="표준 11 4 2 3 3 3 2" xfId="10434"/>
    <cellStyle name="표준 11 4 2 3 3 3 2 2" xfId="32901"/>
    <cellStyle name="표준 11 4 2 3 3 3 3" xfId="17918"/>
    <cellStyle name="표준 11 4 2 3 3 3 3 2" xfId="40383"/>
    <cellStyle name="표준 11 4 2 3 3 3 4" xfId="25419"/>
    <cellStyle name="표준 11 4 2 3 3 4" xfId="10431"/>
    <cellStyle name="표준 11 4 2 3 3 4 2" xfId="32898"/>
    <cellStyle name="표준 11 4 2 3 3 5" xfId="17915"/>
    <cellStyle name="표준 11 4 2 3 3 5 2" xfId="40380"/>
    <cellStyle name="표준 11 4 2 3 3 6" xfId="25416"/>
    <cellStyle name="표준 11 4 2 3 3_Sheet4" xfId="1473"/>
    <cellStyle name="표준 11 4 2 3 4" xfId="1474"/>
    <cellStyle name="표준 11 4 2 3 4 2" xfId="1475"/>
    <cellStyle name="표준 11 4 2 3 4 2 2" xfId="10436"/>
    <cellStyle name="표준 11 4 2 3 4 2 2 2" xfId="32903"/>
    <cellStyle name="표준 11 4 2 3 4 2 3" xfId="17920"/>
    <cellStyle name="표준 11 4 2 3 4 2 3 2" xfId="40385"/>
    <cellStyle name="표준 11 4 2 3 4 2 4" xfId="25421"/>
    <cellStyle name="표준 11 4 2 3 4 3" xfId="10435"/>
    <cellStyle name="표준 11 4 2 3 4 3 2" xfId="32902"/>
    <cellStyle name="표준 11 4 2 3 4 4" xfId="17919"/>
    <cellStyle name="표준 11 4 2 3 4 4 2" xfId="40384"/>
    <cellStyle name="표준 11 4 2 3 4 5" xfId="25420"/>
    <cellStyle name="표준 11 4 2 3 4_Sheet4" xfId="1476"/>
    <cellStyle name="표준 11 4 2 3 5" xfId="1477"/>
    <cellStyle name="표준 11 4 2 3 5 2" xfId="10437"/>
    <cellStyle name="표준 11 4 2 3 5 2 2" xfId="32904"/>
    <cellStyle name="표준 11 4 2 3 5 3" xfId="17921"/>
    <cellStyle name="표준 11 4 2 3 5 3 2" xfId="40386"/>
    <cellStyle name="표준 11 4 2 3 5 4" xfId="25422"/>
    <cellStyle name="표준 11 4 2 3 6" xfId="10422"/>
    <cellStyle name="표준 11 4 2 3 6 2" xfId="32889"/>
    <cellStyle name="표준 11 4 2 3 7" xfId="17906"/>
    <cellStyle name="표준 11 4 2 3 7 2" xfId="40371"/>
    <cellStyle name="표준 11 4 2 3 8" xfId="25407"/>
    <cellStyle name="표준 11 4 2 3_Sheet4" xfId="1478"/>
    <cellStyle name="표준 11 4 2 4" xfId="1479"/>
    <cellStyle name="표준 11 4 2 4 2" xfId="1480"/>
    <cellStyle name="표준 11 4 2 4 2 2" xfId="1481"/>
    <cellStyle name="표준 11 4 2 4 2 2 2" xfId="1482"/>
    <cellStyle name="표준 11 4 2 4 2 2 2 2" xfId="10441"/>
    <cellStyle name="표준 11 4 2 4 2 2 2 2 2" xfId="32908"/>
    <cellStyle name="표준 11 4 2 4 2 2 2 3" xfId="17925"/>
    <cellStyle name="표준 11 4 2 4 2 2 2 3 2" xfId="40390"/>
    <cellStyle name="표준 11 4 2 4 2 2 2 4" xfId="25426"/>
    <cellStyle name="표준 11 4 2 4 2 2 3" xfId="10440"/>
    <cellStyle name="표준 11 4 2 4 2 2 3 2" xfId="32907"/>
    <cellStyle name="표준 11 4 2 4 2 2 4" xfId="17924"/>
    <cellStyle name="표준 11 4 2 4 2 2 4 2" xfId="40389"/>
    <cellStyle name="표준 11 4 2 4 2 2 5" xfId="25425"/>
    <cellStyle name="표준 11 4 2 4 2 2_Sheet4" xfId="1483"/>
    <cellStyle name="표준 11 4 2 4 2 3" xfId="1484"/>
    <cellStyle name="표준 11 4 2 4 2 3 2" xfId="10442"/>
    <cellStyle name="표준 11 4 2 4 2 3 2 2" xfId="32909"/>
    <cellStyle name="표준 11 4 2 4 2 3 3" xfId="17926"/>
    <cellStyle name="표준 11 4 2 4 2 3 3 2" xfId="40391"/>
    <cellStyle name="표준 11 4 2 4 2 3 4" xfId="25427"/>
    <cellStyle name="표준 11 4 2 4 2 4" xfId="10439"/>
    <cellStyle name="표준 11 4 2 4 2 4 2" xfId="32906"/>
    <cellStyle name="표준 11 4 2 4 2 5" xfId="17923"/>
    <cellStyle name="표준 11 4 2 4 2 5 2" xfId="40388"/>
    <cellStyle name="표준 11 4 2 4 2 6" xfId="25424"/>
    <cellStyle name="표준 11 4 2 4 2_Sheet4" xfId="1485"/>
    <cellStyle name="표준 11 4 2 4 3" xfId="1486"/>
    <cellStyle name="표준 11 4 2 4 3 2" xfId="1487"/>
    <cellStyle name="표준 11 4 2 4 3 2 2" xfId="10444"/>
    <cellStyle name="표준 11 4 2 4 3 2 2 2" xfId="32911"/>
    <cellStyle name="표준 11 4 2 4 3 2 3" xfId="17928"/>
    <cellStyle name="표준 11 4 2 4 3 2 3 2" xfId="40393"/>
    <cellStyle name="표준 11 4 2 4 3 2 4" xfId="25429"/>
    <cellStyle name="표준 11 4 2 4 3 3" xfId="10443"/>
    <cellStyle name="표준 11 4 2 4 3 3 2" xfId="32910"/>
    <cellStyle name="표준 11 4 2 4 3 4" xfId="17927"/>
    <cellStyle name="표준 11 4 2 4 3 4 2" xfId="40392"/>
    <cellStyle name="표준 11 4 2 4 3 5" xfId="25428"/>
    <cellStyle name="표준 11 4 2 4 3_Sheet4" xfId="1488"/>
    <cellStyle name="표준 11 4 2 4 4" xfId="1489"/>
    <cellStyle name="표준 11 4 2 4 4 2" xfId="10445"/>
    <cellStyle name="표준 11 4 2 4 4 2 2" xfId="32912"/>
    <cellStyle name="표준 11 4 2 4 4 3" xfId="17929"/>
    <cellStyle name="표준 11 4 2 4 4 3 2" xfId="40394"/>
    <cellStyle name="표준 11 4 2 4 4 4" xfId="25430"/>
    <cellStyle name="표준 11 4 2 4 5" xfId="10438"/>
    <cellStyle name="표준 11 4 2 4 5 2" xfId="32905"/>
    <cellStyle name="표준 11 4 2 4 6" xfId="17922"/>
    <cellStyle name="표준 11 4 2 4 6 2" xfId="40387"/>
    <cellStyle name="표준 11 4 2 4 7" xfId="25423"/>
    <cellStyle name="표준 11 4 2 4_Sheet4" xfId="1490"/>
    <cellStyle name="표준 11 4 2 5" xfId="1491"/>
    <cellStyle name="표준 11 4 2 5 2" xfId="1492"/>
    <cellStyle name="표준 11 4 2 5 2 2" xfId="1493"/>
    <cellStyle name="표준 11 4 2 5 2 2 2" xfId="10448"/>
    <cellStyle name="표준 11 4 2 5 2 2 2 2" xfId="32915"/>
    <cellStyle name="표준 11 4 2 5 2 2 3" xfId="17932"/>
    <cellStyle name="표준 11 4 2 5 2 2 3 2" xfId="40397"/>
    <cellStyle name="표준 11 4 2 5 2 2 4" xfId="25433"/>
    <cellStyle name="표준 11 4 2 5 2 3" xfId="10447"/>
    <cellStyle name="표준 11 4 2 5 2 3 2" xfId="32914"/>
    <cellStyle name="표준 11 4 2 5 2 4" xfId="17931"/>
    <cellStyle name="표준 11 4 2 5 2 4 2" xfId="40396"/>
    <cellStyle name="표준 11 4 2 5 2 5" xfId="25432"/>
    <cellStyle name="표준 11 4 2 5 2_Sheet4" xfId="1494"/>
    <cellStyle name="표준 11 4 2 5 3" xfId="1495"/>
    <cellStyle name="표준 11 4 2 5 3 2" xfId="10449"/>
    <cellStyle name="표준 11 4 2 5 3 2 2" xfId="32916"/>
    <cellStyle name="표준 11 4 2 5 3 3" xfId="17933"/>
    <cellStyle name="표준 11 4 2 5 3 3 2" xfId="40398"/>
    <cellStyle name="표준 11 4 2 5 3 4" xfId="25434"/>
    <cellStyle name="표준 11 4 2 5 4" xfId="10446"/>
    <cellStyle name="표준 11 4 2 5 4 2" xfId="32913"/>
    <cellStyle name="표준 11 4 2 5 5" xfId="17930"/>
    <cellStyle name="표준 11 4 2 5 5 2" xfId="40395"/>
    <cellStyle name="표준 11 4 2 5 6" xfId="25431"/>
    <cellStyle name="표준 11 4 2 5_Sheet4" xfId="1496"/>
    <cellStyle name="표준 11 4 2 6" xfId="1497"/>
    <cellStyle name="표준 11 4 2 6 2" xfId="1498"/>
    <cellStyle name="표준 11 4 2 6 2 2" xfId="10451"/>
    <cellStyle name="표준 11 4 2 6 2 2 2" xfId="32918"/>
    <cellStyle name="표준 11 4 2 6 2 3" xfId="17935"/>
    <cellStyle name="표준 11 4 2 6 2 3 2" xfId="40400"/>
    <cellStyle name="표준 11 4 2 6 2 4" xfId="25436"/>
    <cellStyle name="표준 11 4 2 6 3" xfId="10450"/>
    <cellStyle name="표준 11 4 2 6 3 2" xfId="32917"/>
    <cellStyle name="표준 11 4 2 6 4" xfId="17934"/>
    <cellStyle name="표준 11 4 2 6 4 2" xfId="40399"/>
    <cellStyle name="표준 11 4 2 6 5" xfId="25435"/>
    <cellStyle name="표준 11 4 2 6_Sheet4" xfId="1499"/>
    <cellStyle name="표준 11 4 2 7" xfId="1500"/>
    <cellStyle name="표준 11 4 2 7 2" xfId="10452"/>
    <cellStyle name="표준 11 4 2 7 2 2" xfId="32919"/>
    <cellStyle name="표준 11 4 2 7 3" xfId="17936"/>
    <cellStyle name="표준 11 4 2 7 3 2" xfId="40401"/>
    <cellStyle name="표준 11 4 2 7 4" xfId="25437"/>
    <cellStyle name="표준 11 4 2 8" xfId="10405"/>
    <cellStyle name="표준 11 4 2 8 2" xfId="32872"/>
    <cellStyle name="표준 11 4 2 9" xfId="17889"/>
    <cellStyle name="표준 11 4 2 9 2" xfId="40354"/>
    <cellStyle name="표준 11 4 2_Sheet4" xfId="1501"/>
    <cellStyle name="표준 11 4 3" xfId="1502"/>
    <cellStyle name="표준 11 4 3 2" xfId="1503"/>
    <cellStyle name="표준 11 4 3 2 2" xfId="1504"/>
    <cellStyle name="표준 11 4 3 2 2 2" xfId="1505"/>
    <cellStyle name="표준 11 4 3 2 2 2 2" xfId="1506"/>
    <cellStyle name="표준 11 4 3 2 2 2 2 2" xfId="10457"/>
    <cellStyle name="표준 11 4 3 2 2 2 2 2 2" xfId="32924"/>
    <cellStyle name="표준 11 4 3 2 2 2 2 3" xfId="17941"/>
    <cellStyle name="표준 11 4 3 2 2 2 2 3 2" xfId="40406"/>
    <cellStyle name="표준 11 4 3 2 2 2 2 4" xfId="25442"/>
    <cellStyle name="표준 11 4 3 2 2 2 3" xfId="10456"/>
    <cellStyle name="표준 11 4 3 2 2 2 3 2" xfId="32923"/>
    <cellStyle name="표준 11 4 3 2 2 2 4" xfId="17940"/>
    <cellStyle name="표준 11 4 3 2 2 2 4 2" xfId="40405"/>
    <cellStyle name="표준 11 4 3 2 2 2 5" xfId="25441"/>
    <cellStyle name="표준 11 4 3 2 2 2_Sheet4" xfId="1507"/>
    <cellStyle name="표준 11 4 3 2 2 3" xfId="1508"/>
    <cellStyle name="표준 11 4 3 2 2 3 2" xfId="10458"/>
    <cellStyle name="표준 11 4 3 2 2 3 2 2" xfId="32925"/>
    <cellStyle name="표준 11 4 3 2 2 3 3" xfId="17942"/>
    <cellStyle name="표준 11 4 3 2 2 3 3 2" xfId="40407"/>
    <cellStyle name="표준 11 4 3 2 2 3 4" xfId="25443"/>
    <cellStyle name="표준 11 4 3 2 2 4" xfId="10455"/>
    <cellStyle name="표준 11 4 3 2 2 4 2" xfId="32922"/>
    <cellStyle name="표준 11 4 3 2 2 5" xfId="17939"/>
    <cellStyle name="표준 11 4 3 2 2 5 2" xfId="40404"/>
    <cellStyle name="표준 11 4 3 2 2 6" xfId="25440"/>
    <cellStyle name="표준 11 4 3 2 2_Sheet4" xfId="1509"/>
    <cellStyle name="표준 11 4 3 2 3" xfId="1510"/>
    <cellStyle name="표준 11 4 3 2 3 2" xfId="1511"/>
    <cellStyle name="표준 11 4 3 2 3 2 2" xfId="10460"/>
    <cellStyle name="표준 11 4 3 2 3 2 2 2" xfId="32927"/>
    <cellStyle name="표준 11 4 3 2 3 2 3" xfId="17944"/>
    <cellStyle name="표준 11 4 3 2 3 2 3 2" xfId="40409"/>
    <cellStyle name="표준 11 4 3 2 3 2 4" xfId="25445"/>
    <cellStyle name="표준 11 4 3 2 3 3" xfId="10459"/>
    <cellStyle name="표준 11 4 3 2 3 3 2" xfId="32926"/>
    <cellStyle name="표준 11 4 3 2 3 4" xfId="17943"/>
    <cellStyle name="표준 11 4 3 2 3 4 2" xfId="40408"/>
    <cellStyle name="표준 11 4 3 2 3 5" xfId="25444"/>
    <cellStyle name="표준 11 4 3 2 3_Sheet4" xfId="1512"/>
    <cellStyle name="표준 11 4 3 2 4" xfId="1513"/>
    <cellStyle name="표준 11 4 3 2 4 2" xfId="10461"/>
    <cellStyle name="표준 11 4 3 2 4 2 2" xfId="32928"/>
    <cellStyle name="표준 11 4 3 2 4 3" xfId="17945"/>
    <cellStyle name="표준 11 4 3 2 4 3 2" xfId="40410"/>
    <cellStyle name="표준 11 4 3 2 4 4" xfId="25446"/>
    <cellStyle name="표준 11 4 3 2 5" xfId="10454"/>
    <cellStyle name="표준 11 4 3 2 5 2" xfId="32921"/>
    <cellStyle name="표준 11 4 3 2 6" xfId="17938"/>
    <cellStyle name="표준 11 4 3 2 6 2" xfId="40403"/>
    <cellStyle name="표준 11 4 3 2 7" xfId="25439"/>
    <cellStyle name="표준 11 4 3 2_Sheet4" xfId="1514"/>
    <cellStyle name="표준 11 4 3 3" xfId="1515"/>
    <cellStyle name="표준 11 4 3 3 2" xfId="1516"/>
    <cellStyle name="표준 11 4 3 3 2 2" xfId="1517"/>
    <cellStyle name="표준 11 4 3 3 2 2 2" xfId="10464"/>
    <cellStyle name="표준 11 4 3 3 2 2 2 2" xfId="32931"/>
    <cellStyle name="표준 11 4 3 3 2 2 3" xfId="17948"/>
    <cellStyle name="표준 11 4 3 3 2 2 3 2" xfId="40413"/>
    <cellStyle name="표준 11 4 3 3 2 2 4" xfId="25449"/>
    <cellStyle name="표준 11 4 3 3 2 3" xfId="10463"/>
    <cellStyle name="표준 11 4 3 3 2 3 2" xfId="32930"/>
    <cellStyle name="표준 11 4 3 3 2 4" xfId="17947"/>
    <cellStyle name="표준 11 4 3 3 2 4 2" xfId="40412"/>
    <cellStyle name="표준 11 4 3 3 2 5" xfId="25448"/>
    <cellStyle name="표준 11 4 3 3 2_Sheet4" xfId="1518"/>
    <cellStyle name="표준 11 4 3 3 3" xfId="1519"/>
    <cellStyle name="표준 11 4 3 3 3 2" xfId="10465"/>
    <cellStyle name="표준 11 4 3 3 3 2 2" xfId="32932"/>
    <cellStyle name="표준 11 4 3 3 3 3" xfId="17949"/>
    <cellStyle name="표준 11 4 3 3 3 3 2" xfId="40414"/>
    <cellStyle name="표준 11 4 3 3 3 4" xfId="25450"/>
    <cellStyle name="표준 11 4 3 3 4" xfId="10462"/>
    <cellStyle name="표준 11 4 3 3 4 2" xfId="32929"/>
    <cellStyle name="표준 11 4 3 3 5" xfId="17946"/>
    <cellStyle name="표준 11 4 3 3 5 2" xfId="40411"/>
    <cellStyle name="표준 11 4 3 3 6" xfId="25447"/>
    <cellStyle name="표준 11 4 3 3_Sheet4" xfId="1520"/>
    <cellStyle name="표준 11 4 3 4" xfId="1521"/>
    <cellStyle name="표준 11 4 3 4 2" xfId="1522"/>
    <cellStyle name="표준 11 4 3 4 2 2" xfId="10467"/>
    <cellStyle name="표준 11 4 3 4 2 2 2" xfId="32934"/>
    <cellStyle name="표준 11 4 3 4 2 3" xfId="17951"/>
    <cellStyle name="표준 11 4 3 4 2 3 2" xfId="40416"/>
    <cellStyle name="표준 11 4 3 4 2 4" xfId="25452"/>
    <cellStyle name="표준 11 4 3 4 3" xfId="10466"/>
    <cellStyle name="표준 11 4 3 4 3 2" xfId="32933"/>
    <cellStyle name="표준 11 4 3 4 4" xfId="17950"/>
    <cellStyle name="표준 11 4 3 4 4 2" xfId="40415"/>
    <cellStyle name="표준 11 4 3 4 5" xfId="25451"/>
    <cellStyle name="표준 11 4 3 4_Sheet4" xfId="1523"/>
    <cellStyle name="표준 11 4 3 5" xfId="1524"/>
    <cellStyle name="표준 11 4 3 5 2" xfId="10468"/>
    <cellStyle name="표준 11 4 3 5 2 2" xfId="32935"/>
    <cellStyle name="표준 11 4 3 5 3" xfId="17952"/>
    <cellStyle name="표준 11 4 3 5 3 2" xfId="40417"/>
    <cellStyle name="표준 11 4 3 5 4" xfId="25453"/>
    <cellStyle name="표준 11 4 3 6" xfId="10453"/>
    <cellStyle name="표준 11 4 3 6 2" xfId="32920"/>
    <cellStyle name="표준 11 4 3 7" xfId="17937"/>
    <cellStyle name="표준 11 4 3 7 2" xfId="40402"/>
    <cellStyle name="표준 11 4 3 8" xfId="25438"/>
    <cellStyle name="표준 11 4 3_Sheet4" xfId="1525"/>
    <cellStyle name="표준 11 4 4" xfId="1526"/>
    <cellStyle name="표준 11 4 4 2" xfId="1527"/>
    <cellStyle name="표준 11 4 4 2 2" xfId="1528"/>
    <cellStyle name="표준 11 4 4 2 2 2" xfId="1529"/>
    <cellStyle name="표준 11 4 4 2 2 2 2" xfId="1530"/>
    <cellStyle name="표준 11 4 4 2 2 2 2 2" xfId="10473"/>
    <cellStyle name="표준 11 4 4 2 2 2 2 2 2" xfId="32940"/>
    <cellStyle name="표준 11 4 4 2 2 2 2 3" xfId="17957"/>
    <cellStyle name="표준 11 4 4 2 2 2 2 3 2" xfId="40422"/>
    <cellStyle name="표준 11 4 4 2 2 2 2 4" xfId="25458"/>
    <cellStyle name="표준 11 4 4 2 2 2 3" xfId="10472"/>
    <cellStyle name="표준 11 4 4 2 2 2 3 2" xfId="32939"/>
    <cellStyle name="표준 11 4 4 2 2 2 4" xfId="17956"/>
    <cellStyle name="표준 11 4 4 2 2 2 4 2" xfId="40421"/>
    <cellStyle name="표준 11 4 4 2 2 2 5" xfId="25457"/>
    <cellStyle name="표준 11 4 4 2 2 2_Sheet4" xfId="1531"/>
    <cellStyle name="표준 11 4 4 2 2 3" xfId="1532"/>
    <cellStyle name="표준 11 4 4 2 2 3 2" xfId="10474"/>
    <cellStyle name="표준 11 4 4 2 2 3 2 2" xfId="32941"/>
    <cellStyle name="표준 11 4 4 2 2 3 3" xfId="17958"/>
    <cellStyle name="표준 11 4 4 2 2 3 3 2" xfId="40423"/>
    <cellStyle name="표준 11 4 4 2 2 3 4" xfId="25459"/>
    <cellStyle name="표준 11 4 4 2 2 4" xfId="10471"/>
    <cellStyle name="표준 11 4 4 2 2 4 2" xfId="32938"/>
    <cellStyle name="표준 11 4 4 2 2 5" xfId="17955"/>
    <cellStyle name="표준 11 4 4 2 2 5 2" xfId="40420"/>
    <cellStyle name="표준 11 4 4 2 2 6" xfId="25456"/>
    <cellStyle name="표준 11 4 4 2 2_Sheet4" xfId="1533"/>
    <cellStyle name="표준 11 4 4 2 3" xfId="1534"/>
    <cellStyle name="표준 11 4 4 2 3 2" xfId="1535"/>
    <cellStyle name="표준 11 4 4 2 3 2 2" xfId="10476"/>
    <cellStyle name="표준 11 4 4 2 3 2 2 2" xfId="32943"/>
    <cellStyle name="표준 11 4 4 2 3 2 3" xfId="17960"/>
    <cellStyle name="표준 11 4 4 2 3 2 3 2" xfId="40425"/>
    <cellStyle name="표준 11 4 4 2 3 2 4" xfId="25461"/>
    <cellStyle name="표준 11 4 4 2 3 3" xfId="10475"/>
    <cellStyle name="표준 11 4 4 2 3 3 2" xfId="32942"/>
    <cellStyle name="표준 11 4 4 2 3 4" xfId="17959"/>
    <cellStyle name="표준 11 4 4 2 3 4 2" xfId="40424"/>
    <cellStyle name="표준 11 4 4 2 3 5" xfId="25460"/>
    <cellStyle name="표준 11 4 4 2 3_Sheet4" xfId="1536"/>
    <cellStyle name="표준 11 4 4 2 4" xfId="1537"/>
    <cellStyle name="표준 11 4 4 2 4 2" xfId="10477"/>
    <cellStyle name="표준 11 4 4 2 4 2 2" xfId="32944"/>
    <cellStyle name="표준 11 4 4 2 4 3" xfId="17961"/>
    <cellStyle name="표준 11 4 4 2 4 3 2" xfId="40426"/>
    <cellStyle name="표준 11 4 4 2 4 4" xfId="25462"/>
    <cellStyle name="표준 11 4 4 2 5" xfId="10470"/>
    <cellStyle name="표준 11 4 4 2 5 2" xfId="32937"/>
    <cellStyle name="표준 11 4 4 2 6" xfId="17954"/>
    <cellStyle name="표준 11 4 4 2 6 2" xfId="40419"/>
    <cellStyle name="표준 11 4 4 2 7" xfId="25455"/>
    <cellStyle name="표준 11 4 4 2_Sheet4" xfId="1538"/>
    <cellStyle name="표준 11 4 4 3" xfId="1539"/>
    <cellStyle name="표준 11 4 4 3 2" xfId="1540"/>
    <cellStyle name="표준 11 4 4 3 2 2" xfId="1541"/>
    <cellStyle name="표준 11 4 4 3 2 2 2" xfId="10480"/>
    <cellStyle name="표준 11 4 4 3 2 2 2 2" xfId="32947"/>
    <cellStyle name="표준 11 4 4 3 2 2 3" xfId="17964"/>
    <cellStyle name="표준 11 4 4 3 2 2 3 2" xfId="40429"/>
    <cellStyle name="표준 11 4 4 3 2 2 4" xfId="25465"/>
    <cellStyle name="표준 11 4 4 3 2 3" xfId="10479"/>
    <cellStyle name="표준 11 4 4 3 2 3 2" xfId="32946"/>
    <cellStyle name="표준 11 4 4 3 2 4" xfId="17963"/>
    <cellStyle name="표준 11 4 4 3 2 4 2" xfId="40428"/>
    <cellStyle name="표준 11 4 4 3 2 5" xfId="25464"/>
    <cellStyle name="표준 11 4 4 3 2_Sheet4" xfId="1542"/>
    <cellStyle name="표준 11 4 4 3 3" xfId="1543"/>
    <cellStyle name="표준 11 4 4 3 3 2" xfId="10481"/>
    <cellStyle name="표준 11 4 4 3 3 2 2" xfId="32948"/>
    <cellStyle name="표준 11 4 4 3 3 3" xfId="17965"/>
    <cellStyle name="표준 11 4 4 3 3 3 2" xfId="40430"/>
    <cellStyle name="표준 11 4 4 3 3 4" xfId="25466"/>
    <cellStyle name="표준 11 4 4 3 4" xfId="10478"/>
    <cellStyle name="표준 11 4 4 3 4 2" xfId="32945"/>
    <cellStyle name="표준 11 4 4 3 5" xfId="17962"/>
    <cellStyle name="표준 11 4 4 3 5 2" xfId="40427"/>
    <cellStyle name="표준 11 4 4 3 6" xfId="25463"/>
    <cellStyle name="표준 11 4 4 3_Sheet4" xfId="1544"/>
    <cellStyle name="표준 11 4 4 4" xfId="1545"/>
    <cellStyle name="표준 11 4 4 4 2" xfId="1546"/>
    <cellStyle name="표준 11 4 4 4 2 2" xfId="10483"/>
    <cellStyle name="표준 11 4 4 4 2 2 2" xfId="32950"/>
    <cellStyle name="표준 11 4 4 4 2 3" xfId="17967"/>
    <cellStyle name="표준 11 4 4 4 2 3 2" xfId="40432"/>
    <cellStyle name="표준 11 4 4 4 2 4" xfId="25468"/>
    <cellStyle name="표준 11 4 4 4 3" xfId="10482"/>
    <cellStyle name="표준 11 4 4 4 3 2" xfId="32949"/>
    <cellStyle name="표준 11 4 4 4 4" xfId="17966"/>
    <cellStyle name="표준 11 4 4 4 4 2" xfId="40431"/>
    <cellStyle name="표준 11 4 4 4 5" xfId="25467"/>
    <cellStyle name="표준 11 4 4 4_Sheet4" xfId="1547"/>
    <cellStyle name="표준 11 4 4 5" xfId="1548"/>
    <cellStyle name="표준 11 4 4 5 2" xfId="10484"/>
    <cellStyle name="표준 11 4 4 5 2 2" xfId="32951"/>
    <cellStyle name="표준 11 4 4 5 3" xfId="17968"/>
    <cellStyle name="표준 11 4 4 5 3 2" xfId="40433"/>
    <cellStyle name="표준 11 4 4 5 4" xfId="25469"/>
    <cellStyle name="표준 11 4 4 6" xfId="10469"/>
    <cellStyle name="표준 11 4 4 6 2" xfId="32936"/>
    <cellStyle name="표준 11 4 4 7" xfId="17953"/>
    <cellStyle name="표준 11 4 4 7 2" xfId="40418"/>
    <cellStyle name="표준 11 4 4 8" xfId="25454"/>
    <cellStyle name="표준 11 4 4_Sheet4" xfId="1549"/>
    <cellStyle name="표준 11 4 5" xfId="1550"/>
    <cellStyle name="표준 11 4 5 2" xfId="1551"/>
    <cellStyle name="표준 11 4 5 2 2" xfId="1552"/>
    <cellStyle name="표준 11 4 5 2 2 2" xfId="1553"/>
    <cellStyle name="표준 11 4 5 2 2 2 2" xfId="10488"/>
    <cellStyle name="표준 11 4 5 2 2 2 2 2" xfId="32955"/>
    <cellStyle name="표준 11 4 5 2 2 2 3" xfId="17972"/>
    <cellStyle name="표준 11 4 5 2 2 2 3 2" xfId="40437"/>
    <cellStyle name="표준 11 4 5 2 2 2 4" xfId="25473"/>
    <cellStyle name="표준 11 4 5 2 2 3" xfId="10487"/>
    <cellStyle name="표준 11 4 5 2 2 3 2" xfId="32954"/>
    <cellStyle name="표준 11 4 5 2 2 4" xfId="17971"/>
    <cellStyle name="표준 11 4 5 2 2 4 2" xfId="40436"/>
    <cellStyle name="표준 11 4 5 2 2 5" xfId="25472"/>
    <cellStyle name="표준 11 4 5 2 2_Sheet4" xfId="1554"/>
    <cellStyle name="표준 11 4 5 2 3" xfId="1555"/>
    <cellStyle name="표준 11 4 5 2 3 2" xfId="10489"/>
    <cellStyle name="표준 11 4 5 2 3 2 2" xfId="32956"/>
    <cellStyle name="표준 11 4 5 2 3 3" xfId="17973"/>
    <cellStyle name="표준 11 4 5 2 3 3 2" xfId="40438"/>
    <cellStyle name="표준 11 4 5 2 3 4" xfId="25474"/>
    <cellStyle name="표준 11 4 5 2 4" xfId="10486"/>
    <cellStyle name="표준 11 4 5 2 4 2" xfId="32953"/>
    <cellStyle name="표준 11 4 5 2 5" xfId="17970"/>
    <cellStyle name="표준 11 4 5 2 5 2" xfId="40435"/>
    <cellStyle name="표준 11 4 5 2 6" xfId="25471"/>
    <cellStyle name="표준 11 4 5 2_Sheet4" xfId="1556"/>
    <cellStyle name="표준 11 4 5 3" xfId="1557"/>
    <cellStyle name="표준 11 4 5 3 2" xfId="1558"/>
    <cellStyle name="표준 11 4 5 3 2 2" xfId="10491"/>
    <cellStyle name="표준 11 4 5 3 2 2 2" xfId="32958"/>
    <cellStyle name="표준 11 4 5 3 2 3" xfId="17975"/>
    <cellStyle name="표준 11 4 5 3 2 3 2" xfId="40440"/>
    <cellStyle name="표준 11 4 5 3 2 4" xfId="25476"/>
    <cellStyle name="표준 11 4 5 3 3" xfId="10490"/>
    <cellStyle name="표준 11 4 5 3 3 2" xfId="32957"/>
    <cellStyle name="표준 11 4 5 3 4" xfId="17974"/>
    <cellStyle name="표준 11 4 5 3 4 2" xfId="40439"/>
    <cellStyle name="표준 11 4 5 3 5" xfId="25475"/>
    <cellStyle name="표준 11 4 5 3_Sheet4" xfId="1559"/>
    <cellStyle name="표준 11 4 5 4" xfId="1560"/>
    <cellStyle name="표준 11 4 5 4 2" xfId="10492"/>
    <cellStyle name="표준 11 4 5 4 2 2" xfId="32959"/>
    <cellStyle name="표준 11 4 5 4 3" xfId="17976"/>
    <cellStyle name="표준 11 4 5 4 3 2" xfId="40441"/>
    <cellStyle name="표준 11 4 5 4 4" xfId="25477"/>
    <cellStyle name="표준 11 4 5 5" xfId="10485"/>
    <cellStyle name="표준 11 4 5 5 2" xfId="32952"/>
    <cellStyle name="표준 11 4 5 6" xfId="17969"/>
    <cellStyle name="표준 11 4 5 6 2" xfId="40434"/>
    <cellStyle name="표준 11 4 5 7" xfId="25470"/>
    <cellStyle name="표준 11 4 5_Sheet4" xfId="1561"/>
    <cellStyle name="표준 11 4 6" xfId="1562"/>
    <cellStyle name="표준 11 4 6 2" xfId="1563"/>
    <cellStyle name="표준 11 4 6 2 2" xfId="1564"/>
    <cellStyle name="표준 11 4 6 2 2 2" xfId="10495"/>
    <cellStyle name="표준 11 4 6 2 2 2 2" xfId="32962"/>
    <cellStyle name="표준 11 4 6 2 2 3" xfId="17979"/>
    <cellStyle name="표준 11 4 6 2 2 3 2" xfId="40444"/>
    <cellStyle name="표준 11 4 6 2 2 4" xfId="25480"/>
    <cellStyle name="표준 11 4 6 2 3" xfId="10494"/>
    <cellStyle name="표준 11 4 6 2 3 2" xfId="32961"/>
    <cellStyle name="표준 11 4 6 2 4" xfId="17978"/>
    <cellStyle name="표준 11 4 6 2 4 2" xfId="40443"/>
    <cellStyle name="표준 11 4 6 2 5" xfId="25479"/>
    <cellStyle name="표준 11 4 6 2_Sheet4" xfId="1565"/>
    <cellStyle name="표준 11 4 6 3" xfId="1566"/>
    <cellStyle name="표준 11 4 6 3 2" xfId="10496"/>
    <cellStyle name="표준 11 4 6 3 2 2" xfId="32963"/>
    <cellStyle name="표준 11 4 6 3 3" xfId="17980"/>
    <cellStyle name="표준 11 4 6 3 3 2" xfId="40445"/>
    <cellStyle name="표준 11 4 6 3 4" xfId="25481"/>
    <cellStyle name="표준 11 4 6 4" xfId="10493"/>
    <cellStyle name="표준 11 4 6 4 2" xfId="32960"/>
    <cellStyle name="표준 11 4 6 5" xfId="17977"/>
    <cellStyle name="표준 11 4 6 5 2" xfId="40442"/>
    <cellStyle name="표준 11 4 6 6" xfId="25478"/>
    <cellStyle name="표준 11 4 6_Sheet4" xfId="1567"/>
    <cellStyle name="표준 11 4 7" xfId="1568"/>
    <cellStyle name="표준 11 4 7 2" xfId="1569"/>
    <cellStyle name="표준 11 4 7 2 2" xfId="1570"/>
    <cellStyle name="표준 11 4 7 2 2 2" xfId="10499"/>
    <cellStyle name="표준 11 4 7 2 2 2 2" xfId="32966"/>
    <cellStyle name="표준 11 4 7 2 2 3" xfId="17983"/>
    <cellStyle name="표준 11 4 7 2 2 3 2" xfId="40448"/>
    <cellStyle name="표준 11 4 7 2 2 4" xfId="25484"/>
    <cellStyle name="표준 11 4 7 2 3" xfId="10498"/>
    <cellStyle name="표준 11 4 7 2 3 2" xfId="32965"/>
    <cellStyle name="표준 11 4 7 2 4" xfId="17982"/>
    <cellStyle name="표준 11 4 7 2 4 2" xfId="40447"/>
    <cellStyle name="표준 11 4 7 2 5" xfId="25483"/>
    <cellStyle name="표준 11 4 7 2_Sheet4" xfId="1571"/>
    <cellStyle name="표준 11 4 7 3" xfId="1572"/>
    <cellStyle name="표준 11 4 7 3 2" xfId="10500"/>
    <cellStyle name="표준 11 4 7 3 2 2" xfId="32967"/>
    <cellStyle name="표준 11 4 7 3 3" xfId="17984"/>
    <cellStyle name="표준 11 4 7 3 3 2" xfId="40449"/>
    <cellStyle name="표준 11 4 7 3 4" xfId="25485"/>
    <cellStyle name="표준 11 4 7 4" xfId="10497"/>
    <cellStyle name="표준 11 4 7 4 2" xfId="32964"/>
    <cellStyle name="표준 11 4 7 5" xfId="17981"/>
    <cellStyle name="표준 11 4 7 5 2" xfId="40446"/>
    <cellStyle name="표준 11 4 7 6" xfId="25482"/>
    <cellStyle name="표준 11 4 7_Sheet4" xfId="1573"/>
    <cellStyle name="표준 11 4 8" xfId="1574"/>
    <cellStyle name="표준 11 4 8 2" xfId="1575"/>
    <cellStyle name="표준 11 4 8 2 2" xfId="10502"/>
    <cellStyle name="표준 11 4 8 2 2 2" xfId="32969"/>
    <cellStyle name="표준 11 4 8 2 3" xfId="17986"/>
    <cellStyle name="표준 11 4 8 2 3 2" xfId="40451"/>
    <cellStyle name="표준 11 4 8 2 4" xfId="25487"/>
    <cellStyle name="표준 11 4 8 3" xfId="10501"/>
    <cellStyle name="표준 11 4 8 3 2" xfId="32968"/>
    <cellStyle name="표준 11 4 8 4" xfId="17985"/>
    <cellStyle name="표준 11 4 8 4 2" xfId="40450"/>
    <cellStyle name="표준 11 4 8 5" xfId="25486"/>
    <cellStyle name="표준 11 4 8_Sheet4" xfId="1576"/>
    <cellStyle name="표준 11 4 9" xfId="1577"/>
    <cellStyle name="표준 11 4 9 2" xfId="10503"/>
    <cellStyle name="표준 11 4 9 2 2" xfId="32970"/>
    <cellStyle name="표준 11 4 9 3" xfId="17987"/>
    <cellStyle name="표준 11 4 9 3 2" xfId="40452"/>
    <cellStyle name="표준 11 4 9 4" xfId="25488"/>
    <cellStyle name="표준 11 4_Sheet4" xfId="1578"/>
    <cellStyle name="표준 11 5" xfId="1579"/>
    <cellStyle name="표준 11 5 10" xfId="17988"/>
    <cellStyle name="표준 11 5 10 2" xfId="40453"/>
    <cellStyle name="표준 11 5 11" xfId="25489"/>
    <cellStyle name="표준 11 5 2" xfId="1580"/>
    <cellStyle name="표준 11 5 2 10" xfId="25490"/>
    <cellStyle name="표준 11 5 2 2" xfId="1581"/>
    <cellStyle name="표준 11 5 2 2 2" xfId="1582"/>
    <cellStyle name="표준 11 5 2 2 2 2" xfId="1583"/>
    <cellStyle name="표준 11 5 2 2 2 2 2" xfId="1584"/>
    <cellStyle name="표준 11 5 2 2 2 2 2 2" xfId="1585"/>
    <cellStyle name="표준 11 5 2 2 2 2 2 2 2" xfId="10510"/>
    <cellStyle name="표준 11 5 2 2 2 2 2 2 2 2" xfId="32977"/>
    <cellStyle name="표준 11 5 2 2 2 2 2 2 3" xfId="17994"/>
    <cellStyle name="표준 11 5 2 2 2 2 2 2 3 2" xfId="40459"/>
    <cellStyle name="표준 11 5 2 2 2 2 2 2 4" xfId="25495"/>
    <cellStyle name="표준 11 5 2 2 2 2 2 3" xfId="10509"/>
    <cellStyle name="표준 11 5 2 2 2 2 2 3 2" xfId="32976"/>
    <cellStyle name="표준 11 5 2 2 2 2 2 4" xfId="17993"/>
    <cellStyle name="표준 11 5 2 2 2 2 2 4 2" xfId="40458"/>
    <cellStyle name="표준 11 5 2 2 2 2 2 5" xfId="25494"/>
    <cellStyle name="표준 11 5 2 2 2 2 2_Sheet4" xfId="1586"/>
    <cellStyle name="표준 11 5 2 2 2 2 3" xfId="1587"/>
    <cellStyle name="표준 11 5 2 2 2 2 3 2" xfId="10511"/>
    <cellStyle name="표준 11 5 2 2 2 2 3 2 2" xfId="32978"/>
    <cellStyle name="표준 11 5 2 2 2 2 3 3" xfId="17995"/>
    <cellStyle name="표준 11 5 2 2 2 2 3 3 2" xfId="40460"/>
    <cellStyle name="표준 11 5 2 2 2 2 3 4" xfId="25496"/>
    <cellStyle name="표준 11 5 2 2 2 2 4" xfId="10508"/>
    <cellStyle name="표준 11 5 2 2 2 2 4 2" xfId="32975"/>
    <cellStyle name="표준 11 5 2 2 2 2 5" xfId="17992"/>
    <cellStyle name="표준 11 5 2 2 2 2 5 2" xfId="40457"/>
    <cellStyle name="표준 11 5 2 2 2 2 6" xfId="25493"/>
    <cellStyle name="표준 11 5 2 2 2 2_Sheet4" xfId="1588"/>
    <cellStyle name="표준 11 5 2 2 2 3" xfId="1589"/>
    <cellStyle name="표준 11 5 2 2 2 3 2" xfId="1590"/>
    <cellStyle name="표준 11 5 2 2 2 3 2 2" xfId="10513"/>
    <cellStyle name="표준 11 5 2 2 2 3 2 2 2" xfId="32980"/>
    <cellStyle name="표준 11 5 2 2 2 3 2 3" xfId="17997"/>
    <cellStyle name="표준 11 5 2 2 2 3 2 3 2" xfId="40462"/>
    <cellStyle name="표준 11 5 2 2 2 3 2 4" xfId="25498"/>
    <cellStyle name="표준 11 5 2 2 2 3 3" xfId="10512"/>
    <cellStyle name="표준 11 5 2 2 2 3 3 2" xfId="32979"/>
    <cellStyle name="표준 11 5 2 2 2 3 4" xfId="17996"/>
    <cellStyle name="표준 11 5 2 2 2 3 4 2" xfId="40461"/>
    <cellStyle name="표준 11 5 2 2 2 3 5" xfId="25497"/>
    <cellStyle name="표준 11 5 2 2 2 3_Sheet4" xfId="1591"/>
    <cellStyle name="표준 11 5 2 2 2 4" xfId="1592"/>
    <cellStyle name="표준 11 5 2 2 2 4 2" xfId="10514"/>
    <cellStyle name="표준 11 5 2 2 2 4 2 2" xfId="32981"/>
    <cellStyle name="표준 11 5 2 2 2 4 3" xfId="17998"/>
    <cellStyle name="표준 11 5 2 2 2 4 3 2" xfId="40463"/>
    <cellStyle name="표준 11 5 2 2 2 4 4" xfId="25499"/>
    <cellStyle name="표준 11 5 2 2 2 5" xfId="10507"/>
    <cellStyle name="표준 11 5 2 2 2 5 2" xfId="32974"/>
    <cellStyle name="표준 11 5 2 2 2 6" xfId="17991"/>
    <cellStyle name="표준 11 5 2 2 2 6 2" xfId="40456"/>
    <cellStyle name="표준 11 5 2 2 2 7" xfId="25492"/>
    <cellStyle name="표준 11 5 2 2 2_Sheet4" xfId="1593"/>
    <cellStyle name="표준 11 5 2 2 3" xfId="1594"/>
    <cellStyle name="표준 11 5 2 2 3 2" xfId="1595"/>
    <cellStyle name="표준 11 5 2 2 3 2 2" xfId="1596"/>
    <cellStyle name="표준 11 5 2 2 3 2 2 2" xfId="10517"/>
    <cellStyle name="표준 11 5 2 2 3 2 2 2 2" xfId="32984"/>
    <cellStyle name="표준 11 5 2 2 3 2 2 3" xfId="18001"/>
    <cellStyle name="표준 11 5 2 2 3 2 2 3 2" xfId="40466"/>
    <cellStyle name="표준 11 5 2 2 3 2 2 4" xfId="25502"/>
    <cellStyle name="표준 11 5 2 2 3 2 3" xfId="10516"/>
    <cellStyle name="표준 11 5 2 2 3 2 3 2" xfId="32983"/>
    <cellStyle name="표준 11 5 2 2 3 2 4" xfId="18000"/>
    <cellStyle name="표준 11 5 2 2 3 2 4 2" xfId="40465"/>
    <cellStyle name="표준 11 5 2 2 3 2 5" xfId="25501"/>
    <cellStyle name="표준 11 5 2 2 3 2_Sheet4" xfId="1597"/>
    <cellStyle name="표준 11 5 2 2 3 3" xfId="1598"/>
    <cellStyle name="표준 11 5 2 2 3 3 2" xfId="10518"/>
    <cellStyle name="표준 11 5 2 2 3 3 2 2" xfId="32985"/>
    <cellStyle name="표준 11 5 2 2 3 3 3" xfId="18002"/>
    <cellStyle name="표준 11 5 2 2 3 3 3 2" xfId="40467"/>
    <cellStyle name="표준 11 5 2 2 3 3 4" xfId="25503"/>
    <cellStyle name="표준 11 5 2 2 3 4" xfId="10515"/>
    <cellStyle name="표준 11 5 2 2 3 4 2" xfId="32982"/>
    <cellStyle name="표준 11 5 2 2 3 5" xfId="17999"/>
    <cellStyle name="표준 11 5 2 2 3 5 2" xfId="40464"/>
    <cellStyle name="표준 11 5 2 2 3 6" xfId="25500"/>
    <cellStyle name="표준 11 5 2 2 3_Sheet4" xfId="1599"/>
    <cellStyle name="표준 11 5 2 2 4" xfId="1600"/>
    <cellStyle name="표준 11 5 2 2 4 2" xfId="1601"/>
    <cellStyle name="표준 11 5 2 2 4 2 2" xfId="10520"/>
    <cellStyle name="표준 11 5 2 2 4 2 2 2" xfId="32987"/>
    <cellStyle name="표준 11 5 2 2 4 2 3" xfId="18004"/>
    <cellStyle name="표준 11 5 2 2 4 2 3 2" xfId="40469"/>
    <cellStyle name="표준 11 5 2 2 4 2 4" xfId="25505"/>
    <cellStyle name="표준 11 5 2 2 4 3" xfId="10519"/>
    <cellStyle name="표준 11 5 2 2 4 3 2" xfId="32986"/>
    <cellStyle name="표준 11 5 2 2 4 4" xfId="18003"/>
    <cellStyle name="표준 11 5 2 2 4 4 2" xfId="40468"/>
    <cellStyle name="표준 11 5 2 2 4 5" xfId="25504"/>
    <cellStyle name="표준 11 5 2 2 4_Sheet4" xfId="1602"/>
    <cellStyle name="표준 11 5 2 2 5" xfId="1603"/>
    <cellStyle name="표준 11 5 2 2 5 2" xfId="10521"/>
    <cellStyle name="표준 11 5 2 2 5 2 2" xfId="32988"/>
    <cellStyle name="표준 11 5 2 2 5 3" xfId="18005"/>
    <cellStyle name="표준 11 5 2 2 5 3 2" xfId="40470"/>
    <cellStyle name="표준 11 5 2 2 5 4" xfId="25506"/>
    <cellStyle name="표준 11 5 2 2 6" xfId="10506"/>
    <cellStyle name="표준 11 5 2 2 6 2" xfId="32973"/>
    <cellStyle name="표준 11 5 2 2 7" xfId="17990"/>
    <cellStyle name="표준 11 5 2 2 7 2" xfId="40455"/>
    <cellStyle name="표준 11 5 2 2 8" xfId="25491"/>
    <cellStyle name="표준 11 5 2 2_Sheet4" xfId="1604"/>
    <cellStyle name="표준 11 5 2 3" xfId="1605"/>
    <cellStyle name="표준 11 5 2 3 2" xfId="1606"/>
    <cellStyle name="표준 11 5 2 3 2 2" xfId="1607"/>
    <cellStyle name="표준 11 5 2 3 2 2 2" xfId="1608"/>
    <cellStyle name="표준 11 5 2 3 2 2 2 2" xfId="1609"/>
    <cellStyle name="표준 11 5 2 3 2 2 2 2 2" xfId="10526"/>
    <cellStyle name="표준 11 5 2 3 2 2 2 2 2 2" xfId="32993"/>
    <cellStyle name="표준 11 5 2 3 2 2 2 2 3" xfId="18010"/>
    <cellStyle name="표준 11 5 2 3 2 2 2 2 3 2" xfId="40475"/>
    <cellStyle name="표준 11 5 2 3 2 2 2 2 4" xfId="25511"/>
    <cellStyle name="표준 11 5 2 3 2 2 2 3" xfId="10525"/>
    <cellStyle name="표준 11 5 2 3 2 2 2 3 2" xfId="32992"/>
    <cellStyle name="표준 11 5 2 3 2 2 2 4" xfId="18009"/>
    <cellStyle name="표준 11 5 2 3 2 2 2 4 2" xfId="40474"/>
    <cellStyle name="표준 11 5 2 3 2 2 2 5" xfId="25510"/>
    <cellStyle name="표준 11 5 2 3 2 2 2_Sheet4" xfId="1610"/>
    <cellStyle name="표준 11 5 2 3 2 2 3" xfId="1611"/>
    <cellStyle name="표준 11 5 2 3 2 2 3 2" xfId="10527"/>
    <cellStyle name="표준 11 5 2 3 2 2 3 2 2" xfId="32994"/>
    <cellStyle name="표준 11 5 2 3 2 2 3 3" xfId="18011"/>
    <cellStyle name="표준 11 5 2 3 2 2 3 3 2" xfId="40476"/>
    <cellStyle name="표준 11 5 2 3 2 2 3 4" xfId="25512"/>
    <cellStyle name="표준 11 5 2 3 2 2 4" xfId="10524"/>
    <cellStyle name="표준 11 5 2 3 2 2 4 2" xfId="32991"/>
    <cellStyle name="표준 11 5 2 3 2 2 5" xfId="18008"/>
    <cellStyle name="표준 11 5 2 3 2 2 5 2" xfId="40473"/>
    <cellStyle name="표준 11 5 2 3 2 2 6" xfId="25509"/>
    <cellStyle name="표준 11 5 2 3 2 2_Sheet4" xfId="1612"/>
    <cellStyle name="표준 11 5 2 3 2 3" xfId="1613"/>
    <cellStyle name="표준 11 5 2 3 2 3 2" xfId="1614"/>
    <cellStyle name="표준 11 5 2 3 2 3 2 2" xfId="10529"/>
    <cellStyle name="표준 11 5 2 3 2 3 2 2 2" xfId="32996"/>
    <cellStyle name="표준 11 5 2 3 2 3 2 3" xfId="18013"/>
    <cellStyle name="표준 11 5 2 3 2 3 2 3 2" xfId="40478"/>
    <cellStyle name="표준 11 5 2 3 2 3 2 4" xfId="25514"/>
    <cellStyle name="표준 11 5 2 3 2 3 3" xfId="10528"/>
    <cellStyle name="표준 11 5 2 3 2 3 3 2" xfId="32995"/>
    <cellStyle name="표준 11 5 2 3 2 3 4" xfId="18012"/>
    <cellStyle name="표준 11 5 2 3 2 3 4 2" xfId="40477"/>
    <cellStyle name="표준 11 5 2 3 2 3 5" xfId="25513"/>
    <cellStyle name="표준 11 5 2 3 2 3_Sheet4" xfId="1615"/>
    <cellStyle name="표준 11 5 2 3 2 4" xfId="1616"/>
    <cellStyle name="표준 11 5 2 3 2 4 2" xfId="10530"/>
    <cellStyle name="표준 11 5 2 3 2 4 2 2" xfId="32997"/>
    <cellStyle name="표준 11 5 2 3 2 4 3" xfId="18014"/>
    <cellStyle name="표준 11 5 2 3 2 4 3 2" xfId="40479"/>
    <cellStyle name="표준 11 5 2 3 2 4 4" xfId="25515"/>
    <cellStyle name="표준 11 5 2 3 2 5" xfId="10523"/>
    <cellStyle name="표준 11 5 2 3 2 5 2" xfId="32990"/>
    <cellStyle name="표준 11 5 2 3 2 6" xfId="18007"/>
    <cellStyle name="표준 11 5 2 3 2 6 2" xfId="40472"/>
    <cellStyle name="표준 11 5 2 3 2 7" xfId="25508"/>
    <cellStyle name="표준 11 5 2 3 2_Sheet4" xfId="1617"/>
    <cellStyle name="표준 11 5 2 3 3" xfId="1618"/>
    <cellStyle name="표준 11 5 2 3 3 2" xfId="1619"/>
    <cellStyle name="표준 11 5 2 3 3 2 2" xfId="1620"/>
    <cellStyle name="표준 11 5 2 3 3 2 2 2" xfId="10533"/>
    <cellStyle name="표준 11 5 2 3 3 2 2 2 2" xfId="33000"/>
    <cellStyle name="표준 11 5 2 3 3 2 2 3" xfId="18017"/>
    <cellStyle name="표준 11 5 2 3 3 2 2 3 2" xfId="40482"/>
    <cellStyle name="표준 11 5 2 3 3 2 2 4" xfId="25518"/>
    <cellStyle name="표준 11 5 2 3 3 2 3" xfId="10532"/>
    <cellStyle name="표준 11 5 2 3 3 2 3 2" xfId="32999"/>
    <cellStyle name="표준 11 5 2 3 3 2 4" xfId="18016"/>
    <cellStyle name="표준 11 5 2 3 3 2 4 2" xfId="40481"/>
    <cellStyle name="표준 11 5 2 3 3 2 5" xfId="25517"/>
    <cellStyle name="표준 11 5 2 3 3 2_Sheet4" xfId="1621"/>
    <cellStyle name="표준 11 5 2 3 3 3" xfId="1622"/>
    <cellStyle name="표준 11 5 2 3 3 3 2" xfId="10534"/>
    <cellStyle name="표준 11 5 2 3 3 3 2 2" xfId="33001"/>
    <cellStyle name="표준 11 5 2 3 3 3 3" xfId="18018"/>
    <cellStyle name="표준 11 5 2 3 3 3 3 2" xfId="40483"/>
    <cellStyle name="표준 11 5 2 3 3 3 4" xfId="25519"/>
    <cellStyle name="표준 11 5 2 3 3 4" xfId="10531"/>
    <cellStyle name="표준 11 5 2 3 3 4 2" xfId="32998"/>
    <cellStyle name="표준 11 5 2 3 3 5" xfId="18015"/>
    <cellStyle name="표준 11 5 2 3 3 5 2" xfId="40480"/>
    <cellStyle name="표준 11 5 2 3 3 6" xfId="25516"/>
    <cellStyle name="표준 11 5 2 3 3_Sheet4" xfId="1623"/>
    <cellStyle name="표준 11 5 2 3 4" xfId="1624"/>
    <cellStyle name="표준 11 5 2 3 4 2" xfId="1625"/>
    <cellStyle name="표준 11 5 2 3 4 2 2" xfId="10536"/>
    <cellStyle name="표준 11 5 2 3 4 2 2 2" xfId="33003"/>
    <cellStyle name="표준 11 5 2 3 4 2 3" xfId="18020"/>
    <cellStyle name="표준 11 5 2 3 4 2 3 2" xfId="40485"/>
    <cellStyle name="표준 11 5 2 3 4 2 4" xfId="25521"/>
    <cellStyle name="표준 11 5 2 3 4 3" xfId="10535"/>
    <cellStyle name="표준 11 5 2 3 4 3 2" xfId="33002"/>
    <cellStyle name="표준 11 5 2 3 4 4" xfId="18019"/>
    <cellStyle name="표준 11 5 2 3 4 4 2" xfId="40484"/>
    <cellStyle name="표준 11 5 2 3 4 5" xfId="25520"/>
    <cellStyle name="표준 11 5 2 3 4_Sheet4" xfId="1626"/>
    <cellStyle name="표준 11 5 2 3 5" xfId="1627"/>
    <cellStyle name="표준 11 5 2 3 5 2" xfId="10537"/>
    <cellStyle name="표준 11 5 2 3 5 2 2" xfId="33004"/>
    <cellStyle name="표준 11 5 2 3 5 3" xfId="18021"/>
    <cellStyle name="표준 11 5 2 3 5 3 2" xfId="40486"/>
    <cellStyle name="표준 11 5 2 3 5 4" xfId="25522"/>
    <cellStyle name="표준 11 5 2 3 6" xfId="10522"/>
    <cellStyle name="표준 11 5 2 3 6 2" xfId="32989"/>
    <cellStyle name="표준 11 5 2 3 7" xfId="18006"/>
    <cellStyle name="표준 11 5 2 3 7 2" xfId="40471"/>
    <cellStyle name="표준 11 5 2 3 8" xfId="25507"/>
    <cellStyle name="표준 11 5 2 3_Sheet4" xfId="1628"/>
    <cellStyle name="표준 11 5 2 4" xfId="1629"/>
    <cellStyle name="표준 11 5 2 4 2" xfId="1630"/>
    <cellStyle name="표준 11 5 2 4 2 2" xfId="1631"/>
    <cellStyle name="표준 11 5 2 4 2 2 2" xfId="1632"/>
    <cellStyle name="표준 11 5 2 4 2 2 2 2" xfId="10541"/>
    <cellStyle name="표준 11 5 2 4 2 2 2 2 2" xfId="33008"/>
    <cellStyle name="표준 11 5 2 4 2 2 2 3" xfId="18025"/>
    <cellStyle name="표준 11 5 2 4 2 2 2 3 2" xfId="40490"/>
    <cellStyle name="표준 11 5 2 4 2 2 2 4" xfId="25526"/>
    <cellStyle name="표준 11 5 2 4 2 2 3" xfId="10540"/>
    <cellStyle name="표준 11 5 2 4 2 2 3 2" xfId="33007"/>
    <cellStyle name="표준 11 5 2 4 2 2 4" xfId="18024"/>
    <cellStyle name="표준 11 5 2 4 2 2 4 2" xfId="40489"/>
    <cellStyle name="표준 11 5 2 4 2 2 5" xfId="25525"/>
    <cellStyle name="표준 11 5 2 4 2 2_Sheet4" xfId="1633"/>
    <cellStyle name="표준 11 5 2 4 2 3" xfId="1634"/>
    <cellStyle name="표준 11 5 2 4 2 3 2" xfId="10542"/>
    <cellStyle name="표준 11 5 2 4 2 3 2 2" xfId="33009"/>
    <cellStyle name="표준 11 5 2 4 2 3 3" xfId="18026"/>
    <cellStyle name="표준 11 5 2 4 2 3 3 2" xfId="40491"/>
    <cellStyle name="표준 11 5 2 4 2 3 4" xfId="25527"/>
    <cellStyle name="표준 11 5 2 4 2 4" xfId="10539"/>
    <cellStyle name="표준 11 5 2 4 2 4 2" xfId="33006"/>
    <cellStyle name="표준 11 5 2 4 2 5" xfId="18023"/>
    <cellStyle name="표준 11 5 2 4 2 5 2" xfId="40488"/>
    <cellStyle name="표준 11 5 2 4 2 6" xfId="25524"/>
    <cellStyle name="표준 11 5 2 4 2_Sheet4" xfId="1635"/>
    <cellStyle name="표준 11 5 2 4 3" xfId="1636"/>
    <cellStyle name="표준 11 5 2 4 3 2" xfId="1637"/>
    <cellStyle name="표준 11 5 2 4 3 2 2" xfId="10544"/>
    <cellStyle name="표준 11 5 2 4 3 2 2 2" xfId="33011"/>
    <cellStyle name="표준 11 5 2 4 3 2 3" xfId="18028"/>
    <cellStyle name="표준 11 5 2 4 3 2 3 2" xfId="40493"/>
    <cellStyle name="표준 11 5 2 4 3 2 4" xfId="25529"/>
    <cellStyle name="표준 11 5 2 4 3 3" xfId="10543"/>
    <cellStyle name="표준 11 5 2 4 3 3 2" xfId="33010"/>
    <cellStyle name="표준 11 5 2 4 3 4" xfId="18027"/>
    <cellStyle name="표준 11 5 2 4 3 4 2" xfId="40492"/>
    <cellStyle name="표준 11 5 2 4 3 5" xfId="25528"/>
    <cellStyle name="표준 11 5 2 4 3_Sheet4" xfId="1638"/>
    <cellStyle name="표준 11 5 2 4 4" xfId="1639"/>
    <cellStyle name="표준 11 5 2 4 4 2" xfId="10545"/>
    <cellStyle name="표준 11 5 2 4 4 2 2" xfId="33012"/>
    <cellStyle name="표준 11 5 2 4 4 3" xfId="18029"/>
    <cellStyle name="표준 11 5 2 4 4 3 2" xfId="40494"/>
    <cellStyle name="표준 11 5 2 4 4 4" xfId="25530"/>
    <cellStyle name="표준 11 5 2 4 5" xfId="10538"/>
    <cellStyle name="표준 11 5 2 4 5 2" xfId="33005"/>
    <cellStyle name="표준 11 5 2 4 6" xfId="18022"/>
    <cellStyle name="표준 11 5 2 4 6 2" xfId="40487"/>
    <cellStyle name="표준 11 5 2 4 7" xfId="25523"/>
    <cellStyle name="표준 11 5 2 4_Sheet4" xfId="1640"/>
    <cellStyle name="표준 11 5 2 5" xfId="1641"/>
    <cellStyle name="표준 11 5 2 5 2" xfId="1642"/>
    <cellStyle name="표준 11 5 2 5 2 2" xfId="1643"/>
    <cellStyle name="표준 11 5 2 5 2 2 2" xfId="10548"/>
    <cellStyle name="표준 11 5 2 5 2 2 2 2" xfId="33015"/>
    <cellStyle name="표준 11 5 2 5 2 2 3" xfId="18032"/>
    <cellStyle name="표준 11 5 2 5 2 2 3 2" xfId="40497"/>
    <cellStyle name="표준 11 5 2 5 2 2 4" xfId="25533"/>
    <cellStyle name="표준 11 5 2 5 2 3" xfId="10547"/>
    <cellStyle name="표준 11 5 2 5 2 3 2" xfId="33014"/>
    <cellStyle name="표준 11 5 2 5 2 4" xfId="18031"/>
    <cellStyle name="표준 11 5 2 5 2 4 2" xfId="40496"/>
    <cellStyle name="표준 11 5 2 5 2 5" xfId="25532"/>
    <cellStyle name="표준 11 5 2 5 2_Sheet4" xfId="1644"/>
    <cellStyle name="표준 11 5 2 5 3" xfId="1645"/>
    <cellStyle name="표준 11 5 2 5 3 2" xfId="10549"/>
    <cellStyle name="표준 11 5 2 5 3 2 2" xfId="33016"/>
    <cellStyle name="표준 11 5 2 5 3 3" xfId="18033"/>
    <cellStyle name="표준 11 5 2 5 3 3 2" xfId="40498"/>
    <cellStyle name="표준 11 5 2 5 3 4" xfId="25534"/>
    <cellStyle name="표준 11 5 2 5 4" xfId="10546"/>
    <cellStyle name="표준 11 5 2 5 4 2" xfId="33013"/>
    <cellStyle name="표준 11 5 2 5 5" xfId="18030"/>
    <cellStyle name="표준 11 5 2 5 5 2" xfId="40495"/>
    <cellStyle name="표준 11 5 2 5 6" xfId="25531"/>
    <cellStyle name="표준 11 5 2 5_Sheet4" xfId="1646"/>
    <cellStyle name="표준 11 5 2 6" xfId="1647"/>
    <cellStyle name="표준 11 5 2 6 2" xfId="1648"/>
    <cellStyle name="표준 11 5 2 6 2 2" xfId="10551"/>
    <cellStyle name="표준 11 5 2 6 2 2 2" xfId="33018"/>
    <cellStyle name="표준 11 5 2 6 2 3" xfId="18035"/>
    <cellStyle name="표준 11 5 2 6 2 3 2" xfId="40500"/>
    <cellStyle name="표준 11 5 2 6 2 4" xfId="25536"/>
    <cellStyle name="표준 11 5 2 6 3" xfId="10550"/>
    <cellStyle name="표준 11 5 2 6 3 2" xfId="33017"/>
    <cellStyle name="표준 11 5 2 6 4" xfId="18034"/>
    <cellStyle name="표준 11 5 2 6 4 2" xfId="40499"/>
    <cellStyle name="표준 11 5 2 6 5" xfId="25535"/>
    <cellStyle name="표준 11 5 2 6_Sheet4" xfId="1649"/>
    <cellStyle name="표준 11 5 2 7" xfId="1650"/>
    <cellStyle name="표준 11 5 2 7 2" xfId="10552"/>
    <cellStyle name="표준 11 5 2 7 2 2" xfId="33019"/>
    <cellStyle name="표준 11 5 2 7 3" xfId="18036"/>
    <cellStyle name="표준 11 5 2 7 3 2" xfId="40501"/>
    <cellStyle name="표준 11 5 2 7 4" xfId="25537"/>
    <cellStyle name="표준 11 5 2 8" xfId="10505"/>
    <cellStyle name="표준 11 5 2 8 2" xfId="32972"/>
    <cellStyle name="표준 11 5 2 9" xfId="17989"/>
    <cellStyle name="표준 11 5 2 9 2" xfId="40454"/>
    <cellStyle name="표준 11 5 2_Sheet4" xfId="1651"/>
    <cellStyle name="표준 11 5 3" xfId="1652"/>
    <cellStyle name="표준 11 5 3 2" xfId="1653"/>
    <cellStyle name="표준 11 5 3 2 2" xfId="1654"/>
    <cellStyle name="표준 11 5 3 2 2 2" xfId="1655"/>
    <cellStyle name="표준 11 5 3 2 2 2 2" xfId="1656"/>
    <cellStyle name="표준 11 5 3 2 2 2 2 2" xfId="10557"/>
    <cellStyle name="표준 11 5 3 2 2 2 2 2 2" xfId="33024"/>
    <cellStyle name="표준 11 5 3 2 2 2 2 3" xfId="18041"/>
    <cellStyle name="표준 11 5 3 2 2 2 2 3 2" xfId="40506"/>
    <cellStyle name="표준 11 5 3 2 2 2 2 4" xfId="25542"/>
    <cellStyle name="표준 11 5 3 2 2 2 3" xfId="10556"/>
    <cellStyle name="표준 11 5 3 2 2 2 3 2" xfId="33023"/>
    <cellStyle name="표준 11 5 3 2 2 2 4" xfId="18040"/>
    <cellStyle name="표준 11 5 3 2 2 2 4 2" xfId="40505"/>
    <cellStyle name="표준 11 5 3 2 2 2 5" xfId="25541"/>
    <cellStyle name="표준 11 5 3 2 2 2_Sheet4" xfId="1657"/>
    <cellStyle name="표준 11 5 3 2 2 3" xfId="1658"/>
    <cellStyle name="표준 11 5 3 2 2 3 2" xfId="10558"/>
    <cellStyle name="표준 11 5 3 2 2 3 2 2" xfId="33025"/>
    <cellStyle name="표준 11 5 3 2 2 3 3" xfId="18042"/>
    <cellStyle name="표준 11 5 3 2 2 3 3 2" xfId="40507"/>
    <cellStyle name="표준 11 5 3 2 2 3 4" xfId="25543"/>
    <cellStyle name="표준 11 5 3 2 2 4" xfId="10555"/>
    <cellStyle name="표준 11 5 3 2 2 4 2" xfId="33022"/>
    <cellStyle name="표준 11 5 3 2 2 5" xfId="18039"/>
    <cellStyle name="표준 11 5 3 2 2 5 2" xfId="40504"/>
    <cellStyle name="표준 11 5 3 2 2 6" xfId="25540"/>
    <cellStyle name="표준 11 5 3 2 2_Sheet4" xfId="1659"/>
    <cellStyle name="표준 11 5 3 2 3" xfId="1660"/>
    <cellStyle name="표준 11 5 3 2 3 2" xfId="1661"/>
    <cellStyle name="표준 11 5 3 2 3 2 2" xfId="10560"/>
    <cellStyle name="표준 11 5 3 2 3 2 2 2" xfId="33027"/>
    <cellStyle name="표준 11 5 3 2 3 2 3" xfId="18044"/>
    <cellStyle name="표준 11 5 3 2 3 2 3 2" xfId="40509"/>
    <cellStyle name="표준 11 5 3 2 3 2 4" xfId="25545"/>
    <cellStyle name="표준 11 5 3 2 3 3" xfId="10559"/>
    <cellStyle name="표준 11 5 3 2 3 3 2" xfId="33026"/>
    <cellStyle name="표준 11 5 3 2 3 4" xfId="18043"/>
    <cellStyle name="표준 11 5 3 2 3 4 2" xfId="40508"/>
    <cellStyle name="표준 11 5 3 2 3 5" xfId="25544"/>
    <cellStyle name="표준 11 5 3 2 3_Sheet4" xfId="1662"/>
    <cellStyle name="표준 11 5 3 2 4" xfId="1663"/>
    <cellStyle name="표준 11 5 3 2 4 2" xfId="10561"/>
    <cellStyle name="표준 11 5 3 2 4 2 2" xfId="33028"/>
    <cellStyle name="표준 11 5 3 2 4 3" xfId="18045"/>
    <cellStyle name="표준 11 5 3 2 4 3 2" xfId="40510"/>
    <cellStyle name="표준 11 5 3 2 4 4" xfId="25546"/>
    <cellStyle name="표준 11 5 3 2 5" xfId="10554"/>
    <cellStyle name="표준 11 5 3 2 5 2" xfId="33021"/>
    <cellStyle name="표준 11 5 3 2 6" xfId="18038"/>
    <cellStyle name="표준 11 5 3 2 6 2" xfId="40503"/>
    <cellStyle name="표준 11 5 3 2 7" xfId="25539"/>
    <cellStyle name="표준 11 5 3 2_Sheet4" xfId="1664"/>
    <cellStyle name="표준 11 5 3 3" xfId="1665"/>
    <cellStyle name="표준 11 5 3 3 2" xfId="1666"/>
    <cellStyle name="표준 11 5 3 3 2 2" xfId="1667"/>
    <cellStyle name="표준 11 5 3 3 2 2 2" xfId="10564"/>
    <cellStyle name="표준 11 5 3 3 2 2 2 2" xfId="33031"/>
    <cellStyle name="표준 11 5 3 3 2 2 3" xfId="18048"/>
    <cellStyle name="표준 11 5 3 3 2 2 3 2" xfId="40513"/>
    <cellStyle name="표준 11 5 3 3 2 2 4" xfId="25549"/>
    <cellStyle name="표준 11 5 3 3 2 3" xfId="10563"/>
    <cellStyle name="표준 11 5 3 3 2 3 2" xfId="33030"/>
    <cellStyle name="표준 11 5 3 3 2 4" xfId="18047"/>
    <cellStyle name="표준 11 5 3 3 2 4 2" xfId="40512"/>
    <cellStyle name="표준 11 5 3 3 2 5" xfId="25548"/>
    <cellStyle name="표준 11 5 3 3 2_Sheet4" xfId="1668"/>
    <cellStyle name="표준 11 5 3 3 3" xfId="1669"/>
    <cellStyle name="표준 11 5 3 3 3 2" xfId="10565"/>
    <cellStyle name="표준 11 5 3 3 3 2 2" xfId="33032"/>
    <cellStyle name="표준 11 5 3 3 3 3" xfId="18049"/>
    <cellStyle name="표준 11 5 3 3 3 3 2" xfId="40514"/>
    <cellStyle name="표준 11 5 3 3 3 4" xfId="25550"/>
    <cellStyle name="표준 11 5 3 3 4" xfId="10562"/>
    <cellStyle name="표준 11 5 3 3 4 2" xfId="33029"/>
    <cellStyle name="표준 11 5 3 3 5" xfId="18046"/>
    <cellStyle name="표준 11 5 3 3 5 2" xfId="40511"/>
    <cellStyle name="표준 11 5 3 3 6" xfId="25547"/>
    <cellStyle name="표준 11 5 3 3_Sheet4" xfId="1670"/>
    <cellStyle name="표준 11 5 3 4" xfId="1671"/>
    <cellStyle name="표준 11 5 3 4 2" xfId="1672"/>
    <cellStyle name="표준 11 5 3 4 2 2" xfId="10567"/>
    <cellStyle name="표준 11 5 3 4 2 2 2" xfId="33034"/>
    <cellStyle name="표준 11 5 3 4 2 3" xfId="18051"/>
    <cellStyle name="표준 11 5 3 4 2 3 2" xfId="40516"/>
    <cellStyle name="표준 11 5 3 4 2 4" xfId="25552"/>
    <cellStyle name="표준 11 5 3 4 3" xfId="10566"/>
    <cellStyle name="표준 11 5 3 4 3 2" xfId="33033"/>
    <cellStyle name="표준 11 5 3 4 4" xfId="18050"/>
    <cellStyle name="표준 11 5 3 4 4 2" xfId="40515"/>
    <cellStyle name="표준 11 5 3 4 5" xfId="25551"/>
    <cellStyle name="표준 11 5 3 4_Sheet4" xfId="1673"/>
    <cellStyle name="표준 11 5 3 5" xfId="1674"/>
    <cellStyle name="표준 11 5 3 5 2" xfId="10568"/>
    <cellStyle name="표준 11 5 3 5 2 2" xfId="33035"/>
    <cellStyle name="표준 11 5 3 5 3" xfId="18052"/>
    <cellStyle name="표준 11 5 3 5 3 2" xfId="40517"/>
    <cellStyle name="표준 11 5 3 5 4" xfId="25553"/>
    <cellStyle name="표준 11 5 3 6" xfId="10553"/>
    <cellStyle name="표준 11 5 3 6 2" xfId="33020"/>
    <cellStyle name="표준 11 5 3 7" xfId="18037"/>
    <cellStyle name="표준 11 5 3 7 2" xfId="40502"/>
    <cellStyle name="표준 11 5 3 8" xfId="25538"/>
    <cellStyle name="표준 11 5 3_Sheet4" xfId="1675"/>
    <cellStyle name="표준 11 5 4" xfId="1676"/>
    <cellStyle name="표준 11 5 4 2" xfId="1677"/>
    <cellStyle name="표준 11 5 4 2 2" xfId="1678"/>
    <cellStyle name="표준 11 5 4 2 2 2" xfId="1679"/>
    <cellStyle name="표준 11 5 4 2 2 2 2" xfId="1680"/>
    <cellStyle name="표준 11 5 4 2 2 2 2 2" xfId="10573"/>
    <cellStyle name="표준 11 5 4 2 2 2 2 2 2" xfId="33040"/>
    <cellStyle name="표준 11 5 4 2 2 2 2 3" xfId="18057"/>
    <cellStyle name="표준 11 5 4 2 2 2 2 3 2" xfId="40522"/>
    <cellStyle name="표준 11 5 4 2 2 2 2 4" xfId="25558"/>
    <cellStyle name="표준 11 5 4 2 2 2 3" xfId="10572"/>
    <cellStyle name="표준 11 5 4 2 2 2 3 2" xfId="33039"/>
    <cellStyle name="표준 11 5 4 2 2 2 4" xfId="18056"/>
    <cellStyle name="표준 11 5 4 2 2 2 4 2" xfId="40521"/>
    <cellStyle name="표준 11 5 4 2 2 2 5" xfId="25557"/>
    <cellStyle name="표준 11 5 4 2 2 2_Sheet4" xfId="1681"/>
    <cellStyle name="표준 11 5 4 2 2 3" xfId="1682"/>
    <cellStyle name="표준 11 5 4 2 2 3 2" xfId="10574"/>
    <cellStyle name="표준 11 5 4 2 2 3 2 2" xfId="33041"/>
    <cellStyle name="표준 11 5 4 2 2 3 3" xfId="18058"/>
    <cellStyle name="표준 11 5 4 2 2 3 3 2" xfId="40523"/>
    <cellStyle name="표준 11 5 4 2 2 3 4" xfId="25559"/>
    <cellStyle name="표준 11 5 4 2 2 4" xfId="10571"/>
    <cellStyle name="표준 11 5 4 2 2 4 2" xfId="33038"/>
    <cellStyle name="표준 11 5 4 2 2 5" xfId="18055"/>
    <cellStyle name="표준 11 5 4 2 2 5 2" xfId="40520"/>
    <cellStyle name="표준 11 5 4 2 2 6" xfId="25556"/>
    <cellStyle name="표준 11 5 4 2 2_Sheet4" xfId="1683"/>
    <cellStyle name="표준 11 5 4 2 3" xfId="1684"/>
    <cellStyle name="표준 11 5 4 2 3 2" xfId="1685"/>
    <cellStyle name="표준 11 5 4 2 3 2 2" xfId="10576"/>
    <cellStyle name="표준 11 5 4 2 3 2 2 2" xfId="33043"/>
    <cellStyle name="표준 11 5 4 2 3 2 3" xfId="18060"/>
    <cellStyle name="표준 11 5 4 2 3 2 3 2" xfId="40525"/>
    <cellStyle name="표준 11 5 4 2 3 2 4" xfId="25561"/>
    <cellStyle name="표준 11 5 4 2 3 3" xfId="10575"/>
    <cellStyle name="표준 11 5 4 2 3 3 2" xfId="33042"/>
    <cellStyle name="표준 11 5 4 2 3 4" xfId="18059"/>
    <cellStyle name="표준 11 5 4 2 3 4 2" xfId="40524"/>
    <cellStyle name="표준 11 5 4 2 3 5" xfId="25560"/>
    <cellStyle name="표준 11 5 4 2 3_Sheet4" xfId="1686"/>
    <cellStyle name="표준 11 5 4 2 4" xfId="1687"/>
    <cellStyle name="표준 11 5 4 2 4 2" xfId="10577"/>
    <cellStyle name="표준 11 5 4 2 4 2 2" xfId="33044"/>
    <cellStyle name="표준 11 5 4 2 4 3" xfId="18061"/>
    <cellStyle name="표준 11 5 4 2 4 3 2" xfId="40526"/>
    <cellStyle name="표준 11 5 4 2 4 4" xfId="25562"/>
    <cellStyle name="표준 11 5 4 2 5" xfId="10570"/>
    <cellStyle name="표준 11 5 4 2 5 2" xfId="33037"/>
    <cellStyle name="표준 11 5 4 2 6" xfId="18054"/>
    <cellStyle name="표준 11 5 4 2 6 2" xfId="40519"/>
    <cellStyle name="표준 11 5 4 2 7" xfId="25555"/>
    <cellStyle name="표준 11 5 4 2_Sheet4" xfId="1688"/>
    <cellStyle name="표준 11 5 4 3" xfId="1689"/>
    <cellStyle name="표준 11 5 4 3 2" xfId="1690"/>
    <cellStyle name="표준 11 5 4 3 2 2" xfId="1691"/>
    <cellStyle name="표준 11 5 4 3 2 2 2" xfId="10580"/>
    <cellStyle name="표준 11 5 4 3 2 2 2 2" xfId="33047"/>
    <cellStyle name="표준 11 5 4 3 2 2 3" xfId="18064"/>
    <cellStyle name="표준 11 5 4 3 2 2 3 2" xfId="40529"/>
    <cellStyle name="표준 11 5 4 3 2 2 4" xfId="25565"/>
    <cellStyle name="표준 11 5 4 3 2 3" xfId="10579"/>
    <cellStyle name="표준 11 5 4 3 2 3 2" xfId="33046"/>
    <cellStyle name="표준 11 5 4 3 2 4" xfId="18063"/>
    <cellStyle name="표준 11 5 4 3 2 4 2" xfId="40528"/>
    <cellStyle name="표준 11 5 4 3 2 5" xfId="25564"/>
    <cellStyle name="표준 11 5 4 3 2_Sheet4" xfId="1692"/>
    <cellStyle name="표준 11 5 4 3 3" xfId="1693"/>
    <cellStyle name="표준 11 5 4 3 3 2" xfId="10581"/>
    <cellStyle name="표준 11 5 4 3 3 2 2" xfId="33048"/>
    <cellStyle name="표준 11 5 4 3 3 3" xfId="18065"/>
    <cellStyle name="표준 11 5 4 3 3 3 2" xfId="40530"/>
    <cellStyle name="표준 11 5 4 3 3 4" xfId="25566"/>
    <cellStyle name="표준 11 5 4 3 4" xfId="10578"/>
    <cellStyle name="표준 11 5 4 3 4 2" xfId="33045"/>
    <cellStyle name="표준 11 5 4 3 5" xfId="18062"/>
    <cellStyle name="표준 11 5 4 3 5 2" xfId="40527"/>
    <cellStyle name="표준 11 5 4 3 6" xfId="25563"/>
    <cellStyle name="표준 11 5 4 3_Sheet4" xfId="1694"/>
    <cellStyle name="표준 11 5 4 4" xfId="1695"/>
    <cellStyle name="표준 11 5 4 4 2" xfId="1696"/>
    <cellStyle name="표준 11 5 4 4 2 2" xfId="10583"/>
    <cellStyle name="표준 11 5 4 4 2 2 2" xfId="33050"/>
    <cellStyle name="표준 11 5 4 4 2 3" xfId="18067"/>
    <cellStyle name="표준 11 5 4 4 2 3 2" xfId="40532"/>
    <cellStyle name="표준 11 5 4 4 2 4" xfId="25568"/>
    <cellStyle name="표준 11 5 4 4 3" xfId="10582"/>
    <cellStyle name="표준 11 5 4 4 3 2" xfId="33049"/>
    <cellStyle name="표준 11 5 4 4 4" xfId="18066"/>
    <cellStyle name="표준 11 5 4 4 4 2" xfId="40531"/>
    <cellStyle name="표준 11 5 4 4 5" xfId="25567"/>
    <cellStyle name="표준 11 5 4 4_Sheet4" xfId="1697"/>
    <cellStyle name="표준 11 5 4 5" xfId="1698"/>
    <cellStyle name="표준 11 5 4 5 2" xfId="10584"/>
    <cellStyle name="표준 11 5 4 5 2 2" xfId="33051"/>
    <cellStyle name="표준 11 5 4 5 3" xfId="18068"/>
    <cellStyle name="표준 11 5 4 5 3 2" xfId="40533"/>
    <cellStyle name="표준 11 5 4 5 4" xfId="25569"/>
    <cellStyle name="표준 11 5 4 6" xfId="10569"/>
    <cellStyle name="표준 11 5 4 6 2" xfId="33036"/>
    <cellStyle name="표준 11 5 4 7" xfId="18053"/>
    <cellStyle name="표준 11 5 4 7 2" xfId="40518"/>
    <cellStyle name="표준 11 5 4 8" xfId="25554"/>
    <cellStyle name="표준 11 5 4_Sheet4" xfId="1699"/>
    <cellStyle name="표준 11 5 5" xfId="1700"/>
    <cellStyle name="표준 11 5 5 2" xfId="1701"/>
    <cellStyle name="표준 11 5 5 2 2" xfId="1702"/>
    <cellStyle name="표준 11 5 5 2 2 2" xfId="1703"/>
    <cellStyle name="표준 11 5 5 2 2 2 2" xfId="10588"/>
    <cellStyle name="표준 11 5 5 2 2 2 2 2" xfId="33055"/>
    <cellStyle name="표준 11 5 5 2 2 2 3" xfId="18072"/>
    <cellStyle name="표준 11 5 5 2 2 2 3 2" xfId="40537"/>
    <cellStyle name="표준 11 5 5 2 2 2 4" xfId="25573"/>
    <cellStyle name="표준 11 5 5 2 2 3" xfId="10587"/>
    <cellStyle name="표준 11 5 5 2 2 3 2" xfId="33054"/>
    <cellStyle name="표준 11 5 5 2 2 4" xfId="18071"/>
    <cellStyle name="표준 11 5 5 2 2 4 2" xfId="40536"/>
    <cellStyle name="표준 11 5 5 2 2 5" xfId="25572"/>
    <cellStyle name="표준 11 5 5 2 2_Sheet4" xfId="1704"/>
    <cellStyle name="표준 11 5 5 2 3" xfId="1705"/>
    <cellStyle name="표준 11 5 5 2 3 2" xfId="10589"/>
    <cellStyle name="표준 11 5 5 2 3 2 2" xfId="33056"/>
    <cellStyle name="표준 11 5 5 2 3 3" xfId="18073"/>
    <cellStyle name="표준 11 5 5 2 3 3 2" xfId="40538"/>
    <cellStyle name="표준 11 5 5 2 3 4" xfId="25574"/>
    <cellStyle name="표준 11 5 5 2 4" xfId="10586"/>
    <cellStyle name="표준 11 5 5 2 4 2" xfId="33053"/>
    <cellStyle name="표준 11 5 5 2 5" xfId="18070"/>
    <cellStyle name="표준 11 5 5 2 5 2" xfId="40535"/>
    <cellStyle name="표준 11 5 5 2 6" xfId="25571"/>
    <cellStyle name="표준 11 5 5 2_Sheet4" xfId="1706"/>
    <cellStyle name="표준 11 5 5 3" xfId="1707"/>
    <cellStyle name="표준 11 5 5 3 2" xfId="1708"/>
    <cellStyle name="표준 11 5 5 3 2 2" xfId="10591"/>
    <cellStyle name="표준 11 5 5 3 2 2 2" xfId="33058"/>
    <cellStyle name="표준 11 5 5 3 2 3" xfId="18075"/>
    <cellStyle name="표준 11 5 5 3 2 3 2" xfId="40540"/>
    <cellStyle name="표준 11 5 5 3 2 4" xfId="25576"/>
    <cellStyle name="표준 11 5 5 3 3" xfId="10590"/>
    <cellStyle name="표준 11 5 5 3 3 2" xfId="33057"/>
    <cellStyle name="표준 11 5 5 3 4" xfId="18074"/>
    <cellStyle name="표준 11 5 5 3 4 2" xfId="40539"/>
    <cellStyle name="표준 11 5 5 3 5" xfId="25575"/>
    <cellStyle name="표준 11 5 5 3_Sheet4" xfId="1709"/>
    <cellStyle name="표준 11 5 5 4" xfId="1710"/>
    <cellStyle name="표준 11 5 5 4 2" xfId="10592"/>
    <cellStyle name="표준 11 5 5 4 2 2" xfId="33059"/>
    <cellStyle name="표준 11 5 5 4 3" xfId="18076"/>
    <cellStyle name="표준 11 5 5 4 3 2" xfId="40541"/>
    <cellStyle name="표준 11 5 5 4 4" xfId="25577"/>
    <cellStyle name="표준 11 5 5 5" xfId="10585"/>
    <cellStyle name="표준 11 5 5 5 2" xfId="33052"/>
    <cellStyle name="표준 11 5 5 6" xfId="18069"/>
    <cellStyle name="표준 11 5 5 6 2" xfId="40534"/>
    <cellStyle name="표준 11 5 5 7" xfId="25570"/>
    <cellStyle name="표준 11 5 5_Sheet4" xfId="1711"/>
    <cellStyle name="표준 11 5 6" xfId="1712"/>
    <cellStyle name="표준 11 5 6 2" xfId="1713"/>
    <cellStyle name="표준 11 5 6 2 2" xfId="1714"/>
    <cellStyle name="표준 11 5 6 2 2 2" xfId="10595"/>
    <cellStyle name="표준 11 5 6 2 2 2 2" xfId="33062"/>
    <cellStyle name="표준 11 5 6 2 2 3" xfId="18079"/>
    <cellStyle name="표준 11 5 6 2 2 3 2" xfId="40544"/>
    <cellStyle name="표준 11 5 6 2 2 4" xfId="25580"/>
    <cellStyle name="표준 11 5 6 2 3" xfId="10594"/>
    <cellStyle name="표준 11 5 6 2 3 2" xfId="33061"/>
    <cellStyle name="표준 11 5 6 2 4" xfId="18078"/>
    <cellStyle name="표준 11 5 6 2 4 2" xfId="40543"/>
    <cellStyle name="표준 11 5 6 2 5" xfId="25579"/>
    <cellStyle name="표준 11 5 6 2_Sheet4" xfId="1715"/>
    <cellStyle name="표준 11 5 6 3" xfId="1716"/>
    <cellStyle name="표준 11 5 6 3 2" xfId="10596"/>
    <cellStyle name="표준 11 5 6 3 2 2" xfId="33063"/>
    <cellStyle name="표준 11 5 6 3 3" xfId="18080"/>
    <cellStyle name="표준 11 5 6 3 3 2" xfId="40545"/>
    <cellStyle name="표준 11 5 6 3 4" xfId="25581"/>
    <cellStyle name="표준 11 5 6 4" xfId="10593"/>
    <cellStyle name="표준 11 5 6 4 2" xfId="33060"/>
    <cellStyle name="표준 11 5 6 5" xfId="18077"/>
    <cellStyle name="표준 11 5 6 5 2" xfId="40542"/>
    <cellStyle name="표준 11 5 6 6" xfId="25578"/>
    <cellStyle name="표준 11 5 6_Sheet4" xfId="1717"/>
    <cellStyle name="표준 11 5 7" xfId="1718"/>
    <cellStyle name="표준 11 5 7 2" xfId="1719"/>
    <cellStyle name="표준 11 5 7 2 2" xfId="10598"/>
    <cellStyle name="표준 11 5 7 2 2 2" xfId="33065"/>
    <cellStyle name="표준 11 5 7 2 3" xfId="18082"/>
    <cellStyle name="표준 11 5 7 2 3 2" xfId="40547"/>
    <cellStyle name="표준 11 5 7 2 4" xfId="25583"/>
    <cellStyle name="표준 11 5 7 3" xfId="10597"/>
    <cellStyle name="표준 11 5 7 3 2" xfId="33064"/>
    <cellStyle name="표준 11 5 7 4" xfId="18081"/>
    <cellStyle name="표준 11 5 7 4 2" xfId="40546"/>
    <cellStyle name="표준 11 5 7 5" xfId="25582"/>
    <cellStyle name="표준 11 5 7_Sheet4" xfId="1720"/>
    <cellStyle name="표준 11 5 8" xfId="1721"/>
    <cellStyle name="표준 11 5 8 2" xfId="10599"/>
    <cellStyle name="표준 11 5 8 2 2" xfId="33066"/>
    <cellStyle name="표준 11 5 8 3" xfId="18083"/>
    <cellStyle name="표준 11 5 8 3 2" xfId="40548"/>
    <cellStyle name="표준 11 5 8 4" xfId="25584"/>
    <cellStyle name="표준 11 5 9" xfId="10504"/>
    <cellStyle name="표준 11 5 9 2" xfId="32971"/>
    <cellStyle name="표준 11 5_Sheet4" xfId="1722"/>
    <cellStyle name="표준 11 6" xfId="1723"/>
    <cellStyle name="표준 11 6 10" xfId="25585"/>
    <cellStyle name="표준 11 6 2" xfId="1724"/>
    <cellStyle name="표준 11 6 2 2" xfId="1725"/>
    <cellStyle name="표준 11 6 2 2 2" xfId="1726"/>
    <cellStyle name="표준 11 6 2 2 2 2" xfId="1727"/>
    <cellStyle name="표준 11 6 2 2 2 2 2" xfId="1728"/>
    <cellStyle name="표준 11 6 2 2 2 2 2 2" xfId="10605"/>
    <cellStyle name="표준 11 6 2 2 2 2 2 2 2" xfId="33072"/>
    <cellStyle name="표준 11 6 2 2 2 2 2 3" xfId="18089"/>
    <cellStyle name="표준 11 6 2 2 2 2 2 3 2" xfId="40554"/>
    <cellStyle name="표준 11 6 2 2 2 2 2 4" xfId="25590"/>
    <cellStyle name="표준 11 6 2 2 2 2 3" xfId="10604"/>
    <cellStyle name="표준 11 6 2 2 2 2 3 2" xfId="33071"/>
    <cellStyle name="표준 11 6 2 2 2 2 4" xfId="18088"/>
    <cellStyle name="표준 11 6 2 2 2 2 4 2" xfId="40553"/>
    <cellStyle name="표준 11 6 2 2 2 2 5" xfId="25589"/>
    <cellStyle name="표준 11 6 2 2 2 2_Sheet4" xfId="1729"/>
    <cellStyle name="표준 11 6 2 2 2 3" xfId="1730"/>
    <cellStyle name="표준 11 6 2 2 2 3 2" xfId="10606"/>
    <cellStyle name="표준 11 6 2 2 2 3 2 2" xfId="33073"/>
    <cellStyle name="표준 11 6 2 2 2 3 3" xfId="18090"/>
    <cellStyle name="표준 11 6 2 2 2 3 3 2" xfId="40555"/>
    <cellStyle name="표준 11 6 2 2 2 3 4" xfId="25591"/>
    <cellStyle name="표준 11 6 2 2 2 4" xfId="10603"/>
    <cellStyle name="표준 11 6 2 2 2 4 2" xfId="33070"/>
    <cellStyle name="표준 11 6 2 2 2 5" xfId="18087"/>
    <cellStyle name="표준 11 6 2 2 2 5 2" xfId="40552"/>
    <cellStyle name="표준 11 6 2 2 2 6" xfId="25588"/>
    <cellStyle name="표준 11 6 2 2 2_Sheet4" xfId="1731"/>
    <cellStyle name="표준 11 6 2 2 3" xfId="1732"/>
    <cellStyle name="표준 11 6 2 2 3 2" xfId="1733"/>
    <cellStyle name="표준 11 6 2 2 3 2 2" xfId="10608"/>
    <cellStyle name="표준 11 6 2 2 3 2 2 2" xfId="33075"/>
    <cellStyle name="표준 11 6 2 2 3 2 3" xfId="18092"/>
    <cellStyle name="표준 11 6 2 2 3 2 3 2" xfId="40557"/>
    <cellStyle name="표준 11 6 2 2 3 2 4" xfId="25593"/>
    <cellStyle name="표준 11 6 2 2 3 3" xfId="10607"/>
    <cellStyle name="표준 11 6 2 2 3 3 2" xfId="33074"/>
    <cellStyle name="표준 11 6 2 2 3 4" xfId="18091"/>
    <cellStyle name="표준 11 6 2 2 3 4 2" xfId="40556"/>
    <cellStyle name="표준 11 6 2 2 3 5" xfId="25592"/>
    <cellStyle name="표준 11 6 2 2 3_Sheet4" xfId="1734"/>
    <cellStyle name="표준 11 6 2 2 4" xfId="1735"/>
    <cellStyle name="표준 11 6 2 2 4 2" xfId="10609"/>
    <cellStyle name="표준 11 6 2 2 4 2 2" xfId="33076"/>
    <cellStyle name="표준 11 6 2 2 4 3" xfId="18093"/>
    <cellStyle name="표준 11 6 2 2 4 3 2" xfId="40558"/>
    <cellStyle name="표준 11 6 2 2 4 4" xfId="25594"/>
    <cellStyle name="표준 11 6 2 2 5" xfId="10602"/>
    <cellStyle name="표준 11 6 2 2 5 2" xfId="33069"/>
    <cellStyle name="표준 11 6 2 2 6" xfId="18086"/>
    <cellStyle name="표준 11 6 2 2 6 2" xfId="40551"/>
    <cellStyle name="표준 11 6 2 2 7" xfId="25587"/>
    <cellStyle name="표준 11 6 2 2_Sheet4" xfId="1736"/>
    <cellStyle name="표준 11 6 2 3" xfId="1737"/>
    <cellStyle name="표준 11 6 2 3 2" xfId="1738"/>
    <cellStyle name="표준 11 6 2 3 2 2" xfId="1739"/>
    <cellStyle name="표준 11 6 2 3 2 2 2" xfId="10612"/>
    <cellStyle name="표준 11 6 2 3 2 2 2 2" xfId="33079"/>
    <cellStyle name="표준 11 6 2 3 2 2 3" xfId="18096"/>
    <cellStyle name="표준 11 6 2 3 2 2 3 2" xfId="40561"/>
    <cellStyle name="표준 11 6 2 3 2 2 4" xfId="25597"/>
    <cellStyle name="표준 11 6 2 3 2 3" xfId="10611"/>
    <cellStyle name="표준 11 6 2 3 2 3 2" xfId="33078"/>
    <cellStyle name="표준 11 6 2 3 2 4" xfId="18095"/>
    <cellStyle name="표준 11 6 2 3 2 4 2" xfId="40560"/>
    <cellStyle name="표준 11 6 2 3 2 5" xfId="25596"/>
    <cellStyle name="표준 11 6 2 3 2_Sheet4" xfId="1740"/>
    <cellStyle name="표준 11 6 2 3 3" xfId="1741"/>
    <cellStyle name="표준 11 6 2 3 3 2" xfId="10613"/>
    <cellStyle name="표준 11 6 2 3 3 2 2" xfId="33080"/>
    <cellStyle name="표준 11 6 2 3 3 3" xfId="18097"/>
    <cellStyle name="표준 11 6 2 3 3 3 2" xfId="40562"/>
    <cellStyle name="표준 11 6 2 3 3 4" xfId="25598"/>
    <cellStyle name="표준 11 6 2 3 4" xfId="10610"/>
    <cellStyle name="표준 11 6 2 3 4 2" xfId="33077"/>
    <cellStyle name="표준 11 6 2 3 5" xfId="18094"/>
    <cellStyle name="표준 11 6 2 3 5 2" xfId="40559"/>
    <cellStyle name="표준 11 6 2 3 6" xfId="25595"/>
    <cellStyle name="표준 11 6 2 3_Sheet4" xfId="1742"/>
    <cellStyle name="표준 11 6 2 4" xfId="1743"/>
    <cellStyle name="표준 11 6 2 4 2" xfId="1744"/>
    <cellStyle name="표준 11 6 2 4 2 2" xfId="10615"/>
    <cellStyle name="표준 11 6 2 4 2 2 2" xfId="33082"/>
    <cellStyle name="표준 11 6 2 4 2 3" xfId="18099"/>
    <cellStyle name="표준 11 6 2 4 2 3 2" xfId="40564"/>
    <cellStyle name="표준 11 6 2 4 2 4" xfId="25600"/>
    <cellStyle name="표준 11 6 2 4 3" xfId="10614"/>
    <cellStyle name="표준 11 6 2 4 3 2" xfId="33081"/>
    <cellStyle name="표준 11 6 2 4 4" xfId="18098"/>
    <cellStyle name="표준 11 6 2 4 4 2" xfId="40563"/>
    <cellStyle name="표준 11 6 2 4 5" xfId="25599"/>
    <cellStyle name="표준 11 6 2 4_Sheet4" xfId="1745"/>
    <cellStyle name="표준 11 6 2 5" xfId="1746"/>
    <cellStyle name="표준 11 6 2 5 2" xfId="10616"/>
    <cellStyle name="표준 11 6 2 5 2 2" xfId="33083"/>
    <cellStyle name="표준 11 6 2 5 3" xfId="18100"/>
    <cellStyle name="표준 11 6 2 5 3 2" xfId="40565"/>
    <cellStyle name="표준 11 6 2 5 4" xfId="25601"/>
    <cellStyle name="표준 11 6 2 6" xfId="10601"/>
    <cellStyle name="표준 11 6 2 6 2" xfId="33068"/>
    <cellStyle name="표준 11 6 2 7" xfId="18085"/>
    <cellStyle name="표준 11 6 2 7 2" xfId="40550"/>
    <cellStyle name="표준 11 6 2 8" xfId="25586"/>
    <cellStyle name="표준 11 6 2_Sheet4" xfId="1747"/>
    <cellStyle name="표준 11 6 3" xfId="1748"/>
    <cellStyle name="표준 11 6 3 2" xfId="1749"/>
    <cellStyle name="표준 11 6 3 2 2" xfId="1750"/>
    <cellStyle name="표준 11 6 3 2 2 2" xfId="1751"/>
    <cellStyle name="표준 11 6 3 2 2 2 2" xfId="1752"/>
    <cellStyle name="표준 11 6 3 2 2 2 2 2" xfId="10621"/>
    <cellStyle name="표준 11 6 3 2 2 2 2 2 2" xfId="33088"/>
    <cellStyle name="표준 11 6 3 2 2 2 2 3" xfId="18105"/>
    <cellStyle name="표준 11 6 3 2 2 2 2 3 2" xfId="40570"/>
    <cellStyle name="표준 11 6 3 2 2 2 2 4" xfId="25606"/>
    <cellStyle name="표준 11 6 3 2 2 2 3" xfId="10620"/>
    <cellStyle name="표준 11 6 3 2 2 2 3 2" xfId="33087"/>
    <cellStyle name="표준 11 6 3 2 2 2 4" xfId="18104"/>
    <cellStyle name="표준 11 6 3 2 2 2 4 2" xfId="40569"/>
    <cellStyle name="표준 11 6 3 2 2 2 5" xfId="25605"/>
    <cellStyle name="표준 11 6 3 2 2 2_Sheet4" xfId="1753"/>
    <cellStyle name="표준 11 6 3 2 2 3" xfId="1754"/>
    <cellStyle name="표준 11 6 3 2 2 3 2" xfId="10622"/>
    <cellStyle name="표준 11 6 3 2 2 3 2 2" xfId="33089"/>
    <cellStyle name="표준 11 6 3 2 2 3 3" xfId="18106"/>
    <cellStyle name="표준 11 6 3 2 2 3 3 2" xfId="40571"/>
    <cellStyle name="표준 11 6 3 2 2 3 4" xfId="25607"/>
    <cellStyle name="표준 11 6 3 2 2 4" xfId="10619"/>
    <cellStyle name="표준 11 6 3 2 2 4 2" xfId="33086"/>
    <cellStyle name="표준 11 6 3 2 2 5" xfId="18103"/>
    <cellStyle name="표준 11 6 3 2 2 5 2" xfId="40568"/>
    <cellStyle name="표준 11 6 3 2 2 6" xfId="25604"/>
    <cellStyle name="표준 11 6 3 2 2_Sheet4" xfId="1755"/>
    <cellStyle name="표준 11 6 3 2 3" xfId="1756"/>
    <cellStyle name="표준 11 6 3 2 3 2" xfId="1757"/>
    <cellStyle name="표준 11 6 3 2 3 2 2" xfId="10624"/>
    <cellStyle name="표준 11 6 3 2 3 2 2 2" xfId="33091"/>
    <cellStyle name="표준 11 6 3 2 3 2 3" xfId="18108"/>
    <cellStyle name="표준 11 6 3 2 3 2 3 2" xfId="40573"/>
    <cellStyle name="표준 11 6 3 2 3 2 4" xfId="25609"/>
    <cellStyle name="표준 11 6 3 2 3 3" xfId="10623"/>
    <cellStyle name="표준 11 6 3 2 3 3 2" xfId="33090"/>
    <cellStyle name="표준 11 6 3 2 3 4" xfId="18107"/>
    <cellStyle name="표준 11 6 3 2 3 4 2" xfId="40572"/>
    <cellStyle name="표준 11 6 3 2 3 5" xfId="25608"/>
    <cellStyle name="표준 11 6 3 2 3_Sheet4" xfId="1758"/>
    <cellStyle name="표준 11 6 3 2 4" xfId="1759"/>
    <cellStyle name="표준 11 6 3 2 4 2" xfId="10625"/>
    <cellStyle name="표준 11 6 3 2 4 2 2" xfId="33092"/>
    <cellStyle name="표준 11 6 3 2 4 3" xfId="18109"/>
    <cellStyle name="표준 11 6 3 2 4 3 2" xfId="40574"/>
    <cellStyle name="표준 11 6 3 2 4 4" xfId="25610"/>
    <cellStyle name="표준 11 6 3 2 5" xfId="10618"/>
    <cellStyle name="표준 11 6 3 2 5 2" xfId="33085"/>
    <cellStyle name="표준 11 6 3 2 6" xfId="18102"/>
    <cellStyle name="표준 11 6 3 2 6 2" xfId="40567"/>
    <cellStyle name="표준 11 6 3 2 7" xfId="25603"/>
    <cellStyle name="표준 11 6 3 2_Sheet4" xfId="1760"/>
    <cellStyle name="표준 11 6 3 3" xfId="1761"/>
    <cellStyle name="표준 11 6 3 3 2" xfId="1762"/>
    <cellStyle name="표준 11 6 3 3 2 2" xfId="1763"/>
    <cellStyle name="표준 11 6 3 3 2 2 2" xfId="10628"/>
    <cellStyle name="표준 11 6 3 3 2 2 2 2" xfId="33095"/>
    <cellStyle name="표준 11 6 3 3 2 2 3" xfId="18112"/>
    <cellStyle name="표준 11 6 3 3 2 2 3 2" xfId="40577"/>
    <cellStyle name="표준 11 6 3 3 2 2 4" xfId="25613"/>
    <cellStyle name="표준 11 6 3 3 2 3" xfId="10627"/>
    <cellStyle name="표준 11 6 3 3 2 3 2" xfId="33094"/>
    <cellStyle name="표준 11 6 3 3 2 4" xfId="18111"/>
    <cellStyle name="표준 11 6 3 3 2 4 2" xfId="40576"/>
    <cellStyle name="표준 11 6 3 3 2 5" xfId="25612"/>
    <cellStyle name="표준 11 6 3 3 2_Sheet4" xfId="1764"/>
    <cellStyle name="표준 11 6 3 3 3" xfId="1765"/>
    <cellStyle name="표준 11 6 3 3 3 2" xfId="10629"/>
    <cellStyle name="표준 11 6 3 3 3 2 2" xfId="33096"/>
    <cellStyle name="표준 11 6 3 3 3 3" xfId="18113"/>
    <cellStyle name="표준 11 6 3 3 3 3 2" xfId="40578"/>
    <cellStyle name="표준 11 6 3 3 3 4" xfId="25614"/>
    <cellStyle name="표준 11 6 3 3 4" xfId="10626"/>
    <cellStyle name="표준 11 6 3 3 4 2" xfId="33093"/>
    <cellStyle name="표준 11 6 3 3 5" xfId="18110"/>
    <cellStyle name="표준 11 6 3 3 5 2" xfId="40575"/>
    <cellStyle name="표준 11 6 3 3 6" xfId="25611"/>
    <cellStyle name="표준 11 6 3 3_Sheet4" xfId="1766"/>
    <cellStyle name="표준 11 6 3 4" xfId="1767"/>
    <cellStyle name="표준 11 6 3 4 2" xfId="1768"/>
    <cellStyle name="표준 11 6 3 4 2 2" xfId="10631"/>
    <cellStyle name="표준 11 6 3 4 2 2 2" xfId="33098"/>
    <cellStyle name="표준 11 6 3 4 2 3" xfId="18115"/>
    <cellStyle name="표준 11 6 3 4 2 3 2" xfId="40580"/>
    <cellStyle name="표준 11 6 3 4 2 4" xfId="25616"/>
    <cellStyle name="표준 11 6 3 4 3" xfId="10630"/>
    <cellStyle name="표준 11 6 3 4 3 2" xfId="33097"/>
    <cellStyle name="표준 11 6 3 4 4" xfId="18114"/>
    <cellStyle name="표준 11 6 3 4 4 2" xfId="40579"/>
    <cellStyle name="표준 11 6 3 4 5" xfId="25615"/>
    <cellStyle name="표준 11 6 3 4_Sheet4" xfId="1769"/>
    <cellStyle name="표준 11 6 3 5" xfId="1770"/>
    <cellStyle name="표준 11 6 3 5 2" xfId="10632"/>
    <cellStyle name="표준 11 6 3 5 2 2" xfId="33099"/>
    <cellStyle name="표준 11 6 3 5 3" xfId="18116"/>
    <cellStyle name="표준 11 6 3 5 3 2" xfId="40581"/>
    <cellStyle name="표준 11 6 3 5 4" xfId="25617"/>
    <cellStyle name="표준 11 6 3 6" xfId="10617"/>
    <cellStyle name="표준 11 6 3 6 2" xfId="33084"/>
    <cellStyle name="표준 11 6 3 7" xfId="18101"/>
    <cellStyle name="표준 11 6 3 7 2" xfId="40566"/>
    <cellStyle name="표준 11 6 3 8" xfId="25602"/>
    <cellStyle name="표준 11 6 3_Sheet4" xfId="1771"/>
    <cellStyle name="표준 11 6 4" xfId="1772"/>
    <cellStyle name="표준 11 6 4 2" xfId="1773"/>
    <cellStyle name="표준 11 6 4 2 2" xfId="1774"/>
    <cellStyle name="표준 11 6 4 2 2 2" xfId="1775"/>
    <cellStyle name="표준 11 6 4 2 2 2 2" xfId="10636"/>
    <cellStyle name="표준 11 6 4 2 2 2 2 2" xfId="33103"/>
    <cellStyle name="표준 11 6 4 2 2 2 3" xfId="18120"/>
    <cellStyle name="표준 11 6 4 2 2 2 3 2" xfId="40585"/>
    <cellStyle name="표준 11 6 4 2 2 2 4" xfId="25621"/>
    <cellStyle name="표준 11 6 4 2 2 3" xfId="10635"/>
    <cellStyle name="표준 11 6 4 2 2 3 2" xfId="33102"/>
    <cellStyle name="표준 11 6 4 2 2 4" xfId="18119"/>
    <cellStyle name="표준 11 6 4 2 2 4 2" xfId="40584"/>
    <cellStyle name="표준 11 6 4 2 2 5" xfId="25620"/>
    <cellStyle name="표준 11 6 4 2 2_Sheet4" xfId="1776"/>
    <cellStyle name="표준 11 6 4 2 3" xfId="1777"/>
    <cellStyle name="표준 11 6 4 2 3 2" xfId="10637"/>
    <cellStyle name="표준 11 6 4 2 3 2 2" xfId="33104"/>
    <cellStyle name="표준 11 6 4 2 3 3" xfId="18121"/>
    <cellStyle name="표준 11 6 4 2 3 3 2" xfId="40586"/>
    <cellStyle name="표준 11 6 4 2 3 4" xfId="25622"/>
    <cellStyle name="표준 11 6 4 2 4" xfId="10634"/>
    <cellStyle name="표준 11 6 4 2 4 2" xfId="33101"/>
    <cellStyle name="표준 11 6 4 2 5" xfId="18118"/>
    <cellStyle name="표준 11 6 4 2 5 2" xfId="40583"/>
    <cellStyle name="표준 11 6 4 2 6" xfId="25619"/>
    <cellStyle name="표준 11 6 4 2_Sheet4" xfId="1778"/>
    <cellStyle name="표준 11 6 4 3" xfId="1779"/>
    <cellStyle name="표준 11 6 4 3 2" xfId="1780"/>
    <cellStyle name="표준 11 6 4 3 2 2" xfId="10639"/>
    <cellStyle name="표준 11 6 4 3 2 2 2" xfId="33106"/>
    <cellStyle name="표준 11 6 4 3 2 3" xfId="18123"/>
    <cellStyle name="표준 11 6 4 3 2 3 2" xfId="40588"/>
    <cellStyle name="표준 11 6 4 3 2 4" xfId="25624"/>
    <cellStyle name="표준 11 6 4 3 3" xfId="10638"/>
    <cellStyle name="표준 11 6 4 3 3 2" xfId="33105"/>
    <cellStyle name="표준 11 6 4 3 4" xfId="18122"/>
    <cellStyle name="표준 11 6 4 3 4 2" xfId="40587"/>
    <cellStyle name="표준 11 6 4 3 5" xfId="25623"/>
    <cellStyle name="표준 11 6 4 3_Sheet4" xfId="1781"/>
    <cellStyle name="표준 11 6 4 4" xfId="1782"/>
    <cellStyle name="표준 11 6 4 4 2" xfId="10640"/>
    <cellStyle name="표준 11 6 4 4 2 2" xfId="33107"/>
    <cellStyle name="표준 11 6 4 4 3" xfId="18124"/>
    <cellStyle name="표준 11 6 4 4 3 2" xfId="40589"/>
    <cellStyle name="표준 11 6 4 4 4" xfId="25625"/>
    <cellStyle name="표준 11 6 4 5" xfId="10633"/>
    <cellStyle name="표준 11 6 4 5 2" xfId="33100"/>
    <cellStyle name="표준 11 6 4 6" xfId="18117"/>
    <cellStyle name="표준 11 6 4 6 2" xfId="40582"/>
    <cellStyle name="표준 11 6 4 7" xfId="25618"/>
    <cellStyle name="표준 11 6 4_Sheet4" xfId="1783"/>
    <cellStyle name="표준 11 6 5" xfId="1784"/>
    <cellStyle name="표준 11 6 5 2" xfId="1785"/>
    <cellStyle name="표준 11 6 5 2 2" xfId="1786"/>
    <cellStyle name="표준 11 6 5 2 2 2" xfId="10643"/>
    <cellStyle name="표준 11 6 5 2 2 2 2" xfId="33110"/>
    <cellStyle name="표준 11 6 5 2 2 3" xfId="18127"/>
    <cellStyle name="표준 11 6 5 2 2 3 2" xfId="40592"/>
    <cellStyle name="표준 11 6 5 2 2 4" xfId="25628"/>
    <cellStyle name="표준 11 6 5 2 3" xfId="10642"/>
    <cellStyle name="표준 11 6 5 2 3 2" xfId="33109"/>
    <cellStyle name="표준 11 6 5 2 4" xfId="18126"/>
    <cellStyle name="표준 11 6 5 2 4 2" xfId="40591"/>
    <cellStyle name="표준 11 6 5 2 5" xfId="25627"/>
    <cellStyle name="표준 11 6 5 2_Sheet4" xfId="1787"/>
    <cellStyle name="표준 11 6 5 3" xfId="1788"/>
    <cellStyle name="표준 11 6 5 3 2" xfId="10644"/>
    <cellStyle name="표준 11 6 5 3 2 2" xfId="33111"/>
    <cellStyle name="표준 11 6 5 3 3" xfId="18128"/>
    <cellStyle name="표준 11 6 5 3 3 2" xfId="40593"/>
    <cellStyle name="표준 11 6 5 3 4" xfId="25629"/>
    <cellStyle name="표준 11 6 5 4" xfId="10641"/>
    <cellStyle name="표준 11 6 5 4 2" xfId="33108"/>
    <cellStyle name="표준 11 6 5 5" xfId="18125"/>
    <cellStyle name="표준 11 6 5 5 2" xfId="40590"/>
    <cellStyle name="표준 11 6 5 6" xfId="25626"/>
    <cellStyle name="표준 11 6 5_Sheet4" xfId="1789"/>
    <cellStyle name="표준 11 6 6" xfId="1790"/>
    <cellStyle name="표준 11 6 6 2" xfId="1791"/>
    <cellStyle name="표준 11 6 6 2 2" xfId="10646"/>
    <cellStyle name="표준 11 6 6 2 2 2" xfId="33113"/>
    <cellStyle name="표준 11 6 6 2 3" xfId="18130"/>
    <cellStyle name="표준 11 6 6 2 3 2" xfId="40595"/>
    <cellStyle name="표준 11 6 6 2 4" xfId="25631"/>
    <cellStyle name="표준 11 6 6 3" xfId="10645"/>
    <cellStyle name="표준 11 6 6 3 2" xfId="33112"/>
    <cellStyle name="표준 11 6 6 4" xfId="18129"/>
    <cellStyle name="표준 11 6 6 4 2" xfId="40594"/>
    <cellStyle name="표준 11 6 6 5" xfId="25630"/>
    <cellStyle name="표준 11 6 6_Sheet4" xfId="1792"/>
    <cellStyle name="표준 11 6 7" xfId="1793"/>
    <cellStyle name="표준 11 6 7 2" xfId="10647"/>
    <cellStyle name="표준 11 6 7 2 2" xfId="33114"/>
    <cellStyle name="표준 11 6 7 3" xfId="18131"/>
    <cellStyle name="표준 11 6 7 3 2" xfId="40596"/>
    <cellStyle name="표준 11 6 7 4" xfId="25632"/>
    <cellStyle name="표준 11 6 8" xfId="10600"/>
    <cellStyle name="표준 11 6 8 2" xfId="33067"/>
    <cellStyle name="표준 11 6 9" xfId="18084"/>
    <cellStyle name="표준 11 6 9 2" xfId="40549"/>
    <cellStyle name="표준 11 6_Sheet4" xfId="1794"/>
    <cellStyle name="표준 11 7" xfId="1795"/>
    <cellStyle name="표준 11 7 2" xfId="1796"/>
    <cellStyle name="표준 11 7 2 2" xfId="1797"/>
    <cellStyle name="표준 11 7 2 2 2" xfId="1798"/>
    <cellStyle name="표준 11 7 2 2 2 2" xfId="1799"/>
    <cellStyle name="표준 11 7 2 2 2 2 2" xfId="10652"/>
    <cellStyle name="표준 11 7 2 2 2 2 2 2" xfId="33119"/>
    <cellStyle name="표준 11 7 2 2 2 2 3" xfId="18136"/>
    <cellStyle name="표준 11 7 2 2 2 2 3 2" xfId="40601"/>
    <cellStyle name="표준 11 7 2 2 2 2 4" xfId="25637"/>
    <cellStyle name="표준 11 7 2 2 2 3" xfId="10651"/>
    <cellStyle name="표준 11 7 2 2 2 3 2" xfId="33118"/>
    <cellStyle name="표준 11 7 2 2 2 4" xfId="18135"/>
    <cellStyle name="표준 11 7 2 2 2 4 2" xfId="40600"/>
    <cellStyle name="표준 11 7 2 2 2 5" xfId="25636"/>
    <cellStyle name="표준 11 7 2 2 2_Sheet4" xfId="1800"/>
    <cellStyle name="표준 11 7 2 2 3" xfId="1801"/>
    <cellStyle name="표준 11 7 2 2 3 2" xfId="10653"/>
    <cellStyle name="표준 11 7 2 2 3 2 2" xfId="33120"/>
    <cellStyle name="표준 11 7 2 2 3 3" xfId="18137"/>
    <cellStyle name="표준 11 7 2 2 3 3 2" xfId="40602"/>
    <cellStyle name="표준 11 7 2 2 3 4" xfId="25638"/>
    <cellStyle name="표준 11 7 2 2 4" xfId="10650"/>
    <cellStyle name="표준 11 7 2 2 4 2" xfId="33117"/>
    <cellStyle name="표준 11 7 2 2 5" xfId="18134"/>
    <cellStyle name="표준 11 7 2 2 5 2" xfId="40599"/>
    <cellStyle name="표준 11 7 2 2 6" xfId="25635"/>
    <cellStyle name="표준 11 7 2 2_Sheet4" xfId="1802"/>
    <cellStyle name="표준 11 7 2 3" xfId="1803"/>
    <cellStyle name="표준 11 7 2 3 2" xfId="1804"/>
    <cellStyle name="표준 11 7 2 3 2 2" xfId="10655"/>
    <cellStyle name="표준 11 7 2 3 2 2 2" xfId="33122"/>
    <cellStyle name="표준 11 7 2 3 2 3" xfId="18139"/>
    <cellStyle name="표준 11 7 2 3 2 3 2" xfId="40604"/>
    <cellStyle name="표준 11 7 2 3 2 4" xfId="25640"/>
    <cellStyle name="표준 11 7 2 3 3" xfId="10654"/>
    <cellStyle name="표준 11 7 2 3 3 2" xfId="33121"/>
    <cellStyle name="표준 11 7 2 3 4" xfId="18138"/>
    <cellStyle name="표준 11 7 2 3 4 2" xfId="40603"/>
    <cellStyle name="표준 11 7 2 3 5" xfId="25639"/>
    <cellStyle name="표준 11 7 2 3_Sheet4" xfId="1805"/>
    <cellStyle name="표준 11 7 2 4" xfId="1806"/>
    <cellStyle name="표준 11 7 2 4 2" xfId="10656"/>
    <cellStyle name="표준 11 7 2 4 2 2" xfId="33123"/>
    <cellStyle name="표준 11 7 2 4 3" xfId="18140"/>
    <cellStyle name="표준 11 7 2 4 3 2" xfId="40605"/>
    <cellStyle name="표준 11 7 2 4 4" xfId="25641"/>
    <cellStyle name="표준 11 7 2 5" xfId="10649"/>
    <cellStyle name="표준 11 7 2 5 2" xfId="33116"/>
    <cellStyle name="표준 11 7 2 6" xfId="18133"/>
    <cellStyle name="표준 11 7 2 6 2" xfId="40598"/>
    <cellStyle name="표준 11 7 2 7" xfId="25634"/>
    <cellStyle name="표준 11 7 2_Sheet4" xfId="1807"/>
    <cellStyle name="표준 11 7 3" xfId="1808"/>
    <cellStyle name="표준 11 7 3 2" xfId="1809"/>
    <cellStyle name="표준 11 7 3 2 2" xfId="1810"/>
    <cellStyle name="표준 11 7 3 2 2 2" xfId="10659"/>
    <cellStyle name="표준 11 7 3 2 2 2 2" xfId="33126"/>
    <cellStyle name="표준 11 7 3 2 2 3" xfId="18143"/>
    <cellStyle name="표준 11 7 3 2 2 3 2" xfId="40608"/>
    <cellStyle name="표준 11 7 3 2 2 4" xfId="25644"/>
    <cellStyle name="표준 11 7 3 2 3" xfId="10658"/>
    <cellStyle name="표준 11 7 3 2 3 2" xfId="33125"/>
    <cellStyle name="표준 11 7 3 2 4" xfId="18142"/>
    <cellStyle name="표준 11 7 3 2 4 2" xfId="40607"/>
    <cellStyle name="표준 11 7 3 2 5" xfId="25643"/>
    <cellStyle name="표준 11 7 3 2_Sheet4" xfId="1811"/>
    <cellStyle name="표준 11 7 3 3" xfId="1812"/>
    <cellStyle name="표준 11 7 3 3 2" xfId="10660"/>
    <cellStyle name="표준 11 7 3 3 2 2" xfId="33127"/>
    <cellStyle name="표준 11 7 3 3 3" xfId="18144"/>
    <cellStyle name="표준 11 7 3 3 3 2" xfId="40609"/>
    <cellStyle name="표준 11 7 3 3 4" xfId="25645"/>
    <cellStyle name="표준 11 7 3 4" xfId="10657"/>
    <cellStyle name="표준 11 7 3 4 2" xfId="33124"/>
    <cellStyle name="표준 11 7 3 5" xfId="18141"/>
    <cellStyle name="표준 11 7 3 5 2" xfId="40606"/>
    <cellStyle name="표준 11 7 3 6" xfId="25642"/>
    <cellStyle name="표준 11 7 3_Sheet4" xfId="1813"/>
    <cellStyle name="표준 11 7 4" xfId="1814"/>
    <cellStyle name="표준 11 7 4 2" xfId="1815"/>
    <cellStyle name="표준 11 7 4 2 2" xfId="10662"/>
    <cellStyle name="표준 11 7 4 2 2 2" xfId="33129"/>
    <cellStyle name="표준 11 7 4 2 3" xfId="18146"/>
    <cellStyle name="표준 11 7 4 2 3 2" xfId="40611"/>
    <cellStyle name="표준 11 7 4 2 4" xfId="25647"/>
    <cellStyle name="표준 11 7 4 3" xfId="10661"/>
    <cellStyle name="표준 11 7 4 3 2" xfId="33128"/>
    <cellStyle name="표준 11 7 4 4" xfId="18145"/>
    <cellStyle name="표준 11 7 4 4 2" xfId="40610"/>
    <cellStyle name="표준 11 7 4 5" xfId="25646"/>
    <cellStyle name="표준 11 7 4_Sheet4" xfId="1816"/>
    <cellStyle name="표준 11 7 5" xfId="1817"/>
    <cellStyle name="표준 11 7 5 2" xfId="10663"/>
    <cellStyle name="표준 11 7 5 2 2" xfId="33130"/>
    <cellStyle name="표준 11 7 5 3" xfId="18147"/>
    <cellStyle name="표준 11 7 5 3 2" xfId="40612"/>
    <cellStyle name="표준 11 7 5 4" xfId="25648"/>
    <cellStyle name="표준 11 7 6" xfId="10648"/>
    <cellStyle name="표준 11 7 6 2" xfId="33115"/>
    <cellStyle name="표준 11 7 7" xfId="18132"/>
    <cellStyle name="표준 11 7 7 2" xfId="40597"/>
    <cellStyle name="표준 11 7 8" xfId="25633"/>
    <cellStyle name="표준 11 7_Sheet4" xfId="1818"/>
    <cellStyle name="표준 11 8" xfId="1819"/>
    <cellStyle name="표준 11 8 2" xfId="1820"/>
    <cellStyle name="표준 11 8 2 2" xfId="1821"/>
    <cellStyle name="표준 11 8 2 2 2" xfId="1822"/>
    <cellStyle name="표준 11 8 2 2 2 2" xfId="1823"/>
    <cellStyle name="표준 11 8 2 2 2 2 2" xfId="10668"/>
    <cellStyle name="표준 11 8 2 2 2 2 2 2" xfId="33135"/>
    <cellStyle name="표준 11 8 2 2 2 2 3" xfId="18152"/>
    <cellStyle name="표준 11 8 2 2 2 2 3 2" xfId="40617"/>
    <cellStyle name="표준 11 8 2 2 2 2 4" xfId="25653"/>
    <cellStyle name="표준 11 8 2 2 2 3" xfId="10667"/>
    <cellStyle name="표준 11 8 2 2 2 3 2" xfId="33134"/>
    <cellStyle name="표준 11 8 2 2 2 4" xfId="18151"/>
    <cellStyle name="표준 11 8 2 2 2 4 2" xfId="40616"/>
    <cellStyle name="표준 11 8 2 2 2 5" xfId="25652"/>
    <cellStyle name="표준 11 8 2 2 2_Sheet4" xfId="1824"/>
    <cellStyle name="표준 11 8 2 2 3" xfId="1825"/>
    <cellStyle name="표준 11 8 2 2 3 2" xfId="10669"/>
    <cellStyle name="표준 11 8 2 2 3 2 2" xfId="33136"/>
    <cellStyle name="표준 11 8 2 2 3 3" xfId="18153"/>
    <cellStyle name="표준 11 8 2 2 3 3 2" xfId="40618"/>
    <cellStyle name="표준 11 8 2 2 3 4" xfId="25654"/>
    <cellStyle name="표준 11 8 2 2 4" xfId="10666"/>
    <cellStyle name="표준 11 8 2 2 4 2" xfId="33133"/>
    <cellStyle name="표준 11 8 2 2 5" xfId="18150"/>
    <cellStyle name="표준 11 8 2 2 5 2" xfId="40615"/>
    <cellStyle name="표준 11 8 2 2 6" xfId="25651"/>
    <cellStyle name="표준 11 8 2 2_Sheet4" xfId="1826"/>
    <cellStyle name="표준 11 8 2 3" xfId="1827"/>
    <cellStyle name="표준 11 8 2 3 2" xfId="1828"/>
    <cellStyle name="표준 11 8 2 3 2 2" xfId="10671"/>
    <cellStyle name="표준 11 8 2 3 2 2 2" xfId="33138"/>
    <cellStyle name="표준 11 8 2 3 2 3" xfId="18155"/>
    <cellStyle name="표준 11 8 2 3 2 3 2" xfId="40620"/>
    <cellStyle name="표준 11 8 2 3 2 4" xfId="25656"/>
    <cellStyle name="표준 11 8 2 3 3" xfId="10670"/>
    <cellStyle name="표준 11 8 2 3 3 2" xfId="33137"/>
    <cellStyle name="표준 11 8 2 3 4" xfId="18154"/>
    <cellStyle name="표준 11 8 2 3 4 2" xfId="40619"/>
    <cellStyle name="표준 11 8 2 3 5" xfId="25655"/>
    <cellStyle name="표준 11 8 2 3_Sheet4" xfId="1829"/>
    <cellStyle name="표준 11 8 2 4" xfId="1830"/>
    <cellStyle name="표준 11 8 2 4 2" xfId="10672"/>
    <cellStyle name="표준 11 8 2 4 2 2" xfId="33139"/>
    <cellStyle name="표준 11 8 2 4 3" xfId="18156"/>
    <cellStyle name="표준 11 8 2 4 3 2" xfId="40621"/>
    <cellStyle name="표준 11 8 2 4 4" xfId="25657"/>
    <cellStyle name="표준 11 8 2 5" xfId="10665"/>
    <cellStyle name="표준 11 8 2 5 2" xfId="33132"/>
    <cellStyle name="표준 11 8 2 6" xfId="18149"/>
    <cellStyle name="표준 11 8 2 6 2" xfId="40614"/>
    <cellStyle name="표준 11 8 2 7" xfId="25650"/>
    <cellStyle name="표준 11 8 2_Sheet4" xfId="1831"/>
    <cellStyle name="표준 11 8 3" xfId="1832"/>
    <cellStyle name="표준 11 8 3 2" xfId="1833"/>
    <cellStyle name="표준 11 8 3 2 2" xfId="1834"/>
    <cellStyle name="표준 11 8 3 2 2 2" xfId="10675"/>
    <cellStyle name="표준 11 8 3 2 2 2 2" xfId="33142"/>
    <cellStyle name="표준 11 8 3 2 2 3" xfId="18159"/>
    <cellStyle name="표준 11 8 3 2 2 3 2" xfId="40624"/>
    <cellStyle name="표준 11 8 3 2 2 4" xfId="25660"/>
    <cellStyle name="표준 11 8 3 2 3" xfId="10674"/>
    <cellStyle name="표준 11 8 3 2 3 2" xfId="33141"/>
    <cellStyle name="표준 11 8 3 2 4" xfId="18158"/>
    <cellStyle name="표준 11 8 3 2 4 2" xfId="40623"/>
    <cellStyle name="표준 11 8 3 2 5" xfId="25659"/>
    <cellStyle name="표준 11 8 3 2_Sheet4" xfId="1835"/>
    <cellStyle name="표준 11 8 3 3" xfId="1836"/>
    <cellStyle name="표준 11 8 3 3 2" xfId="10676"/>
    <cellStyle name="표준 11 8 3 3 2 2" xfId="33143"/>
    <cellStyle name="표준 11 8 3 3 3" xfId="18160"/>
    <cellStyle name="표준 11 8 3 3 3 2" xfId="40625"/>
    <cellStyle name="표준 11 8 3 3 4" xfId="25661"/>
    <cellStyle name="표준 11 8 3 4" xfId="10673"/>
    <cellStyle name="표준 11 8 3 4 2" xfId="33140"/>
    <cellStyle name="표준 11 8 3 5" xfId="18157"/>
    <cellStyle name="표준 11 8 3 5 2" xfId="40622"/>
    <cellStyle name="표준 11 8 3 6" xfId="25658"/>
    <cellStyle name="표준 11 8 3_Sheet4" xfId="1837"/>
    <cellStyle name="표준 11 8 4" xfId="1838"/>
    <cellStyle name="표준 11 8 4 2" xfId="1839"/>
    <cellStyle name="표준 11 8 4 2 2" xfId="10678"/>
    <cellStyle name="표준 11 8 4 2 2 2" xfId="33145"/>
    <cellStyle name="표준 11 8 4 2 3" xfId="18162"/>
    <cellStyle name="표준 11 8 4 2 3 2" xfId="40627"/>
    <cellStyle name="표준 11 8 4 2 4" xfId="25663"/>
    <cellStyle name="표준 11 8 4 3" xfId="10677"/>
    <cellStyle name="표준 11 8 4 3 2" xfId="33144"/>
    <cellStyle name="표준 11 8 4 4" xfId="18161"/>
    <cellStyle name="표준 11 8 4 4 2" xfId="40626"/>
    <cellStyle name="표준 11 8 4 5" xfId="25662"/>
    <cellStyle name="표준 11 8 4_Sheet4" xfId="1840"/>
    <cellStyle name="표준 11 8 5" xfId="1841"/>
    <cellStyle name="표준 11 8 5 2" xfId="10679"/>
    <cellStyle name="표준 11 8 5 2 2" xfId="33146"/>
    <cellStyle name="표준 11 8 5 3" xfId="18163"/>
    <cellStyle name="표준 11 8 5 3 2" xfId="40628"/>
    <cellStyle name="표준 11 8 5 4" xfId="25664"/>
    <cellStyle name="표준 11 8 6" xfId="10664"/>
    <cellStyle name="표준 11 8 6 2" xfId="33131"/>
    <cellStyle name="표준 11 8 7" xfId="18148"/>
    <cellStyle name="표준 11 8 7 2" xfId="40613"/>
    <cellStyle name="표준 11 8 8" xfId="25649"/>
    <cellStyle name="표준 11 8_Sheet4" xfId="1842"/>
    <cellStyle name="표준 11 9" xfId="1843"/>
    <cellStyle name="표준 11 9 2" xfId="1844"/>
    <cellStyle name="표준 11 9 2 2" xfId="1845"/>
    <cellStyle name="표준 11 9 2 2 2" xfId="1846"/>
    <cellStyle name="표준 11 9 2 2 2 2" xfId="10683"/>
    <cellStyle name="표준 11 9 2 2 2 2 2" xfId="33150"/>
    <cellStyle name="표준 11 9 2 2 2 3" xfId="18167"/>
    <cellStyle name="표준 11 9 2 2 2 3 2" xfId="40632"/>
    <cellStyle name="표준 11 9 2 2 2 4" xfId="25668"/>
    <cellStyle name="표준 11 9 2 2 3" xfId="10682"/>
    <cellStyle name="표준 11 9 2 2 3 2" xfId="33149"/>
    <cellStyle name="표준 11 9 2 2 4" xfId="18166"/>
    <cellStyle name="표준 11 9 2 2 4 2" xfId="40631"/>
    <cellStyle name="표준 11 9 2 2 5" xfId="25667"/>
    <cellStyle name="표준 11 9 2 2_Sheet4" xfId="1847"/>
    <cellStyle name="표준 11 9 2 3" xfId="1848"/>
    <cellStyle name="표준 11 9 2 3 2" xfId="10684"/>
    <cellStyle name="표준 11 9 2 3 2 2" xfId="33151"/>
    <cellStyle name="표준 11 9 2 3 3" xfId="18168"/>
    <cellStyle name="표준 11 9 2 3 3 2" xfId="40633"/>
    <cellStyle name="표준 11 9 2 3 4" xfId="25669"/>
    <cellStyle name="표준 11 9 2 4" xfId="10681"/>
    <cellStyle name="표준 11 9 2 4 2" xfId="33148"/>
    <cellStyle name="표준 11 9 2 5" xfId="18165"/>
    <cellStyle name="표준 11 9 2 5 2" xfId="40630"/>
    <cellStyle name="표준 11 9 2 6" xfId="25666"/>
    <cellStyle name="표준 11 9 2_Sheet4" xfId="1849"/>
    <cellStyle name="표준 11 9 3" xfId="1850"/>
    <cellStyle name="표준 11 9 3 2" xfId="1851"/>
    <cellStyle name="표준 11 9 3 2 2" xfId="10686"/>
    <cellStyle name="표준 11 9 3 2 2 2" xfId="33153"/>
    <cellStyle name="표준 11 9 3 2 3" xfId="18170"/>
    <cellStyle name="표준 11 9 3 2 3 2" xfId="40635"/>
    <cellStyle name="표준 11 9 3 2 4" xfId="25671"/>
    <cellStyle name="표준 11 9 3 3" xfId="10685"/>
    <cellStyle name="표준 11 9 3 3 2" xfId="33152"/>
    <cellStyle name="표준 11 9 3 4" xfId="18169"/>
    <cellStyle name="표준 11 9 3 4 2" xfId="40634"/>
    <cellStyle name="표준 11 9 3 5" xfId="25670"/>
    <cellStyle name="표준 11 9 3_Sheet4" xfId="1852"/>
    <cellStyle name="표준 11 9 4" xfId="1853"/>
    <cellStyle name="표준 11 9 4 2" xfId="10687"/>
    <cellStyle name="표준 11 9 4 2 2" xfId="33154"/>
    <cellStyle name="표준 11 9 4 3" xfId="18171"/>
    <cellStyle name="표준 11 9 4 3 2" xfId="40636"/>
    <cellStyle name="표준 11 9 4 4" xfId="25672"/>
    <cellStyle name="표준 11 9 5" xfId="10680"/>
    <cellStyle name="표준 11 9 5 2" xfId="33147"/>
    <cellStyle name="표준 11 9 6" xfId="18164"/>
    <cellStyle name="표준 11 9 6 2" xfId="40629"/>
    <cellStyle name="표준 11 9 7" xfId="25665"/>
    <cellStyle name="표준 11 9_Sheet4" xfId="1854"/>
    <cellStyle name="표준 11_Sheet4" xfId="1855"/>
    <cellStyle name="표준 12" xfId="1856"/>
    <cellStyle name="표준 13" xfId="1857"/>
    <cellStyle name="표준 14" xfId="8"/>
    <cellStyle name="표준 15" xfId="1858"/>
    <cellStyle name="표준 16" xfId="1859"/>
    <cellStyle name="표준 16 10" xfId="1860"/>
    <cellStyle name="표준 16 10 2" xfId="1861"/>
    <cellStyle name="표준 16 10 2 2" xfId="1862"/>
    <cellStyle name="표준 16 10 2 2 2" xfId="1863"/>
    <cellStyle name="표준 16 10 2 2 2 2" xfId="10692"/>
    <cellStyle name="표준 16 10 2 2 2 2 2" xfId="33159"/>
    <cellStyle name="표준 16 10 2 2 2 3" xfId="18176"/>
    <cellStyle name="표준 16 10 2 2 2 3 2" xfId="40641"/>
    <cellStyle name="표준 16 10 2 2 2 4" xfId="25677"/>
    <cellStyle name="표준 16 10 2 2 3" xfId="10691"/>
    <cellStyle name="표준 16 10 2 2 3 2" xfId="33158"/>
    <cellStyle name="표준 16 10 2 2 4" xfId="18175"/>
    <cellStyle name="표준 16 10 2 2 4 2" xfId="40640"/>
    <cellStyle name="표준 16 10 2 2 5" xfId="25676"/>
    <cellStyle name="표준 16 10 2 2_Sheet4" xfId="1864"/>
    <cellStyle name="표준 16 10 2 3" xfId="1865"/>
    <cellStyle name="표준 16 10 2 3 2" xfId="10693"/>
    <cellStyle name="표준 16 10 2 3 2 2" xfId="33160"/>
    <cellStyle name="표준 16 10 2 3 3" xfId="18177"/>
    <cellStyle name="표준 16 10 2 3 3 2" xfId="40642"/>
    <cellStyle name="표준 16 10 2 3 4" xfId="25678"/>
    <cellStyle name="표준 16 10 2 4" xfId="10690"/>
    <cellStyle name="표준 16 10 2 4 2" xfId="33157"/>
    <cellStyle name="표준 16 10 2 5" xfId="18174"/>
    <cellStyle name="표준 16 10 2 5 2" xfId="40639"/>
    <cellStyle name="표준 16 10 2 6" xfId="25675"/>
    <cellStyle name="표준 16 10 2_Sheet4" xfId="1866"/>
    <cellStyle name="표준 16 10 3" xfId="1867"/>
    <cellStyle name="표준 16 10 3 2" xfId="1868"/>
    <cellStyle name="표준 16 10 3 2 2" xfId="10695"/>
    <cellStyle name="표준 16 10 3 2 2 2" xfId="33162"/>
    <cellStyle name="표준 16 10 3 2 3" xfId="18179"/>
    <cellStyle name="표준 16 10 3 2 3 2" xfId="40644"/>
    <cellStyle name="표준 16 10 3 2 4" xfId="25680"/>
    <cellStyle name="표준 16 10 3 3" xfId="10694"/>
    <cellStyle name="표준 16 10 3 3 2" xfId="33161"/>
    <cellStyle name="표준 16 10 3 4" xfId="18178"/>
    <cellStyle name="표준 16 10 3 4 2" xfId="40643"/>
    <cellStyle name="표준 16 10 3 5" xfId="25679"/>
    <cellStyle name="표준 16 10 3_Sheet4" xfId="1869"/>
    <cellStyle name="표준 16 10 4" xfId="1870"/>
    <cellStyle name="표준 16 10 4 2" xfId="10696"/>
    <cellStyle name="표준 16 10 4 2 2" xfId="33163"/>
    <cellStyle name="표준 16 10 4 3" xfId="18180"/>
    <cellStyle name="표준 16 10 4 3 2" xfId="40645"/>
    <cellStyle name="표준 16 10 4 4" xfId="25681"/>
    <cellStyle name="표준 16 10 5" xfId="10689"/>
    <cellStyle name="표준 16 10 5 2" xfId="33156"/>
    <cellStyle name="표준 16 10 6" xfId="18173"/>
    <cellStyle name="표준 16 10 6 2" xfId="40638"/>
    <cellStyle name="표준 16 10 7" xfId="25674"/>
    <cellStyle name="표준 16 10_Sheet4" xfId="1871"/>
    <cellStyle name="표준 16 11" xfId="1872"/>
    <cellStyle name="표준 16 11 2" xfId="1873"/>
    <cellStyle name="표준 16 11 2 2" xfId="1874"/>
    <cellStyle name="표준 16 11 2 2 2" xfId="10699"/>
    <cellStyle name="표준 16 11 2 2 2 2" xfId="33166"/>
    <cellStyle name="표준 16 11 2 2 3" xfId="18183"/>
    <cellStyle name="표준 16 11 2 2 3 2" xfId="40648"/>
    <cellStyle name="표준 16 11 2 2 4" xfId="25684"/>
    <cellStyle name="표준 16 11 2 3" xfId="10698"/>
    <cellStyle name="표준 16 11 2 3 2" xfId="33165"/>
    <cellStyle name="표준 16 11 2 4" xfId="18182"/>
    <cellStyle name="표준 16 11 2 4 2" xfId="40647"/>
    <cellStyle name="표준 16 11 2 5" xfId="25683"/>
    <cellStyle name="표준 16 11 2_Sheet4" xfId="1875"/>
    <cellStyle name="표준 16 11 3" xfId="1876"/>
    <cellStyle name="표준 16 11 3 2" xfId="10700"/>
    <cellStyle name="표준 16 11 3 2 2" xfId="33167"/>
    <cellStyle name="표준 16 11 3 3" xfId="18184"/>
    <cellStyle name="표준 16 11 3 3 2" xfId="40649"/>
    <cellStyle name="표준 16 11 3 4" xfId="25685"/>
    <cellStyle name="표준 16 11 4" xfId="10697"/>
    <cellStyle name="표준 16 11 4 2" xfId="33164"/>
    <cellStyle name="표준 16 11 5" xfId="18181"/>
    <cellStyle name="표준 16 11 5 2" xfId="40646"/>
    <cellStyle name="표준 16 11 6" xfId="25682"/>
    <cellStyle name="표준 16 11_Sheet4" xfId="1877"/>
    <cellStyle name="표준 16 12" xfId="1878"/>
    <cellStyle name="표준 16 12 2" xfId="1879"/>
    <cellStyle name="표준 16 12 2 2" xfId="1880"/>
    <cellStyle name="표준 16 12 2 2 2" xfId="10703"/>
    <cellStyle name="표준 16 12 2 2 2 2" xfId="33170"/>
    <cellStyle name="표준 16 12 2 2 3" xfId="18187"/>
    <cellStyle name="표준 16 12 2 2 3 2" xfId="40652"/>
    <cellStyle name="표준 16 12 2 2 4" xfId="25688"/>
    <cellStyle name="표준 16 12 2 3" xfId="10702"/>
    <cellStyle name="표준 16 12 2 3 2" xfId="33169"/>
    <cellStyle name="표준 16 12 2 4" xfId="18186"/>
    <cellStyle name="표준 16 12 2 4 2" xfId="40651"/>
    <cellStyle name="표준 16 12 2 5" xfId="25687"/>
    <cellStyle name="표준 16 12 2_Sheet4" xfId="1881"/>
    <cellStyle name="표준 16 12 3" xfId="1882"/>
    <cellStyle name="표준 16 12 3 2" xfId="10704"/>
    <cellStyle name="표준 16 12 3 2 2" xfId="33171"/>
    <cellStyle name="표준 16 12 3 3" xfId="18188"/>
    <cellStyle name="표준 16 12 3 3 2" xfId="40653"/>
    <cellStyle name="표준 16 12 3 4" xfId="25689"/>
    <cellStyle name="표준 16 12 4" xfId="10701"/>
    <cellStyle name="표준 16 12 4 2" xfId="33168"/>
    <cellStyle name="표준 16 12 5" xfId="18185"/>
    <cellStyle name="표준 16 12 5 2" xfId="40650"/>
    <cellStyle name="표준 16 12 6" xfId="25686"/>
    <cellStyle name="표준 16 12_Sheet4" xfId="1883"/>
    <cellStyle name="표준 16 13" xfId="1884"/>
    <cellStyle name="표준 16 13 2" xfId="1885"/>
    <cellStyle name="표준 16 13 2 2" xfId="1886"/>
    <cellStyle name="표준 16 13 2 2 2" xfId="10707"/>
    <cellStyle name="표준 16 13 2 2 2 2" xfId="33174"/>
    <cellStyle name="표준 16 13 2 2 3" xfId="18191"/>
    <cellStyle name="표준 16 13 2 2 3 2" xfId="40656"/>
    <cellStyle name="표준 16 13 2 2 4" xfId="25692"/>
    <cellStyle name="표준 16 13 2 3" xfId="10706"/>
    <cellStyle name="표준 16 13 2 3 2" xfId="33173"/>
    <cellStyle name="표준 16 13 2 4" xfId="18190"/>
    <cellStyle name="표준 16 13 2 4 2" xfId="40655"/>
    <cellStyle name="표준 16 13 2 5" xfId="25691"/>
    <cellStyle name="표준 16 13 2_Sheet4" xfId="1887"/>
    <cellStyle name="표준 16 13 3" xfId="1888"/>
    <cellStyle name="표준 16 13 3 2" xfId="10708"/>
    <cellStyle name="표준 16 13 3 2 2" xfId="33175"/>
    <cellStyle name="표준 16 13 3 3" xfId="18192"/>
    <cellStyle name="표준 16 13 3 3 2" xfId="40657"/>
    <cellStyle name="표준 16 13 3 4" xfId="25693"/>
    <cellStyle name="표준 16 13 4" xfId="10705"/>
    <cellStyle name="표준 16 13 4 2" xfId="33172"/>
    <cellStyle name="표준 16 13 5" xfId="18189"/>
    <cellStyle name="표준 16 13 5 2" xfId="40654"/>
    <cellStyle name="표준 16 13 6" xfId="25690"/>
    <cellStyle name="표준 16 13_Sheet4" xfId="1889"/>
    <cellStyle name="표준 16 14" xfId="1890"/>
    <cellStyle name="표준 16 14 2" xfId="1891"/>
    <cellStyle name="표준 16 14 2 2" xfId="1892"/>
    <cellStyle name="표준 16 14 2 2 2" xfId="10711"/>
    <cellStyle name="표준 16 14 2 2 2 2" xfId="33178"/>
    <cellStyle name="표준 16 14 2 2 3" xfId="18195"/>
    <cellStyle name="표준 16 14 2 2 3 2" xfId="40660"/>
    <cellStyle name="표준 16 14 2 2 4" xfId="25696"/>
    <cellStyle name="표준 16 14 2 3" xfId="10710"/>
    <cellStyle name="표준 16 14 2 3 2" xfId="33177"/>
    <cellStyle name="표준 16 14 2 4" xfId="18194"/>
    <cellStyle name="표준 16 14 2 4 2" xfId="40659"/>
    <cellStyle name="표준 16 14 2 5" xfId="25695"/>
    <cellStyle name="표준 16 14 2_Sheet4" xfId="1893"/>
    <cellStyle name="표준 16 14 3" xfId="1894"/>
    <cellStyle name="표준 16 14 3 2" xfId="10712"/>
    <cellStyle name="표준 16 14 3 2 2" xfId="33179"/>
    <cellStyle name="표준 16 14 3 3" xfId="18196"/>
    <cellStyle name="표준 16 14 3 3 2" xfId="40661"/>
    <cellStyle name="표준 16 14 3 4" xfId="25697"/>
    <cellStyle name="표준 16 14 4" xfId="10709"/>
    <cellStyle name="표준 16 14 4 2" xfId="33176"/>
    <cellStyle name="표준 16 14 5" xfId="18193"/>
    <cellStyle name="표준 16 14 5 2" xfId="40658"/>
    <cellStyle name="표준 16 14 6" xfId="25694"/>
    <cellStyle name="표준 16 14_Sheet4" xfId="1895"/>
    <cellStyle name="표준 16 15" xfId="1896"/>
    <cellStyle name="표준 16 15 2" xfId="1897"/>
    <cellStyle name="표준 16 15 2 2" xfId="10714"/>
    <cellStyle name="표준 16 15 2 2 2" xfId="33181"/>
    <cellStyle name="표준 16 15 2 3" xfId="18198"/>
    <cellStyle name="표준 16 15 2 3 2" xfId="40663"/>
    <cellStyle name="표준 16 15 2 4" xfId="25699"/>
    <cellStyle name="표준 16 15 3" xfId="10713"/>
    <cellStyle name="표준 16 15 3 2" xfId="33180"/>
    <cellStyle name="표준 16 15 4" xfId="18197"/>
    <cellStyle name="표준 16 15 4 2" xfId="40662"/>
    <cellStyle name="표준 16 15 5" xfId="25698"/>
    <cellStyle name="표준 16 15_Sheet4" xfId="1898"/>
    <cellStyle name="표준 16 16" xfId="1899"/>
    <cellStyle name="표준 16 16 2" xfId="10715"/>
    <cellStyle name="표준 16 16 2 2" xfId="33182"/>
    <cellStyle name="표준 16 16 3" xfId="18199"/>
    <cellStyle name="표준 16 16 3 2" xfId="40664"/>
    <cellStyle name="표준 16 16 4" xfId="25700"/>
    <cellStyle name="표준 16 17" xfId="1900"/>
    <cellStyle name="표준 16 17 2" xfId="10716"/>
    <cellStyle name="표준 16 17 2 2" xfId="33183"/>
    <cellStyle name="표준 16 17 3" xfId="18200"/>
    <cellStyle name="표준 16 17 3 2" xfId="40665"/>
    <cellStyle name="표준 16 17 4" xfId="25701"/>
    <cellStyle name="표준 16 18" xfId="10688"/>
    <cellStyle name="표준 16 18 2" xfId="33155"/>
    <cellStyle name="표준 16 19" xfId="18172"/>
    <cellStyle name="표준 16 19 2" xfId="40637"/>
    <cellStyle name="표준 16 2" xfId="1901"/>
    <cellStyle name="표준 16 2 10" xfId="1902"/>
    <cellStyle name="표준 16 2 10 2" xfId="1903"/>
    <cellStyle name="표준 16 2 10 2 2" xfId="1904"/>
    <cellStyle name="표준 16 2 10 2 2 2" xfId="10720"/>
    <cellStyle name="표준 16 2 10 2 2 2 2" xfId="33187"/>
    <cellStyle name="표준 16 2 10 2 2 3" xfId="18204"/>
    <cellStyle name="표준 16 2 10 2 2 3 2" xfId="40669"/>
    <cellStyle name="표준 16 2 10 2 2 4" xfId="25705"/>
    <cellStyle name="표준 16 2 10 2 3" xfId="10719"/>
    <cellStyle name="표준 16 2 10 2 3 2" xfId="33186"/>
    <cellStyle name="표준 16 2 10 2 4" xfId="18203"/>
    <cellStyle name="표준 16 2 10 2 4 2" xfId="40668"/>
    <cellStyle name="표준 16 2 10 2 5" xfId="25704"/>
    <cellStyle name="표준 16 2 10 2_Sheet4" xfId="1905"/>
    <cellStyle name="표준 16 2 10 3" xfId="1906"/>
    <cellStyle name="표준 16 2 10 3 2" xfId="10721"/>
    <cellStyle name="표준 16 2 10 3 2 2" xfId="33188"/>
    <cellStyle name="표준 16 2 10 3 3" xfId="18205"/>
    <cellStyle name="표준 16 2 10 3 3 2" xfId="40670"/>
    <cellStyle name="표준 16 2 10 3 4" xfId="25706"/>
    <cellStyle name="표준 16 2 10 4" xfId="10718"/>
    <cellStyle name="표준 16 2 10 4 2" xfId="33185"/>
    <cellStyle name="표준 16 2 10 5" xfId="18202"/>
    <cellStyle name="표준 16 2 10 5 2" xfId="40667"/>
    <cellStyle name="표준 16 2 10 6" xfId="25703"/>
    <cellStyle name="표준 16 2 10_Sheet4" xfId="1907"/>
    <cellStyle name="표준 16 2 11" xfId="1908"/>
    <cellStyle name="표준 16 2 11 2" xfId="1909"/>
    <cellStyle name="표준 16 2 11 2 2" xfId="1910"/>
    <cellStyle name="표준 16 2 11 2 2 2" xfId="10724"/>
    <cellStyle name="표준 16 2 11 2 2 2 2" xfId="33191"/>
    <cellStyle name="표준 16 2 11 2 2 3" xfId="18208"/>
    <cellStyle name="표준 16 2 11 2 2 3 2" xfId="40673"/>
    <cellStyle name="표준 16 2 11 2 2 4" xfId="25709"/>
    <cellStyle name="표준 16 2 11 2 3" xfId="10723"/>
    <cellStyle name="표준 16 2 11 2 3 2" xfId="33190"/>
    <cellStyle name="표준 16 2 11 2 4" xfId="18207"/>
    <cellStyle name="표준 16 2 11 2 4 2" xfId="40672"/>
    <cellStyle name="표준 16 2 11 2 5" xfId="25708"/>
    <cellStyle name="표준 16 2 11 2_Sheet4" xfId="1911"/>
    <cellStyle name="표준 16 2 11 3" xfId="1912"/>
    <cellStyle name="표준 16 2 11 3 2" xfId="10725"/>
    <cellStyle name="표준 16 2 11 3 2 2" xfId="33192"/>
    <cellStyle name="표준 16 2 11 3 3" xfId="18209"/>
    <cellStyle name="표준 16 2 11 3 3 2" xfId="40674"/>
    <cellStyle name="표준 16 2 11 3 4" xfId="25710"/>
    <cellStyle name="표준 16 2 11 4" xfId="10722"/>
    <cellStyle name="표준 16 2 11 4 2" xfId="33189"/>
    <cellStyle name="표준 16 2 11 5" xfId="18206"/>
    <cellStyle name="표준 16 2 11 5 2" xfId="40671"/>
    <cellStyle name="표준 16 2 11 6" xfId="25707"/>
    <cellStyle name="표준 16 2 11_Sheet4" xfId="1913"/>
    <cellStyle name="표준 16 2 12" xfId="1914"/>
    <cellStyle name="표준 16 2 12 2" xfId="1915"/>
    <cellStyle name="표준 16 2 12 2 2" xfId="1916"/>
    <cellStyle name="표준 16 2 12 2 2 2" xfId="10728"/>
    <cellStyle name="표준 16 2 12 2 2 2 2" xfId="33195"/>
    <cellStyle name="표준 16 2 12 2 2 3" xfId="18212"/>
    <cellStyle name="표준 16 2 12 2 2 3 2" xfId="40677"/>
    <cellStyle name="표준 16 2 12 2 2 4" xfId="25713"/>
    <cellStyle name="표준 16 2 12 2 3" xfId="10727"/>
    <cellStyle name="표준 16 2 12 2 3 2" xfId="33194"/>
    <cellStyle name="표준 16 2 12 2 4" xfId="18211"/>
    <cellStyle name="표준 16 2 12 2 4 2" xfId="40676"/>
    <cellStyle name="표준 16 2 12 2 5" xfId="25712"/>
    <cellStyle name="표준 16 2 12 2_Sheet4" xfId="1917"/>
    <cellStyle name="표준 16 2 12 3" xfId="1918"/>
    <cellStyle name="표준 16 2 12 3 2" xfId="10729"/>
    <cellStyle name="표준 16 2 12 3 2 2" xfId="33196"/>
    <cellStyle name="표준 16 2 12 3 3" xfId="18213"/>
    <cellStyle name="표준 16 2 12 3 3 2" xfId="40678"/>
    <cellStyle name="표준 16 2 12 3 4" xfId="25714"/>
    <cellStyle name="표준 16 2 12 4" xfId="10726"/>
    <cellStyle name="표준 16 2 12 4 2" xfId="33193"/>
    <cellStyle name="표준 16 2 12 5" xfId="18210"/>
    <cellStyle name="표준 16 2 12 5 2" xfId="40675"/>
    <cellStyle name="표준 16 2 12 6" xfId="25711"/>
    <cellStyle name="표준 16 2 12_Sheet4" xfId="1919"/>
    <cellStyle name="표준 16 2 13" xfId="1920"/>
    <cellStyle name="표준 16 2 13 2" xfId="1921"/>
    <cellStyle name="표준 16 2 13 2 2" xfId="10731"/>
    <cellStyle name="표준 16 2 13 2 2 2" xfId="33198"/>
    <cellStyle name="표준 16 2 13 2 3" xfId="18215"/>
    <cellStyle name="표준 16 2 13 2 3 2" xfId="40680"/>
    <cellStyle name="표준 16 2 13 2 4" xfId="25716"/>
    <cellStyle name="표준 16 2 13 3" xfId="10730"/>
    <cellStyle name="표준 16 2 13 3 2" xfId="33197"/>
    <cellStyle name="표준 16 2 13 4" xfId="18214"/>
    <cellStyle name="표준 16 2 13 4 2" xfId="40679"/>
    <cellStyle name="표준 16 2 13 5" xfId="25715"/>
    <cellStyle name="표준 16 2 13_Sheet4" xfId="1922"/>
    <cellStyle name="표준 16 2 14" xfId="1923"/>
    <cellStyle name="표준 16 2 14 2" xfId="10732"/>
    <cellStyle name="표준 16 2 14 2 2" xfId="33199"/>
    <cellStyle name="표준 16 2 14 3" xfId="18216"/>
    <cellStyle name="표준 16 2 14 3 2" xfId="40681"/>
    <cellStyle name="표준 16 2 14 4" xfId="25717"/>
    <cellStyle name="표준 16 2 15" xfId="10717"/>
    <cellStyle name="표준 16 2 15 2" xfId="33184"/>
    <cellStyle name="표준 16 2 16" xfId="18201"/>
    <cellStyle name="표준 16 2 16 2" xfId="40666"/>
    <cellStyle name="표준 16 2 17" xfId="25702"/>
    <cellStyle name="표준 16 2 2" xfId="1924"/>
    <cellStyle name="표준 16 2 2 10" xfId="10733"/>
    <cellStyle name="표준 16 2 2 10 2" xfId="33200"/>
    <cellStyle name="표준 16 2 2 11" xfId="18217"/>
    <cellStyle name="표준 16 2 2 11 2" xfId="40682"/>
    <cellStyle name="표준 16 2 2 12" xfId="25718"/>
    <cellStyle name="표준 16 2 2 2" xfId="1925"/>
    <cellStyle name="표준 16 2 2 2 10" xfId="25719"/>
    <cellStyle name="표준 16 2 2 2 2" xfId="1926"/>
    <cellStyle name="표준 16 2 2 2 2 2" xfId="1927"/>
    <cellStyle name="표준 16 2 2 2 2 2 2" xfId="1928"/>
    <cellStyle name="표준 16 2 2 2 2 2 2 2" xfId="1929"/>
    <cellStyle name="표준 16 2 2 2 2 2 2 2 2" xfId="1930"/>
    <cellStyle name="표준 16 2 2 2 2 2 2 2 2 2" xfId="10739"/>
    <cellStyle name="표준 16 2 2 2 2 2 2 2 2 2 2" xfId="33206"/>
    <cellStyle name="표준 16 2 2 2 2 2 2 2 2 3" xfId="18223"/>
    <cellStyle name="표준 16 2 2 2 2 2 2 2 2 3 2" xfId="40688"/>
    <cellStyle name="표준 16 2 2 2 2 2 2 2 2 4" xfId="25724"/>
    <cellStyle name="표준 16 2 2 2 2 2 2 2 3" xfId="10738"/>
    <cellStyle name="표준 16 2 2 2 2 2 2 2 3 2" xfId="33205"/>
    <cellStyle name="표준 16 2 2 2 2 2 2 2 4" xfId="18222"/>
    <cellStyle name="표준 16 2 2 2 2 2 2 2 4 2" xfId="40687"/>
    <cellStyle name="표준 16 2 2 2 2 2 2 2 5" xfId="25723"/>
    <cellStyle name="표준 16 2 2 2 2 2 2 2_Sheet4" xfId="1931"/>
    <cellStyle name="표준 16 2 2 2 2 2 2 3" xfId="1932"/>
    <cellStyle name="표준 16 2 2 2 2 2 2 3 2" xfId="10740"/>
    <cellStyle name="표준 16 2 2 2 2 2 2 3 2 2" xfId="33207"/>
    <cellStyle name="표준 16 2 2 2 2 2 2 3 3" xfId="18224"/>
    <cellStyle name="표준 16 2 2 2 2 2 2 3 3 2" xfId="40689"/>
    <cellStyle name="표준 16 2 2 2 2 2 2 3 4" xfId="25725"/>
    <cellStyle name="표준 16 2 2 2 2 2 2 4" xfId="10737"/>
    <cellStyle name="표준 16 2 2 2 2 2 2 4 2" xfId="33204"/>
    <cellStyle name="표준 16 2 2 2 2 2 2 5" xfId="18221"/>
    <cellStyle name="표준 16 2 2 2 2 2 2 5 2" xfId="40686"/>
    <cellStyle name="표준 16 2 2 2 2 2 2 6" xfId="25722"/>
    <cellStyle name="표준 16 2 2 2 2 2 2_Sheet4" xfId="1933"/>
    <cellStyle name="표준 16 2 2 2 2 2 3" xfId="1934"/>
    <cellStyle name="표준 16 2 2 2 2 2 3 2" xfId="1935"/>
    <cellStyle name="표준 16 2 2 2 2 2 3 2 2" xfId="10742"/>
    <cellStyle name="표준 16 2 2 2 2 2 3 2 2 2" xfId="33209"/>
    <cellStyle name="표준 16 2 2 2 2 2 3 2 3" xfId="18226"/>
    <cellStyle name="표준 16 2 2 2 2 2 3 2 3 2" xfId="40691"/>
    <cellStyle name="표준 16 2 2 2 2 2 3 2 4" xfId="25727"/>
    <cellStyle name="표준 16 2 2 2 2 2 3 3" xfId="10741"/>
    <cellStyle name="표준 16 2 2 2 2 2 3 3 2" xfId="33208"/>
    <cellStyle name="표준 16 2 2 2 2 2 3 4" xfId="18225"/>
    <cellStyle name="표준 16 2 2 2 2 2 3 4 2" xfId="40690"/>
    <cellStyle name="표준 16 2 2 2 2 2 3 5" xfId="25726"/>
    <cellStyle name="표준 16 2 2 2 2 2 3_Sheet4" xfId="1936"/>
    <cellStyle name="표준 16 2 2 2 2 2 4" xfId="1937"/>
    <cellStyle name="표준 16 2 2 2 2 2 4 2" xfId="10743"/>
    <cellStyle name="표준 16 2 2 2 2 2 4 2 2" xfId="33210"/>
    <cellStyle name="표준 16 2 2 2 2 2 4 3" xfId="18227"/>
    <cellStyle name="표준 16 2 2 2 2 2 4 3 2" xfId="40692"/>
    <cellStyle name="표준 16 2 2 2 2 2 4 4" xfId="25728"/>
    <cellStyle name="표준 16 2 2 2 2 2 5" xfId="10736"/>
    <cellStyle name="표준 16 2 2 2 2 2 5 2" xfId="33203"/>
    <cellStyle name="표준 16 2 2 2 2 2 6" xfId="18220"/>
    <cellStyle name="표준 16 2 2 2 2 2 6 2" xfId="40685"/>
    <cellStyle name="표준 16 2 2 2 2 2 7" xfId="25721"/>
    <cellStyle name="표준 16 2 2 2 2 2_Sheet4" xfId="1938"/>
    <cellStyle name="표준 16 2 2 2 2 3" xfId="1939"/>
    <cellStyle name="표준 16 2 2 2 2 3 2" xfId="1940"/>
    <cellStyle name="표준 16 2 2 2 2 3 2 2" xfId="1941"/>
    <cellStyle name="표준 16 2 2 2 2 3 2 2 2" xfId="10746"/>
    <cellStyle name="표준 16 2 2 2 2 3 2 2 2 2" xfId="33213"/>
    <cellStyle name="표준 16 2 2 2 2 3 2 2 3" xfId="18230"/>
    <cellStyle name="표준 16 2 2 2 2 3 2 2 3 2" xfId="40695"/>
    <cellStyle name="표준 16 2 2 2 2 3 2 2 4" xfId="25731"/>
    <cellStyle name="표준 16 2 2 2 2 3 2 3" xfId="10745"/>
    <cellStyle name="표준 16 2 2 2 2 3 2 3 2" xfId="33212"/>
    <cellStyle name="표준 16 2 2 2 2 3 2 4" xfId="18229"/>
    <cellStyle name="표준 16 2 2 2 2 3 2 4 2" xfId="40694"/>
    <cellStyle name="표준 16 2 2 2 2 3 2 5" xfId="25730"/>
    <cellStyle name="표준 16 2 2 2 2 3 2_Sheet4" xfId="1942"/>
    <cellStyle name="표준 16 2 2 2 2 3 3" xfId="1943"/>
    <cellStyle name="표준 16 2 2 2 2 3 3 2" xfId="10747"/>
    <cellStyle name="표준 16 2 2 2 2 3 3 2 2" xfId="33214"/>
    <cellStyle name="표준 16 2 2 2 2 3 3 3" xfId="18231"/>
    <cellStyle name="표준 16 2 2 2 2 3 3 3 2" xfId="40696"/>
    <cellStyle name="표준 16 2 2 2 2 3 3 4" xfId="25732"/>
    <cellStyle name="표준 16 2 2 2 2 3 4" xfId="10744"/>
    <cellStyle name="표준 16 2 2 2 2 3 4 2" xfId="33211"/>
    <cellStyle name="표준 16 2 2 2 2 3 5" xfId="18228"/>
    <cellStyle name="표준 16 2 2 2 2 3 5 2" xfId="40693"/>
    <cellStyle name="표준 16 2 2 2 2 3 6" xfId="25729"/>
    <cellStyle name="표준 16 2 2 2 2 3_Sheet4" xfId="1944"/>
    <cellStyle name="표준 16 2 2 2 2 4" xfId="1945"/>
    <cellStyle name="표준 16 2 2 2 2 4 2" xfId="1946"/>
    <cellStyle name="표준 16 2 2 2 2 4 2 2" xfId="10749"/>
    <cellStyle name="표준 16 2 2 2 2 4 2 2 2" xfId="33216"/>
    <cellStyle name="표준 16 2 2 2 2 4 2 3" xfId="18233"/>
    <cellStyle name="표준 16 2 2 2 2 4 2 3 2" xfId="40698"/>
    <cellStyle name="표준 16 2 2 2 2 4 2 4" xfId="25734"/>
    <cellStyle name="표준 16 2 2 2 2 4 3" xfId="10748"/>
    <cellStyle name="표준 16 2 2 2 2 4 3 2" xfId="33215"/>
    <cellStyle name="표준 16 2 2 2 2 4 4" xfId="18232"/>
    <cellStyle name="표준 16 2 2 2 2 4 4 2" xfId="40697"/>
    <cellStyle name="표준 16 2 2 2 2 4 5" xfId="25733"/>
    <cellStyle name="표준 16 2 2 2 2 4_Sheet4" xfId="1947"/>
    <cellStyle name="표준 16 2 2 2 2 5" xfId="1948"/>
    <cellStyle name="표준 16 2 2 2 2 5 2" xfId="10750"/>
    <cellStyle name="표준 16 2 2 2 2 5 2 2" xfId="33217"/>
    <cellStyle name="표준 16 2 2 2 2 5 3" xfId="18234"/>
    <cellStyle name="표준 16 2 2 2 2 5 3 2" xfId="40699"/>
    <cellStyle name="표준 16 2 2 2 2 5 4" xfId="25735"/>
    <cellStyle name="표준 16 2 2 2 2 6" xfId="10735"/>
    <cellStyle name="표준 16 2 2 2 2 6 2" xfId="33202"/>
    <cellStyle name="표준 16 2 2 2 2 7" xfId="18219"/>
    <cellStyle name="표준 16 2 2 2 2 7 2" xfId="40684"/>
    <cellStyle name="표준 16 2 2 2 2 8" xfId="25720"/>
    <cellStyle name="표준 16 2 2 2 2_Sheet4" xfId="1949"/>
    <cellStyle name="표준 16 2 2 2 3" xfId="1950"/>
    <cellStyle name="표준 16 2 2 2 3 2" xfId="1951"/>
    <cellStyle name="표준 16 2 2 2 3 2 2" xfId="1952"/>
    <cellStyle name="표준 16 2 2 2 3 2 2 2" xfId="1953"/>
    <cellStyle name="표준 16 2 2 2 3 2 2 2 2" xfId="1954"/>
    <cellStyle name="표준 16 2 2 2 3 2 2 2 2 2" xfId="10755"/>
    <cellStyle name="표준 16 2 2 2 3 2 2 2 2 2 2" xfId="33222"/>
    <cellStyle name="표준 16 2 2 2 3 2 2 2 2 3" xfId="18239"/>
    <cellStyle name="표준 16 2 2 2 3 2 2 2 2 3 2" xfId="40704"/>
    <cellStyle name="표준 16 2 2 2 3 2 2 2 2 4" xfId="25740"/>
    <cellStyle name="표준 16 2 2 2 3 2 2 2 3" xfId="10754"/>
    <cellStyle name="표준 16 2 2 2 3 2 2 2 3 2" xfId="33221"/>
    <cellStyle name="표준 16 2 2 2 3 2 2 2 4" xfId="18238"/>
    <cellStyle name="표준 16 2 2 2 3 2 2 2 4 2" xfId="40703"/>
    <cellStyle name="표준 16 2 2 2 3 2 2 2 5" xfId="25739"/>
    <cellStyle name="표준 16 2 2 2 3 2 2 2_Sheet4" xfId="1955"/>
    <cellStyle name="표준 16 2 2 2 3 2 2 3" xfId="1956"/>
    <cellStyle name="표준 16 2 2 2 3 2 2 3 2" xfId="10756"/>
    <cellStyle name="표준 16 2 2 2 3 2 2 3 2 2" xfId="33223"/>
    <cellStyle name="표준 16 2 2 2 3 2 2 3 3" xfId="18240"/>
    <cellStyle name="표준 16 2 2 2 3 2 2 3 3 2" xfId="40705"/>
    <cellStyle name="표준 16 2 2 2 3 2 2 3 4" xfId="25741"/>
    <cellStyle name="표준 16 2 2 2 3 2 2 4" xfId="10753"/>
    <cellStyle name="표준 16 2 2 2 3 2 2 4 2" xfId="33220"/>
    <cellStyle name="표준 16 2 2 2 3 2 2 5" xfId="18237"/>
    <cellStyle name="표준 16 2 2 2 3 2 2 5 2" xfId="40702"/>
    <cellStyle name="표준 16 2 2 2 3 2 2 6" xfId="25738"/>
    <cellStyle name="표준 16 2 2 2 3 2 2_Sheet4" xfId="1957"/>
    <cellStyle name="표준 16 2 2 2 3 2 3" xfId="1958"/>
    <cellStyle name="표준 16 2 2 2 3 2 3 2" xfId="1959"/>
    <cellStyle name="표준 16 2 2 2 3 2 3 2 2" xfId="10758"/>
    <cellStyle name="표준 16 2 2 2 3 2 3 2 2 2" xfId="33225"/>
    <cellStyle name="표준 16 2 2 2 3 2 3 2 3" xfId="18242"/>
    <cellStyle name="표준 16 2 2 2 3 2 3 2 3 2" xfId="40707"/>
    <cellStyle name="표준 16 2 2 2 3 2 3 2 4" xfId="25743"/>
    <cellStyle name="표준 16 2 2 2 3 2 3 3" xfId="10757"/>
    <cellStyle name="표준 16 2 2 2 3 2 3 3 2" xfId="33224"/>
    <cellStyle name="표준 16 2 2 2 3 2 3 4" xfId="18241"/>
    <cellStyle name="표준 16 2 2 2 3 2 3 4 2" xfId="40706"/>
    <cellStyle name="표준 16 2 2 2 3 2 3 5" xfId="25742"/>
    <cellStyle name="표준 16 2 2 2 3 2 3_Sheet4" xfId="1960"/>
    <cellStyle name="표준 16 2 2 2 3 2 4" xfId="1961"/>
    <cellStyle name="표준 16 2 2 2 3 2 4 2" xfId="10759"/>
    <cellStyle name="표준 16 2 2 2 3 2 4 2 2" xfId="33226"/>
    <cellStyle name="표준 16 2 2 2 3 2 4 3" xfId="18243"/>
    <cellStyle name="표준 16 2 2 2 3 2 4 3 2" xfId="40708"/>
    <cellStyle name="표준 16 2 2 2 3 2 4 4" xfId="25744"/>
    <cellStyle name="표준 16 2 2 2 3 2 5" xfId="10752"/>
    <cellStyle name="표준 16 2 2 2 3 2 5 2" xfId="33219"/>
    <cellStyle name="표준 16 2 2 2 3 2 6" xfId="18236"/>
    <cellStyle name="표준 16 2 2 2 3 2 6 2" xfId="40701"/>
    <cellStyle name="표준 16 2 2 2 3 2 7" xfId="25737"/>
    <cellStyle name="표준 16 2 2 2 3 2_Sheet4" xfId="1962"/>
    <cellStyle name="표준 16 2 2 2 3 3" xfId="1963"/>
    <cellStyle name="표준 16 2 2 2 3 3 2" xfId="1964"/>
    <cellStyle name="표준 16 2 2 2 3 3 2 2" xfId="1965"/>
    <cellStyle name="표준 16 2 2 2 3 3 2 2 2" xfId="10762"/>
    <cellStyle name="표준 16 2 2 2 3 3 2 2 2 2" xfId="33229"/>
    <cellStyle name="표준 16 2 2 2 3 3 2 2 3" xfId="18246"/>
    <cellStyle name="표준 16 2 2 2 3 3 2 2 3 2" xfId="40711"/>
    <cellStyle name="표준 16 2 2 2 3 3 2 2 4" xfId="25747"/>
    <cellStyle name="표준 16 2 2 2 3 3 2 3" xfId="10761"/>
    <cellStyle name="표준 16 2 2 2 3 3 2 3 2" xfId="33228"/>
    <cellStyle name="표준 16 2 2 2 3 3 2 4" xfId="18245"/>
    <cellStyle name="표준 16 2 2 2 3 3 2 4 2" xfId="40710"/>
    <cellStyle name="표준 16 2 2 2 3 3 2 5" xfId="25746"/>
    <cellStyle name="표준 16 2 2 2 3 3 2_Sheet4" xfId="1966"/>
    <cellStyle name="표준 16 2 2 2 3 3 3" xfId="1967"/>
    <cellStyle name="표준 16 2 2 2 3 3 3 2" xfId="10763"/>
    <cellStyle name="표준 16 2 2 2 3 3 3 2 2" xfId="33230"/>
    <cellStyle name="표준 16 2 2 2 3 3 3 3" xfId="18247"/>
    <cellStyle name="표준 16 2 2 2 3 3 3 3 2" xfId="40712"/>
    <cellStyle name="표준 16 2 2 2 3 3 3 4" xfId="25748"/>
    <cellStyle name="표준 16 2 2 2 3 3 4" xfId="10760"/>
    <cellStyle name="표준 16 2 2 2 3 3 4 2" xfId="33227"/>
    <cellStyle name="표준 16 2 2 2 3 3 5" xfId="18244"/>
    <cellStyle name="표준 16 2 2 2 3 3 5 2" xfId="40709"/>
    <cellStyle name="표준 16 2 2 2 3 3 6" xfId="25745"/>
    <cellStyle name="표준 16 2 2 2 3 3_Sheet4" xfId="1968"/>
    <cellStyle name="표준 16 2 2 2 3 4" xfId="1969"/>
    <cellStyle name="표준 16 2 2 2 3 4 2" xfId="1970"/>
    <cellStyle name="표준 16 2 2 2 3 4 2 2" xfId="10765"/>
    <cellStyle name="표준 16 2 2 2 3 4 2 2 2" xfId="33232"/>
    <cellStyle name="표준 16 2 2 2 3 4 2 3" xfId="18249"/>
    <cellStyle name="표준 16 2 2 2 3 4 2 3 2" xfId="40714"/>
    <cellStyle name="표준 16 2 2 2 3 4 2 4" xfId="25750"/>
    <cellStyle name="표준 16 2 2 2 3 4 3" xfId="10764"/>
    <cellStyle name="표준 16 2 2 2 3 4 3 2" xfId="33231"/>
    <cellStyle name="표준 16 2 2 2 3 4 4" xfId="18248"/>
    <cellStyle name="표준 16 2 2 2 3 4 4 2" xfId="40713"/>
    <cellStyle name="표준 16 2 2 2 3 4 5" xfId="25749"/>
    <cellStyle name="표준 16 2 2 2 3 4_Sheet4" xfId="1971"/>
    <cellStyle name="표준 16 2 2 2 3 5" xfId="1972"/>
    <cellStyle name="표준 16 2 2 2 3 5 2" xfId="10766"/>
    <cellStyle name="표준 16 2 2 2 3 5 2 2" xfId="33233"/>
    <cellStyle name="표준 16 2 2 2 3 5 3" xfId="18250"/>
    <cellStyle name="표준 16 2 2 2 3 5 3 2" xfId="40715"/>
    <cellStyle name="표준 16 2 2 2 3 5 4" xfId="25751"/>
    <cellStyle name="표준 16 2 2 2 3 6" xfId="10751"/>
    <cellStyle name="표준 16 2 2 2 3 6 2" xfId="33218"/>
    <cellStyle name="표준 16 2 2 2 3 7" xfId="18235"/>
    <cellStyle name="표준 16 2 2 2 3 7 2" xfId="40700"/>
    <cellStyle name="표준 16 2 2 2 3 8" xfId="25736"/>
    <cellStyle name="표준 16 2 2 2 3_Sheet4" xfId="1973"/>
    <cellStyle name="표준 16 2 2 2 4" xfId="1974"/>
    <cellStyle name="표준 16 2 2 2 4 2" xfId="1975"/>
    <cellStyle name="표준 16 2 2 2 4 2 2" xfId="1976"/>
    <cellStyle name="표준 16 2 2 2 4 2 2 2" xfId="1977"/>
    <cellStyle name="표준 16 2 2 2 4 2 2 2 2" xfId="10770"/>
    <cellStyle name="표준 16 2 2 2 4 2 2 2 2 2" xfId="33237"/>
    <cellStyle name="표준 16 2 2 2 4 2 2 2 3" xfId="18254"/>
    <cellStyle name="표준 16 2 2 2 4 2 2 2 3 2" xfId="40719"/>
    <cellStyle name="표준 16 2 2 2 4 2 2 2 4" xfId="25755"/>
    <cellStyle name="표준 16 2 2 2 4 2 2 3" xfId="10769"/>
    <cellStyle name="표준 16 2 2 2 4 2 2 3 2" xfId="33236"/>
    <cellStyle name="표준 16 2 2 2 4 2 2 4" xfId="18253"/>
    <cellStyle name="표준 16 2 2 2 4 2 2 4 2" xfId="40718"/>
    <cellStyle name="표준 16 2 2 2 4 2 2 5" xfId="25754"/>
    <cellStyle name="표준 16 2 2 2 4 2 2_Sheet4" xfId="1978"/>
    <cellStyle name="표준 16 2 2 2 4 2 3" xfId="1979"/>
    <cellStyle name="표준 16 2 2 2 4 2 3 2" xfId="10771"/>
    <cellStyle name="표준 16 2 2 2 4 2 3 2 2" xfId="33238"/>
    <cellStyle name="표준 16 2 2 2 4 2 3 3" xfId="18255"/>
    <cellStyle name="표준 16 2 2 2 4 2 3 3 2" xfId="40720"/>
    <cellStyle name="표준 16 2 2 2 4 2 3 4" xfId="25756"/>
    <cellStyle name="표준 16 2 2 2 4 2 4" xfId="10768"/>
    <cellStyle name="표준 16 2 2 2 4 2 4 2" xfId="33235"/>
    <cellStyle name="표준 16 2 2 2 4 2 5" xfId="18252"/>
    <cellStyle name="표준 16 2 2 2 4 2 5 2" xfId="40717"/>
    <cellStyle name="표준 16 2 2 2 4 2 6" xfId="25753"/>
    <cellStyle name="표준 16 2 2 2 4 2_Sheet4" xfId="1980"/>
    <cellStyle name="표준 16 2 2 2 4 3" xfId="1981"/>
    <cellStyle name="표준 16 2 2 2 4 3 2" xfId="1982"/>
    <cellStyle name="표준 16 2 2 2 4 3 2 2" xfId="10773"/>
    <cellStyle name="표준 16 2 2 2 4 3 2 2 2" xfId="33240"/>
    <cellStyle name="표준 16 2 2 2 4 3 2 3" xfId="18257"/>
    <cellStyle name="표준 16 2 2 2 4 3 2 3 2" xfId="40722"/>
    <cellStyle name="표준 16 2 2 2 4 3 2 4" xfId="25758"/>
    <cellStyle name="표준 16 2 2 2 4 3 3" xfId="10772"/>
    <cellStyle name="표준 16 2 2 2 4 3 3 2" xfId="33239"/>
    <cellStyle name="표준 16 2 2 2 4 3 4" xfId="18256"/>
    <cellStyle name="표준 16 2 2 2 4 3 4 2" xfId="40721"/>
    <cellStyle name="표준 16 2 2 2 4 3 5" xfId="25757"/>
    <cellStyle name="표준 16 2 2 2 4 3_Sheet4" xfId="1983"/>
    <cellStyle name="표준 16 2 2 2 4 4" xfId="1984"/>
    <cellStyle name="표준 16 2 2 2 4 4 2" xfId="10774"/>
    <cellStyle name="표준 16 2 2 2 4 4 2 2" xfId="33241"/>
    <cellStyle name="표준 16 2 2 2 4 4 3" xfId="18258"/>
    <cellStyle name="표준 16 2 2 2 4 4 3 2" xfId="40723"/>
    <cellStyle name="표준 16 2 2 2 4 4 4" xfId="25759"/>
    <cellStyle name="표준 16 2 2 2 4 5" xfId="10767"/>
    <cellStyle name="표준 16 2 2 2 4 5 2" xfId="33234"/>
    <cellStyle name="표준 16 2 2 2 4 6" xfId="18251"/>
    <cellStyle name="표준 16 2 2 2 4 6 2" xfId="40716"/>
    <cellStyle name="표준 16 2 2 2 4 7" xfId="25752"/>
    <cellStyle name="표준 16 2 2 2 4_Sheet4" xfId="1985"/>
    <cellStyle name="표준 16 2 2 2 5" xfId="1986"/>
    <cellStyle name="표준 16 2 2 2 5 2" xfId="1987"/>
    <cellStyle name="표준 16 2 2 2 5 2 2" xfId="1988"/>
    <cellStyle name="표준 16 2 2 2 5 2 2 2" xfId="10777"/>
    <cellStyle name="표준 16 2 2 2 5 2 2 2 2" xfId="33244"/>
    <cellStyle name="표준 16 2 2 2 5 2 2 3" xfId="18261"/>
    <cellStyle name="표준 16 2 2 2 5 2 2 3 2" xfId="40726"/>
    <cellStyle name="표준 16 2 2 2 5 2 2 4" xfId="25762"/>
    <cellStyle name="표준 16 2 2 2 5 2 3" xfId="10776"/>
    <cellStyle name="표준 16 2 2 2 5 2 3 2" xfId="33243"/>
    <cellStyle name="표준 16 2 2 2 5 2 4" xfId="18260"/>
    <cellStyle name="표준 16 2 2 2 5 2 4 2" xfId="40725"/>
    <cellStyle name="표준 16 2 2 2 5 2 5" xfId="25761"/>
    <cellStyle name="표준 16 2 2 2 5 2_Sheet4" xfId="1989"/>
    <cellStyle name="표준 16 2 2 2 5 3" xfId="1990"/>
    <cellStyle name="표준 16 2 2 2 5 3 2" xfId="10778"/>
    <cellStyle name="표준 16 2 2 2 5 3 2 2" xfId="33245"/>
    <cellStyle name="표준 16 2 2 2 5 3 3" xfId="18262"/>
    <cellStyle name="표준 16 2 2 2 5 3 3 2" xfId="40727"/>
    <cellStyle name="표준 16 2 2 2 5 3 4" xfId="25763"/>
    <cellStyle name="표준 16 2 2 2 5 4" xfId="10775"/>
    <cellStyle name="표준 16 2 2 2 5 4 2" xfId="33242"/>
    <cellStyle name="표준 16 2 2 2 5 5" xfId="18259"/>
    <cellStyle name="표준 16 2 2 2 5 5 2" xfId="40724"/>
    <cellStyle name="표준 16 2 2 2 5 6" xfId="25760"/>
    <cellStyle name="표준 16 2 2 2 5_Sheet4" xfId="1991"/>
    <cellStyle name="표준 16 2 2 2 6" xfId="1992"/>
    <cellStyle name="표준 16 2 2 2 6 2" xfId="1993"/>
    <cellStyle name="표준 16 2 2 2 6 2 2" xfId="10780"/>
    <cellStyle name="표준 16 2 2 2 6 2 2 2" xfId="33247"/>
    <cellStyle name="표준 16 2 2 2 6 2 3" xfId="18264"/>
    <cellStyle name="표준 16 2 2 2 6 2 3 2" xfId="40729"/>
    <cellStyle name="표준 16 2 2 2 6 2 4" xfId="25765"/>
    <cellStyle name="표준 16 2 2 2 6 3" xfId="10779"/>
    <cellStyle name="표준 16 2 2 2 6 3 2" xfId="33246"/>
    <cellStyle name="표준 16 2 2 2 6 4" xfId="18263"/>
    <cellStyle name="표준 16 2 2 2 6 4 2" xfId="40728"/>
    <cellStyle name="표준 16 2 2 2 6 5" xfId="25764"/>
    <cellStyle name="표준 16 2 2 2 6_Sheet4" xfId="1994"/>
    <cellStyle name="표준 16 2 2 2 7" xfId="1995"/>
    <cellStyle name="표준 16 2 2 2 7 2" xfId="10781"/>
    <cellStyle name="표준 16 2 2 2 7 2 2" xfId="33248"/>
    <cellStyle name="표준 16 2 2 2 7 3" xfId="18265"/>
    <cellStyle name="표준 16 2 2 2 7 3 2" xfId="40730"/>
    <cellStyle name="표준 16 2 2 2 7 4" xfId="25766"/>
    <cellStyle name="표준 16 2 2 2 8" xfId="10734"/>
    <cellStyle name="표준 16 2 2 2 8 2" xfId="33201"/>
    <cellStyle name="표준 16 2 2 2 9" xfId="18218"/>
    <cellStyle name="표준 16 2 2 2 9 2" xfId="40683"/>
    <cellStyle name="표준 16 2 2 2_Sheet4" xfId="1996"/>
    <cellStyle name="표준 16 2 2 3" xfId="1997"/>
    <cellStyle name="표준 16 2 2 3 2" xfId="1998"/>
    <cellStyle name="표준 16 2 2 3 2 2" xfId="1999"/>
    <cellStyle name="표준 16 2 2 3 2 2 2" xfId="2000"/>
    <cellStyle name="표준 16 2 2 3 2 2 2 2" xfId="2001"/>
    <cellStyle name="표준 16 2 2 3 2 2 2 2 2" xfId="10786"/>
    <cellStyle name="표준 16 2 2 3 2 2 2 2 2 2" xfId="33253"/>
    <cellStyle name="표준 16 2 2 3 2 2 2 2 3" xfId="18270"/>
    <cellStyle name="표준 16 2 2 3 2 2 2 2 3 2" xfId="40735"/>
    <cellStyle name="표준 16 2 2 3 2 2 2 2 4" xfId="25771"/>
    <cellStyle name="표준 16 2 2 3 2 2 2 3" xfId="10785"/>
    <cellStyle name="표준 16 2 2 3 2 2 2 3 2" xfId="33252"/>
    <cellStyle name="표준 16 2 2 3 2 2 2 4" xfId="18269"/>
    <cellStyle name="표준 16 2 2 3 2 2 2 4 2" xfId="40734"/>
    <cellStyle name="표준 16 2 2 3 2 2 2 5" xfId="25770"/>
    <cellStyle name="표준 16 2 2 3 2 2 2_Sheet4" xfId="2002"/>
    <cellStyle name="표준 16 2 2 3 2 2 3" xfId="2003"/>
    <cellStyle name="표준 16 2 2 3 2 2 3 2" xfId="10787"/>
    <cellStyle name="표준 16 2 2 3 2 2 3 2 2" xfId="33254"/>
    <cellStyle name="표준 16 2 2 3 2 2 3 3" xfId="18271"/>
    <cellStyle name="표준 16 2 2 3 2 2 3 3 2" xfId="40736"/>
    <cellStyle name="표준 16 2 2 3 2 2 3 4" xfId="25772"/>
    <cellStyle name="표준 16 2 2 3 2 2 4" xfId="10784"/>
    <cellStyle name="표준 16 2 2 3 2 2 4 2" xfId="33251"/>
    <cellStyle name="표준 16 2 2 3 2 2 5" xfId="18268"/>
    <cellStyle name="표준 16 2 2 3 2 2 5 2" xfId="40733"/>
    <cellStyle name="표준 16 2 2 3 2 2 6" xfId="25769"/>
    <cellStyle name="표준 16 2 2 3 2 2_Sheet4" xfId="2004"/>
    <cellStyle name="표준 16 2 2 3 2 3" xfId="2005"/>
    <cellStyle name="표준 16 2 2 3 2 3 2" xfId="2006"/>
    <cellStyle name="표준 16 2 2 3 2 3 2 2" xfId="10789"/>
    <cellStyle name="표준 16 2 2 3 2 3 2 2 2" xfId="33256"/>
    <cellStyle name="표준 16 2 2 3 2 3 2 3" xfId="18273"/>
    <cellStyle name="표준 16 2 2 3 2 3 2 3 2" xfId="40738"/>
    <cellStyle name="표준 16 2 2 3 2 3 2 4" xfId="25774"/>
    <cellStyle name="표준 16 2 2 3 2 3 3" xfId="10788"/>
    <cellStyle name="표준 16 2 2 3 2 3 3 2" xfId="33255"/>
    <cellStyle name="표준 16 2 2 3 2 3 4" xfId="18272"/>
    <cellStyle name="표준 16 2 2 3 2 3 4 2" xfId="40737"/>
    <cellStyle name="표준 16 2 2 3 2 3 5" xfId="25773"/>
    <cellStyle name="표준 16 2 2 3 2 3_Sheet4" xfId="2007"/>
    <cellStyle name="표준 16 2 2 3 2 4" xfId="2008"/>
    <cellStyle name="표준 16 2 2 3 2 4 2" xfId="10790"/>
    <cellStyle name="표준 16 2 2 3 2 4 2 2" xfId="33257"/>
    <cellStyle name="표준 16 2 2 3 2 4 3" xfId="18274"/>
    <cellStyle name="표준 16 2 2 3 2 4 3 2" xfId="40739"/>
    <cellStyle name="표준 16 2 2 3 2 4 4" xfId="25775"/>
    <cellStyle name="표준 16 2 2 3 2 5" xfId="10783"/>
    <cellStyle name="표준 16 2 2 3 2 5 2" xfId="33250"/>
    <cellStyle name="표준 16 2 2 3 2 6" xfId="18267"/>
    <cellStyle name="표준 16 2 2 3 2 6 2" xfId="40732"/>
    <cellStyle name="표준 16 2 2 3 2 7" xfId="25768"/>
    <cellStyle name="표준 16 2 2 3 2_Sheet4" xfId="2009"/>
    <cellStyle name="표준 16 2 2 3 3" xfId="2010"/>
    <cellStyle name="표준 16 2 2 3 3 2" xfId="2011"/>
    <cellStyle name="표준 16 2 2 3 3 2 2" xfId="2012"/>
    <cellStyle name="표준 16 2 2 3 3 2 2 2" xfId="10793"/>
    <cellStyle name="표준 16 2 2 3 3 2 2 2 2" xfId="33260"/>
    <cellStyle name="표준 16 2 2 3 3 2 2 3" xfId="18277"/>
    <cellStyle name="표준 16 2 2 3 3 2 2 3 2" xfId="40742"/>
    <cellStyle name="표준 16 2 2 3 3 2 2 4" xfId="25778"/>
    <cellStyle name="표준 16 2 2 3 3 2 3" xfId="10792"/>
    <cellStyle name="표준 16 2 2 3 3 2 3 2" xfId="33259"/>
    <cellStyle name="표준 16 2 2 3 3 2 4" xfId="18276"/>
    <cellStyle name="표준 16 2 2 3 3 2 4 2" xfId="40741"/>
    <cellStyle name="표준 16 2 2 3 3 2 5" xfId="25777"/>
    <cellStyle name="표준 16 2 2 3 3 2_Sheet4" xfId="2013"/>
    <cellStyle name="표준 16 2 2 3 3 3" xfId="2014"/>
    <cellStyle name="표준 16 2 2 3 3 3 2" xfId="10794"/>
    <cellStyle name="표준 16 2 2 3 3 3 2 2" xfId="33261"/>
    <cellStyle name="표준 16 2 2 3 3 3 3" xfId="18278"/>
    <cellStyle name="표준 16 2 2 3 3 3 3 2" xfId="40743"/>
    <cellStyle name="표준 16 2 2 3 3 3 4" xfId="25779"/>
    <cellStyle name="표준 16 2 2 3 3 4" xfId="10791"/>
    <cellStyle name="표준 16 2 2 3 3 4 2" xfId="33258"/>
    <cellStyle name="표준 16 2 2 3 3 5" xfId="18275"/>
    <cellStyle name="표준 16 2 2 3 3 5 2" xfId="40740"/>
    <cellStyle name="표준 16 2 2 3 3 6" xfId="25776"/>
    <cellStyle name="표준 16 2 2 3 3_Sheet4" xfId="2015"/>
    <cellStyle name="표준 16 2 2 3 4" xfId="2016"/>
    <cellStyle name="표준 16 2 2 3 4 2" xfId="2017"/>
    <cellStyle name="표준 16 2 2 3 4 2 2" xfId="10796"/>
    <cellStyle name="표준 16 2 2 3 4 2 2 2" xfId="33263"/>
    <cellStyle name="표준 16 2 2 3 4 2 3" xfId="18280"/>
    <cellStyle name="표준 16 2 2 3 4 2 3 2" xfId="40745"/>
    <cellStyle name="표준 16 2 2 3 4 2 4" xfId="25781"/>
    <cellStyle name="표준 16 2 2 3 4 3" xfId="10795"/>
    <cellStyle name="표준 16 2 2 3 4 3 2" xfId="33262"/>
    <cellStyle name="표준 16 2 2 3 4 4" xfId="18279"/>
    <cellStyle name="표준 16 2 2 3 4 4 2" xfId="40744"/>
    <cellStyle name="표준 16 2 2 3 4 5" xfId="25780"/>
    <cellStyle name="표준 16 2 2 3 4_Sheet4" xfId="2018"/>
    <cellStyle name="표준 16 2 2 3 5" xfId="2019"/>
    <cellStyle name="표준 16 2 2 3 5 2" xfId="10797"/>
    <cellStyle name="표준 16 2 2 3 5 2 2" xfId="33264"/>
    <cellStyle name="표준 16 2 2 3 5 3" xfId="18281"/>
    <cellStyle name="표준 16 2 2 3 5 3 2" xfId="40746"/>
    <cellStyle name="표준 16 2 2 3 5 4" xfId="25782"/>
    <cellStyle name="표준 16 2 2 3 6" xfId="10782"/>
    <cellStyle name="표준 16 2 2 3 6 2" xfId="33249"/>
    <cellStyle name="표준 16 2 2 3 7" xfId="18266"/>
    <cellStyle name="표준 16 2 2 3 7 2" xfId="40731"/>
    <cellStyle name="표준 16 2 2 3 8" xfId="25767"/>
    <cellStyle name="표준 16 2 2 3_Sheet4" xfId="2020"/>
    <cellStyle name="표준 16 2 2 4" xfId="2021"/>
    <cellStyle name="표준 16 2 2 4 2" xfId="2022"/>
    <cellStyle name="표준 16 2 2 4 2 2" xfId="2023"/>
    <cellStyle name="표준 16 2 2 4 2 2 2" xfId="2024"/>
    <cellStyle name="표준 16 2 2 4 2 2 2 2" xfId="2025"/>
    <cellStyle name="표준 16 2 2 4 2 2 2 2 2" xfId="10802"/>
    <cellStyle name="표준 16 2 2 4 2 2 2 2 2 2" xfId="33269"/>
    <cellStyle name="표준 16 2 2 4 2 2 2 2 3" xfId="18286"/>
    <cellStyle name="표준 16 2 2 4 2 2 2 2 3 2" xfId="40751"/>
    <cellStyle name="표준 16 2 2 4 2 2 2 2 4" xfId="25787"/>
    <cellStyle name="표준 16 2 2 4 2 2 2 3" xfId="10801"/>
    <cellStyle name="표준 16 2 2 4 2 2 2 3 2" xfId="33268"/>
    <cellStyle name="표준 16 2 2 4 2 2 2 4" xfId="18285"/>
    <cellStyle name="표준 16 2 2 4 2 2 2 4 2" xfId="40750"/>
    <cellStyle name="표준 16 2 2 4 2 2 2 5" xfId="25786"/>
    <cellStyle name="표준 16 2 2 4 2 2 2_Sheet4" xfId="2026"/>
    <cellStyle name="표준 16 2 2 4 2 2 3" xfId="2027"/>
    <cellStyle name="표준 16 2 2 4 2 2 3 2" xfId="10803"/>
    <cellStyle name="표준 16 2 2 4 2 2 3 2 2" xfId="33270"/>
    <cellStyle name="표준 16 2 2 4 2 2 3 3" xfId="18287"/>
    <cellStyle name="표준 16 2 2 4 2 2 3 3 2" xfId="40752"/>
    <cellStyle name="표준 16 2 2 4 2 2 3 4" xfId="25788"/>
    <cellStyle name="표준 16 2 2 4 2 2 4" xfId="10800"/>
    <cellStyle name="표준 16 2 2 4 2 2 4 2" xfId="33267"/>
    <cellStyle name="표준 16 2 2 4 2 2 5" xfId="18284"/>
    <cellStyle name="표준 16 2 2 4 2 2 5 2" xfId="40749"/>
    <cellStyle name="표준 16 2 2 4 2 2 6" xfId="25785"/>
    <cellStyle name="표준 16 2 2 4 2 2_Sheet4" xfId="2028"/>
    <cellStyle name="표준 16 2 2 4 2 3" xfId="2029"/>
    <cellStyle name="표준 16 2 2 4 2 3 2" xfId="2030"/>
    <cellStyle name="표준 16 2 2 4 2 3 2 2" xfId="10805"/>
    <cellStyle name="표준 16 2 2 4 2 3 2 2 2" xfId="33272"/>
    <cellStyle name="표준 16 2 2 4 2 3 2 3" xfId="18289"/>
    <cellStyle name="표준 16 2 2 4 2 3 2 3 2" xfId="40754"/>
    <cellStyle name="표준 16 2 2 4 2 3 2 4" xfId="25790"/>
    <cellStyle name="표준 16 2 2 4 2 3 3" xfId="10804"/>
    <cellStyle name="표준 16 2 2 4 2 3 3 2" xfId="33271"/>
    <cellStyle name="표준 16 2 2 4 2 3 4" xfId="18288"/>
    <cellStyle name="표준 16 2 2 4 2 3 4 2" xfId="40753"/>
    <cellStyle name="표준 16 2 2 4 2 3 5" xfId="25789"/>
    <cellStyle name="표준 16 2 2 4 2 3_Sheet4" xfId="2031"/>
    <cellStyle name="표준 16 2 2 4 2 4" xfId="2032"/>
    <cellStyle name="표준 16 2 2 4 2 4 2" xfId="10806"/>
    <cellStyle name="표준 16 2 2 4 2 4 2 2" xfId="33273"/>
    <cellStyle name="표준 16 2 2 4 2 4 3" xfId="18290"/>
    <cellStyle name="표준 16 2 2 4 2 4 3 2" xfId="40755"/>
    <cellStyle name="표준 16 2 2 4 2 4 4" xfId="25791"/>
    <cellStyle name="표준 16 2 2 4 2 5" xfId="10799"/>
    <cellStyle name="표준 16 2 2 4 2 5 2" xfId="33266"/>
    <cellStyle name="표준 16 2 2 4 2 6" xfId="18283"/>
    <cellStyle name="표준 16 2 2 4 2 6 2" xfId="40748"/>
    <cellStyle name="표준 16 2 2 4 2 7" xfId="25784"/>
    <cellStyle name="표준 16 2 2 4 2_Sheet4" xfId="2033"/>
    <cellStyle name="표준 16 2 2 4 3" xfId="2034"/>
    <cellStyle name="표준 16 2 2 4 3 2" xfId="2035"/>
    <cellStyle name="표준 16 2 2 4 3 2 2" xfId="2036"/>
    <cellStyle name="표준 16 2 2 4 3 2 2 2" xfId="10809"/>
    <cellStyle name="표준 16 2 2 4 3 2 2 2 2" xfId="33276"/>
    <cellStyle name="표준 16 2 2 4 3 2 2 3" xfId="18293"/>
    <cellStyle name="표준 16 2 2 4 3 2 2 3 2" xfId="40758"/>
    <cellStyle name="표준 16 2 2 4 3 2 2 4" xfId="25794"/>
    <cellStyle name="표준 16 2 2 4 3 2 3" xfId="10808"/>
    <cellStyle name="표준 16 2 2 4 3 2 3 2" xfId="33275"/>
    <cellStyle name="표준 16 2 2 4 3 2 4" xfId="18292"/>
    <cellStyle name="표준 16 2 2 4 3 2 4 2" xfId="40757"/>
    <cellStyle name="표준 16 2 2 4 3 2 5" xfId="25793"/>
    <cellStyle name="표준 16 2 2 4 3 2_Sheet4" xfId="2037"/>
    <cellStyle name="표준 16 2 2 4 3 3" xfId="2038"/>
    <cellStyle name="표준 16 2 2 4 3 3 2" xfId="10810"/>
    <cellStyle name="표준 16 2 2 4 3 3 2 2" xfId="33277"/>
    <cellStyle name="표준 16 2 2 4 3 3 3" xfId="18294"/>
    <cellStyle name="표준 16 2 2 4 3 3 3 2" xfId="40759"/>
    <cellStyle name="표준 16 2 2 4 3 3 4" xfId="25795"/>
    <cellStyle name="표준 16 2 2 4 3 4" xfId="10807"/>
    <cellStyle name="표준 16 2 2 4 3 4 2" xfId="33274"/>
    <cellStyle name="표준 16 2 2 4 3 5" xfId="18291"/>
    <cellStyle name="표준 16 2 2 4 3 5 2" xfId="40756"/>
    <cellStyle name="표준 16 2 2 4 3 6" xfId="25792"/>
    <cellStyle name="표준 16 2 2 4 3_Sheet4" xfId="2039"/>
    <cellStyle name="표준 16 2 2 4 4" xfId="2040"/>
    <cellStyle name="표준 16 2 2 4 4 2" xfId="2041"/>
    <cellStyle name="표준 16 2 2 4 4 2 2" xfId="10812"/>
    <cellStyle name="표준 16 2 2 4 4 2 2 2" xfId="33279"/>
    <cellStyle name="표준 16 2 2 4 4 2 3" xfId="18296"/>
    <cellStyle name="표준 16 2 2 4 4 2 3 2" xfId="40761"/>
    <cellStyle name="표준 16 2 2 4 4 2 4" xfId="25797"/>
    <cellStyle name="표준 16 2 2 4 4 3" xfId="10811"/>
    <cellStyle name="표준 16 2 2 4 4 3 2" xfId="33278"/>
    <cellStyle name="표준 16 2 2 4 4 4" xfId="18295"/>
    <cellStyle name="표준 16 2 2 4 4 4 2" xfId="40760"/>
    <cellStyle name="표준 16 2 2 4 4 5" xfId="25796"/>
    <cellStyle name="표준 16 2 2 4 4_Sheet4" xfId="2042"/>
    <cellStyle name="표준 16 2 2 4 5" xfId="2043"/>
    <cellStyle name="표준 16 2 2 4 5 2" xfId="10813"/>
    <cellStyle name="표준 16 2 2 4 5 2 2" xfId="33280"/>
    <cellStyle name="표준 16 2 2 4 5 3" xfId="18297"/>
    <cellStyle name="표준 16 2 2 4 5 3 2" xfId="40762"/>
    <cellStyle name="표준 16 2 2 4 5 4" xfId="25798"/>
    <cellStyle name="표준 16 2 2 4 6" xfId="10798"/>
    <cellStyle name="표준 16 2 2 4 6 2" xfId="33265"/>
    <cellStyle name="표준 16 2 2 4 7" xfId="18282"/>
    <cellStyle name="표준 16 2 2 4 7 2" xfId="40747"/>
    <cellStyle name="표준 16 2 2 4 8" xfId="25783"/>
    <cellStyle name="표준 16 2 2 4_Sheet4" xfId="2044"/>
    <cellStyle name="표준 16 2 2 5" xfId="2045"/>
    <cellStyle name="표준 16 2 2 5 2" xfId="2046"/>
    <cellStyle name="표준 16 2 2 5 2 2" xfId="2047"/>
    <cellStyle name="표준 16 2 2 5 2 2 2" xfId="2048"/>
    <cellStyle name="표준 16 2 2 5 2 2 2 2" xfId="10817"/>
    <cellStyle name="표준 16 2 2 5 2 2 2 2 2" xfId="33284"/>
    <cellStyle name="표준 16 2 2 5 2 2 2 3" xfId="18301"/>
    <cellStyle name="표준 16 2 2 5 2 2 2 3 2" xfId="40766"/>
    <cellStyle name="표준 16 2 2 5 2 2 2 4" xfId="25802"/>
    <cellStyle name="표준 16 2 2 5 2 2 3" xfId="10816"/>
    <cellStyle name="표준 16 2 2 5 2 2 3 2" xfId="33283"/>
    <cellStyle name="표준 16 2 2 5 2 2 4" xfId="18300"/>
    <cellStyle name="표준 16 2 2 5 2 2 4 2" xfId="40765"/>
    <cellStyle name="표준 16 2 2 5 2 2 5" xfId="25801"/>
    <cellStyle name="표준 16 2 2 5 2 2_Sheet4" xfId="2049"/>
    <cellStyle name="표준 16 2 2 5 2 3" xfId="2050"/>
    <cellStyle name="표준 16 2 2 5 2 3 2" xfId="10818"/>
    <cellStyle name="표준 16 2 2 5 2 3 2 2" xfId="33285"/>
    <cellStyle name="표준 16 2 2 5 2 3 3" xfId="18302"/>
    <cellStyle name="표준 16 2 2 5 2 3 3 2" xfId="40767"/>
    <cellStyle name="표준 16 2 2 5 2 3 4" xfId="25803"/>
    <cellStyle name="표준 16 2 2 5 2 4" xfId="10815"/>
    <cellStyle name="표준 16 2 2 5 2 4 2" xfId="33282"/>
    <cellStyle name="표준 16 2 2 5 2 5" xfId="18299"/>
    <cellStyle name="표준 16 2 2 5 2 5 2" xfId="40764"/>
    <cellStyle name="표준 16 2 2 5 2 6" xfId="25800"/>
    <cellStyle name="표준 16 2 2 5 2_Sheet4" xfId="2051"/>
    <cellStyle name="표준 16 2 2 5 3" xfId="2052"/>
    <cellStyle name="표준 16 2 2 5 3 2" xfId="2053"/>
    <cellStyle name="표준 16 2 2 5 3 2 2" xfId="10820"/>
    <cellStyle name="표준 16 2 2 5 3 2 2 2" xfId="33287"/>
    <cellStyle name="표준 16 2 2 5 3 2 3" xfId="18304"/>
    <cellStyle name="표준 16 2 2 5 3 2 3 2" xfId="40769"/>
    <cellStyle name="표준 16 2 2 5 3 2 4" xfId="25805"/>
    <cellStyle name="표준 16 2 2 5 3 3" xfId="10819"/>
    <cellStyle name="표준 16 2 2 5 3 3 2" xfId="33286"/>
    <cellStyle name="표준 16 2 2 5 3 4" xfId="18303"/>
    <cellStyle name="표준 16 2 2 5 3 4 2" xfId="40768"/>
    <cellStyle name="표준 16 2 2 5 3 5" xfId="25804"/>
    <cellStyle name="표준 16 2 2 5 3_Sheet4" xfId="2054"/>
    <cellStyle name="표준 16 2 2 5 4" xfId="2055"/>
    <cellStyle name="표준 16 2 2 5 4 2" xfId="10821"/>
    <cellStyle name="표준 16 2 2 5 4 2 2" xfId="33288"/>
    <cellStyle name="표준 16 2 2 5 4 3" xfId="18305"/>
    <cellStyle name="표준 16 2 2 5 4 3 2" xfId="40770"/>
    <cellStyle name="표준 16 2 2 5 4 4" xfId="25806"/>
    <cellStyle name="표준 16 2 2 5 5" xfId="10814"/>
    <cellStyle name="표준 16 2 2 5 5 2" xfId="33281"/>
    <cellStyle name="표준 16 2 2 5 6" xfId="18298"/>
    <cellStyle name="표준 16 2 2 5 6 2" xfId="40763"/>
    <cellStyle name="표준 16 2 2 5 7" xfId="25799"/>
    <cellStyle name="표준 16 2 2 5_Sheet4" xfId="2056"/>
    <cellStyle name="표준 16 2 2 6" xfId="2057"/>
    <cellStyle name="표준 16 2 2 6 2" xfId="2058"/>
    <cellStyle name="표준 16 2 2 6 2 2" xfId="2059"/>
    <cellStyle name="표준 16 2 2 6 2 2 2" xfId="10824"/>
    <cellStyle name="표준 16 2 2 6 2 2 2 2" xfId="33291"/>
    <cellStyle name="표준 16 2 2 6 2 2 3" xfId="18308"/>
    <cellStyle name="표준 16 2 2 6 2 2 3 2" xfId="40773"/>
    <cellStyle name="표준 16 2 2 6 2 2 4" xfId="25809"/>
    <cellStyle name="표준 16 2 2 6 2 3" xfId="10823"/>
    <cellStyle name="표준 16 2 2 6 2 3 2" xfId="33290"/>
    <cellStyle name="표준 16 2 2 6 2 4" xfId="18307"/>
    <cellStyle name="표준 16 2 2 6 2 4 2" xfId="40772"/>
    <cellStyle name="표준 16 2 2 6 2 5" xfId="25808"/>
    <cellStyle name="표준 16 2 2 6 2_Sheet4" xfId="2060"/>
    <cellStyle name="표준 16 2 2 6 3" xfId="2061"/>
    <cellStyle name="표준 16 2 2 6 3 2" xfId="10825"/>
    <cellStyle name="표준 16 2 2 6 3 2 2" xfId="33292"/>
    <cellStyle name="표준 16 2 2 6 3 3" xfId="18309"/>
    <cellStyle name="표준 16 2 2 6 3 3 2" xfId="40774"/>
    <cellStyle name="표준 16 2 2 6 3 4" xfId="25810"/>
    <cellStyle name="표준 16 2 2 6 4" xfId="10822"/>
    <cellStyle name="표준 16 2 2 6 4 2" xfId="33289"/>
    <cellStyle name="표준 16 2 2 6 5" xfId="18306"/>
    <cellStyle name="표준 16 2 2 6 5 2" xfId="40771"/>
    <cellStyle name="표준 16 2 2 6 6" xfId="25807"/>
    <cellStyle name="표준 16 2 2 6_Sheet4" xfId="2062"/>
    <cellStyle name="표준 16 2 2 7" xfId="2063"/>
    <cellStyle name="표준 16 2 2 7 2" xfId="2064"/>
    <cellStyle name="표준 16 2 2 7 2 2" xfId="2065"/>
    <cellStyle name="표준 16 2 2 7 2 2 2" xfId="10828"/>
    <cellStyle name="표준 16 2 2 7 2 2 2 2" xfId="33295"/>
    <cellStyle name="표준 16 2 2 7 2 2 3" xfId="18312"/>
    <cellStyle name="표준 16 2 2 7 2 2 3 2" xfId="40777"/>
    <cellStyle name="표준 16 2 2 7 2 2 4" xfId="25813"/>
    <cellStyle name="표준 16 2 2 7 2 3" xfId="10827"/>
    <cellStyle name="표준 16 2 2 7 2 3 2" xfId="33294"/>
    <cellStyle name="표준 16 2 2 7 2 4" xfId="18311"/>
    <cellStyle name="표준 16 2 2 7 2 4 2" xfId="40776"/>
    <cellStyle name="표준 16 2 2 7 2 5" xfId="25812"/>
    <cellStyle name="표준 16 2 2 7 2_Sheet4" xfId="2066"/>
    <cellStyle name="표준 16 2 2 7 3" xfId="2067"/>
    <cellStyle name="표준 16 2 2 7 3 2" xfId="10829"/>
    <cellStyle name="표준 16 2 2 7 3 2 2" xfId="33296"/>
    <cellStyle name="표준 16 2 2 7 3 3" xfId="18313"/>
    <cellStyle name="표준 16 2 2 7 3 3 2" xfId="40778"/>
    <cellStyle name="표준 16 2 2 7 3 4" xfId="25814"/>
    <cellStyle name="표준 16 2 2 7 4" xfId="10826"/>
    <cellStyle name="표준 16 2 2 7 4 2" xfId="33293"/>
    <cellStyle name="표준 16 2 2 7 5" xfId="18310"/>
    <cellStyle name="표준 16 2 2 7 5 2" xfId="40775"/>
    <cellStyle name="표준 16 2 2 7 6" xfId="25811"/>
    <cellStyle name="표준 16 2 2 7_Sheet4" xfId="2068"/>
    <cellStyle name="표준 16 2 2 8" xfId="2069"/>
    <cellStyle name="표준 16 2 2 8 2" xfId="2070"/>
    <cellStyle name="표준 16 2 2 8 2 2" xfId="10831"/>
    <cellStyle name="표준 16 2 2 8 2 2 2" xfId="33298"/>
    <cellStyle name="표준 16 2 2 8 2 3" xfId="18315"/>
    <cellStyle name="표준 16 2 2 8 2 3 2" xfId="40780"/>
    <cellStyle name="표준 16 2 2 8 2 4" xfId="25816"/>
    <cellStyle name="표준 16 2 2 8 3" xfId="10830"/>
    <cellStyle name="표준 16 2 2 8 3 2" xfId="33297"/>
    <cellStyle name="표준 16 2 2 8 4" xfId="18314"/>
    <cellStyle name="표준 16 2 2 8 4 2" xfId="40779"/>
    <cellStyle name="표준 16 2 2 8 5" xfId="25815"/>
    <cellStyle name="표준 16 2 2 8_Sheet4" xfId="2071"/>
    <cellStyle name="표준 16 2 2 9" xfId="2072"/>
    <cellStyle name="표준 16 2 2 9 2" xfId="10832"/>
    <cellStyle name="표준 16 2 2 9 2 2" xfId="33299"/>
    <cellStyle name="표준 16 2 2 9 3" xfId="18316"/>
    <cellStyle name="표준 16 2 2 9 3 2" xfId="40781"/>
    <cellStyle name="표준 16 2 2 9 4" xfId="25817"/>
    <cellStyle name="표준 16 2 2_Sheet4" xfId="2073"/>
    <cellStyle name="표준 16 2 3" xfId="2074"/>
    <cellStyle name="표준 16 2 3 10" xfId="25818"/>
    <cellStyle name="표준 16 2 3 2" xfId="2075"/>
    <cellStyle name="표준 16 2 3 2 2" xfId="2076"/>
    <cellStyle name="표준 16 2 3 2 2 2" xfId="2077"/>
    <cellStyle name="표준 16 2 3 2 2 2 2" xfId="2078"/>
    <cellStyle name="표준 16 2 3 2 2 2 2 2" xfId="2079"/>
    <cellStyle name="표준 16 2 3 2 2 2 2 2 2" xfId="10838"/>
    <cellStyle name="표준 16 2 3 2 2 2 2 2 2 2" xfId="33305"/>
    <cellStyle name="표준 16 2 3 2 2 2 2 2 3" xfId="18322"/>
    <cellStyle name="표준 16 2 3 2 2 2 2 2 3 2" xfId="40787"/>
    <cellStyle name="표준 16 2 3 2 2 2 2 2 4" xfId="25823"/>
    <cellStyle name="표준 16 2 3 2 2 2 2 3" xfId="10837"/>
    <cellStyle name="표준 16 2 3 2 2 2 2 3 2" xfId="33304"/>
    <cellStyle name="표준 16 2 3 2 2 2 2 4" xfId="18321"/>
    <cellStyle name="표준 16 2 3 2 2 2 2 4 2" xfId="40786"/>
    <cellStyle name="표준 16 2 3 2 2 2 2 5" xfId="25822"/>
    <cellStyle name="표준 16 2 3 2 2 2 2_Sheet4" xfId="2080"/>
    <cellStyle name="표준 16 2 3 2 2 2 3" xfId="2081"/>
    <cellStyle name="표준 16 2 3 2 2 2 3 2" xfId="10839"/>
    <cellStyle name="표준 16 2 3 2 2 2 3 2 2" xfId="33306"/>
    <cellStyle name="표준 16 2 3 2 2 2 3 3" xfId="18323"/>
    <cellStyle name="표준 16 2 3 2 2 2 3 3 2" xfId="40788"/>
    <cellStyle name="표준 16 2 3 2 2 2 3 4" xfId="25824"/>
    <cellStyle name="표준 16 2 3 2 2 2 4" xfId="10836"/>
    <cellStyle name="표준 16 2 3 2 2 2 4 2" xfId="33303"/>
    <cellStyle name="표준 16 2 3 2 2 2 5" xfId="18320"/>
    <cellStyle name="표준 16 2 3 2 2 2 5 2" xfId="40785"/>
    <cellStyle name="표준 16 2 3 2 2 2 6" xfId="25821"/>
    <cellStyle name="표준 16 2 3 2 2 2_Sheet4" xfId="2082"/>
    <cellStyle name="표준 16 2 3 2 2 3" xfId="2083"/>
    <cellStyle name="표준 16 2 3 2 2 3 2" xfId="2084"/>
    <cellStyle name="표준 16 2 3 2 2 3 2 2" xfId="10841"/>
    <cellStyle name="표준 16 2 3 2 2 3 2 2 2" xfId="33308"/>
    <cellStyle name="표준 16 2 3 2 2 3 2 3" xfId="18325"/>
    <cellStyle name="표준 16 2 3 2 2 3 2 3 2" xfId="40790"/>
    <cellStyle name="표준 16 2 3 2 2 3 2 4" xfId="25826"/>
    <cellStyle name="표준 16 2 3 2 2 3 3" xfId="10840"/>
    <cellStyle name="표준 16 2 3 2 2 3 3 2" xfId="33307"/>
    <cellStyle name="표준 16 2 3 2 2 3 4" xfId="18324"/>
    <cellStyle name="표준 16 2 3 2 2 3 4 2" xfId="40789"/>
    <cellStyle name="표준 16 2 3 2 2 3 5" xfId="25825"/>
    <cellStyle name="표준 16 2 3 2 2 3_Sheet4" xfId="2085"/>
    <cellStyle name="표준 16 2 3 2 2 4" xfId="2086"/>
    <cellStyle name="표준 16 2 3 2 2 4 2" xfId="10842"/>
    <cellStyle name="표준 16 2 3 2 2 4 2 2" xfId="33309"/>
    <cellStyle name="표준 16 2 3 2 2 4 3" xfId="18326"/>
    <cellStyle name="표준 16 2 3 2 2 4 3 2" xfId="40791"/>
    <cellStyle name="표준 16 2 3 2 2 4 4" xfId="25827"/>
    <cellStyle name="표준 16 2 3 2 2 5" xfId="10835"/>
    <cellStyle name="표준 16 2 3 2 2 5 2" xfId="33302"/>
    <cellStyle name="표준 16 2 3 2 2 6" xfId="18319"/>
    <cellStyle name="표준 16 2 3 2 2 6 2" xfId="40784"/>
    <cellStyle name="표준 16 2 3 2 2 7" xfId="25820"/>
    <cellStyle name="표준 16 2 3 2 2_Sheet4" xfId="2087"/>
    <cellStyle name="표준 16 2 3 2 3" xfId="2088"/>
    <cellStyle name="표준 16 2 3 2 3 2" xfId="2089"/>
    <cellStyle name="표준 16 2 3 2 3 2 2" xfId="2090"/>
    <cellStyle name="표준 16 2 3 2 3 2 2 2" xfId="10845"/>
    <cellStyle name="표준 16 2 3 2 3 2 2 2 2" xfId="33312"/>
    <cellStyle name="표준 16 2 3 2 3 2 2 3" xfId="18329"/>
    <cellStyle name="표준 16 2 3 2 3 2 2 3 2" xfId="40794"/>
    <cellStyle name="표준 16 2 3 2 3 2 2 4" xfId="25830"/>
    <cellStyle name="표준 16 2 3 2 3 2 3" xfId="10844"/>
    <cellStyle name="표준 16 2 3 2 3 2 3 2" xfId="33311"/>
    <cellStyle name="표준 16 2 3 2 3 2 4" xfId="18328"/>
    <cellStyle name="표준 16 2 3 2 3 2 4 2" xfId="40793"/>
    <cellStyle name="표준 16 2 3 2 3 2 5" xfId="25829"/>
    <cellStyle name="표준 16 2 3 2 3 2_Sheet4" xfId="2091"/>
    <cellStyle name="표준 16 2 3 2 3 3" xfId="2092"/>
    <cellStyle name="표준 16 2 3 2 3 3 2" xfId="10846"/>
    <cellStyle name="표준 16 2 3 2 3 3 2 2" xfId="33313"/>
    <cellStyle name="표준 16 2 3 2 3 3 3" xfId="18330"/>
    <cellStyle name="표준 16 2 3 2 3 3 3 2" xfId="40795"/>
    <cellStyle name="표준 16 2 3 2 3 3 4" xfId="25831"/>
    <cellStyle name="표준 16 2 3 2 3 4" xfId="10843"/>
    <cellStyle name="표준 16 2 3 2 3 4 2" xfId="33310"/>
    <cellStyle name="표준 16 2 3 2 3 5" xfId="18327"/>
    <cellStyle name="표준 16 2 3 2 3 5 2" xfId="40792"/>
    <cellStyle name="표준 16 2 3 2 3 6" xfId="25828"/>
    <cellStyle name="표준 16 2 3 2 3_Sheet4" xfId="2093"/>
    <cellStyle name="표준 16 2 3 2 4" xfId="2094"/>
    <cellStyle name="표준 16 2 3 2 4 2" xfId="2095"/>
    <cellStyle name="표준 16 2 3 2 4 2 2" xfId="10848"/>
    <cellStyle name="표준 16 2 3 2 4 2 2 2" xfId="33315"/>
    <cellStyle name="표준 16 2 3 2 4 2 3" xfId="18332"/>
    <cellStyle name="표준 16 2 3 2 4 2 3 2" xfId="40797"/>
    <cellStyle name="표준 16 2 3 2 4 2 4" xfId="25833"/>
    <cellStyle name="표준 16 2 3 2 4 3" xfId="10847"/>
    <cellStyle name="표준 16 2 3 2 4 3 2" xfId="33314"/>
    <cellStyle name="표준 16 2 3 2 4 4" xfId="18331"/>
    <cellStyle name="표준 16 2 3 2 4 4 2" xfId="40796"/>
    <cellStyle name="표준 16 2 3 2 4 5" xfId="25832"/>
    <cellStyle name="표준 16 2 3 2 4_Sheet4" xfId="2096"/>
    <cellStyle name="표준 16 2 3 2 5" xfId="2097"/>
    <cellStyle name="표준 16 2 3 2 5 2" xfId="10849"/>
    <cellStyle name="표준 16 2 3 2 5 2 2" xfId="33316"/>
    <cellStyle name="표준 16 2 3 2 5 3" xfId="18333"/>
    <cellStyle name="표준 16 2 3 2 5 3 2" xfId="40798"/>
    <cellStyle name="표준 16 2 3 2 5 4" xfId="25834"/>
    <cellStyle name="표준 16 2 3 2 6" xfId="10834"/>
    <cellStyle name="표준 16 2 3 2 6 2" xfId="33301"/>
    <cellStyle name="표준 16 2 3 2 7" xfId="18318"/>
    <cellStyle name="표준 16 2 3 2 7 2" xfId="40783"/>
    <cellStyle name="표준 16 2 3 2 8" xfId="25819"/>
    <cellStyle name="표준 16 2 3 2_Sheet4" xfId="2098"/>
    <cellStyle name="표준 16 2 3 3" xfId="2099"/>
    <cellStyle name="표준 16 2 3 3 2" xfId="2100"/>
    <cellStyle name="표준 16 2 3 3 2 2" xfId="2101"/>
    <cellStyle name="표준 16 2 3 3 2 2 2" xfId="2102"/>
    <cellStyle name="표준 16 2 3 3 2 2 2 2" xfId="2103"/>
    <cellStyle name="표준 16 2 3 3 2 2 2 2 2" xfId="10854"/>
    <cellStyle name="표준 16 2 3 3 2 2 2 2 2 2" xfId="33321"/>
    <cellStyle name="표준 16 2 3 3 2 2 2 2 3" xfId="18338"/>
    <cellStyle name="표준 16 2 3 3 2 2 2 2 3 2" xfId="40803"/>
    <cellStyle name="표준 16 2 3 3 2 2 2 2 4" xfId="25839"/>
    <cellStyle name="표준 16 2 3 3 2 2 2 3" xfId="10853"/>
    <cellStyle name="표준 16 2 3 3 2 2 2 3 2" xfId="33320"/>
    <cellStyle name="표준 16 2 3 3 2 2 2 4" xfId="18337"/>
    <cellStyle name="표준 16 2 3 3 2 2 2 4 2" xfId="40802"/>
    <cellStyle name="표준 16 2 3 3 2 2 2 5" xfId="25838"/>
    <cellStyle name="표준 16 2 3 3 2 2 2_Sheet4" xfId="2104"/>
    <cellStyle name="표준 16 2 3 3 2 2 3" xfId="2105"/>
    <cellStyle name="표준 16 2 3 3 2 2 3 2" xfId="10855"/>
    <cellStyle name="표준 16 2 3 3 2 2 3 2 2" xfId="33322"/>
    <cellStyle name="표준 16 2 3 3 2 2 3 3" xfId="18339"/>
    <cellStyle name="표준 16 2 3 3 2 2 3 3 2" xfId="40804"/>
    <cellStyle name="표준 16 2 3 3 2 2 3 4" xfId="25840"/>
    <cellStyle name="표준 16 2 3 3 2 2 4" xfId="10852"/>
    <cellStyle name="표준 16 2 3 3 2 2 4 2" xfId="33319"/>
    <cellStyle name="표준 16 2 3 3 2 2 5" xfId="18336"/>
    <cellStyle name="표준 16 2 3 3 2 2 5 2" xfId="40801"/>
    <cellStyle name="표준 16 2 3 3 2 2 6" xfId="25837"/>
    <cellStyle name="표준 16 2 3 3 2 2_Sheet4" xfId="2106"/>
    <cellStyle name="표준 16 2 3 3 2 3" xfId="2107"/>
    <cellStyle name="표준 16 2 3 3 2 3 2" xfId="2108"/>
    <cellStyle name="표준 16 2 3 3 2 3 2 2" xfId="10857"/>
    <cellStyle name="표준 16 2 3 3 2 3 2 2 2" xfId="33324"/>
    <cellStyle name="표준 16 2 3 3 2 3 2 3" xfId="18341"/>
    <cellStyle name="표준 16 2 3 3 2 3 2 3 2" xfId="40806"/>
    <cellStyle name="표준 16 2 3 3 2 3 2 4" xfId="25842"/>
    <cellStyle name="표준 16 2 3 3 2 3 3" xfId="10856"/>
    <cellStyle name="표준 16 2 3 3 2 3 3 2" xfId="33323"/>
    <cellStyle name="표준 16 2 3 3 2 3 4" xfId="18340"/>
    <cellStyle name="표준 16 2 3 3 2 3 4 2" xfId="40805"/>
    <cellStyle name="표준 16 2 3 3 2 3 5" xfId="25841"/>
    <cellStyle name="표준 16 2 3 3 2 3_Sheet4" xfId="2109"/>
    <cellStyle name="표준 16 2 3 3 2 4" xfId="2110"/>
    <cellStyle name="표준 16 2 3 3 2 4 2" xfId="10858"/>
    <cellStyle name="표준 16 2 3 3 2 4 2 2" xfId="33325"/>
    <cellStyle name="표준 16 2 3 3 2 4 3" xfId="18342"/>
    <cellStyle name="표준 16 2 3 3 2 4 3 2" xfId="40807"/>
    <cellStyle name="표준 16 2 3 3 2 4 4" xfId="25843"/>
    <cellStyle name="표준 16 2 3 3 2 5" xfId="10851"/>
    <cellStyle name="표준 16 2 3 3 2 5 2" xfId="33318"/>
    <cellStyle name="표준 16 2 3 3 2 6" xfId="18335"/>
    <cellStyle name="표준 16 2 3 3 2 6 2" xfId="40800"/>
    <cellStyle name="표준 16 2 3 3 2 7" xfId="25836"/>
    <cellStyle name="표준 16 2 3 3 2_Sheet4" xfId="2111"/>
    <cellStyle name="표준 16 2 3 3 3" xfId="2112"/>
    <cellStyle name="표준 16 2 3 3 3 2" xfId="2113"/>
    <cellStyle name="표준 16 2 3 3 3 2 2" xfId="2114"/>
    <cellStyle name="표준 16 2 3 3 3 2 2 2" xfId="10861"/>
    <cellStyle name="표준 16 2 3 3 3 2 2 2 2" xfId="33328"/>
    <cellStyle name="표준 16 2 3 3 3 2 2 3" xfId="18345"/>
    <cellStyle name="표준 16 2 3 3 3 2 2 3 2" xfId="40810"/>
    <cellStyle name="표준 16 2 3 3 3 2 2 4" xfId="25846"/>
    <cellStyle name="표준 16 2 3 3 3 2 3" xfId="10860"/>
    <cellStyle name="표준 16 2 3 3 3 2 3 2" xfId="33327"/>
    <cellStyle name="표준 16 2 3 3 3 2 4" xfId="18344"/>
    <cellStyle name="표준 16 2 3 3 3 2 4 2" xfId="40809"/>
    <cellStyle name="표준 16 2 3 3 3 2 5" xfId="25845"/>
    <cellStyle name="표준 16 2 3 3 3 2_Sheet4" xfId="2115"/>
    <cellStyle name="표준 16 2 3 3 3 3" xfId="2116"/>
    <cellStyle name="표준 16 2 3 3 3 3 2" xfId="10862"/>
    <cellStyle name="표준 16 2 3 3 3 3 2 2" xfId="33329"/>
    <cellStyle name="표준 16 2 3 3 3 3 3" xfId="18346"/>
    <cellStyle name="표준 16 2 3 3 3 3 3 2" xfId="40811"/>
    <cellStyle name="표준 16 2 3 3 3 3 4" xfId="25847"/>
    <cellStyle name="표준 16 2 3 3 3 4" xfId="10859"/>
    <cellStyle name="표준 16 2 3 3 3 4 2" xfId="33326"/>
    <cellStyle name="표준 16 2 3 3 3 5" xfId="18343"/>
    <cellStyle name="표준 16 2 3 3 3 5 2" xfId="40808"/>
    <cellStyle name="표준 16 2 3 3 3 6" xfId="25844"/>
    <cellStyle name="표준 16 2 3 3 3_Sheet4" xfId="2117"/>
    <cellStyle name="표준 16 2 3 3 4" xfId="2118"/>
    <cellStyle name="표준 16 2 3 3 4 2" xfId="2119"/>
    <cellStyle name="표준 16 2 3 3 4 2 2" xfId="10864"/>
    <cellStyle name="표준 16 2 3 3 4 2 2 2" xfId="33331"/>
    <cellStyle name="표준 16 2 3 3 4 2 3" xfId="18348"/>
    <cellStyle name="표준 16 2 3 3 4 2 3 2" xfId="40813"/>
    <cellStyle name="표준 16 2 3 3 4 2 4" xfId="25849"/>
    <cellStyle name="표준 16 2 3 3 4 3" xfId="10863"/>
    <cellStyle name="표준 16 2 3 3 4 3 2" xfId="33330"/>
    <cellStyle name="표준 16 2 3 3 4 4" xfId="18347"/>
    <cellStyle name="표준 16 2 3 3 4 4 2" xfId="40812"/>
    <cellStyle name="표준 16 2 3 3 4 5" xfId="25848"/>
    <cellStyle name="표준 16 2 3 3 4_Sheet4" xfId="2120"/>
    <cellStyle name="표준 16 2 3 3 5" xfId="2121"/>
    <cellStyle name="표준 16 2 3 3 5 2" xfId="10865"/>
    <cellStyle name="표준 16 2 3 3 5 2 2" xfId="33332"/>
    <cellStyle name="표준 16 2 3 3 5 3" xfId="18349"/>
    <cellStyle name="표준 16 2 3 3 5 3 2" xfId="40814"/>
    <cellStyle name="표준 16 2 3 3 5 4" xfId="25850"/>
    <cellStyle name="표준 16 2 3 3 6" xfId="10850"/>
    <cellStyle name="표준 16 2 3 3 6 2" xfId="33317"/>
    <cellStyle name="표준 16 2 3 3 7" xfId="18334"/>
    <cellStyle name="표준 16 2 3 3 7 2" xfId="40799"/>
    <cellStyle name="표준 16 2 3 3 8" xfId="25835"/>
    <cellStyle name="표준 16 2 3 3_Sheet4" xfId="2122"/>
    <cellStyle name="표준 16 2 3 4" xfId="2123"/>
    <cellStyle name="표준 16 2 3 4 2" xfId="2124"/>
    <cellStyle name="표준 16 2 3 4 2 2" xfId="2125"/>
    <cellStyle name="표준 16 2 3 4 2 2 2" xfId="2126"/>
    <cellStyle name="표준 16 2 3 4 2 2 2 2" xfId="10869"/>
    <cellStyle name="표준 16 2 3 4 2 2 2 2 2" xfId="33336"/>
    <cellStyle name="표준 16 2 3 4 2 2 2 3" xfId="18353"/>
    <cellStyle name="표준 16 2 3 4 2 2 2 3 2" xfId="40818"/>
    <cellStyle name="표준 16 2 3 4 2 2 2 4" xfId="25854"/>
    <cellStyle name="표준 16 2 3 4 2 2 3" xfId="10868"/>
    <cellStyle name="표준 16 2 3 4 2 2 3 2" xfId="33335"/>
    <cellStyle name="표준 16 2 3 4 2 2 4" xfId="18352"/>
    <cellStyle name="표준 16 2 3 4 2 2 4 2" xfId="40817"/>
    <cellStyle name="표준 16 2 3 4 2 2 5" xfId="25853"/>
    <cellStyle name="표준 16 2 3 4 2 2_Sheet4" xfId="2127"/>
    <cellStyle name="표준 16 2 3 4 2 3" xfId="2128"/>
    <cellStyle name="표준 16 2 3 4 2 3 2" xfId="10870"/>
    <cellStyle name="표준 16 2 3 4 2 3 2 2" xfId="33337"/>
    <cellStyle name="표준 16 2 3 4 2 3 3" xfId="18354"/>
    <cellStyle name="표준 16 2 3 4 2 3 3 2" xfId="40819"/>
    <cellStyle name="표준 16 2 3 4 2 3 4" xfId="25855"/>
    <cellStyle name="표준 16 2 3 4 2 4" xfId="10867"/>
    <cellStyle name="표준 16 2 3 4 2 4 2" xfId="33334"/>
    <cellStyle name="표준 16 2 3 4 2 5" xfId="18351"/>
    <cellStyle name="표준 16 2 3 4 2 5 2" xfId="40816"/>
    <cellStyle name="표준 16 2 3 4 2 6" xfId="25852"/>
    <cellStyle name="표준 16 2 3 4 2_Sheet4" xfId="2129"/>
    <cellStyle name="표준 16 2 3 4 3" xfId="2130"/>
    <cellStyle name="표준 16 2 3 4 3 2" xfId="2131"/>
    <cellStyle name="표준 16 2 3 4 3 2 2" xfId="10872"/>
    <cellStyle name="표준 16 2 3 4 3 2 2 2" xfId="33339"/>
    <cellStyle name="표준 16 2 3 4 3 2 3" xfId="18356"/>
    <cellStyle name="표준 16 2 3 4 3 2 3 2" xfId="40821"/>
    <cellStyle name="표준 16 2 3 4 3 2 4" xfId="25857"/>
    <cellStyle name="표준 16 2 3 4 3 3" xfId="10871"/>
    <cellStyle name="표준 16 2 3 4 3 3 2" xfId="33338"/>
    <cellStyle name="표준 16 2 3 4 3 4" xfId="18355"/>
    <cellStyle name="표준 16 2 3 4 3 4 2" xfId="40820"/>
    <cellStyle name="표준 16 2 3 4 3 5" xfId="25856"/>
    <cellStyle name="표준 16 2 3 4 3_Sheet4" xfId="2132"/>
    <cellStyle name="표준 16 2 3 4 4" xfId="2133"/>
    <cellStyle name="표준 16 2 3 4 4 2" xfId="10873"/>
    <cellStyle name="표준 16 2 3 4 4 2 2" xfId="33340"/>
    <cellStyle name="표준 16 2 3 4 4 3" xfId="18357"/>
    <cellStyle name="표준 16 2 3 4 4 3 2" xfId="40822"/>
    <cellStyle name="표준 16 2 3 4 4 4" xfId="25858"/>
    <cellStyle name="표준 16 2 3 4 5" xfId="10866"/>
    <cellStyle name="표준 16 2 3 4 5 2" xfId="33333"/>
    <cellStyle name="표준 16 2 3 4 6" xfId="18350"/>
    <cellStyle name="표준 16 2 3 4 6 2" xfId="40815"/>
    <cellStyle name="표준 16 2 3 4 7" xfId="25851"/>
    <cellStyle name="표준 16 2 3 4_Sheet4" xfId="2134"/>
    <cellStyle name="표준 16 2 3 5" xfId="2135"/>
    <cellStyle name="표준 16 2 3 5 2" xfId="2136"/>
    <cellStyle name="표준 16 2 3 5 2 2" xfId="2137"/>
    <cellStyle name="표준 16 2 3 5 2 2 2" xfId="10876"/>
    <cellStyle name="표준 16 2 3 5 2 2 2 2" xfId="33343"/>
    <cellStyle name="표준 16 2 3 5 2 2 3" xfId="18360"/>
    <cellStyle name="표준 16 2 3 5 2 2 3 2" xfId="40825"/>
    <cellStyle name="표준 16 2 3 5 2 2 4" xfId="25861"/>
    <cellStyle name="표준 16 2 3 5 2 3" xfId="10875"/>
    <cellStyle name="표준 16 2 3 5 2 3 2" xfId="33342"/>
    <cellStyle name="표준 16 2 3 5 2 4" xfId="18359"/>
    <cellStyle name="표준 16 2 3 5 2 4 2" xfId="40824"/>
    <cellStyle name="표준 16 2 3 5 2 5" xfId="25860"/>
    <cellStyle name="표준 16 2 3 5 2_Sheet4" xfId="2138"/>
    <cellStyle name="표준 16 2 3 5 3" xfId="2139"/>
    <cellStyle name="표준 16 2 3 5 3 2" xfId="10877"/>
    <cellStyle name="표준 16 2 3 5 3 2 2" xfId="33344"/>
    <cellStyle name="표준 16 2 3 5 3 3" xfId="18361"/>
    <cellStyle name="표준 16 2 3 5 3 3 2" xfId="40826"/>
    <cellStyle name="표준 16 2 3 5 3 4" xfId="25862"/>
    <cellStyle name="표준 16 2 3 5 4" xfId="10874"/>
    <cellStyle name="표준 16 2 3 5 4 2" xfId="33341"/>
    <cellStyle name="표준 16 2 3 5 5" xfId="18358"/>
    <cellStyle name="표준 16 2 3 5 5 2" xfId="40823"/>
    <cellStyle name="표준 16 2 3 5 6" xfId="25859"/>
    <cellStyle name="표준 16 2 3 5_Sheet4" xfId="2140"/>
    <cellStyle name="표준 16 2 3 6" xfId="2141"/>
    <cellStyle name="표준 16 2 3 6 2" xfId="2142"/>
    <cellStyle name="표준 16 2 3 6 2 2" xfId="10879"/>
    <cellStyle name="표준 16 2 3 6 2 2 2" xfId="33346"/>
    <cellStyle name="표준 16 2 3 6 2 3" xfId="18363"/>
    <cellStyle name="표준 16 2 3 6 2 3 2" xfId="40828"/>
    <cellStyle name="표준 16 2 3 6 2 4" xfId="25864"/>
    <cellStyle name="표준 16 2 3 6 3" xfId="10878"/>
    <cellStyle name="표준 16 2 3 6 3 2" xfId="33345"/>
    <cellStyle name="표준 16 2 3 6 4" xfId="18362"/>
    <cellStyle name="표준 16 2 3 6 4 2" xfId="40827"/>
    <cellStyle name="표준 16 2 3 6 5" xfId="25863"/>
    <cellStyle name="표준 16 2 3 6_Sheet4" xfId="2143"/>
    <cellStyle name="표준 16 2 3 7" xfId="2144"/>
    <cellStyle name="표준 16 2 3 7 2" xfId="10880"/>
    <cellStyle name="표준 16 2 3 7 2 2" xfId="33347"/>
    <cellStyle name="표준 16 2 3 7 3" xfId="18364"/>
    <cellStyle name="표준 16 2 3 7 3 2" xfId="40829"/>
    <cellStyle name="표준 16 2 3 7 4" xfId="25865"/>
    <cellStyle name="표준 16 2 3 8" xfId="10833"/>
    <cellStyle name="표준 16 2 3 8 2" xfId="33300"/>
    <cellStyle name="표준 16 2 3 9" xfId="18317"/>
    <cellStyle name="표준 16 2 3 9 2" xfId="40782"/>
    <cellStyle name="표준 16 2 3_Sheet4" xfId="2145"/>
    <cellStyle name="표준 16 2 4" xfId="2146"/>
    <cellStyle name="표준 16 2 4 2" xfId="2147"/>
    <cellStyle name="표준 16 2 4 2 2" xfId="2148"/>
    <cellStyle name="표준 16 2 4 2 2 2" xfId="2149"/>
    <cellStyle name="표준 16 2 4 2 2 2 2" xfId="2150"/>
    <cellStyle name="표준 16 2 4 2 2 2 2 2" xfId="10885"/>
    <cellStyle name="표준 16 2 4 2 2 2 2 2 2" xfId="33352"/>
    <cellStyle name="표준 16 2 4 2 2 2 2 3" xfId="18369"/>
    <cellStyle name="표준 16 2 4 2 2 2 2 3 2" xfId="40834"/>
    <cellStyle name="표준 16 2 4 2 2 2 2 4" xfId="25870"/>
    <cellStyle name="표준 16 2 4 2 2 2 3" xfId="10884"/>
    <cellStyle name="표준 16 2 4 2 2 2 3 2" xfId="33351"/>
    <cellStyle name="표준 16 2 4 2 2 2 4" xfId="18368"/>
    <cellStyle name="표준 16 2 4 2 2 2 4 2" xfId="40833"/>
    <cellStyle name="표준 16 2 4 2 2 2 5" xfId="25869"/>
    <cellStyle name="표준 16 2 4 2 2 2_Sheet4" xfId="2151"/>
    <cellStyle name="표준 16 2 4 2 2 3" xfId="2152"/>
    <cellStyle name="표준 16 2 4 2 2 3 2" xfId="10886"/>
    <cellStyle name="표준 16 2 4 2 2 3 2 2" xfId="33353"/>
    <cellStyle name="표준 16 2 4 2 2 3 3" xfId="18370"/>
    <cellStyle name="표준 16 2 4 2 2 3 3 2" xfId="40835"/>
    <cellStyle name="표준 16 2 4 2 2 3 4" xfId="25871"/>
    <cellStyle name="표준 16 2 4 2 2 4" xfId="10883"/>
    <cellStyle name="표준 16 2 4 2 2 4 2" xfId="33350"/>
    <cellStyle name="표준 16 2 4 2 2 5" xfId="18367"/>
    <cellStyle name="표준 16 2 4 2 2 5 2" xfId="40832"/>
    <cellStyle name="표준 16 2 4 2 2 6" xfId="25868"/>
    <cellStyle name="표준 16 2 4 2 2_Sheet4" xfId="2153"/>
    <cellStyle name="표준 16 2 4 2 3" xfId="2154"/>
    <cellStyle name="표준 16 2 4 2 3 2" xfId="2155"/>
    <cellStyle name="표준 16 2 4 2 3 2 2" xfId="10888"/>
    <cellStyle name="표준 16 2 4 2 3 2 2 2" xfId="33355"/>
    <cellStyle name="표준 16 2 4 2 3 2 3" xfId="18372"/>
    <cellStyle name="표준 16 2 4 2 3 2 3 2" xfId="40837"/>
    <cellStyle name="표준 16 2 4 2 3 2 4" xfId="25873"/>
    <cellStyle name="표준 16 2 4 2 3 3" xfId="10887"/>
    <cellStyle name="표준 16 2 4 2 3 3 2" xfId="33354"/>
    <cellStyle name="표준 16 2 4 2 3 4" xfId="18371"/>
    <cellStyle name="표준 16 2 4 2 3 4 2" xfId="40836"/>
    <cellStyle name="표준 16 2 4 2 3 5" xfId="25872"/>
    <cellStyle name="표준 16 2 4 2 3_Sheet4" xfId="2156"/>
    <cellStyle name="표준 16 2 4 2 4" xfId="2157"/>
    <cellStyle name="표준 16 2 4 2 4 2" xfId="10889"/>
    <cellStyle name="표준 16 2 4 2 4 2 2" xfId="33356"/>
    <cellStyle name="표준 16 2 4 2 4 3" xfId="18373"/>
    <cellStyle name="표준 16 2 4 2 4 3 2" xfId="40838"/>
    <cellStyle name="표준 16 2 4 2 4 4" xfId="25874"/>
    <cellStyle name="표준 16 2 4 2 5" xfId="10882"/>
    <cellStyle name="표준 16 2 4 2 5 2" xfId="33349"/>
    <cellStyle name="표준 16 2 4 2 6" xfId="18366"/>
    <cellStyle name="표준 16 2 4 2 6 2" xfId="40831"/>
    <cellStyle name="표준 16 2 4 2 7" xfId="25867"/>
    <cellStyle name="표준 16 2 4 2_Sheet4" xfId="2158"/>
    <cellStyle name="표준 16 2 4 3" xfId="2159"/>
    <cellStyle name="표준 16 2 4 3 2" xfId="2160"/>
    <cellStyle name="표준 16 2 4 3 2 2" xfId="2161"/>
    <cellStyle name="표준 16 2 4 3 2 2 2" xfId="10892"/>
    <cellStyle name="표준 16 2 4 3 2 2 2 2" xfId="33359"/>
    <cellStyle name="표준 16 2 4 3 2 2 3" xfId="18376"/>
    <cellStyle name="표준 16 2 4 3 2 2 3 2" xfId="40841"/>
    <cellStyle name="표준 16 2 4 3 2 2 4" xfId="25877"/>
    <cellStyle name="표준 16 2 4 3 2 3" xfId="10891"/>
    <cellStyle name="표준 16 2 4 3 2 3 2" xfId="33358"/>
    <cellStyle name="표준 16 2 4 3 2 4" xfId="18375"/>
    <cellStyle name="표준 16 2 4 3 2 4 2" xfId="40840"/>
    <cellStyle name="표준 16 2 4 3 2 5" xfId="25876"/>
    <cellStyle name="표준 16 2 4 3 2_Sheet4" xfId="2162"/>
    <cellStyle name="표준 16 2 4 3 3" xfId="2163"/>
    <cellStyle name="표준 16 2 4 3 3 2" xfId="10893"/>
    <cellStyle name="표준 16 2 4 3 3 2 2" xfId="33360"/>
    <cellStyle name="표준 16 2 4 3 3 3" xfId="18377"/>
    <cellStyle name="표준 16 2 4 3 3 3 2" xfId="40842"/>
    <cellStyle name="표준 16 2 4 3 3 4" xfId="25878"/>
    <cellStyle name="표준 16 2 4 3 4" xfId="10890"/>
    <cellStyle name="표준 16 2 4 3 4 2" xfId="33357"/>
    <cellStyle name="표준 16 2 4 3 5" xfId="18374"/>
    <cellStyle name="표준 16 2 4 3 5 2" xfId="40839"/>
    <cellStyle name="표준 16 2 4 3 6" xfId="25875"/>
    <cellStyle name="표준 16 2 4 3_Sheet4" xfId="2164"/>
    <cellStyle name="표준 16 2 4 4" xfId="2165"/>
    <cellStyle name="표준 16 2 4 4 2" xfId="2166"/>
    <cellStyle name="표준 16 2 4 4 2 2" xfId="10895"/>
    <cellStyle name="표준 16 2 4 4 2 2 2" xfId="33362"/>
    <cellStyle name="표준 16 2 4 4 2 3" xfId="18379"/>
    <cellStyle name="표준 16 2 4 4 2 3 2" xfId="40844"/>
    <cellStyle name="표준 16 2 4 4 2 4" xfId="25880"/>
    <cellStyle name="표준 16 2 4 4 3" xfId="10894"/>
    <cellStyle name="표준 16 2 4 4 3 2" xfId="33361"/>
    <cellStyle name="표준 16 2 4 4 4" xfId="18378"/>
    <cellStyle name="표준 16 2 4 4 4 2" xfId="40843"/>
    <cellStyle name="표준 16 2 4 4 5" xfId="25879"/>
    <cellStyle name="표준 16 2 4 4_Sheet4" xfId="2167"/>
    <cellStyle name="표준 16 2 4 5" xfId="2168"/>
    <cellStyle name="표준 16 2 4 5 2" xfId="10896"/>
    <cellStyle name="표준 16 2 4 5 2 2" xfId="33363"/>
    <cellStyle name="표준 16 2 4 5 3" xfId="18380"/>
    <cellStyle name="표준 16 2 4 5 3 2" xfId="40845"/>
    <cellStyle name="표준 16 2 4 5 4" xfId="25881"/>
    <cellStyle name="표준 16 2 4 6" xfId="10881"/>
    <cellStyle name="표준 16 2 4 6 2" xfId="33348"/>
    <cellStyle name="표준 16 2 4 7" xfId="18365"/>
    <cellStyle name="표준 16 2 4 7 2" xfId="40830"/>
    <cellStyle name="표준 16 2 4 8" xfId="25866"/>
    <cellStyle name="표준 16 2 4_Sheet4" xfId="2169"/>
    <cellStyle name="표준 16 2 5" xfId="2170"/>
    <cellStyle name="표준 16 2 5 2" xfId="2171"/>
    <cellStyle name="표준 16 2 5 2 2" xfId="2172"/>
    <cellStyle name="표준 16 2 5 2 2 2" xfId="2173"/>
    <cellStyle name="표준 16 2 5 2 2 2 2" xfId="2174"/>
    <cellStyle name="표준 16 2 5 2 2 2 2 2" xfId="10901"/>
    <cellStyle name="표준 16 2 5 2 2 2 2 2 2" xfId="33368"/>
    <cellStyle name="표준 16 2 5 2 2 2 2 3" xfId="18385"/>
    <cellStyle name="표준 16 2 5 2 2 2 2 3 2" xfId="40850"/>
    <cellStyle name="표준 16 2 5 2 2 2 2 4" xfId="25886"/>
    <cellStyle name="표준 16 2 5 2 2 2 3" xfId="10900"/>
    <cellStyle name="표준 16 2 5 2 2 2 3 2" xfId="33367"/>
    <cellStyle name="표준 16 2 5 2 2 2 4" xfId="18384"/>
    <cellStyle name="표준 16 2 5 2 2 2 4 2" xfId="40849"/>
    <cellStyle name="표준 16 2 5 2 2 2 5" xfId="25885"/>
    <cellStyle name="표준 16 2 5 2 2 2_Sheet4" xfId="2175"/>
    <cellStyle name="표준 16 2 5 2 2 3" xfId="2176"/>
    <cellStyle name="표준 16 2 5 2 2 3 2" xfId="10902"/>
    <cellStyle name="표준 16 2 5 2 2 3 2 2" xfId="33369"/>
    <cellStyle name="표준 16 2 5 2 2 3 3" xfId="18386"/>
    <cellStyle name="표준 16 2 5 2 2 3 3 2" xfId="40851"/>
    <cellStyle name="표준 16 2 5 2 2 3 4" xfId="25887"/>
    <cellStyle name="표준 16 2 5 2 2 4" xfId="10899"/>
    <cellStyle name="표준 16 2 5 2 2 4 2" xfId="33366"/>
    <cellStyle name="표준 16 2 5 2 2 5" xfId="18383"/>
    <cellStyle name="표준 16 2 5 2 2 5 2" xfId="40848"/>
    <cellStyle name="표준 16 2 5 2 2 6" xfId="25884"/>
    <cellStyle name="표준 16 2 5 2 2_Sheet4" xfId="2177"/>
    <cellStyle name="표준 16 2 5 2 3" xfId="2178"/>
    <cellStyle name="표준 16 2 5 2 3 2" xfId="2179"/>
    <cellStyle name="표준 16 2 5 2 3 2 2" xfId="10904"/>
    <cellStyle name="표준 16 2 5 2 3 2 2 2" xfId="33371"/>
    <cellStyle name="표준 16 2 5 2 3 2 3" xfId="18388"/>
    <cellStyle name="표준 16 2 5 2 3 2 3 2" xfId="40853"/>
    <cellStyle name="표준 16 2 5 2 3 2 4" xfId="25889"/>
    <cellStyle name="표준 16 2 5 2 3 3" xfId="10903"/>
    <cellStyle name="표준 16 2 5 2 3 3 2" xfId="33370"/>
    <cellStyle name="표준 16 2 5 2 3 4" xfId="18387"/>
    <cellStyle name="표준 16 2 5 2 3 4 2" xfId="40852"/>
    <cellStyle name="표준 16 2 5 2 3 5" xfId="25888"/>
    <cellStyle name="표준 16 2 5 2 3_Sheet4" xfId="2180"/>
    <cellStyle name="표준 16 2 5 2 4" xfId="2181"/>
    <cellStyle name="표준 16 2 5 2 4 2" xfId="10905"/>
    <cellStyle name="표준 16 2 5 2 4 2 2" xfId="33372"/>
    <cellStyle name="표준 16 2 5 2 4 3" xfId="18389"/>
    <cellStyle name="표준 16 2 5 2 4 3 2" xfId="40854"/>
    <cellStyle name="표준 16 2 5 2 4 4" xfId="25890"/>
    <cellStyle name="표준 16 2 5 2 5" xfId="10898"/>
    <cellStyle name="표준 16 2 5 2 5 2" xfId="33365"/>
    <cellStyle name="표준 16 2 5 2 6" xfId="18382"/>
    <cellStyle name="표준 16 2 5 2 6 2" xfId="40847"/>
    <cellStyle name="표준 16 2 5 2 7" xfId="25883"/>
    <cellStyle name="표준 16 2 5 2_Sheet4" xfId="2182"/>
    <cellStyle name="표준 16 2 5 3" xfId="2183"/>
    <cellStyle name="표준 16 2 5 3 2" xfId="2184"/>
    <cellStyle name="표준 16 2 5 3 2 2" xfId="2185"/>
    <cellStyle name="표준 16 2 5 3 2 2 2" xfId="10908"/>
    <cellStyle name="표준 16 2 5 3 2 2 2 2" xfId="33375"/>
    <cellStyle name="표준 16 2 5 3 2 2 3" xfId="18392"/>
    <cellStyle name="표준 16 2 5 3 2 2 3 2" xfId="40857"/>
    <cellStyle name="표준 16 2 5 3 2 2 4" xfId="25893"/>
    <cellStyle name="표준 16 2 5 3 2 3" xfId="10907"/>
    <cellStyle name="표준 16 2 5 3 2 3 2" xfId="33374"/>
    <cellStyle name="표준 16 2 5 3 2 4" xfId="18391"/>
    <cellStyle name="표준 16 2 5 3 2 4 2" xfId="40856"/>
    <cellStyle name="표준 16 2 5 3 2 5" xfId="25892"/>
    <cellStyle name="표준 16 2 5 3 2_Sheet4" xfId="2186"/>
    <cellStyle name="표준 16 2 5 3 3" xfId="2187"/>
    <cellStyle name="표준 16 2 5 3 3 2" xfId="10909"/>
    <cellStyle name="표준 16 2 5 3 3 2 2" xfId="33376"/>
    <cellStyle name="표준 16 2 5 3 3 3" xfId="18393"/>
    <cellStyle name="표준 16 2 5 3 3 3 2" xfId="40858"/>
    <cellStyle name="표준 16 2 5 3 3 4" xfId="25894"/>
    <cellStyle name="표준 16 2 5 3 4" xfId="10906"/>
    <cellStyle name="표준 16 2 5 3 4 2" xfId="33373"/>
    <cellStyle name="표준 16 2 5 3 5" xfId="18390"/>
    <cellStyle name="표준 16 2 5 3 5 2" xfId="40855"/>
    <cellStyle name="표준 16 2 5 3 6" xfId="25891"/>
    <cellStyle name="표준 16 2 5 3_Sheet4" xfId="2188"/>
    <cellStyle name="표준 16 2 5 4" xfId="2189"/>
    <cellStyle name="표준 16 2 5 4 2" xfId="2190"/>
    <cellStyle name="표준 16 2 5 4 2 2" xfId="10911"/>
    <cellStyle name="표준 16 2 5 4 2 2 2" xfId="33378"/>
    <cellStyle name="표준 16 2 5 4 2 3" xfId="18395"/>
    <cellStyle name="표준 16 2 5 4 2 3 2" xfId="40860"/>
    <cellStyle name="표준 16 2 5 4 2 4" xfId="25896"/>
    <cellStyle name="표준 16 2 5 4 3" xfId="10910"/>
    <cellStyle name="표준 16 2 5 4 3 2" xfId="33377"/>
    <cellStyle name="표준 16 2 5 4 4" xfId="18394"/>
    <cellStyle name="표준 16 2 5 4 4 2" xfId="40859"/>
    <cellStyle name="표준 16 2 5 4 5" xfId="25895"/>
    <cellStyle name="표준 16 2 5 4_Sheet4" xfId="2191"/>
    <cellStyle name="표준 16 2 5 5" xfId="2192"/>
    <cellStyle name="표준 16 2 5 5 2" xfId="10912"/>
    <cellStyle name="표준 16 2 5 5 2 2" xfId="33379"/>
    <cellStyle name="표준 16 2 5 5 3" xfId="18396"/>
    <cellStyle name="표준 16 2 5 5 3 2" xfId="40861"/>
    <cellStyle name="표준 16 2 5 5 4" xfId="25897"/>
    <cellStyle name="표준 16 2 5 6" xfId="10897"/>
    <cellStyle name="표준 16 2 5 6 2" xfId="33364"/>
    <cellStyle name="표준 16 2 5 7" xfId="18381"/>
    <cellStyle name="표준 16 2 5 7 2" xfId="40846"/>
    <cellStyle name="표준 16 2 5 8" xfId="25882"/>
    <cellStyle name="표준 16 2 5_Sheet4" xfId="2193"/>
    <cellStyle name="표준 16 2 6" xfId="2194"/>
    <cellStyle name="표준 16 2 6 2" xfId="2195"/>
    <cellStyle name="표준 16 2 6 2 2" xfId="2196"/>
    <cellStyle name="표준 16 2 6 2 2 2" xfId="2197"/>
    <cellStyle name="표준 16 2 6 2 2 2 2" xfId="10916"/>
    <cellStyle name="표준 16 2 6 2 2 2 2 2" xfId="33383"/>
    <cellStyle name="표준 16 2 6 2 2 2 3" xfId="18400"/>
    <cellStyle name="표준 16 2 6 2 2 2 3 2" xfId="40865"/>
    <cellStyle name="표준 16 2 6 2 2 2 4" xfId="25901"/>
    <cellStyle name="표준 16 2 6 2 2 3" xfId="10915"/>
    <cellStyle name="표준 16 2 6 2 2 3 2" xfId="33382"/>
    <cellStyle name="표준 16 2 6 2 2 4" xfId="18399"/>
    <cellStyle name="표준 16 2 6 2 2 4 2" xfId="40864"/>
    <cellStyle name="표준 16 2 6 2 2 5" xfId="25900"/>
    <cellStyle name="표준 16 2 6 2 2_Sheet4" xfId="2198"/>
    <cellStyle name="표준 16 2 6 2 3" xfId="2199"/>
    <cellStyle name="표준 16 2 6 2 3 2" xfId="10917"/>
    <cellStyle name="표준 16 2 6 2 3 2 2" xfId="33384"/>
    <cellStyle name="표준 16 2 6 2 3 3" xfId="18401"/>
    <cellStyle name="표준 16 2 6 2 3 3 2" xfId="40866"/>
    <cellStyle name="표준 16 2 6 2 3 4" xfId="25902"/>
    <cellStyle name="표준 16 2 6 2 4" xfId="10914"/>
    <cellStyle name="표준 16 2 6 2 4 2" xfId="33381"/>
    <cellStyle name="표준 16 2 6 2 5" xfId="18398"/>
    <cellStyle name="표준 16 2 6 2 5 2" xfId="40863"/>
    <cellStyle name="표준 16 2 6 2 6" xfId="25899"/>
    <cellStyle name="표준 16 2 6 2_Sheet4" xfId="2200"/>
    <cellStyle name="표준 16 2 6 3" xfId="2201"/>
    <cellStyle name="표준 16 2 6 3 2" xfId="2202"/>
    <cellStyle name="표준 16 2 6 3 2 2" xfId="10919"/>
    <cellStyle name="표준 16 2 6 3 2 2 2" xfId="33386"/>
    <cellStyle name="표준 16 2 6 3 2 3" xfId="18403"/>
    <cellStyle name="표준 16 2 6 3 2 3 2" xfId="40868"/>
    <cellStyle name="표준 16 2 6 3 2 4" xfId="25904"/>
    <cellStyle name="표준 16 2 6 3 3" xfId="10918"/>
    <cellStyle name="표준 16 2 6 3 3 2" xfId="33385"/>
    <cellStyle name="표준 16 2 6 3 4" xfId="18402"/>
    <cellStyle name="표준 16 2 6 3 4 2" xfId="40867"/>
    <cellStyle name="표준 16 2 6 3 5" xfId="25903"/>
    <cellStyle name="표준 16 2 6 3_Sheet4" xfId="2203"/>
    <cellStyle name="표준 16 2 6 4" xfId="2204"/>
    <cellStyle name="표준 16 2 6 4 2" xfId="10920"/>
    <cellStyle name="표준 16 2 6 4 2 2" xfId="33387"/>
    <cellStyle name="표준 16 2 6 4 3" xfId="18404"/>
    <cellStyle name="표준 16 2 6 4 3 2" xfId="40869"/>
    <cellStyle name="표준 16 2 6 4 4" xfId="25905"/>
    <cellStyle name="표준 16 2 6 5" xfId="10913"/>
    <cellStyle name="표준 16 2 6 5 2" xfId="33380"/>
    <cellStyle name="표준 16 2 6 6" xfId="18397"/>
    <cellStyle name="표준 16 2 6 6 2" xfId="40862"/>
    <cellStyle name="표준 16 2 6 7" xfId="25898"/>
    <cellStyle name="표준 16 2 6_Sheet4" xfId="2205"/>
    <cellStyle name="표준 16 2 7" xfId="2206"/>
    <cellStyle name="표준 16 2 7 2" xfId="2207"/>
    <cellStyle name="표준 16 2 7 2 2" xfId="2208"/>
    <cellStyle name="표준 16 2 7 2 2 2" xfId="2209"/>
    <cellStyle name="표준 16 2 7 2 2 2 2" xfId="10924"/>
    <cellStyle name="표준 16 2 7 2 2 2 2 2" xfId="33391"/>
    <cellStyle name="표준 16 2 7 2 2 2 3" xfId="18408"/>
    <cellStyle name="표준 16 2 7 2 2 2 3 2" xfId="40873"/>
    <cellStyle name="표준 16 2 7 2 2 2 4" xfId="25909"/>
    <cellStyle name="표준 16 2 7 2 2 3" xfId="10923"/>
    <cellStyle name="표준 16 2 7 2 2 3 2" xfId="33390"/>
    <cellStyle name="표준 16 2 7 2 2 4" xfId="18407"/>
    <cellStyle name="표준 16 2 7 2 2 4 2" xfId="40872"/>
    <cellStyle name="표준 16 2 7 2 2 5" xfId="25908"/>
    <cellStyle name="표준 16 2 7 2 2_Sheet4" xfId="2210"/>
    <cellStyle name="표준 16 2 7 2 3" xfId="2211"/>
    <cellStyle name="표준 16 2 7 2 3 2" xfId="10925"/>
    <cellStyle name="표준 16 2 7 2 3 2 2" xfId="33392"/>
    <cellStyle name="표준 16 2 7 2 3 3" xfId="18409"/>
    <cellStyle name="표준 16 2 7 2 3 3 2" xfId="40874"/>
    <cellStyle name="표준 16 2 7 2 3 4" xfId="25910"/>
    <cellStyle name="표준 16 2 7 2 4" xfId="10922"/>
    <cellStyle name="표준 16 2 7 2 4 2" xfId="33389"/>
    <cellStyle name="표준 16 2 7 2 5" xfId="18406"/>
    <cellStyle name="표준 16 2 7 2 5 2" xfId="40871"/>
    <cellStyle name="표준 16 2 7 2 6" xfId="25907"/>
    <cellStyle name="표준 16 2 7 2_Sheet4" xfId="2212"/>
    <cellStyle name="표준 16 2 7 3" xfId="2213"/>
    <cellStyle name="표준 16 2 7 3 2" xfId="2214"/>
    <cellStyle name="표준 16 2 7 3 2 2" xfId="10927"/>
    <cellStyle name="표준 16 2 7 3 2 2 2" xfId="33394"/>
    <cellStyle name="표준 16 2 7 3 2 3" xfId="18411"/>
    <cellStyle name="표준 16 2 7 3 2 3 2" xfId="40876"/>
    <cellStyle name="표준 16 2 7 3 2 4" xfId="25912"/>
    <cellStyle name="표준 16 2 7 3 3" xfId="10926"/>
    <cellStyle name="표준 16 2 7 3 3 2" xfId="33393"/>
    <cellStyle name="표준 16 2 7 3 4" xfId="18410"/>
    <cellStyle name="표준 16 2 7 3 4 2" xfId="40875"/>
    <cellStyle name="표준 16 2 7 3 5" xfId="25911"/>
    <cellStyle name="표준 16 2 7 3_Sheet4" xfId="2215"/>
    <cellStyle name="표준 16 2 7 4" xfId="2216"/>
    <cellStyle name="표준 16 2 7 4 2" xfId="10928"/>
    <cellStyle name="표준 16 2 7 4 2 2" xfId="33395"/>
    <cellStyle name="표준 16 2 7 4 3" xfId="18412"/>
    <cellStyle name="표준 16 2 7 4 3 2" xfId="40877"/>
    <cellStyle name="표준 16 2 7 4 4" xfId="25913"/>
    <cellStyle name="표준 16 2 7 5" xfId="10921"/>
    <cellStyle name="표준 16 2 7 5 2" xfId="33388"/>
    <cellStyle name="표준 16 2 7 6" xfId="18405"/>
    <cellStyle name="표준 16 2 7 6 2" xfId="40870"/>
    <cellStyle name="표준 16 2 7 7" xfId="25906"/>
    <cellStyle name="표준 16 2 7_Sheet4" xfId="2217"/>
    <cellStyle name="표준 16 2 8" xfId="2218"/>
    <cellStyle name="표준 16 2 8 2" xfId="2219"/>
    <cellStyle name="표준 16 2 8 2 2" xfId="2220"/>
    <cellStyle name="표준 16 2 8 2 2 2" xfId="2221"/>
    <cellStyle name="표준 16 2 8 2 2 2 2" xfId="10932"/>
    <cellStyle name="표준 16 2 8 2 2 2 2 2" xfId="33399"/>
    <cellStyle name="표준 16 2 8 2 2 2 3" xfId="18416"/>
    <cellStyle name="표준 16 2 8 2 2 2 3 2" xfId="40881"/>
    <cellStyle name="표준 16 2 8 2 2 2 4" xfId="25917"/>
    <cellStyle name="표준 16 2 8 2 2 3" xfId="10931"/>
    <cellStyle name="표준 16 2 8 2 2 3 2" xfId="33398"/>
    <cellStyle name="표준 16 2 8 2 2 4" xfId="18415"/>
    <cellStyle name="표준 16 2 8 2 2 4 2" xfId="40880"/>
    <cellStyle name="표준 16 2 8 2 2 5" xfId="25916"/>
    <cellStyle name="표준 16 2 8 2 2_Sheet4" xfId="2222"/>
    <cellStyle name="표준 16 2 8 2 3" xfId="2223"/>
    <cellStyle name="표준 16 2 8 2 3 2" xfId="10933"/>
    <cellStyle name="표준 16 2 8 2 3 2 2" xfId="33400"/>
    <cellStyle name="표준 16 2 8 2 3 3" xfId="18417"/>
    <cellStyle name="표준 16 2 8 2 3 3 2" xfId="40882"/>
    <cellStyle name="표준 16 2 8 2 3 4" xfId="25918"/>
    <cellStyle name="표준 16 2 8 2 4" xfId="10930"/>
    <cellStyle name="표준 16 2 8 2 4 2" xfId="33397"/>
    <cellStyle name="표준 16 2 8 2 5" xfId="18414"/>
    <cellStyle name="표준 16 2 8 2 5 2" xfId="40879"/>
    <cellStyle name="표준 16 2 8 2 6" xfId="25915"/>
    <cellStyle name="표준 16 2 8 2_Sheet4" xfId="2224"/>
    <cellStyle name="표준 16 2 8 3" xfId="2225"/>
    <cellStyle name="표준 16 2 8 3 2" xfId="2226"/>
    <cellStyle name="표준 16 2 8 3 2 2" xfId="10935"/>
    <cellStyle name="표준 16 2 8 3 2 2 2" xfId="33402"/>
    <cellStyle name="표준 16 2 8 3 2 3" xfId="18419"/>
    <cellStyle name="표준 16 2 8 3 2 3 2" xfId="40884"/>
    <cellStyle name="표준 16 2 8 3 2 4" xfId="25920"/>
    <cellStyle name="표준 16 2 8 3 3" xfId="10934"/>
    <cellStyle name="표준 16 2 8 3 3 2" xfId="33401"/>
    <cellStyle name="표준 16 2 8 3 4" xfId="18418"/>
    <cellStyle name="표준 16 2 8 3 4 2" xfId="40883"/>
    <cellStyle name="표준 16 2 8 3 5" xfId="25919"/>
    <cellStyle name="표준 16 2 8 3_Sheet4" xfId="2227"/>
    <cellStyle name="표준 16 2 8 4" xfId="2228"/>
    <cellStyle name="표준 16 2 8 4 2" xfId="10936"/>
    <cellStyle name="표준 16 2 8 4 2 2" xfId="33403"/>
    <cellStyle name="표준 16 2 8 4 3" xfId="18420"/>
    <cellStyle name="표준 16 2 8 4 3 2" xfId="40885"/>
    <cellStyle name="표준 16 2 8 4 4" xfId="25921"/>
    <cellStyle name="표준 16 2 8 5" xfId="10929"/>
    <cellStyle name="표준 16 2 8 5 2" xfId="33396"/>
    <cellStyle name="표준 16 2 8 6" xfId="18413"/>
    <cellStyle name="표준 16 2 8 6 2" xfId="40878"/>
    <cellStyle name="표준 16 2 8 7" xfId="25914"/>
    <cellStyle name="표준 16 2 8_Sheet4" xfId="2229"/>
    <cellStyle name="표준 16 2 9" xfId="2230"/>
    <cellStyle name="표준 16 2 9 2" xfId="2231"/>
    <cellStyle name="표준 16 2 9 2 2" xfId="2232"/>
    <cellStyle name="표준 16 2 9 2 2 2" xfId="10939"/>
    <cellStyle name="표준 16 2 9 2 2 2 2" xfId="33406"/>
    <cellStyle name="표준 16 2 9 2 2 3" xfId="18423"/>
    <cellStyle name="표준 16 2 9 2 2 3 2" xfId="40888"/>
    <cellStyle name="표준 16 2 9 2 2 4" xfId="25924"/>
    <cellStyle name="표준 16 2 9 2 3" xfId="10938"/>
    <cellStyle name="표준 16 2 9 2 3 2" xfId="33405"/>
    <cellStyle name="표준 16 2 9 2 4" xfId="18422"/>
    <cellStyle name="표준 16 2 9 2 4 2" xfId="40887"/>
    <cellStyle name="표준 16 2 9 2 5" xfId="25923"/>
    <cellStyle name="표준 16 2 9 2_Sheet4" xfId="2233"/>
    <cellStyle name="표준 16 2 9 3" xfId="2234"/>
    <cellStyle name="표준 16 2 9 3 2" xfId="10940"/>
    <cellStyle name="표준 16 2 9 3 2 2" xfId="33407"/>
    <cellStyle name="표준 16 2 9 3 3" xfId="18424"/>
    <cellStyle name="표준 16 2 9 3 3 2" xfId="40889"/>
    <cellStyle name="표준 16 2 9 3 4" xfId="25925"/>
    <cellStyle name="표준 16 2 9 4" xfId="10937"/>
    <cellStyle name="표준 16 2 9 4 2" xfId="33404"/>
    <cellStyle name="표준 16 2 9 5" xfId="18421"/>
    <cellStyle name="표준 16 2 9 5 2" xfId="40886"/>
    <cellStyle name="표준 16 2 9 6" xfId="25922"/>
    <cellStyle name="표준 16 2 9_Sheet4" xfId="2235"/>
    <cellStyle name="표준 16 2_Sheet4" xfId="2236"/>
    <cellStyle name="표준 16 20" xfId="25673"/>
    <cellStyle name="표준 16 3" xfId="2237"/>
    <cellStyle name="표준 16 3 10" xfId="10941"/>
    <cellStyle name="표준 16 3 10 2" xfId="33408"/>
    <cellStyle name="표준 16 3 11" xfId="18425"/>
    <cellStyle name="표준 16 3 11 2" xfId="40890"/>
    <cellStyle name="표준 16 3 12" xfId="25926"/>
    <cellStyle name="표준 16 3 2" xfId="2238"/>
    <cellStyle name="표준 16 3 2 10" xfId="25927"/>
    <cellStyle name="표준 16 3 2 2" xfId="2239"/>
    <cellStyle name="표준 16 3 2 2 2" xfId="2240"/>
    <cellStyle name="표준 16 3 2 2 2 2" xfId="2241"/>
    <cellStyle name="표준 16 3 2 2 2 2 2" xfId="2242"/>
    <cellStyle name="표준 16 3 2 2 2 2 2 2" xfId="2243"/>
    <cellStyle name="표준 16 3 2 2 2 2 2 2 2" xfId="10947"/>
    <cellStyle name="표준 16 3 2 2 2 2 2 2 2 2" xfId="33414"/>
    <cellStyle name="표준 16 3 2 2 2 2 2 2 3" xfId="18431"/>
    <cellStyle name="표준 16 3 2 2 2 2 2 2 3 2" xfId="40896"/>
    <cellStyle name="표준 16 3 2 2 2 2 2 2 4" xfId="25932"/>
    <cellStyle name="표준 16 3 2 2 2 2 2 3" xfId="10946"/>
    <cellStyle name="표준 16 3 2 2 2 2 2 3 2" xfId="33413"/>
    <cellStyle name="표준 16 3 2 2 2 2 2 4" xfId="18430"/>
    <cellStyle name="표준 16 3 2 2 2 2 2 4 2" xfId="40895"/>
    <cellStyle name="표준 16 3 2 2 2 2 2 5" xfId="25931"/>
    <cellStyle name="표준 16 3 2 2 2 2 2_Sheet4" xfId="2244"/>
    <cellStyle name="표준 16 3 2 2 2 2 3" xfId="2245"/>
    <cellStyle name="표준 16 3 2 2 2 2 3 2" xfId="10948"/>
    <cellStyle name="표준 16 3 2 2 2 2 3 2 2" xfId="33415"/>
    <cellStyle name="표준 16 3 2 2 2 2 3 3" xfId="18432"/>
    <cellStyle name="표준 16 3 2 2 2 2 3 3 2" xfId="40897"/>
    <cellStyle name="표준 16 3 2 2 2 2 3 4" xfId="25933"/>
    <cellStyle name="표준 16 3 2 2 2 2 4" xfId="10945"/>
    <cellStyle name="표준 16 3 2 2 2 2 4 2" xfId="33412"/>
    <cellStyle name="표준 16 3 2 2 2 2 5" xfId="18429"/>
    <cellStyle name="표준 16 3 2 2 2 2 5 2" xfId="40894"/>
    <cellStyle name="표준 16 3 2 2 2 2 6" xfId="25930"/>
    <cellStyle name="표준 16 3 2 2 2 2_Sheet4" xfId="2246"/>
    <cellStyle name="표준 16 3 2 2 2 3" xfId="2247"/>
    <cellStyle name="표준 16 3 2 2 2 3 2" xfId="2248"/>
    <cellStyle name="표준 16 3 2 2 2 3 2 2" xfId="10950"/>
    <cellStyle name="표준 16 3 2 2 2 3 2 2 2" xfId="33417"/>
    <cellStyle name="표준 16 3 2 2 2 3 2 3" xfId="18434"/>
    <cellStyle name="표준 16 3 2 2 2 3 2 3 2" xfId="40899"/>
    <cellStyle name="표준 16 3 2 2 2 3 2 4" xfId="25935"/>
    <cellStyle name="표준 16 3 2 2 2 3 3" xfId="10949"/>
    <cellStyle name="표준 16 3 2 2 2 3 3 2" xfId="33416"/>
    <cellStyle name="표준 16 3 2 2 2 3 4" xfId="18433"/>
    <cellStyle name="표준 16 3 2 2 2 3 4 2" xfId="40898"/>
    <cellStyle name="표준 16 3 2 2 2 3 5" xfId="25934"/>
    <cellStyle name="표준 16 3 2 2 2 3_Sheet4" xfId="2249"/>
    <cellStyle name="표준 16 3 2 2 2 4" xfId="2250"/>
    <cellStyle name="표준 16 3 2 2 2 4 2" xfId="10951"/>
    <cellStyle name="표준 16 3 2 2 2 4 2 2" xfId="33418"/>
    <cellStyle name="표준 16 3 2 2 2 4 3" xfId="18435"/>
    <cellStyle name="표준 16 3 2 2 2 4 3 2" xfId="40900"/>
    <cellStyle name="표준 16 3 2 2 2 4 4" xfId="25936"/>
    <cellStyle name="표준 16 3 2 2 2 5" xfId="10944"/>
    <cellStyle name="표준 16 3 2 2 2 5 2" xfId="33411"/>
    <cellStyle name="표준 16 3 2 2 2 6" xfId="18428"/>
    <cellStyle name="표준 16 3 2 2 2 6 2" xfId="40893"/>
    <cellStyle name="표준 16 3 2 2 2 7" xfId="25929"/>
    <cellStyle name="표준 16 3 2 2 2_Sheet4" xfId="2251"/>
    <cellStyle name="표준 16 3 2 2 3" xfId="2252"/>
    <cellStyle name="표준 16 3 2 2 3 2" xfId="2253"/>
    <cellStyle name="표준 16 3 2 2 3 2 2" xfId="2254"/>
    <cellStyle name="표준 16 3 2 2 3 2 2 2" xfId="10954"/>
    <cellStyle name="표준 16 3 2 2 3 2 2 2 2" xfId="33421"/>
    <cellStyle name="표준 16 3 2 2 3 2 2 3" xfId="18438"/>
    <cellStyle name="표준 16 3 2 2 3 2 2 3 2" xfId="40903"/>
    <cellStyle name="표준 16 3 2 2 3 2 2 4" xfId="25939"/>
    <cellStyle name="표준 16 3 2 2 3 2 3" xfId="10953"/>
    <cellStyle name="표준 16 3 2 2 3 2 3 2" xfId="33420"/>
    <cellStyle name="표준 16 3 2 2 3 2 4" xfId="18437"/>
    <cellStyle name="표준 16 3 2 2 3 2 4 2" xfId="40902"/>
    <cellStyle name="표준 16 3 2 2 3 2 5" xfId="25938"/>
    <cellStyle name="표준 16 3 2 2 3 2_Sheet4" xfId="2255"/>
    <cellStyle name="표준 16 3 2 2 3 3" xfId="2256"/>
    <cellStyle name="표준 16 3 2 2 3 3 2" xfId="10955"/>
    <cellStyle name="표준 16 3 2 2 3 3 2 2" xfId="33422"/>
    <cellStyle name="표준 16 3 2 2 3 3 3" xfId="18439"/>
    <cellStyle name="표준 16 3 2 2 3 3 3 2" xfId="40904"/>
    <cellStyle name="표준 16 3 2 2 3 3 4" xfId="25940"/>
    <cellStyle name="표준 16 3 2 2 3 4" xfId="10952"/>
    <cellStyle name="표준 16 3 2 2 3 4 2" xfId="33419"/>
    <cellStyle name="표준 16 3 2 2 3 5" xfId="18436"/>
    <cellStyle name="표준 16 3 2 2 3 5 2" xfId="40901"/>
    <cellStyle name="표준 16 3 2 2 3 6" xfId="25937"/>
    <cellStyle name="표준 16 3 2 2 3_Sheet4" xfId="2257"/>
    <cellStyle name="표준 16 3 2 2 4" xfId="2258"/>
    <cellStyle name="표준 16 3 2 2 4 2" xfId="2259"/>
    <cellStyle name="표준 16 3 2 2 4 2 2" xfId="10957"/>
    <cellStyle name="표준 16 3 2 2 4 2 2 2" xfId="33424"/>
    <cellStyle name="표준 16 3 2 2 4 2 3" xfId="18441"/>
    <cellStyle name="표준 16 3 2 2 4 2 3 2" xfId="40906"/>
    <cellStyle name="표준 16 3 2 2 4 2 4" xfId="25942"/>
    <cellStyle name="표준 16 3 2 2 4 3" xfId="10956"/>
    <cellStyle name="표준 16 3 2 2 4 3 2" xfId="33423"/>
    <cellStyle name="표준 16 3 2 2 4 4" xfId="18440"/>
    <cellStyle name="표준 16 3 2 2 4 4 2" xfId="40905"/>
    <cellStyle name="표준 16 3 2 2 4 5" xfId="25941"/>
    <cellStyle name="표준 16 3 2 2 4_Sheet4" xfId="2260"/>
    <cellStyle name="표준 16 3 2 2 5" xfId="2261"/>
    <cellStyle name="표준 16 3 2 2 5 2" xfId="10958"/>
    <cellStyle name="표준 16 3 2 2 5 2 2" xfId="33425"/>
    <cellStyle name="표준 16 3 2 2 5 3" xfId="18442"/>
    <cellStyle name="표준 16 3 2 2 5 3 2" xfId="40907"/>
    <cellStyle name="표준 16 3 2 2 5 4" xfId="25943"/>
    <cellStyle name="표준 16 3 2 2 6" xfId="10943"/>
    <cellStyle name="표준 16 3 2 2 6 2" xfId="33410"/>
    <cellStyle name="표준 16 3 2 2 7" xfId="18427"/>
    <cellStyle name="표준 16 3 2 2 7 2" xfId="40892"/>
    <cellStyle name="표준 16 3 2 2 8" xfId="25928"/>
    <cellStyle name="표준 16 3 2 2_Sheet4" xfId="2262"/>
    <cellStyle name="표준 16 3 2 3" xfId="2263"/>
    <cellStyle name="표준 16 3 2 3 2" xfId="2264"/>
    <cellStyle name="표준 16 3 2 3 2 2" xfId="2265"/>
    <cellStyle name="표준 16 3 2 3 2 2 2" xfId="2266"/>
    <cellStyle name="표준 16 3 2 3 2 2 2 2" xfId="2267"/>
    <cellStyle name="표준 16 3 2 3 2 2 2 2 2" xfId="10963"/>
    <cellStyle name="표준 16 3 2 3 2 2 2 2 2 2" xfId="33430"/>
    <cellStyle name="표준 16 3 2 3 2 2 2 2 3" xfId="18447"/>
    <cellStyle name="표준 16 3 2 3 2 2 2 2 3 2" xfId="40912"/>
    <cellStyle name="표준 16 3 2 3 2 2 2 2 4" xfId="25948"/>
    <cellStyle name="표준 16 3 2 3 2 2 2 3" xfId="10962"/>
    <cellStyle name="표준 16 3 2 3 2 2 2 3 2" xfId="33429"/>
    <cellStyle name="표준 16 3 2 3 2 2 2 4" xfId="18446"/>
    <cellStyle name="표준 16 3 2 3 2 2 2 4 2" xfId="40911"/>
    <cellStyle name="표준 16 3 2 3 2 2 2 5" xfId="25947"/>
    <cellStyle name="표준 16 3 2 3 2 2 2_Sheet4" xfId="2268"/>
    <cellStyle name="표준 16 3 2 3 2 2 3" xfId="2269"/>
    <cellStyle name="표준 16 3 2 3 2 2 3 2" xfId="10964"/>
    <cellStyle name="표준 16 3 2 3 2 2 3 2 2" xfId="33431"/>
    <cellStyle name="표준 16 3 2 3 2 2 3 3" xfId="18448"/>
    <cellStyle name="표준 16 3 2 3 2 2 3 3 2" xfId="40913"/>
    <cellStyle name="표준 16 3 2 3 2 2 3 4" xfId="25949"/>
    <cellStyle name="표준 16 3 2 3 2 2 4" xfId="10961"/>
    <cellStyle name="표준 16 3 2 3 2 2 4 2" xfId="33428"/>
    <cellStyle name="표준 16 3 2 3 2 2 5" xfId="18445"/>
    <cellStyle name="표준 16 3 2 3 2 2 5 2" xfId="40910"/>
    <cellStyle name="표준 16 3 2 3 2 2 6" xfId="25946"/>
    <cellStyle name="표준 16 3 2 3 2 2_Sheet4" xfId="2270"/>
    <cellStyle name="표준 16 3 2 3 2 3" xfId="2271"/>
    <cellStyle name="표준 16 3 2 3 2 3 2" xfId="2272"/>
    <cellStyle name="표준 16 3 2 3 2 3 2 2" xfId="10966"/>
    <cellStyle name="표준 16 3 2 3 2 3 2 2 2" xfId="33433"/>
    <cellStyle name="표준 16 3 2 3 2 3 2 3" xfId="18450"/>
    <cellStyle name="표준 16 3 2 3 2 3 2 3 2" xfId="40915"/>
    <cellStyle name="표준 16 3 2 3 2 3 2 4" xfId="25951"/>
    <cellStyle name="표준 16 3 2 3 2 3 3" xfId="10965"/>
    <cellStyle name="표준 16 3 2 3 2 3 3 2" xfId="33432"/>
    <cellStyle name="표준 16 3 2 3 2 3 4" xfId="18449"/>
    <cellStyle name="표준 16 3 2 3 2 3 4 2" xfId="40914"/>
    <cellStyle name="표준 16 3 2 3 2 3 5" xfId="25950"/>
    <cellStyle name="표준 16 3 2 3 2 3_Sheet4" xfId="2273"/>
    <cellStyle name="표준 16 3 2 3 2 4" xfId="2274"/>
    <cellStyle name="표준 16 3 2 3 2 4 2" xfId="10967"/>
    <cellStyle name="표준 16 3 2 3 2 4 2 2" xfId="33434"/>
    <cellStyle name="표준 16 3 2 3 2 4 3" xfId="18451"/>
    <cellStyle name="표준 16 3 2 3 2 4 3 2" xfId="40916"/>
    <cellStyle name="표준 16 3 2 3 2 4 4" xfId="25952"/>
    <cellStyle name="표준 16 3 2 3 2 5" xfId="10960"/>
    <cellStyle name="표준 16 3 2 3 2 5 2" xfId="33427"/>
    <cellStyle name="표준 16 3 2 3 2 6" xfId="18444"/>
    <cellStyle name="표준 16 3 2 3 2 6 2" xfId="40909"/>
    <cellStyle name="표준 16 3 2 3 2 7" xfId="25945"/>
    <cellStyle name="표준 16 3 2 3 2_Sheet4" xfId="2275"/>
    <cellStyle name="표준 16 3 2 3 3" xfId="2276"/>
    <cellStyle name="표준 16 3 2 3 3 2" xfId="2277"/>
    <cellStyle name="표준 16 3 2 3 3 2 2" xfId="2278"/>
    <cellStyle name="표준 16 3 2 3 3 2 2 2" xfId="10970"/>
    <cellStyle name="표준 16 3 2 3 3 2 2 2 2" xfId="33437"/>
    <cellStyle name="표준 16 3 2 3 3 2 2 3" xfId="18454"/>
    <cellStyle name="표준 16 3 2 3 3 2 2 3 2" xfId="40919"/>
    <cellStyle name="표준 16 3 2 3 3 2 2 4" xfId="25955"/>
    <cellStyle name="표준 16 3 2 3 3 2 3" xfId="10969"/>
    <cellStyle name="표준 16 3 2 3 3 2 3 2" xfId="33436"/>
    <cellStyle name="표준 16 3 2 3 3 2 4" xfId="18453"/>
    <cellStyle name="표준 16 3 2 3 3 2 4 2" xfId="40918"/>
    <cellStyle name="표준 16 3 2 3 3 2 5" xfId="25954"/>
    <cellStyle name="표준 16 3 2 3 3 2_Sheet4" xfId="2279"/>
    <cellStyle name="표준 16 3 2 3 3 3" xfId="2280"/>
    <cellStyle name="표준 16 3 2 3 3 3 2" xfId="10971"/>
    <cellStyle name="표준 16 3 2 3 3 3 2 2" xfId="33438"/>
    <cellStyle name="표준 16 3 2 3 3 3 3" xfId="18455"/>
    <cellStyle name="표준 16 3 2 3 3 3 3 2" xfId="40920"/>
    <cellStyle name="표준 16 3 2 3 3 3 4" xfId="25956"/>
    <cellStyle name="표준 16 3 2 3 3 4" xfId="10968"/>
    <cellStyle name="표준 16 3 2 3 3 4 2" xfId="33435"/>
    <cellStyle name="표준 16 3 2 3 3 5" xfId="18452"/>
    <cellStyle name="표준 16 3 2 3 3 5 2" xfId="40917"/>
    <cellStyle name="표준 16 3 2 3 3 6" xfId="25953"/>
    <cellStyle name="표준 16 3 2 3 3_Sheet4" xfId="2281"/>
    <cellStyle name="표준 16 3 2 3 4" xfId="2282"/>
    <cellStyle name="표준 16 3 2 3 4 2" xfId="2283"/>
    <cellStyle name="표준 16 3 2 3 4 2 2" xfId="10973"/>
    <cellStyle name="표준 16 3 2 3 4 2 2 2" xfId="33440"/>
    <cellStyle name="표준 16 3 2 3 4 2 3" xfId="18457"/>
    <cellStyle name="표준 16 3 2 3 4 2 3 2" xfId="40922"/>
    <cellStyle name="표준 16 3 2 3 4 2 4" xfId="25958"/>
    <cellStyle name="표준 16 3 2 3 4 3" xfId="10972"/>
    <cellStyle name="표준 16 3 2 3 4 3 2" xfId="33439"/>
    <cellStyle name="표준 16 3 2 3 4 4" xfId="18456"/>
    <cellStyle name="표준 16 3 2 3 4 4 2" xfId="40921"/>
    <cellStyle name="표준 16 3 2 3 4 5" xfId="25957"/>
    <cellStyle name="표준 16 3 2 3 4_Sheet4" xfId="2284"/>
    <cellStyle name="표준 16 3 2 3 5" xfId="2285"/>
    <cellStyle name="표준 16 3 2 3 5 2" xfId="10974"/>
    <cellStyle name="표준 16 3 2 3 5 2 2" xfId="33441"/>
    <cellStyle name="표준 16 3 2 3 5 3" xfId="18458"/>
    <cellStyle name="표준 16 3 2 3 5 3 2" xfId="40923"/>
    <cellStyle name="표준 16 3 2 3 5 4" xfId="25959"/>
    <cellStyle name="표준 16 3 2 3 6" xfId="10959"/>
    <cellStyle name="표준 16 3 2 3 6 2" xfId="33426"/>
    <cellStyle name="표준 16 3 2 3 7" xfId="18443"/>
    <cellStyle name="표준 16 3 2 3 7 2" xfId="40908"/>
    <cellStyle name="표준 16 3 2 3 8" xfId="25944"/>
    <cellStyle name="표준 16 3 2 3_Sheet4" xfId="2286"/>
    <cellStyle name="표준 16 3 2 4" xfId="2287"/>
    <cellStyle name="표준 16 3 2 4 2" xfId="2288"/>
    <cellStyle name="표준 16 3 2 4 2 2" xfId="2289"/>
    <cellStyle name="표준 16 3 2 4 2 2 2" xfId="2290"/>
    <cellStyle name="표준 16 3 2 4 2 2 2 2" xfId="10978"/>
    <cellStyle name="표준 16 3 2 4 2 2 2 2 2" xfId="33445"/>
    <cellStyle name="표준 16 3 2 4 2 2 2 3" xfId="18462"/>
    <cellStyle name="표준 16 3 2 4 2 2 2 3 2" xfId="40927"/>
    <cellStyle name="표준 16 3 2 4 2 2 2 4" xfId="25963"/>
    <cellStyle name="표준 16 3 2 4 2 2 3" xfId="10977"/>
    <cellStyle name="표준 16 3 2 4 2 2 3 2" xfId="33444"/>
    <cellStyle name="표준 16 3 2 4 2 2 4" xfId="18461"/>
    <cellStyle name="표준 16 3 2 4 2 2 4 2" xfId="40926"/>
    <cellStyle name="표준 16 3 2 4 2 2 5" xfId="25962"/>
    <cellStyle name="표준 16 3 2 4 2 2_Sheet4" xfId="2291"/>
    <cellStyle name="표준 16 3 2 4 2 3" xfId="2292"/>
    <cellStyle name="표준 16 3 2 4 2 3 2" xfId="10979"/>
    <cellStyle name="표준 16 3 2 4 2 3 2 2" xfId="33446"/>
    <cellStyle name="표준 16 3 2 4 2 3 3" xfId="18463"/>
    <cellStyle name="표준 16 3 2 4 2 3 3 2" xfId="40928"/>
    <cellStyle name="표준 16 3 2 4 2 3 4" xfId="25964"/>
    <cellStyle name="표준 16 3 2 4 2 4" xfId="10976"/>
    <cellStyle name="표준 16 3 2 4 2 4 2" xfId="33443"/>
    <cellStyle name="표준 16 3 2 4 2 5" xfId="18460"/>
    <cellStyle name="표준 16 3 2 4 2 5 2" xfId="40925"/>
    <cellStyle name="표준 16 3 2 4 2 6" xfId="25961"/>
    <cellStyle name="표준 16 3 2 4 2_Sheet4" xfId="2293"/>
    <cellStyle name="표준 16 3 2 4 3" xfId="2294"/>
    <cellStyle name="표준 16 3 2 4 3 2" xfId="2295"/>
    <cellStyle name="표준 16 3 2 4 3 2 2" xfId="10981"/>
    <cellStyle name="표준 16 3 2 4 3 2 2 2" xfId="33448"/>
    <cellStyle name="표준 16 3 2 4 3 2 3" xfId="18465"/>
    <cellStyle name="표준 16 3 2 4 3 2 3 2" xfId="40930"/>
    <cellStyle name="표준 16 3 2 4 3 2 4" xfId="25966"/>
    <cellStyle name="표준 16 3 2 4 3 3" xfId="10980"/>
    <cellStyle name="표준 16 3 2 4 3 3 2" xfId="33447"/>
    <cellStyle name="표준 16 3 2 4 3 4" xfId="18464"/>
    <cellStyle name="표준 16 3 2 4 3 4 2" xfId="40929"/>
    <cellStyle name="표준 16 3 2 4 3 5" xfId="25965"/>
    <cellStyle name="표준 16 3 2 4 3_Sheet4" xfId="2296"/>
    <cellStyle name="표준 16 3 2 4 4" xfId="2297"/>
    <cellStyle name="표준 16 3 2 4 4 2" xfId="10982"/>
    <cellStyle name="표준 16 3 2 4 4 2 2" xfId="33449"/>
    <cellStyle name="표준 16 3 2 4 4 3" xfId="18466"/>
    <cellStyle name="표준 16 3 2 4 4 3 2" xfId="40931"/>
    <cellStyle name="표준 16 3 2 4 4 4" xfId="25967"/>
    <cellStyle name="표준 16 3 2 4 5" xfId="10975"/>
    <cellStyle name="표준 16 3 2 4 5 2" xfId="33442"/>
    <cellStyle name="표준 16 3 2 4 6" xfId="18459"/>
    <cellStyle name="표준 16 3 2 4 6 2" xfId="40924"/>
    <cellStyle name="표준 16 3 2 4 7" xfId="25960"/>
    <cellStyle name="표준 16 3 2 4_Sheet4" xfId="2298"/>
    <cellStyle name="표준 16 3 2 5" xfId="2299"/>
    <cellStyle name="표준 16 3 2 5 2" xfId="2300"/>
    <cellStyle name="표준 16 3 2 5 2 2" xfId="2301"/>
    <cellStyle name="표준 16 3 2 5 2 2 2" xfId="10985"/>
    <cellStyle name="표준 16 3 2 5 2 2 2 2" xfId="33452"/>
    <cellStyle name="표준 16 3 2 5 2 2 3" xfId="18469"/>
    <cellStyle name="표준 16 3 2 5 2 2 3 2" xfId="40934"/>
    <cellStyle name="표준 16 3 2 5 2 2 4" xfId="25970"/>
    <cellStyle name="표준 16 3 2 5 2 3" xfId="10984"/>
    <cellStyle name="표준 16 3 2 5 2 3 2" xfId="33451"/>
    <cellStyle name="표준 16 3 2 5 2 4" xfId="18468"/>
    <cellStyle name="표준 16 3 2 5 2 4 2" xfId="40933"/>
    <cellStyle name="표준 16 3 2 5 2 5" xfId="25969"/>
    <cellStyle name="표준 16 3 2 5 2_Sheet4" xfId="2302"/>
    <cellStyle name="표준 16 3 2 5 3" xfId="2303"/>
    <cellStyle name="표준 16 3 2 5 3 2" xfId="10986"/>
    <cellStyle name="표준 16 3 2 5 3 2 2" xfId="33453"/>
    <cellStyle name="표준 16 3 2 5 3 3" xfId="18470"/>
    <cellStyle name="표준 16 3 2 5 3 3 2" xfId="40935"/>
    <cellStyle name="표준 16 3 2 5 3 4" xfId="25971"/>
    <cellStyle name="표준 16 3 2 5 4" xfId="10983"/>
    <cellStyle name="표준 16 3 2 5 4 2" xfId="33450"/>
    <cellStyle name="표준 16 3 2 5 5" xfId="18467"/>
    <cellStyle name="표준 16 3 2 5 5 2" xfId="40932"/>
    <cellStyle name="표준 16 3 2 5 6" xfId="25968"/>
    <cellStyle name="표준 16 3 2 5_Sheet4" xfId="2304"/>
    <cellStyle name="표준 16 3 2 6" xfId="2305"/>
    <cellStyle name="표준 16 3 2 6 2" xfId="2306"/>
    <cellStyle name="표준 16 3 2 6 2 2" xfId="10988"/>
    <cellStyle name="표준 16 3 2 6 2 2 2" xfId="33455"/>
    <cellStyle name="표준 16 3 2 6 2 3" xfId="18472"/>
    <cellStyle name="표준 16 3 2 6 2 3 2" xfId="40937"/>
    <cellStyle name="표준 16 3 2 6 2 4" xfId="25973"/>
    <cellStyle name="표준 16 3 2 6 3" xfId="10987"/>
    <cellStyle name="표준 16 3 2 6 3 2" xfId="33454"/>
    <cellStyle name="표준 16 3 2 6 4" xfId="18471"/>
    <cellStyle name="표준 16 3 2 6 4 2" xfId="40936"/>
    <cellStyle name="표준 16 3 2 6 5" xfId="25972"/>
    <cellStyle name="표준 16 3 2 6_Sheet4" xfId="2307"/>
    <cellStyle name="표준 16 3 2 7" xfId="2308"/>
    <cellStyle name="표준 16 3 2 7 2" xfId="10989"/>
    <cellStyle name="표준 16 3 2 7 2 2" xfId="33456"/>
    <cellStyle name="표준 16 3 2 7 3" xfId="18473"/>
    <cellStyle name="표준 16 3 2 7 3 2" xfId="40938"/>
    <cellStyle name="표준 16 3 2 7 4" xfId="25974"/>
    <cellStyle name="표준 16 3 2 8" xfId="10942"/>
    <cellStyle name="표준 16 3 2 8 2" xfId="33409"/>
    <cellStyle name="표준 16 3 2 9" xfId="18426"/>
    <cellStyle name="표준 16 3 2 9 2" xfId="40891"/>
    <cellStyle name="표준 16 3 2_Sheet4" xfId="2309"/>
    <cellStyle name="표준 16 3 3" xfId="2310"/>
    <cellStyle name="표준 16 3 3 2" xfId="2311"/>
    <cellStyle name="표준 16 3 3 2 2" xfId="2312"/>
    <cellStyle name="표준 16 3 3 2 2 2" xfId="2313"/>
    <cellStyle name="표준 16 3 3 2 2 2 2" xfId="2314"/>
    <cellStyle name="표준 16 3 3 2 2 2 2 2" xfId="10994"/>
    <cellStyle name="표준 16 3 3 2 2 2 2 2 2" xfId="33461"/>
    <cellStyle name="표준 16 3 3 2 2 2 2 3" xfId="18478"/>
    <cellStyle name="표준 16 3 3 2 2 2 2 3 2" xfId="40943"/>
    <cellStyle name="표준 16 3 3 2 2 2 2 4" xfId="25979"/>
    <cellStyle name="표준 16 3 3 2 2 2 3" xfId="10993"/>
    <cellStyle name="표준 16 3 3 2 2 2 3 2" xfId="33460"/>
    <cellStyle name="표준 16 3 3 2 2 2 4" xfId="18477"/>
    <cellStyle name="표준 16 3 3 2 2 2 4 2" xfId="40942"/>
    <cellStyle name="표준 16 3 3 2 2 2 5" xfId="25978"/>
    <cellStyle name="표준 16 3 3 2 2 2_Sheet4" xfId="2315"/>
    <cellStyle name="표준 16 3 3 2 2 3" xfId="2316"/>
    <cellStyle name="표준 16 3 3 2 2 3 2" xfId="10995"/>
    <cellStyle name="표준 16 3 3 2 2 3 2 2" xfId="33462"/>
    <cellStyle name="표준 16 3 3 2 2 3 3" xfId="18479"/>
    <cellStyle name="표준 16 3 3 2 2 3 3 2" xfId="40944"/>
    <cellStyle name="표준 16 3 3 2 2 3 4" xfId="25980"/>
    <cellStyle name="표준 16 3 3 2 2 4" xfId="10992"/>
    <cellStyle name="표준 16 3 3 2 2 4 2" xfId="33459"/>
    <cellStyle name="표준 16 3 3 2 2 5" xfId="18476"/>
    <cellStyle name="표준 16 3 3 2 2 5 2" xfId="40941"/>
    <cellStyle name="표준 16 3 3 2 2 6" xfId="25977"/>
    <cellStyle name="표준 16 3 3 2 2_Sheet4" xfId="2317"/>
    <cellStyle name="표준 16 3 3 2 3" xfId="2318"/>
    <cellStyle name="표준 16 3 3 2 3 2" xfId="2319"/>
    <cellStyle name="표준 16 3 3 2 3 2 2" xfId="10997"/>
    <cellStyle name="표준 16 3 3 2 3 2 2 2" xfId="33464"/>
    <cellStyle name="표준 16 3 3 2 3 2 3" xfId="18481"/>
    <cellStyle name="표준 16 3 3 2 3 2 3 2" xfId="40946"/>
    <cellStyle name="표준 16 3 3 2 3 2 4" xfId="25982"/>
    <cellStyle name="표준 16 3 3 2 3 3" xfId="10996"/>
    <cellStyle name="표준 16 3 3 2 3 3 2" xfId="33463"/>
    <cellStyle name="표준 16 3 3 2 3 4" xfId="18480"/>
    <cellStyle name="표준 16 3 3 2 3 4 2" xfId="40945"/>
    <cellStyle name="표준 16 3 3 2 3 5" xfId="25981"/>
    <cellStyle name="표준 16 3 3 2 3_Sheet4" xfId="2320"/>
    <cellStyle name="표준 16 3 3 2 4" xfId="2321"/>
    <cellStyle name="표준 16 3 3 2 4 2" xfId="10998"/>
    <cellStyle name="표준 16 3 3 2 4 2 2" xfId="33465"/>
    <cellStyle name="표준 16 3 3 2 4 3" xfId="18482"/>
    <cellStyle name="표준 16 3 3 2 4 3 2" xfId="40947"/>
    <cellStyle name="표준 16 3 3 2 4 4" xfId="25983"/>
    <cellStyle name="표준 16 3 3 2 5" xfId="10991"/>
    <cellStyle name="표준 16 3 3 2 5 2" xfId="33458"/>
    <cellStyle name="표준 16 3 3 2 6" xfId="18475"/>
    <cellStyle name="표준 16 3 3 2 6 2" xfId="40940"/>
    <cellStyle name="표준 16 3 3 2 7" xfId="25976"/>
    <cellStyle name="표준 16 3 3 2_Sheet4" xfId="2322"/>
    <cellStyle name="표준 16 3 3 3" xfId="2323"/>
    <cellStyle name="표준 16 3 3 3 2" xfId="2324"/>
    <cellStyle name="표준 16 3 3 3 2 2" xfId="2325"/>
    <cellStyle name="표준 16 3 3 3 2 2 2" xfId="11001"/>
    <cellStyle name="표준 16 3 3 3 2 2 2 2" xfId="33468"/>
    <cellStyle name="표준 16 3 3 3 2 2 3" xfId="18485"/>
    <cellStyle name="표준 16 3 3 3 2 2 3 2" xfId="40950"/>
    <cellStyle name="표준 16 3 3 3 2 2 4" xfId="25986"/>
    <cellStyle name="표준 16 3 3 3 2 3" xfId="11000"/>
    <cellStyle name="표준 16 3 3 3 2 3 2" xfId="33467"/>
    <cellStyle name="표준 16 3 3 3 2 4" xfId="18484"/>
    <cellStyle name="표준 16 3 3 3 2 4 2" xfId="40949"/>
    <cellStyle name="표준 16 3 3 3 2 5" xfId="25985"/>
    <cellStyle name="표준 16 3 3 3 2_Sheet4" xfId="2326"/>
    <cellStyle name="표준 16 3 3 3 3" xfId="2327"/>
    <cellStyle name="표준 16 3 3 3 3 2" xfId="11002"/>
    <cellStyle name="표준 16 3 3 3 3 2 2" xfId="33469"/>
    <cellStyle name="표준 16 3 3 3 3 3" xfId="18486"/>
    <cellStyle name="표준 16 3 3 3 3 3 2" xfId="40951"/>
    <cellStyle name="표준 16 3 3 3 3 4" xfId="25987"/>
    <cellStyle name="표준 16 3 3 3 4" xfId="10999"/>
    <cellStyle name="표준 16 3 3 3 4 2" xfId="33466"/>
    <cellStyle name="표준 16 3 3 3 5" xfId="18483"/>
    <cellStyle name="표준 16 3 3 3 5 2" xfId="40948"/>
    <cellStyle name="표준 16 3 3 3 6" xfId="25984"/>
    <cellStyle name="표준 16 3 3 3_Sheet4" xfId="2328"/>
    <cellStyle name="표준 16 3 3 4" xfId="2329"/>
    <cellStyle name="표준 16 3 3 4 2" xfId="2330"/>
    <cellStyle name="표준 16 3 3 4 2 2" xfId="11004"/>
    <cellStyle name="표준 16 3 3 4 2 2 2" xfId="33471"/>
    <cellStyle name="표준 16 3 3 4 2 3" xfId="18488"/>
    <cellStyle name="표준 16 3 3 4 2 3 2" xfId="40953"/>
    <cellStyle name="표준 16 3 3 4 2 4" xfId="25989"/>
    <cellStyle name="표준 16 3 3 4 3" xfId="11003"/>
    <cellStyle name="표준 16 3 3 4 3 2" xfId="33470"/>
    <cellStyle name="표준 16 3 3 4 4" xfId="18487"/>
    <cellStyle name="표준 16 3 3 4 4 2" xfId="40952"/>
    <cellStyle name="표준 16 3 3 4 5" xfId="25988"/>
    <cellStyle name="표준 16 3 3 4_Sheet4" xfId="2331"/>
    <cellStyle name="표준 16 3 3 5" xfId="2332"/>
    <cellStyle name="표준 16 3 3 5 2" xfId="11005"/>
    <cellStyle name="표준 16 3 3 5 2 2" xfId="33472"/>
    <cellStyle name="표준 16 3 3 5 3" xfId="18489"/>
    <cellStyle name="표준 16 3 3 5 3 2" xfId="40954"/>
    <cellStyle name="표준 16 3 3 5 4" xfId="25990"/>
    <cellStyle name="표준 16 3 3 6" xfId="10990"/>
    <cellStyle name="표준 16 3 3 6 2" xfId="33457"/>
    <cellStyle name="표준 16 3 3 7" xfId="18474"/>
    <cellStyle name="표준 16 3 3 7 2" xfId="40939"/>
    <cellStyle name="표준 16 3 3 8" xfId="25975"/>
    <cellStyle name="표준 16 3 3_Sheet4" xfId="2333"/>
    <cellStyle name="표준 16 3 4" xfId="2334"/>
    <cellStyle name="표준 16 3 4 2" xfId="2335"/>
    <cellStyle name="표준 16 3 4 2 2" xfId="2336"/>
    <cellStyle name="표준 16 3 4 2 2 2" xfId="2337"/>
    <cellStyle name="표준 16 3 4 2 2 2 2" xfId="2338"/>
    <cellStyle name="표준 16 3 4 2 2 2 2 2" xfId="11010"/>
    <cellStyle name="표준 16 3 4 2 2 2 2 2 2" xfId="33477"/>
    <cellStyle name="표준 16 3 4 2 2 2 2 3" xfId="18494"/>
    <cellStyle name="표준 16 3 4 2 2 2 2 3 2" xfId="40959"/>
    <cellStyle name="표준 16 3 4 2 2 2 2 4" xfId="25995"/>
    <cellStyle name="표준 16 3 4 2 2 2 3" xfId="11009"/>
    <cellStyle name="표준 16 3 4 2 2 2 3 2" xfId="33476"/>
    <cellStyle name="표준 16 3 4 2 2 2 4" xfId="18493"/>
    <cellStyle name="표준 16 3 4 2 2 2 4 2" xfId="40958"/>
    <cellStyle name="표준 16 3 4 2 2 2 5" xfId="25994"/>
    <cellStyle name="표준 16 3 4 2 2 2_Sheet4" xfId="2339"/>
    <cellStyle name="표준 16 3 4 2 2 3" xfId="2340"/>
    <cellStyle name="표준 16 3 4 2 2 3 2" xfId="11011"/>
    <cellStyle name="표준 16 3 4 2 2 3 2 2" xfId="33478"/>
    <cellStyle name="표준 16 3 4 2 2 3 3" xfId="18495"/>
    <cellStyle name="표준 16 3 4 2 2 3 3 2" xfId="40960"/>
    <cellStyle name="표준 16 3 4 2 2 3 4" xfId="25996"/>
    <cellStyle name="표준 16 3 4 2 2 4" xfId="11008"/>
    <cellStyle name="표준 16 3 4 2 2 4 2" xfId="33475"/>
    <cellStyle name="표준 16 3 4 2 2 5" xfId="18492"/>
    <cellStyle name="표준 16 3 4 2 2 5 2" xfId="40957"/>
    <cellStyle name="표준 16 3 4 2 2 6" xfId="25993"/>
    <cellStyle name="표준 16 3 4 2 2_Sheet4" xfId="2341"/>
    <cellStyle name="표준 16 3 4 2 3" xfId="2342"/>
    <cellStyle name="표준 16 3 4 2 3 2" xfId="2343"/>
    <cellStyle name="표준 16 3 4 2 3 2 2" xfId="11013"/>
    <cellStyle name="표준 16 3 4 2 3 2 2 2" xfId="33480"/>
    <cellStyle name="표준 16 3 4 2 3 2 3" xfId="18497"/>
    <cellStyle name="표준 16 3 4 2 3 2 3 2" xfId="40962"/>
    <cellStyle name="표준 16 3 4 2 3 2 4" xfId="25998"/>
    <cellStyle name="표준 16 3 4 2 3 3" xfId="11012"/>
    <cellStyle name="표준 16 3 4 2 3 3 2" xfId="33479"/>
    <cellStyle name="표준 16 3 4 2 3 4" xfId="18496"/>
    <cellStyle name="표준 16 3 4 2 3 4 2" xfId="40961"/>
    <cellStyle name="표준 16 3 4 2 3 5" xfId="25997"/>
    <cellStyle name="표준 16 3 4 2 3_Sheet4" xfId="2344"/>
    <cellStyle name="표준 16 3 4 2 4" xfId="2345"/>
    <cellStyle name="표준 16 3 4 2 4 2" xfId="11014"/>
    <cellStyle name="표준 16 3 4 2 4 2 2" xfId="33481"/>
    <cellStyle name="표준 16 3 4 2 4 3" xfId="18498"/>
    <cellStyle name="표준 16 3 4 2 4 3 2" xfId="40963"/>
    <cellStyle name="표준 16 3 4 2 4 4" xfId="25999"/>
    <cellStyle name="표준 16 3 4 2 5" xfId="11007"/>
    <cellStyle name="표준 16 3 4 2 5 2" xfId="33474"/>
    <cellStyle name="표준 16 3 4 2 6" xfId="18491"/>
    <cellStyle name="표준 16 3 4 2 6 2" xfId="40956"/>
    <cellStyle name="표준 16 3 4 2 7" xfId="25992"/>
    <cellStyle name="표준 16 3 4 2_Sheet4" xfId="2346"/>
    <cellStyle name="표준 16 3 4 3" xfId="2347"/>
    <cellStyle name="표준 16 3 4 3 2" xfId="2348"/>
    <cellStyle name="표준 16 3 4 3 2 2" xfId="2349"/>
    <cellStyle name="표준 16 3 4 3 2 2 2" xfId="11017"/>
    <cellStyle name="표준 16 3 4 3 2 2 2 2" xfId="33484"/>
    <cellStyle name="표준 16 3 4 3 2 2 3" xfId="18501"/>
    <cellStyle name="표준 16 3 4 3 2 2 3 2" xfId="40966"/>
    <cellStyle name="표준 16 3 4 3 2 2 4" xfId="26002"/>
    <cellStyle name="표준 16 3 4 3 2 3" xfId="11016"/>
    <cellStyle name="표준 16 3 4 3 2 3 2" xfId="33483"/>
    <cellStyle name="표준 16 3 4 3 2 4" xfId="18500"/>
    <cellStyle name="표준 16 3 4 3 2 4 2" xfId="40965"/>
    <cellStyle name="표준 16 3 4 3 2 5" xfId="26001"/>
    <cellStyle name="표준 16 3 4 3 2_Sheet4" xfId="2350"/>
    <cellStyle name="표준 16 3 4 3 3" xfId="2351"/>
    <cellStyle name="표준 16 3 4 3 3 2" xfId="11018"/>
    <cellStyle name="표준 16 3 4 3 3 2 2" xfId="33485"/>
    <cellStyle name="표준 16 3 4 3 3 3" xfId="18502"/>
    <cellStyle name="표준 16 3 4 3 3 3 2" xfId="40967"/>
    <cellStyle name="표준 16 3 4 3 3 4" xfId="26003"/>
    <cellStyle name="표준 16 3 4 3 4" xfId="11015"/>
    <cellStyle name="표준 16 3 4 3 4 2" xfId="33482"/>
    <cellStyle name="표준 16 3 4 3 5" xfId="18499"/>
    <cellStyle name="표준 16 3 4 3 5 2" xfId="40964"/>
    <cellStyle name="표준 16 3 4 3 6" xfId="26000"/>
    <cellStyle name="표준 16 3 4 3_Sheet4" xfId="2352"/>
    <cellStyle name="표준 16 3 4 4" xfId="2353"/>
    <cellStyle name="표준 16 3 4 4 2" xfId="2354"/>
    <cellStyle name="표준 16 3 4 4 2 2" xfId="11020"/>
    <cellStyle name="표준 16 3 4 4 2 2 2" xfId="33487"/>
    <cellStyle name="표준 16 3 4 4 2 3" xfId="18504"/>
    <cellStyle name="표준 16 3 4 4 2 3 2" xfId="40969"/>
    <cellStyle name="표준 16 3 4 4 2 4" xfId="26005"/>
    <cellStyle name="표준 16 3 4 4 3" xfId="11019"/>
    <cellStyle name="표준 16 3 4 4 3 2" xfId="33486"/>
    <cellStyle name="표준 16 3 4 4 4" xfId="18503"/>
    <cellStyle name="표준 16 3 4 4 4 2" xfId="40968"/>
    <cellStyle name="표준 16 3 4 4 5" xfId="26004"/>
    <cellStyle name="표준 16 3 4 4_Sheet4" xfId="2355"/>
    <cellStyle name="표준 16 3 4 5" xfId="2356"/>
    <cellStyle name="표준 16 3 4 5 2" xfId="11021"/>
    <cellStyle name="표준 16 3 4 5 2 2" xfId="33488"/>
    <cellStyle name="표준 16 3 4 5 3" xfId="18505"/>
    <cellStyle name="표준 16 3 4 5 3 2" xfId="40970"/>
    <cellStyle name="표준 16 3 4 5 4" xfId="26006"/>
    <cellStyle name="표준 16 3 4 6" xfId="11006"/>
    <cellStyle name="표준 16 3 4 6 2" xfId="33473"/>
    <cellStyle name="표준 16 3 4 7" xfId="18490"/>
    <cellStyle name="표준 16 3 4 7 2" xfId="40955"/>
    <cellStyle name="표준 16 3 4 8" xfId="25991"/>
    <cellStyle name="표준 16 3 4_Sheet4" xfId="2357"/>
    <cellStyle name="표준 16 3 5" xfId="2358"/>
    <cellStyle name="표준 16 3 5 2" xfId="2359"/>
    <cellStyle name="표준 16 3 5 2 2" xfId="2360"/>
    <cellStyle name="표준 16 3 5 2 2 2" xfId="2361"/>
    <cellStyle name="표준 16 3 5 2 2 2 2" xfId="11025"/>
    <cellStyle name="표준 16 3 5 2 2 2 2 2" xfId="33492"/>
    <cellStyle name="표준 16 3 5 2 2 2 3" xfId="18509"/>
    <cellStyle name="표준 16 3 5 2 2 2 3 2" xfId="40974"/>
    <cellStyle name="표준 16 3 5 2 2 2 4" xfId="26010"/>
    <cellStyle name="표준 16 3 5 2 2 3" xfId="11024"/>
    <cellStyle name="표준 16 3 5 2 2 3 2" xfId="33491"/>
    <cellStyle name="표준 16 3 5 2 2 4" xfId="18508"/>
    <cellStyle name="표준 16 3 5 2 2 4 2" xfId="40973"/>
    <cellStyle name="표준 16 3 5 2 2 5" xfId="26009"/>
    <cellStyle name="표준 16 3 5 2 2_Sheet4" xfId="2362"/>
    <cellStyle name="표준 16 3 5 2 3" xfId="2363"/>
    <cellStyle name="표준 16 3 5 2 3 2" xfId="11026"/>
    <cellStyle name="표준 16 3 5 2 3 2 2" xfId="33493"/>
    <cellStyle name="표준 16 3 5 2 3 3" xfId="18510"/>
    <cellStyle name="표준 16 3 5 2 3 3 2" xfId="40975"/>
    <cellStyle name="표준 16 3 5 2 3 4" xfId="26011"/>
    <cellStyle name="표준 16 3 5 2 4" xfId="11023"/>
    <cellStyle name="표준 16 3 5 2 4 2" xfId="33490"/>
    <cellStyle name="표준 16 3 5 2 5" xfId="18507"/>
    <cellStyle name="표준 16 3 5 2 5 2" xfId="40972"/>
    <cellStyle name="표준 16 3 5 2 6" xfId="26008"/>
    <cellStyle name="표준 16 3 5 2_Sheet4" xfId="2364"/>
    <cellStyle name="표준 16 3 5 3" xfId="2365"/>
    <cellStyle name="표준 16 3 5 3 2" xfId="2366"/>
    <cellStyle name="표준 16 3 5 3 2 2" xfId="11028"/>
    <cellStyle name="표준 16 3 5 3 2 2 2" xfId="33495"/>
    <cellStyle name="표준 16 3 5 3 2 3" xfId="18512"/>
    <cellStyle name="표준 16 3 5 3 2 3 2" xfId="40977"/>
    <cellStyle name="표준 16 3 5 3 2 4" xfId="26013"/>
    <cellStyle name="표준 16 3 5 3 3" xfId="11027"/>
    <cellStyle name="표준 16 3 5 3 3 2" xfId="33494"/>
    <cellStyle name="표준 16 3 5 3 4" xfId="18511"/>
    <cellStyle name="표준 16 3 5 3 4 2" xfId="40976"/>
    <cellStyle name="표준 16 3 5 3 5" xfId="26012"/>
    <cellStyle name="표준 16 3 5 3_Sheet4" xfId="2367"/>
    <cellStyle name="표준 16 3 5 4" xfId="2368"/>
    <cellStyle name="표준 16 3 5 4 2" xfId="11029"/>
    <cellStyle name="표준 16 3 5 4 2 2" xfId="33496"/>
    <cellStyle name="표준 16 3 5 4 3" xfId="18513"/>
    <cellStyle name="표준 16 3 5 4 3 2" xfId="40978"/>
    <cellStyle name="표준 16 3 5 4 4" xfId="26014"/>
    <cellStyle name="표준 16 3 5 5" xfId="11022"/>
    <cellStyle name="표준 16 3 5 5 2" xfId="33489"/>
    <cellStyle name="표준 16 3 5 6" xfId="18506"/>
    <cellStyle name="표준 16 3 5 6 2" xfId="40971"/>
    <cellStyle name="표준 16 3 5 7" xfId="26007"/>
    <cellStyle name="표준 16 3 5_Sheet4" xfId="2369"/>
    <cellStyle name="표준 16 3 6" xfId="2370"/>
    <cellStyle name="표준 16 3 6 2" xfId="2371"/>
    <cellStyle name="표준 16 3 6 2 2" xfId="2372"/>
    <cellStyle name="표준 16 3 6 2 2 2" xfId="11032"/>
    <cellStyle name="표준 16 3 6 2 2 2 2" xfId="33499"/>
    <cellStyle name="표준 16 3 6 2 2 3" xfId="18516"/>
    <cellStyle name="표준 16 3 6 2 2 3 2" xfId="40981"/>
    <cellStyle name="표준 16 3 6 2 2 4" xfId="26017"/>
    <cellStyle name="표준 16 3 6 2 3" xfId="11031"/>
    <cellStyle name="표준 16 3 6 2 3 2" xfId="33498"/>
    <cellStyle name="표준 16 3 6 2 4" xfId="18515"/>
    <cellStyle name="표준 16 3 6 2 4 2" xfId="40980"/>
    <cellStyle name="표준 16 3 6 2 5" xfId="26016"/>
    <cellStyle name="표준 16 3 6 2_Sheet4" xfId="2373"/>
    <cellStyle name="표준 16 3 6 3" xfId="2374"/>
    <cellStyle name="표준 16 3 6 3 2" xfId="11033"/>
    <cellStyle name="표준 16 3 6 3 2 2" xfId="33500"/>
    <cellStyle name="표준 16 3 6 3 3" xfId="18517"/>
    <cellStyle name="표준 16 3 6 3 3 2" xfId="40982"/>
    <cellStyle name="표준 16 3 6 3 4" xfId="26018"/>
    <cellStyle name="표준 16 3 6 4" xfId="11030"/>
    <cellStyle name="표준 16 3 6 4 2" xfId="33497"/>
    <cellStyle name="표준 16 3 6 5" xfId="18514"/>
    <cellStyle name="표준 16 3 6 5 2" xfId="40979"/>
    <cellStyle name="표준 16 3 6 6" xfId="26015"/>
    <cellStyle name="표준 16 3 6_Sheet4" xfId="2375"/>
    <cellStyle name="표준 16 3 7" xfId="2376"/>
    <cellStyle name="표준 16 3 7 2" xfId="2377"/>
    <cellStyle name="표준 16 3 7 2 2" xfId="2378"/>
    <cellStyle name="표준 16 3 7 2 2 2" xfId="11036"/>
    <cellStyle name="표준 16 3 7 2 2 2 2" xfId="33503"/>
    <cellStyle name="표준 16 3 7 2 2 3" xfId="18520"/>
    <cellStyle name="표준 16 3 7 2 2 3 2" xfId="40985"/>
    <cellStyle name="표준 16 3 7 2 2 4" xfId="26021"/>
    <cellStyle name="표준 16 3 7 2 3" xfId="11035"/>
    <cellStyle name="표준 16 3 7 2 3 2" xfId="33502"/>
    <cellStyle name="표준 16 3 7 2 4" xfId="18519"/>
    <cellStyle name="표준 16 3 7 2 4 2" xfId="40984"/>
    <cellStyle name="표준 16 3 7 2 5" xfId="26020"/>
    <cellStyle name="표준 16 3 7 2_Sheet4" xfId="2379"/>
    <cellStyle name="표준 16 3 7 3" xfId="2380"/>
    <cellStyle name="표준 16 3 7 3 2" xfId="11037"/>
    <cellStyle name="표준 16 3 7 3 2 2" xfId="33504"/>
    <cellStyle name="표준 16 3 7 3 3" xfId="18521"/>
    <cellStyle name="표준 16 3 7 3 3 2" xfId="40986"/>
    <cellStyle name="표준 16 3 7 3 4" xfId="26022"/>
    <cellStyle name="표준 16 3 7 4" xfId="11034"/>
    <cellStyle name="표준 16 3 7 4 2" xfId="33501"/>
    <cellStyle name="표준 16 3 7 5" xfId="18518"/>
    <cellStyle name="표준 16 3 7 5 2" xfId="40983"/>
    <cellStyle name="표준 16 3 7 6" xfId="26019"/>
    <cellStyle name="표준 16 3 7_Sheet4" xfId="2381"/>
    <cellStyle name="표준 16 3 8" xfId="2382"/>
    <cellStyle name="표준 16 3 8 2" xfId="2383"/>
    <cellStyle name="표준 16 3 8 2 2" xfId="11039"/>
    <cellStyle name="표준 16 3 8 2 2 2" xfId="33506"/>
    <cellStyle name="표준 16 3 8 2 3" xfId="18523"/>
    <cellStyle name="표준 16 3 8 2 3 2" xfId="40988"/>
    <cellStyle name="표준 16 3 8 2 4" xfId="26024"/>
    <cellStyle name="표준 16 3 8 3" xfId="11038"/>
    <cellStyle name="표준 16 3 8 3 2" xfId="33505"/>
    <cellStyle name="표준 16 3 8 4" xfId="18522"/>
    <cellStyle name="표준 16 3 8 4 2" xfId="40987"/>
    <cellStyle name="표준 16 3 8 5" xfId="26023"/>
    <cellStyle name="표준 16 3 8_Sheet4" xfId="2384"/>
    <cellStyle name="표준 16 3 9" xfId="2385"/>
    <cellStyle name="표준 16 3 9 2" xfId="11040"/>
    <cellStyle name="표준 16 3 9 2 2" xfId="33507"/>
    <cellStyle name="표준 16 3 9 3" xfId="18524"/>
    <cellStyle name="표준 16 3 9 3 2" xfId="40989"/>
    <cellStyle name="표준 16 3 9 4" xfId="26025"/>
    <cellStyle name="표준 16 3_Sheet4" xfId="2386"/>
    <cellStyle name="표준 16 4" xfId="2387"/>
    <cellStyle name="표준 16 4 10" xfId="18525"/>
    <cellStyle name="표준 16 4 10 2" xfId="40990"/>
    <cellStyle name="표준 16 4 11" xfId="26026"/>
    <cellStyle name="표준 16 4 2" xfId="2388"/>
    <cellStyle name="표준 16 4 2 10" xfId="26027"/>
    <cellStyle name="표준 16 4 2 2" xfId="2389"/>
    <cellStyle name="표준 16 4 2 2 2" xfId="2390"/>
    <cellStyle name="표준 16 4 2 2 2 2" xfId="2391"/>
    <cellStyle name="표준 16 4 2 2 2 2 2" xfId="2392"/>
    <cellStyle name="표준 16 4 2 2 2 2 2 2" xfId="2393"/>
    <cellStyle name="표준 16 4 2 2 2 2 2 2 2" xfId="11047"/>
    <cellStyle name="표준 16 4 2 2 2 2 2 2 2 2" xfId="33514"/>
    <cellStyle name="표준 16 4 2 2 2 2 2 2 3" xfId="18531"/>
    <cellStyle name="표준 16 4 2 2 2 2 2 2 3 2" xfId="40996"/>
    <cellStyle name="표준 16 4 2 2 2 2 2 2 4" xfId="26032"/>
    <cellStyle name="표준 16 4 2 2 2 2 2 3" xfId="11046"/>
    <cellStyle name="표준 16 4 2 2 2 2 2 3 2" xfId="33513"/>
    <cellStyle name="표준 16 4 2 2 2 2 2 4" xfId="18530"/>
    <cellStyle name="표준 16 4 2 2 2 2 2 4 2" xfId="40995"/>
    <cellStyle name="표준 16 4 2 2 2 2 2 5" xfId="26031"/>
    <cellStyle name="표준 16 4 2 2 2 2 2_Sheet4" xfId="2394"/>
    <cellStyle name="표준 16 4 2 2 2 2 3" xfId="2395"/>
    <cellStyle name="표준 16 4 2 2 2 2 3 2" xfId="11048"/>
    <cellStyle name="표준 16 4 2 2 2 2 3 2 2" xfId="33515"/>
    <cellStyle name="표준 16 4 2 2 2 2 3 3" xfId="18532"/>
    <cellStyle name="표준 16 4 2 2 2 2 3 3 2" xfId="40997"/>
    <cellStyle name="표준 16 4 2 2 2 2 3 4" xfId="26033"/>
    <cellStyle name="표준 16 4 2 2 2 2 4" xfId="11045"/>
    <cellStyle name="표준 16 4 2 2 2 2 4 2" xfId="33512"/>
    <cellStyle name="표준 16 4 2 2 2 2 5" xfId="18529"/>
    <cellStyle name="표준 16 4 2 2 2 2 5 2" xfId="40994"/>
    <cellStyle name="표준 16 4 2 2 2 2 6" xfId="26030"/>
    <cellStyle name="표준 16 4 2 2 2 2_Sheet4" xfId="2396"/>
    <cellStyle name="표준 16 4 2 2 2 3" xfId="2397"/>
    <cellStyle name="표준 16 4 2 2 2 3 2" xfId="2398"/>
    <cellStyle name="표준 16 4 2 2 2 3 2 2" xfId="11050"/>
    <cellStyle name="표준 16 4 2 2 2 3 2 2 2" xfId="33517"/>
    <cellStyle name="표준 16 4 2 2 2 3 2 3" xfId="18534"/>
    <cellStyle name="표준 16 4 2 2 2 3 2 3 2" xfId="40999"/>
    <cellStyle name="표준 16 4 2 2 2 3 2 4" xfId="26035"/>
    <cellStyle name="표준 16 4 2 2 2 3 3" xfId="11049"/>
    <cellStyle name="표준 16 4 2 2 2 3 3 2" xfId="33516"/>
    <cellStyle name="표준 16 4 2 2 2 3 4" xfId="18533"/>
    <cellStyle name="표준 16 4 2 2 2 3 4 2" xfId="40998"/>
    <cellStyle name="표준 16 4 2 2 2 3 5" xfId="26034"/>
    <cellStyle name="표준 16 4 2 2 2 3_Sheet4" xfId="2399"/>
    <cellStyle name="표준 16 4 2 2 2 4" xfId="2400"/>
    <cellStyle name="표준 16 4 2 2 2 4 2" xfId="11051"/>
    <cellStyle name="표준 16 4 2 2 2 4 2 2" xfId="33518"/>
    <cellStyle name="표준 16 4 2 2 2 4 3" xfId="18535"/>
    <cellStyle name="표준 16 4 2 2 2 4 3 2" xfId="41000"/>
    <cellStyle name="표준 16 4 2 2 2 4 4" xfId="26036"/>
    <cellStyle name="표준 16 4 2 2 2 5" xfId="11044"/>
    <cellStyle name="표준 16 4 2 2 2 5 2" xfId="33511"/>
    <cellStyle name="표준 16 4 2 2 2 6" xfId="18528"/>
    <cellStyle name="표준 16 4 2 2 2 6 2" xfId="40993"/>
    <cellStyle name="표준 16 4 2 2 2 7" xfId="26029"/>
    <cellStyle name="표준 16 4 2 2 2_Sheet4" xfId="2401"/>
    <cellStyle name="표준 16 4 2 2 3" xfId="2402"/>
    <cellStyle name="표준 16 4 2 2 3 2" xfId="2403"/>
    <cellStyle name="표준 16 4 2 2 3 2 2" xfId="2404"/>
    <cellStyle name="표준 16 4 2 2 3 2 2 2" xfId="11054"/>
    <cellStyle name="표준 16 4 2 2 3 2 2 2 2" xfId="33521"/>
    <cellStyle name="표준 16 4 2 2 3 2 2 3" xfId="18538"/>
    <cellStyle name="표준 16 4 2 2 3 2 2 3 2" xfId="41003"/>
    <cellStyle name="표준 16 4 2 2 3 2 2 4" xfId="26039"/>
    <cellStyle name="표준 16 4 2 2 3 2 3" xfId="11053"/>
    <cellStyle name="표준 16 4 2 2 3 2 3 2" xfId="33520"/>
    <cellStyle name="표준 16 4 2 2 3 2 4" xfId="18537"/>
    <cellStyle name="표준 16 4 2 2 3 2 4 2" xfId="41002"/>
    <cellStyle name="표준 16 4 2 2 3 2 5" xfId="26038"/>
    <cellStyle name="표준 16 4 2 2 3 2_Sheet4" xfId="2405"/>
    <cellStyle name="표준 16 4 2 2 3 3" xfId="2406"/>
    <cellStyle name="표준 16 4 2 2 3 3 2" xfId="11055"/>
    <cellStyle name="표준 16 4 2 2 3 3 2 2" xfId="33522"/>
    <cellStyle name="표준 16 4 2 2 3 3 3" xfId="18539"/>
    <cellStyle name="표준 16 4 2 2 3 3 3 2" xfId="41004"/>
    <cellStyle name="표준 16 4 2 2 3 3 4" xfId="26040"/>
    <cellStyle name="표준 16 4 2 2 3 4" xfId="11052"/>
    <cellStyle name="표준 16 4 2 2 3 4 2" xfId="33519"/>
    <cellStyle name="표준 16 4 2 2 3 5" xfId="18536"/>
    <cellStyle name="표준 16 4 2 2 3 5 2" xfId="41001"/>
    <cellStyle name="표준 16 4 2 2 3 6" xfId="26037"/>
    <cellStyle name="표준 16 4 2 2 3_Sheet4" xfId="2407"/>
    <cellStyle name="표준 16 4 2 2 4" xfId="2408"/>
    <cellStyle name="표준 16 4 2 2 4 2" xfId="2409"/>
    <cellStyle name="표준 16 4 2 2 4 2 2" xfId="11057"/>
    <cellStyle name="표준 16 4 2 2 4 2 2 2" xfId="33524"/>
    <cellStyle name="표준 16 4 2 2 4 2 3" xfId="18541"/>
    <cellStyle name="표준 16 4 2 2 4 2 3 2" xfId="41006"/>
    <cellStyle name="표준 16 4 2 2 4 2 4" xfId="26042"/>
    <cellStyle name="표준 16 4 2 2 4 3" xfId="11056"/>
    <cellStyle name="표준 16 4 2 2 4 3 2" xfId="33523"/>
    <cellStyle name="표준 16 4 2 2 4 4" xfId="18540"/>
    <cellStyle name="표준 16 4 2 2 4 4 2" xfId="41005"/>
    <cellStyle name="표준 16 4 2 2 4 5" xfId="26041"/>
    <cellStyle name="표준 16 4 2 2 4_Sheet4" xfId="2410"/>
    <cellStyle name="표준 16 4 2 2 5" xfId="2411"/>
    <cellStyle name="표준 16 4 2 2 5 2" xfId="11058"/>
    <cellStyle name="표준 16 4 2 2 5 2 2" xfId="33525"/>
    <cellStyle name="표준 16 4 2 2 5 3" xfId="18542"/>
    <cellStyle name="표준 16 4 2 2 5 3 2" xfId="41007"/>
    <cellStyle name="표준 16 4 2 2 5 4" xfId="26043"/>
    <cellStyle name="표준 16 4 2 2 6" xfId="11043"/>
    <cellStyle name="표준 16 4 2 2 6 2" xfId="33510"/>
    <cellStyle name="표준 16 4 2 2 7" xfId="18527"/>
    <cellStyle name="표준 16 4 2 2 7 2" xfId="40992"/>
    <cellStyle name="표준 16 4 2 2 8" xfId="26028"/>
    <cellStyle name="표준 16 4 2 2_Sheet4" xfId="2412"/>
    <cellStyle name="표준 16 4 2 3" xfId="2413"/>
    <cellStyle name="표준 16 4 2 3 2" xfId="2414"/>
    <cellStyle name="표준 16 4 2 3 2 2" xfId="2415"/>
    <cellStyle name="표준 16 4 2 3 2 2 2" xfId="2416"/>
    <cellStyle name="표준 16 4 2 3 2 2 2 2" xfId="2417"/>
    <cellStyle name="표준 16 4 2 3 2 2 2 2 2" xfId="11063"/>
    <cellStyle name="표준 16 4 2 3 2 2 2 2 2 2" xfId="33530"/>
    <cellStyle name="표준 16 4 2 3 2 2 2 2 3" xfId="18547"/>
    <cellStyle name="표준 16 4 2 3 2 2 2 2 3 2" xfId="41012"/>
    <cellStyle name="표준 16 4 2 3 2 2 2 2 4" xfId="26048"/>
    <cellStyle name="표준 16 4 2 3 2 2 2 3" xfId="11062"/>
    <cellStyle name="표준 16 4 2 3 2 2 2 3 2" xfId="33529"/>
    <cellStyle name="표준 16 4 2 3 2 2 2 4" xfId="18546"/>
    <cellStyle name="표준 16 4 2 3 2 2 2 4 2" xfId="41011"/>
    <cellStyle name="표준 16 4 2 3 2 2 2 5" xfId="26047"/>
    <cellStyle name="표준 16 4 2 3 2 2 2_Sheet4" xfId="2418"/>
    <cellStyle name="표준 16 4 2 3 2 2 3" xfId="2419"/>
    <cellStyle name="표준 16 4 2 3 2 2 3 2" xfId="11064"/>
    <cellStyle name="표준 16 4 2 3 2 2 3 2 2" xfId="33531"/>
    <cellStyle name="표준 16 4 2 3 2 2 3 3" xfId="18548"/>
    <cellStyle name="표준 16 4 2 3 2 2 3 3 2" xfId="41013"/>
    <cellStyle name="표준 16 4 2 3 2 2 3 4" xfId="26049"/>
    <cellStyle name="표준 16 4 2 3 2 2 4" xfId="11061"/>
    <cellStyle name="표준 16 4 2 3 2 2 4 2" xfId="33528"/>
    <cellStyle name="표준 16 4 2 3 2 2 5" xfId="18545"/>
    <cellStyle name="표준 16 4 2 3 2 2 5 2" xfId="41010"/>
    <cellStyle name="표준 16 4 2 3 2 2 6" xfId="26046"/>
    <cellStyle name="표준 16 4 2 3 2 2_Sheet4" xfId="2420"/>
    <cellStyle name="표준 16 4 2 3 2 3" xfId="2421"/>
    <cellStyle name="표준 16 4 2 3 2 3 2" xfId="2422"/>
    <cellStyle name="표준 16 4 2 3 2 3 2 2" xfId="11066"/>
    <cellStyle name="표준 16 4 2 3 2 3 2 2 2" xfId="33533"/>
    <cellStyle name="표준 16 4 2 3 2 3 2 3" xfId="18550"/>
    <cellStyle name="표준 16 4 2 3 2 3 2 3 2" xfId="41015"/>
    <cellStyle name="표준 16 4 2 3 2 3 2 4" xfId="26051"/>
    <cellStyle name="표준 16 4 2 3 2 3 3" xfId="11065"/>
    <cellStyle name="표준 16 4 2 3 2 3 3 2" xfId="33532"/>
    <cellStyle name="표준 16 4 2 3 2 3 4" xfId="18549"/>
    <cellStyle name="표준 16 4 2 3 2 3 4 2" xfId="41014"/>
    <cellStyle name="표준 16 4 2 3 2 3 5" xfId="26050"/>
    <cellStyle name="표준 16 4 2 3 2 3_Sheet4" xfId="2423"/>
    <cellStyle name="표준 16 4 2 3 2 4" xfId="2424"/>
    <cellStyle name="표준 16 4 2 3 2 4 2" xfId="11067"/>
    <cellStyle name="표준 16 4 2 3 2 4 2 2" xfId="33534"/>
    <cellStyle name="표준 16 4 2 3 2 4 3" xfId="18551"/>
    <cellStyle name="표준 16 4 2 3 2 4 3 2" xfId="41016"/>
    <cellStyle name="표준 16 4 2 3 2 4 4" xfId="26052"/>
    <cellStyle name="표준 16 4 2 3 2 5" xfId="11060"/>
    <cellStyle name="표준 16 4 2 3 2 5 2" xfId="33527"/>
    <cellStyle name="표준 16 4 2 3 2 6" xfId="18544"/>
    <cellStyle name="표준 16 4 2 3 2 6 2" xfId="41009"/>
    <cellStyle name="표준 16 4 2 3 2 7" xfId="26045"/>
    <cellStyle name="표준 16 4 2 3 2_Sheet4" xfId="2425"/>
    <cellStyle name="표준 16 4 2 3 3" xfId="2426"/>
    <cellStyle name="표준 16 4 2 3 3 2" xfId="2427"/>
    <cellStyle name="표준 16 4 2 3 3 2 2" xfId="2428"/>
    <cellStyle name="표준 16 4 2 3 3 2 2 2" xfId="11070"/>
    <cellStyle name="표준 16 4 2 3 3 2 2 2 2" xfId="33537"/>
    <cellStyle name="표준 16 4 2 3 3 2 2 3" xfId="18554"/>
    <cellStyle name="표준 16 4 2 3 3 2 2 3 2" xfId="41019"/>
    <cellStyle name="표준 16 4 2 3 3 2 2 4" xfId="26055"/>
    <cellStyle name="표준 16 4 2 3 3 2 3" xfId="11069"/>
    <cellStyle name="표준 16 4 2 3 3 2 3 2" xfId="33536"/>
    <cellStyle name="표준 16 4 2 3 3 2 4" xfId="18553"/>
    <cellStyle name="표준 16 4 2 3 3 2 4 2" xfId="41018"/>
    <cellStyle name="표준 16 4 2 3 3 2 5" xfId="26054"/>
    <cellStyle name="표준 16 4 2 3 3 2_Sheet4" xfId="2429"/>
    <cellStyle name="표준 16 4 2 3 3 3" xfId="2430"/>
    <cellStyle name="표준 16 4 2 3 3 3 2" xfId="11071"/>
    <cellStyle name="표준 16 4 2 3 3 3 2 2" xfId="33538"/>
    <cellStyle name="표준 16 4 2 3 3 3 3" xfId="18555"/>
    <cellStyle name="표준 16 4 2 3 3 3 3 2" xfId="41020"/>
    <cellStyle name="표준 16 4 2 3 3 3 4" xfId="26056"/>
    <cellStyle name="표준 16 4 2 3 3 4" xfId="11068"/>
    <cellStyle name="표준 16 4 2 3 3 4 2" xfId="33535"/>
    <cellStyle name="표준 16 4 2 3 3 5" xfId="18552"/>
    <cellStyle name="표준 16 4 2 3 3 5 2" xfId="41017"/>
    <cellStyle name="표준 16 4 2 3 3 6" xfId="26053"/>
    <cellStyle name="표준 16 4 2 3 3_Sheet4" xfId="2431"/>
    <cellStyle name="표준 16 4 2 3 4" xfId="2432"/>
    <cellStyle name="표준 16 4 2 3 4 2" xfId="2433"/>
    <cellStyle name="표준 16 4 2 3 4 2 2" xfId="11073"/>
    <cellStyle name="표준 16 4 2 3 4 2 2 2" xfId="33540"/>
    <cellStyle name="표준 16 4 2 3 4 2 3" xfId="18557"/>
    <cellStyle name="표준 16 4 2 3 4 2 3 2" xfId="41022"/>
    <cellStyle name="표준 16 4 2 3 4 2 4" xfId="26058"/>
    <cellStyle name="표준 16 4 2 3 4 3" xfId="11072"/>
    <cellStyle name="표준 16 4 2 3 4 3 2" xfId="33539"/>
    <cellStyle name="표준 16 4 2 3 4 4" xfId="18556"/>
    <cellStyle name="표준 16 4 2 3 4 4 2" xfId="41021"/>
    <cellStyle name="표준 16 4 2 3 4 5" xfId="26057"/>
    <cellStyle name="표준 16 4 2 3 4_Sheet4" xfId="2434"/>
    <cellStyle name="표준 16 4 2 3 5" xfId="2435"/>
    <cellStyle name="표준 16 4 2 3 5 2" xfId="11074"/>
    <cellStyle name="표준 16 4 2 3 5 2 2" xfId="33541"/>
    <cellStyle name="표준 16 4 2 3 5 3" xfId="18558"/>
    <cellStyle name="표준 16 4 2 3 5 3 2" xfId="41023"/>
    <cellStyle name="표준 16 4 2 3 5 4" xfId="26059"/>
    <cellStyle name="표준 16 4 2 3 6" xfId="11059"/>
    <cellStyle name="표준 16 4 2 3 6 2" xfId="33526"/>
    <cellStyle name="표준 16 4 2 3 7" xfId="18543"/>
    <cellStyle name="표준 16 4 2 3 7 2" xfId="41008"/>
    <cellStyle name="표준 16 4 2 3 8" xfId="26044"/>
    <cellStyle name="표준 16 4 2 3_Sheet4" xfId="2436"/>
    <cellStyle name="표준 16 4 2 4" xfId="2437"/>
    <cellStyle name="표준 16 4 2 4 2" xfId="2438"/>
    <cellStyle name="표준 16 4 2 4 2 2" xfId="2439"/>
    <cellStyle name="표준 16 4 2 4 2 2 2" xfId="2440"/>
    <cellStyle name="표준 16 4 2 4 2 2 2 2" xfId="11078"/>
    <cellStyle name="표준 16 4 2 4 2 2 2 2 2" xfId="33545"/>
    <cellStyle name="표준 16 4 2 4 2 2 2 3" xfId="18562"/>
    <cellStyle name="표준 16 4 2 4 2 2 2 3 2" xfId="41027"/>
    <cellStyle name="표준 16 4 2 4 2 2 2 4" xfId="26063"/>
    <cellStyle name="표준 16 4 2 4 2 2 3" xfId="11077"/>
    <cellStyle name="표준 16 4 2 4 2 2 3 2" xfId="33544"/>
    <cellStyle name="표준 16 4 2 4 2 2 4" xfId="18561"/>
    <cellStyle name="표준 16 4 2 4 2 2 4 2" xfId="41026"/>
    <cellStyle name="표준 16 4 2 4 2 2 5" xfId="26062"/>
    <cellStyle name="표준 16 4 2 4 2 2_Sheet4" xfId="2441"/>
    <cellStyle name="표준 16 4 2 4 2 3" xfId="2442"/>
    <cellStyle name="표준 16 4 2 4 2 3 2" xfId="11079"/>
    <cellStyle name="표준 16 4 2 4 2 3 2 2" xfId="33546"/>
    <cellStyle name="표준 16 4 2 4 2 3 3" xfId="18563"/>
    <cellStyle name="표준 16 4 2 4 2 3 3 2" xfId="41028"/>
    <cellStyle name="표준 16 4 2 4 2 3 4" xfId="26064"/>
    <cellStyle name="표준 16 4 2 4 2 4" xfId="11076"/>
    <cellStyle name="표준 16 4 2 4 2 4 2" xfId="33543"/>
    <cellStyle name="표준 16 4 2 4 2 5" xfId="18560"/>
    <cellStyle name="표준 16 4 2 4 2 5 2" xfId="41025"/>
    <cellStyle name="표준 16 4 2 4 2 6" xfId="26061"/>
    <cellStyle name="표준 16 4 2 4 2_Sheet4" xfId="2443"/>
    <cellStyle name="표준 16 4 2 4 3" xfId="2444"/>
    <cellStyle name="표준 16 4 2 4 3 2" xfId="2445"/>
    <cellStyle name="표준 16 4 2 4 3 2 2" xfId="11081"/>
    <cellStyle name="표준 16 4 2 4 3 2 2 2" xfId="33548"/>
    <cellStyle name="표준 16 4 2 4 3 2 3" xfId="18565"/>
    <cellStyle name="표준 16 4 2 4 3 2 3 2" xfId="41030"/>
    <cellStyle name="표준 16 4 2 4 3 2 4" xfId="26066"/>
    <cellStyle name="표준 16 4 2 4 3 3" xfId="11080"/>
    <cellStyle name="표준 16 4 2 4 3 3 2" xfId="33547"/>
    <cellStyle name="표준 16 4 2 4 3 4" xfId="18564"/>
    <cellStyle name="표준 16 4 2 4 3 4 2" xfId="41029"/>
    <cellStyle name="표준 16 4 2 4 3 5" xfId="26065"/>
    <cellStyle name="표준 16 4 2 4 3_Sheet4" xfId="2446"/>
    <cellStyle name="표준 16 4 2 4 4" xfId="2447"/>
    <cellStyle name="표준 16 4 2 4 4 2" xfId="11082"/>
    <cellStyle name="표준 16 4 2 4 4 2 2" xfId="33549"/>
    <cellStyle name="표준 16 4 2 4 4 3" xfId="18566"/>
    <cellStyle name="표준 16 4 2 4 4 3 2" xfId="41031"/>
    <cellStyle name="표준 16 4 2 4 4 4" xfId="26067"/>
    <cellStyle name="표준 16 4 2 4 5" xfId="11075"/>
    <cellStyle name="표준 16 4 2 4 5 2" xfId="33542"/>
    <cellStyle name="표준 16 4 2 4 6" xfId="18559"/>
    <cellStyle name="표준 16 4 2 4 6 2" xfId="41024"/>
    <cellStyle name="표준 16 4 2 4 7" xfId="26060"/>
    <cellStyle name="표준 16 4 2 4_Sheet4" xfId="2448"/>
    <cellStyle name="표준 16 4 2 5" xfId="2449"/>
    <cellStyle name="표준 16 4 2 5 2" xfId="2450"/>
    <cellStyle name="표준 16 4 2 5 2 2" xfId="2451"/>
    <cellStyle name="표준 16 4 2 5 2 2 2" xfId="11085"/>
    <cellStyle name="표준 16 4 2 5 2 2 2 2" xfId="33552"/>
    <cellStyle name="표준 16 4 2 5 2 2 3" xfId="18569"/>
    <cellStyle name="표준 16 4 2 5 2 2 3 2" xfId="41034"/>
    <cellStyle name="표준 16 4 2 5 2 2 4" xfId="26070"/>
    <cellStyle name="표준 16 4 2 5 2 3" xfId="11084"/>
    <cellStyle name="표준 16 4 2 5 2 3 2" xfId="33551"/>
    <cellStyle name="표준 16 4 2 5 2 4" xfId="18568"/>
    <cellStyle name="표준 16 4 2 5 2 4 2" xfId="41033"/>
    <cellStyle name="표준 16 4 2 5 2 5" xfId="26069"/>
    <cellStyle name="표준 16 4 2 5 2_Sheet4" xfId="2452"/>
    <cellStyle name="표준 16 4 2 5 3" xfId="2453"/>
    <cellStyle name="표준 16 4 2 5 3 2" xfId="11086"/>
    <cellStyle name="표준 16 4 2 5 3 2 2" xfId="33553"/>
    <cellStyle name="표준 16 4 2 5 3 3" xfId="18570"/>
    <cellStyle name="표준 16 4 2 5 3 3 2" xfId="41035"/>
    <cellStyle name="표준 16 4 2 5 3 4" xfId="26071"/>
    <cellStyle name="표준 16 4 2 5 4" xfId="11083"/>
    <cellStyle name="표준 16 4 2 5 4 2" xfId="33550"/>
    <cellStyle name="표준 16 4 2 5 5" xfId="18567"/>
    <cellStyle name="표준 16 4 2 5 5 2" xfId="41032"/>
    <cellStyle name="표준 16 4 2 5 6" xfId="26068"/>
    <cellStyle name="표준 16 4 2 5_Sheet4" xfId="2454"/>
    <cellStyle name="표준 16 4 2 6" xfId="2455"/>
    <cellStyle name="표준 16 4 2 6 2" xfId="2456"/>
    <cellStyle name="표준 16 4 2 6 2 2" xfId="11088"/>
    <cellStyle name="표준 16 4 2 6 2 2 2" xfId="33555"/>
    <cellStyle name="표준 16 4 2 6 2 3" xfId="18572"/>
    <cellStyle name="표준 16 4 2 6 2 3 2" xfId="41037"/>
    <cellStyle name="표준 16 4 2 6 2 4" xfId="26073"/>
    <cellStyle name="표준 16 4 2 6 3" xfId="11087"/>
    <cellStyle name="표준 16 4 2 6 3 2" xfId="33554"/>
    <cellStyle name="표준 16 4 2 6 4" xfId="18571"/>
    <cellStyle name="표준 16 4 2 6 4 2" xfId="41036"/>
    <cellStyle name="표준 16 4 2 6 5" xfId="26072"/>
    <cellStyle name="표준 16 4 2 6_Sheet4" xfId="2457"/>
    <cellStyle name="표준 16 4 2 7" xfId="2458"/>
    <cellStyle name="표준 16 4 2 7 2" xfId="11089"/>
    <cellStyle name="표준 16 4 2 7 2 2" xfId="33556"/>
    <cellStyle name="표준 16 4 2 7 3" xfId="18573"/>
    <cellStyle name="표준 16 4 2 7 3 2" xfId="41038"/>
    <cellStyle name="표준 16 4 2 7 4" xfId="26074"/>
    <cellStyle name="표준 16 4 2 8" xfId="11042"/>
    <cellStyle name="표준 16 4 2 8 2" xfId="33509"/>
    <cellStyle name="표준 16 4 2 9" xfId="18526"/>
    <cellStyle name="표준 16 4 2 9 2" xfId="40991"/>
    <cellStyle name="표준 16 4 2_Sheet4" xfId="2459"/>
    <cellStyle name="표준 16 4 3" xfId="2460"/>
    <cellStyle name="표준 16 4 3 2" xfId="2461"/>
    <cellStyle name="표준 16 4 3 2 2" xfId="2462"/>
    <cellStyle name="표준 16 4 3 2 2 2" xfId="2463"/>
    <cellStyle name="표준 16 4 3 2 2 2 2" xfId="2464"/>
    <cellStyle name="표준 16 4 3 2 2 2 2 2" xfId="11094"/>
    <cellStyle name="표준 16 4 3 2 2 2 2 2 2" xfId="33561"/>
    <cellStyle name="표준 16 4 3 2 2 2 2 3" xfId="18578"/>
    <cellStyle name="표준 16 4 3 2 2 2 2 3 2" xfId="41043"/>
    <cellStyle name="표준 16 4 3 2 2 2 2 4" xfId="26079"/>
    <cellStyle name="표준 16 4 3 2 2 2 3" xfId="11093"/>
    <cellStyle name="표준 16 4 3 2 2 2 3 2" xfId="33560"/>
    <cellStyle name="표준 16 4 3 2 2 2 4" xfId="18577"/>
    <cellStyle name="표준 16 4 3 2 2 2 4 2" xfId="41042"/>
    <cellStyle name="표준 16 4 3 2 2 2 5" xfId="26078"/>
    <cellStyle name="표준 16 4 3 2 2 2_Sheet4" xfId="2465"/>
    <cellStyle name="표준 16 4 3 2 2 3" xfId="2466"/>
    <cellStyle name="표준 16 4 3 2 2 3 2" xfId="11095"/>
    <cellStyle name="표준 16 4 3 2 2 3 2 2" xfId="33562"/>
    <cellStyle name="표준 16 4 3 2 2 3 3" xfId="18579"/>
    <cellStyle name="표준 16 4 3 2 2 3 3 2" xfId="41044"/>
    <cellStyle name="표준 16 4 3 2 2 3 4" xfId="26080"/>
    <cellStyle name="표준 16 4 3 2 2 4" xfId="11092"/>
    <cellStyle name="표준 16 4 3 2 2 4 2" xfId="33559"/>
    <cellStyle name="표준 16 4 3 2 2 5" xfId="18576"/>
    <cellStyle name="표준 16 4 3 2 2 5 2" xfId="41041"/>
    <cellStyle name="표준 16 4 3 2 2 6" xfId="26077"/>
    <cellStyle name="표준 16 4 3 2 2_Sheet4" xfId="2467"/>
    <cellStyle name="표준 16 4 3 2 3" xfId="2468"/>
    <cellStyle name="표준 16 4 3 2 3 2" xfId="2469"/>
    <cellStyle name="표준 16 4 3 2 3 2 2" xfId="11097"/>
    <cellStyle name="표준 16 4 3 2 3 2 2 2" xfId="33564"/>
    <cellStyle name="표준 16 4 3 2 3 2 3" xfId="18581"/>
    <cellStyle name="표준 16 4 3 2 3 2 3 2" xfId="41046"/>
    <cellStyle name="표준 16 4 3 2 3 2 4" xfId="26082"/>
    <cellStyle name="표준 16 4 3 2 3 3" xfId="11096"/>
    <cellStyle name="표준 16 4 3 2 3 3 2" xfId="33563"/>
    <cellStyle name="표준 16 4 3 2 3 4" xfId="18580"/>
    <cellStyle name="표준 16 4 3 2 3 4 2" xfId="41045"/>
    <cellStyle name="표준 16 4 3 2 3 5" xfId="26081"/>
    <cellStyle name="표준 16 4 3 2 3_Sheet4" xfId="2470"/>
    <cellStyle name="표준 16 4 3 2 4" xfId="2471"/>
    <cellStyle name="표준 16 4 3 2 4 2" xfId="11098"/>
    <cellStyle name="표준 16 4 3 2 4 2 2" xfId="33565"/>
    <cellStyle name="표준 16 4 3 2 4 3" xfId="18582"/>
    <cellStyle name="표준 16 4 3 2 4 3 2" xfId="41047"/>
    <cellStyle name="표준 16 4 3 2 4 4" xfId="26083"/>
    <cellStyle name="표준 16 4 3 2 5" xfId="11091"/>
    <cellStyle name="표준 16 4 3 2 5 2" xfId="33558"/>
    <cellStyle name="표준 16 4 3 2 6" xfId="18575"/>
    <cellStyle name="표준 16 4 3 2 6 2" xfId="41040"/>
    <cellStyle name="표준 16 4 3 2 7" xfId="26076"/>
    <cellStyle name="표준 16 4 3 2_Sheet4" xfId="2472"/>
    <cellStyle name="표준 16 4 3 3" xfId="2473"/>
    <cellStyle name="표준 16 4 3 3 2" xfId="2474"/>
    <cellStyle name="표준 16 4 3 3 2 2" xfId="2475"/>
    <cellStyle name="표준 16 4 3 3 2 2 2" xfId="11101"/>
    <cellStyle name="표준 16 4 3 3 2 2 2 2" xfId="33568"/>
    <cellStyle name="표준 16 4 3 3 2 2 3" xfId="18585"/>
    <cellStyle name="표준 16 4 3 3 2 2 3 2" xfId="41050"/>
    <cellStyle name="표준 16 4 3 3 2 2 4" xfId="26086"/>
    <cellStyle name="표준 16 4 3 3 2 3" xfId="11100"/>
    <cellStyle name="표준 16 4 3 3 2 3 2" xfId="33567"/>
    <cellStyle name="표준 16 4 3 3 2 4" xfId="18584"/>
    <cellStyle name="표준 16 4 3 3 2 4 2" xfId="41049"/>
    <cellStyle name="표준 16 4 3 3 2 5" xfId="26085"/>
    <cellStyle name="표준 16 4 3 3 2_Sheet4" xfId="2476"/>
    <cellStyle name="표준 16 4 3 3 3" xfId="2477"/>
    <cellStyle name="표준 16 4 3 3 3 2" xfId="11102"/>
    <cellStyle name="표준 16 4 3 3 3 2 2" xfId="33569"/>
    <cellStyle name="표준 16 4 3 3 3 3" xfId="18586"/>
    <cellStyle name="표준 16 4 3 3 3 3 2" xfId="41051"/>
    <cellStyle name="표준 16 4 3 3 3 4" xfId="26087"/>
    <cellStyle name="표준 16 4 3 3 4" xfId="11099"/>
    <cellStyle name="표준 16 4 3 3 4 2" xfId="33566"/>
    <cellStyle name="표준 16 4 3 3 5" xfId="18583"/>
    <cellStyle name="표준 16 4 3 3 5 2" xfId="41048"/>
    <cellStyle name="표준 16 4 3 3 6" xfId="26084"/>
    <cellStyle name="표준 16 4 3 3_Sheet4" xfId="2478"/>
    <cellStyle name="표준 16 4 3 4" xfId="2479"/>
    <cellStyle name="표준 16 4 3 4 2" xfId="2480"/>
    <cellStyle name="표준 16 4 3 4 2 2" xfId="11104"/>
    <cellStyle name="표준 16 4 3 4 2 2 2" xfId="33571"/>
    <cellStyle name="표준 16 4 3 4 2 3" xfId="18588"/>
    <cellStyle name="표준 16 4 3 4 2 3 2" xfId="41053"/>
    <cellStyle name="표준 16 4 3 4 2 4" xfId="26089"/>
    <cellStyle name="표준 16 4 3 4 3" xfId="11103"/>
    <cellStyle name="표준 16 4 3 4 3 2" xfId="33570"/>
    <cellStyle name="표준 16 4 3 4 4" xfId="18587"/>
    <cellStyle name="표준 16 4 3 4 4 2" xfId="41052"/>
    <cellStyle name="표준 16 4 3 4 5" xfId="26088"/>
    <cellStyle name="표준 16 4 3 4_Sheet4" xfId="2481"/>
    <cellStyle name="표준 16 4 3 5" xfId="2482"/>
    <cellStyle name="표준 16 4 3 5 2" xfId="11105"/>
    <cellStyle name="표준 16 4 3 5 2 2" xfId="33572"/>
    <cellStyle name="표준 16 4 3 5 3" xfId="18589"/>
    <cellStyle name="표준 16 4 3 5 3 2" xfId="41054"/>
    <cellStyle name="표준 16 4 3 5 4" xfId="26090"/>
    <cellStyle name="표준 16 4 3 6" xfId="11090"/>
    <cellStyle name="표준 16 4 3 6 2" xfId="33557"/>
    <cellStyle name="표준 16 4 3 7" xfId="18574"/>
    <cellStyle name="표준 16 4 3 7 2" xfId="41039"/>
    <cellStyle name="표준 16 4 3 8" xfId="26075"/>
    <cellStyle name="표준 16 4 3_Sheet4" xfId="2483"/>
    <cellStyle name="표준 16 4 4" xfId="2484"/>
    <cellStyle name="표준 16 4 4 2" xfId="2485"/>
    <cellStyle name="표준 16 4 4 2 2" xfId="2486"/>
    <cellStyle name="표준 16 4 4 2 2 2" xfId="2487"/>
    <cellStyle name="표준 16 4 4 2 2 2 2" xfId="2488"/>
    <cellStyle name="표준 16 4 4 2 2 2 2 2" xfId="11110"/>
    <cellStyle name="표준 16 4 4 2 2 2 2 2 2" xfId="33577"/>
    <cellStyle name="표준 16 4 4 2 2 2 2 3" xfId="18594"/>
    <cellStyle name="표준 16 4 4 2 2 2 2 3 2" xfId="41059"/>
    <cellStyle name="표준 16 4 4 2 2 2 2 4" xfId="26095"/>
    <cellStyle name="표준 16 4 4 2 2 2 3" xfId="11109"/>
    <cellStyle name="표준 16 4 4 2 2 2 3 2" xfId="33576"/>
    <cellStyle name="표준 16 4 4 2 2 2 4" xfId="18593"/>
    <cellStyle name="표준 16 4 4 2 2 2 4 2" xfId="41058"/>
    <cellStyle name="표준 16 4 4 2 2 2 5" xfId="26094"/>
    <cellStyle name="표준 16 4 4 2 2 2_Sheet4" xfId="2489"/>
    <cellStyle name="표준 16 4 4 2 2 3" xfId="2490"/>
    <cellStyle name="표준 16 4 4 2 2 3 2" xfId="11111"/>
    <cellStyle name="표준 16 4 4 2 2 3 2 2" xfId="33578"/>
    <cellStyle name="표준 16 4 4 2 2 3 3" xfId="18595"/>
    <cellStyle name="표준 16 4 4 2 2 3 3 2" xfId="41060"/>
    <cellStyle name="표준 16 4 4 2 2 3 4" xfId="26096"/>
    <cellStyle name="표준 16 4 4 2 2 4" xfId="11108"/>
    <cellStyle name="표준 16 4 4 2 2 4 2" xfId="33575"/>
    <cellStyle name="표준 16 4 4 2 2 5" xfId="18592"/>
    <cellStyle name="표준 16 4 4 2 2 5 2" xfId="41057"/>
    <cellStyle name="표준 16 4 4 2 2 6" xfId="26093"/>
    <cellStyle name="표준 16 4 4 2 2_Sheet4" xfId="2491"/>
    <cellStyle name="표준 16 4 4 2 3" xfId="2492"/>
    <cellStyle name="표준 16 4 4 2 3 2" xfId="2493"/>
    <cellStyle name="표준 16 4 4 2 3 2 2" xfId="11113"/>
    <cellStyle name="표준 16 4 4 2 3 2 2 2" xfId="33580"/>
    <cellStyle name="표준 16 4 4 2 3 2 3" xfId="18597"/>
    <cellStyle name="표준 16 4 4 2 3 2 3 2" xfId="41062"/>
    <cellStyle name="표준 16 4 4 2 3 2 4" xfId="26098"/>
    <cellStyle name="표준 16 4 4 2 3 3" xfId="11112"/>
    <cellStyle name="표준 16 4 4 2 3 3 2" xfId="33579"/>
    <cellStyle name="표준 16 4 4 2 3 4" xfId="18596"/>
    <cellStyle name="표준 16 4 4 2 3 4 2" xfId="41061"/>
    <cellStyle name="표준 16 4 4 2 3 5" xfId="26097"/>
    <cellStyle name="표준 16 4 4 2 3_Sheet4" xfId="2494"/>
    <cellStyle name="표준 16 4 4 2 4" xfId="2495"/>
    <cellStyle name="표준 16 4 4 2 4 2" xfId="11114"/>
    <cellStyle name="표준 16 4 4 2 4 2 2" xfId="33581"/>
    <cellStyle name="표준 16 4 4 2 4 3" xfId="18598"/>
    <cellStyle name="표준 16 4 4 2 4 3 2" xfId="41063"/>
    <cellStyle name="표준 16 4 4 2 4 4" xfId="26099"/>
    <cellStyle name="표준 16 4 4 2 5" xfId="11107"/>
    <cellStyle name="표준 16 4 4 2 5 2" xfId="33574"/>
    <cellStyle name="표준 16 4 4 2 6" xfId="18591"/>
    <cellStyle name="표준 16 4 4 2 6 2" xfId="41056"/>
    <cellStyle name="표준 16 4 4 2 7" xfId="26092"/>
    <cellStyle name="표준 16 4 4 2_Sheet4" xfId="2496"/>
    <cellStyle name="표준 16 4 4 3" xfId="2497"/>
    <cellStyle name="표준 16 4 4 3 2" xfId="2498"/>
    <cellStyle name="표준 16 4 4 3 2 2" xfId="2499"/>
    <cellStyle name="표준 16 4 4 3 2 2 2" xfId="11117"/>
    <cellStyle name="표준 16 4 4 3 2 2 2 2" xfId="33584"/>
    <cellStyle name="표준 16 4 4 3 2 2 3" xfId="18601"/>
    <cellStyle name="표준 16 4 4 3 2 2 3 2" xfId="41066"/>
    <cellStyle name="표준 16 4 4 3 2 2 4" xfId="26102"/>
    <cellStyle name="표준 16 4 4 3 2 3" xfId="11116"/>
    <cellStyle name="표준 16 4 4 3 2 3 2" xfId="33583"/>
    <cellStyle name="표준 16 4 4 3 2 4" xfId="18600"/>
    <cellStyle name="표준 16 4 4 3 2 4 2" xfId="41065"/>
    <cellStyle name="표준 16 4 4 3 2 5" xfId="26101"/>
    <cellStyle name="표준 16 4 4 3 2_Sheet4" xfId="2500"/>
    <cellStyle name="표준 16 4 4 3 3" xfId="2501"/>
    <cellStyle name="표준 16 4 4 3 3 2" xfId="11118"/>
    <cellStyle name="표준 16 4 4 3 3 2 2" xfId="33585"/>
    <cellStyle name="표준 16 4 4 3 3 3" xfId="18602"/>
    <cellStyle name="표준 16 4 4 3 3 3 2" xfId="41067"/>
    <cellStyle name="표준 16 4 4 3 3 4" xfId="26103"/>
    <cellStyle name="표준 16 4 4 3 4" xfId="11115"/>
    <cellStyle name="표준 16 4 4 3 4 2" xfId="33582"/>
    <cellStyle name="표준 16 4 4 3 5" xfId="18599"/>
    <cellStyle name="표준 16 4 4 3 5 2" xfId="41064"/>
    <cellStyle name="표준 16 4 4 3 6" xfId="26100"/>
    <cellStyle name="표준 16 4 4 3_Sheet4" xfId="2502"/>
    <cellStyle name="표준 16 4 4 4" xfId="2503"/>
    <cellStyle name="표준 16 4 4 4 2" xfId="2504"/>
    <cellStyle name="표준 16 4 4 4 2 2" xfId="11120"/>
    <cellStyle name="표준 16 4 4 4 2 2 2" xfId="33587"/>
    <cellStyle name="표준 16 4 4 4 2 3" xfId="18604"/>
    <cellStyle name="표준 16 4 4 4 2 3 2" xfId="41069"/>
    <cellStyle name="표준 16 4 4 4 2 4" xfId="26105"/>
    <cellStyle name="표준 16 4 4 4 3" xfId="11119"/>
    <cellStyle name="표준 16 4 4 4 3 2" xfId="33586"/>
    <cellStyle name="표준 16 4 4 4 4" xfId="18603"/>
    <cellStyle name="표준 16 4 4 4 4 2" xfId="41068"/>
    <cellStyle name="표준 16 4 4 4 5" xfId="26104"/>
    <cellStyle name="표준 16 4 4 4_Sheet4" xfId="2505"/>
    <cellStyle name="표준 16 4 4 5" xfId="2506"/>
    <cellStyle name="표준 16 4 4 5 2" xfId="11121"/>
    <cellStyle name="표준 16 4 4 5 2 2" xfId="33588"/>
    <cellStyle name="표준 16 4 4 5 3" xfId="18605"/>
    <cellStyle name="표준 16 4 4 5 3 2" xfId="41070"/>
    <cellStyle name="표준 16 4 4 5 4" xfId="26106"/>
    <cellStyle name="표준 16 4 4 6" xfId="11106"/>
    <cellStyle name="표준 16 4 4 6 2" xfId="33573"/>
    <cellStyle name="표준 16 4 4 7" xfId="18590"/>
    <cellStyle name="표준 16 4 4 7 2" xfId="41055"/>
    <cellStyle name="표준 16 4 4 8" xfId="26091"/>
    <cellStyle name="표준 16 4 4_Sheet4" xfId="2507"/>
    <cellStyle name="표준 16 4 5" xfId="2508"/>
    <cellStyle name="표준 16 4 5 2" xfId="2509"/>
    <cellStyle name="표준 16 4 5 2 2" xfId="2510"/>
    <cellStyle name="표준 16 4 5 2 2 2" xfId="2511"/>
    <cellStyle name="표준 16 4 5 2 2 2 2" xfId="11125"/>
    <cellStyle name="표준 16 4 5 2 2 2 2 2" xfId="33592"/>
    <cellStyle name="표준 16 4 5 2 2 2 3" xfId="18609"/>
    <cellStyle name="표준 16 4 5 2 2 2 3 2" xfId="41074"/>
    <cellStyle name="표준 16 4 5 2 2 2 4" xfId="26110"/>
    <cellStyle name="표준 16 4 5 2 2 3" xfId="11124"/>
    <cellStyle name="표준 16 4 5 2 2 3 2" xfId="33591"/>
    <cellStyle name="표준 16 4 5 2 2 4" xfId="18608"/>
    <cellStyle name="표준 16 4 5 2 2 4 2" xfId="41073"/>
    <cellStyle name="표준 16 4 5 2 2 5" xfId="26109"/>
    <cellStyle name="표준 16 4 5 2 2_Sheet4" xfId="2512"/>
    <cellStyle name="표준 16 4 5 2 3" xfId="2513"/>
    <cellStyle name="표준 16 4 5 2 3 2" xfId="11126"/>
    <cellStyle name="표준 16 4 5 2 3 2 2" xfId="33593"/>
    <cellStyle name="표준 16 4 5 2 3 3" xfId="18610"/>
    <cellStyle name="표준 16 4 5 2 3 3 2" xfId="41075"/>
    <cellStyle name="표준 16 4 5 2 3 4" xfId="26111"/>
    <cellStyle name="표준 16 4 5 2 4" xfId="11123"/>
    <cellStyle name="표준 16 4 5 2 4 2" xfId="33590"/>
    <cellStyle name="표준 16 4 5 2 5" xfId="18607"/>
    <cellStyle name="표준 16 4 5 2 5 2" xfId="41072"/>
    <cellStyle name="표준 16 4 5 2 6" xfId="26108"/>
    <cellStyle name="표준 16 4 5 2_Sheet4" xfId="2514"/>
    <cellStyle name="표준 16 4 5 3" xfId="2515"/>
    <cellStyle name="표준 16 4 5 3 2" xfId="2516"/>
    <cellStyle name="표준 16 4 5 3 2 2" xfId="11128"/>
    <cellStyle name="표준 16 4 5 3 2 2 2" xfId="33595"/>
    <cellStyle name="표준 16 4 5 3 2 3" xfId="18612"/>
    <cellStyle name="표준 16 4 5 3 2 3 2" xfId="41077"/>
    <cellStyle name="표준 16 4 5 3 2 4" xfId="26113"/>
    <cellStyle name="표준 16 4 5 3 3" xfId="11127"/>
    <cellStyle name="표준 16 4 5 3 3 2" xfId="33594"/>
    <cellStyle name="표준 16 4 5 3 4" xfId="18611"/>
    <cellStyle name="표준 16 4 5 3 4 2" xfId="41076"/>
    <cellStyle name="표준 16 4 5 3 5" xfId="26112"/>
    <cellStyle name="표준 16 4 5 3_Sheet4" xfId="2517"/>
    <cellStyle name="표준 16 4 5 4" xfId="2518"/>
    <cellStyle name="표준 16 4 5 4 2" xfId="11129"/>
    <cellStyle name="표준 16 4 5 4 2 2" xfId="33596"/>
    <cellStyle name="표준 16 4 5 4 3" xfId="18613"/>
    <cellStyle name="표준 16 4 5 4 3 2" xfId="41078"/>
    <cellStyle name="표준 16 4 5 4 4" xfId="26114"/>
    <cellStyle name="표준 16 4 5 5" xfId="11122"/>
    <cellStyle name="표준 16 4 5 5 2" xfId="33589"/>
    <cellStyle name="표준 16 4 5 6" xfId="18606"/>
    <cellStyle name="표준 16 4 5 6 2" xfId="41071"/>
    <cellStyle name="표준 16 4 5 7" xfId="26107"/>
    <cellStyle name="표준 16 4 5_Sheet4" xfId="2519"/>
    <cellStyle name="표준 16 4 6" xfId="2520"/>
    <cellStyle name="표준 16 4 6 2" xfId="2521"/>
    <cellStyle name="표준 16 4 6 2 2" xfId="2522"/>
    <cellStyle name="표준 16 4 6 2 2 2" xfId="11132"/>
    <cellStyle name="표준 16 4 6 2 2 2 2" xfId="33599"/>
    <cellStyle name="표준 16 4 6 2 2 3" xfId="18616"/>
    <cellStyle name="표준 16 4 6 2 2 3 2" xfId="41081"/>
    <cellStyle name="표준 16 4 6 2 2 4" xfId="26117"/>
    <cellStyle name="표준 16 4 6 2 3" xfId="11131"/>
    <cellStyle name="표준 16 4 6 2 3 2" xfId="33598"/>
    <cellStyle name="표준 16 4 6 2 4" xfId="18615"/>
    <cellStyle name="표준 16 4 6 2 4 2" xfId="41080"/>
    <cellStyle name="표준 16 4 6 2 5" xfId="26116"/>
    <cellStyle name="표준 16 4 6 2_Sheet4" xfId="2523"/>
    <cellStyle name="표준 16 4 6 3" xfId="2524"/>
    <cellStyle name="표준 16 4 6 3 2" xfId="11133"/>
    <cellStyle name="표준 16 4 6 3 2 2" xfId="33600"/>
    <cellStyle name="표준 16 4 6 3 3" xfId="18617"/>
    <cellStyle name="표준 16 4 6 3 3 2" xfId="41082"/>
    <cellStyle name="표준 16 4 6 3 4" xfId="26118"/>
    <cellStyle name="표준 16 4 6 4" xfId="11130"/>
    <cellStyle name="표준 16 4 6 4 2" xfId="33597"/>
    <cellStyle name="표준 16 4 6 5" xfId="18614"/>
    <cellStyle name="표준 16 4 6 5 2" xfId="41079"/>
    <cellStyle name="표준 16 4 6 6" xfId="26115"/>
    <cellStyle name="표준 16 4 6_Sheet4" xfId="2525"/>
    <cellStyle name="표준 16 4 7" xfId="2526"/>
    <cellStyle name="표준 16 4 7 2" xfId="2527"/>
    <cellStyle name="표준 16 4 7 2 2" xfId="11135"/>
    <cellStyle name="표준 16 4 7 2 2 2" xfId="33602"/>
    <cellStyle name="표준 16 4 7 2 3" xfId="18619"/>
    <cellStyle name="표준 16 4 7 2 3 2" xfId="41084"/>
    <cellStyle name="표준 16 4 7 2 4" xfId="26120"/>
    <cellStyle name="표준 16 4 7 3" xfId="11134"/>
    <cellStyle name="표준 16 4 7 3 2" xfId="33601"/>
    <cellStyle name="표준 16 4 7 4" xfId="18618"/>
    <cellStyle name="표준 16 4 7 4 2" xfId="41083"/>
    <cellStyle name="표준 16 4 7 5" xfId="26119"/>
    <cellStyle name="표준 16 4 7_Sheet4" xfId="2528"/>
    <cellStyle name="표준 16 4 8" xfId="2529"/>
    <cellStyle name="표준 16 4 8 2" xfId="11136"/>
    <cellStyle name="표준 16 4 8 2 2" xfId="33603"/>
    <cellStyle name="표준 16 4 8 3" xfId="18620"/>
    <cellStyle name="표준 16 4 8 3 2" xfId="41085"/>
    <cellStyle name="표준 16 4 8 4" xfId="26121"/>
    <cellStyle name="표준 16 4 9" xfId="11041"/>
    <cellStyle name="표준 16 4 9 2" xfId="33508"/>
    <cellStyle name="표준 16 4_Sheet4" xfId="2530"/>
    <cellStyle name="표준 16 5" xfId="2531"/>
    <cellStyle name="표준 16 5 10" xfId="26122"/>
    <cellStyle name="표준 16 5 2" xfId="2532"/>
    <cellStyle name="표준 16 5 2 2" xfId="2533"/>
    <cellStyle name="표준 16 5 2 2 2" xfId="2534"/>
    <cellStyle name="표준 16 5 2 2 2 2" xfId="2535"/>
    <cellStyle name="표준 16 5 2 2 2 2 2" xfId="2536"/>
    <cellStyle name="표준 16 5 2 2 2 2 2 2" xfId="11142"/>
    <cellStyle name="표준 16 5 2 2 2 2 2 2 2" xfId="33609"/>
    <cellStyle name="표준 16 5 2 2 2 2 2 3" xfId="18626"/>
    <cellStyle name="표준 16 5 2 2 2 2 2 3 2" xfId="41091"/>
    <cellStyle name="표준 16 5 2 2 2 2 2 4" xfId="26127"/>
    <cellStyle name="표준 16 5 2 2 2 2 3" xfId="11141"/>
    <cellStyle name="표준 16 5 2 2 2 2 3 2" xfId="33608"/>
    <cellStyle name="표준 16 5 2 2 2 2 4" xfId="18625"/>
    <cellStyle name="표준 16 5 2 2 2 2 4 2" xfId="41090"/>
    <cellStyle name="표준 16 5 2 2 2 2 5" xfId="26126"/>
    <cellStyle name="표준 16 5 2 2 2 2_Sheet4" xfId="2537"/>
    <cellStyle name="표준 16 5 2 2 2 3" xfId="2538"/>
    <cellStyle name="표준 16 5 2 2 2 3 2" xfId="11143"/>
    <cellStyle name="표준 16 5 2 2 2 3 2 2" xfId="33610"/>
    <cellStyle name="표준 16 5 2 2 2 3 3" xfId="18627"/>
    <cellStyle name="표준 16 5 2 2 2 3 3 2" xfId="41092"/>
    <cellStyle name="표준 16 5 2 2 2 3 4" xfId="26128"/>
    <cellStyle name="표준 16 5 2 2 2 4" xfId="11140"/>
    <cellStyle name="표준 16 5 2 2 2 4 2" xfId="33607"/>
    <cellStyle name="표준 16 5 2 2 2 5" xfId="18624"/>
    <cellStyle name="표준 16 5 2 2 2 5 2" xfId="41089"/>
    <cellStyle name="표준 16 5 2 2 2 6" xfId="26125"/>
    <cellStyle name="표준 16 5 2 2 2_Sheet4" xfId="2539"/>
    <cellStyle name="표준 16 5 2 2 3" xfId="2540"/>
    <cellStyle name="표준 16 5 2 2 3 2" xfId="2541"/>
    <cellStyle name="표준 16 5 2 2 3 2 2" xfId="11145"/>
    <cellStyle name="표준 16 5 2 2 3 2 2 2" xfId="33612"/>
    <cellStyle name="표준 16 5 2 2 3 2 3" xfId="18629"/>
    <cellStyle name="표준 16 5 2 2 3 2 3 2" xfId="41094"/>
    <cellStyle name="표준 16 5 2 2 3 2 4" xfId="26130"/>
    <cellStyle name="표준 16 5 2 2 3 3" xfId="11144"/>
    <cellStyle name="표준 16 5 2 2 3 3 2" xfId="33611"/>
    <cellStyle name="표준 16 5 2 2 3 4" xfId="18628"/>
    <cellStyle name="표준 16 5 2 2 3 4 2" xfId="41093"/>
    <cellStyle name="표준 16 5 2 2 3 5" xfId="26129"/>
    <cellStyle name="표준 16 5 2 2 3_Sheet4" xfId="2542"/>
    <cellStyle name="표준 16 5 2 2 4" xfId="2543"/>
    <cellStyle name="표준 16 5 2 2 4 2" xfId="11146"/>
    <cellStyle name="표준 16 5 2 2 4 2 2" xfId="33613"/>
    <cellStyle name="표준 16 5 2 2 4 3" xfId="18630"/>
    <cellStyle name="표준 16 5 2 2 4 3 2" xfId="41095"/>
    <cellStyle name="표준 16 5 2 2 4 4" xfId="26131"/>
    <cellStyle name="표준 16 5 2 2 5" xfId="11139"/>
    <cellStyle name="표준 16 5 2 2 5 2" xfId="33606"/>
    <cellStyle name="표준 16 5 2 2 6" xfId="18623"/>
    <cellStyle name="표준 16 5 2 2 6 2" xfId="41088"/>
    <cellStyle name="표준 16 5 2 2 7" xfId="26124"/>
    <cellStyle name="표준 16 5 2 2_Sheet4" xfId="2544"/>
    <cellStyle name="표준 16 5 2 3" xfId="2545"/>
    <cellStyle name="표준 16 5 2 3 2" xfId="2546"/>
    <cellStyle name="표준 16 5 2 3 2 2" xfId="2547"/>
    <cellStyle name="표준 16 5 2 3 2 2 2" xfId="11149"/>
    <cellStyle name="표준 16 5 2 3 2 2 2 2" xfId="33616"/>
    <cellStyle name="표준 16 5 2 3 2 2 3" xfId="18633"/>
    <cellStyle name="표준 16 5 2 3 2 2 3 2" xfId="41098"/>
    <cellStyle name="표준 16 5 2 3 2 2 4" xfId="26134"/>
    <cellStyle name="표준 16 5 2 3 2 3" xfId="11148"/>
    <cellStyle name="표준 16 5 2 3 2 3 2" xfId="33615"/>
    <cellStyle name="표준 16 5 2 3 2 4" xfId="18632"/>
    <cellStyle name="표준 16 5 2 3 2 4 2" xfId="41097"/>
    <cellStyle name="표준 16 5 2 3 2 5" xfId="26133"/>
    <cellStyle name="표준 16 5 2 3 2_Sheet4" xfId="2548"/>
    <cellStyle name="표준 16 5 2 3 3" xfId="2549"/>
    <cellStyle name="표준 16 5 2 3 3 2" xfId="11150"/>
    <cellStyle name="표준 16 5 2 3 3 2 2" xfId="33617"/>
    <cellStyle name="표준 16 5 2 3 3 3" xfId="18634"/>
    <cellStyle name="표준 16 5 2 3 3 3 2" xfId="41099"/>
    <cellStyle name="표준 16 5 2 3 3 4" xfId="26135"/>
    <cellStyle name="표준 16 5 2 3 4" xfId="11147"/>
    <cellStyle name="표준 16 5 2 3 4 2" xfId="33614"/>
    <cellStyle name="표준 16 5 2 3 5" xfId="18631"/>
    <cellStyle name="표준 16 5 2 3 5 2" xfId="41096"/>
    <cellStyle name="표준 16 5 2 3 6" xfId="26132"/>
    <cellStyle name="표준 16 5 2 3_Sheet4" xfId="2550"/>
    <cellStyle name="표준 16 5 2 4" xfId="2551"/>
    <cellStyle name="표준 16 5 2 4 2" xfId="2552"/>
    <cellStyle name="표준 16 5 2 4 2 2" xfId="11152"/>
    <cellStyle name="표준 16 5 2 4 2 2 2" xfId="33619"/>
    <cellStyle name="표준 16 5 2 4 2 3" xfId="18636"/>
    <cellStyle name="표준 16 5 2 4 2 3 2" xfId="41101"/>
    <cellStyle name="표준 16 5 2 4 2 4" xfId="26137"/>
    <cellStyle name="표준 16 5 2 4 3" xfId="11151"/>
    <cellStyle name="표준 16 5 2 4 3 2" xfId="33618"/>
    <cellStyle name="표준 16 5 2 4 4" xfId="18635"/>
    <cellStyle name="표준 16 5 2 4 4 2" xfId="41100"/>
    <cellStyle name="표준 16 5 2 4 5" xfId="26136"/>
    <cellStyle name="표준 16 5 2 4_Sheet4" xfId="2553"/>
    <cellStyle name="표준 16 5 2 5" xfId="2554"/>
    <cellStyle name="표준 16 5 2 5 2" xfId="11153"/>
    <cellStyle name="표준 16 5 2 5 2 2" xfId="33620"/>
    <cellStyle name="표준 16 5 2 5 3" xfId="18637"/>
    <cellStyle name="표준 16 5 2 5 3 2" xfId="41102"/>
    <cellStyle name="표준 16 5 2 5 4" xfId="26138"/>
    <cellStyle name="표준 16 5 2 6" xfId="11138"/>
    <cellStyle name="표준 16 5 2 6 2" xfId="33605"/>
    <cellStyle name="표준 16 5 2 7" xfId="18622"/>
    <cellStyle name="표준 16 5 2 7 2" xfId="41087"/>
    <cellStyle name="표준 16 5 2 8" xfId="26123"/>
    <cellStyle name="표준 16 5 2_Sheet4" xfId="2555"/>
    <cellStyle name="표준 16 5 3" xfId="2556"/>
    <cellStyle name="표준 16 5 3 2" xfId="2557"/>
    <cellStyle name="표준 16 5 3 2 2" xfId="2558"/>
    <cellStyle name="표준 16 5 3 2 2 2" xfId="2559"/>
    <cellStyle name="표준 16 5 3 2 2 2 2" xfId="2560"/>
    <cellStyle name="표준 16 5 3 2 2 2 2 2" xfId="11158"/>
    <cellStyle name="표준 16 5 3 2 2 2 2 2 2" xfId="33625"/>
    <cellStyle name="표준 16 5 3 2 2 2 2 3" xfId="18642"/>
    <cellStyle name="표준 16 5 3 2 2 2 2 3 2" xfId="41107"/>
    <cellStyle name="표준 16 5 3 2 2 2 2 4" xfId="26143"/>
    <cellStyle name="표준 16 5 3 2 2 2 3" xfId="11157"/>
    <cellStyle name="표준 16 5 3 2 2 2 3 2" xfId="33624"/>
    <cellStyle name="표준 16 5 3 2 2 2 4" xfId="18641"/>
    <cellStyle name="표준 16 5 3 2 2 2 4 2" xfId="41106"/>
    <cellStyle name="표준 16 5 3 2 2 2 5" xfId="26142"/>
    <cellStyle name="표준 16 5 3 2 2 2_Sheet4" xfId="2561"/>
    <cellStyle name="표준 16 5 3 2 2 3" xfId="2562"/>
    <cellStyle name="표준 16 5 3 2 2 3 2" xfId="11159"/>
    <cellStyle name="표준 16 5 3 2 2 3 2 2" xfId="33626"/>
    <cellStyle name="표준 16 5 3 2 2 3 3" xfId="18643"/>
    <cellStyle name="표준 16 5 3 2 2 3 3 2" xfId="41108"/>
    <cellStyle name="표준 16 5 3 2 2 3 4" xfId="26144"/>
    <cellStyle name="표준 16 5 3 2 2 4" xfId="11156"/>
    <cellStyle name="표준 16 5 3 2 2 4 2" xfId="33623"/>
    <cellStyle name="표준 16 5 3 2 2 5" xfId="18640"/>
    <cellStyle name="표준 16 5 3 2 2 5 2" xfId="41105"/>
    <cellStyle name="표준 16 5 3 2 2 6" xfId="26141"/>
    <cellStyle name="표준 16 5 3 2 2_Sheet4" xfId="2563"/>
    <cellStyle name="표준 16 5 3 2 3" xfId="2564"/>
    <cellStyle name="표준 16 5 3 2 3 2" xfId="2565"/>
    <cellStyle name="표준 16 5 3 2 3 2 2" xfId="11161"/>
    <cellStyle name="표준 16 5 3 2 3 2 2 2" xfId="33628"/>
    <cellStyle name="표준 16 5 3 2 3 2 3" xfId="18645"/>
    <cellStyle name="표준 16 5 3 2 3 2 3 2" xfId="41110"/>
    <cellStyle name="표준 16 5 3 2 3 2 4" xfId="26146"/>
    <cellStyle name="표준 16 5 3 2 3 3" xfId="11160"/>
    <cellStyle name="표준 16 5 3 2 3 3 2" xfId="33627"/>
    <cellStyle name="표준 16 5 3 2 3 4" xfId="18644"/>
    <cellStyle name="표준 16 5 3 2 3 4 2" xfId="41109"/>
    <cellStyle name="표준 16 5 3 2 3 5" xfId="26145"/>
    <cellStyle name="표준 16 5 3 2 3_Sheet4" xfId="2566"/>
    <cellStyle name="표준 16 5 3 2 4" xfId="2567"/>
    <cellStyle name="표준 16 5 3 2 4 2" xfId="11162"/>
    <cellStyle name="표준 16 5 3 2 4 2 2" xfId="33629"/>
    <cellStyle name="표준 16 5 3 2 4 3" xfId="18646"/>
    <cellStyle name="표준 16 5 3 2 4 3 2" xfId="41111"/>
    <cellStyle name="표준 16 5 3 2 4 4" xfId="26147"/>
    <cellStyle name="표준 16 5 3 2 5" xfId="11155"/>
    <cellStyle name="표준 16 5 3 2 5 2" xfId="33622"/>
    <cellStyle name="표준 16 5 3 2 6" xfId="18639"/>
    <cellStyle name="표준 16 5 3 2 6 2" xfId="41104"/>
    <cellStyle name="표준 16 5 3 2 7" xfId="26140"/>
    <cellStyle name="표준 16 5 3 2_Sheet4" xfId="2568"/>
    <cellStyle name="표준 16 5 3 3" xfId="2569"/>
    <cellStyle name="표준 16 5 3 3 2" xfId="2570"/>
    <cellStyle name="표준 16 5 3 3 2 2" xfId="2571"/>
    <cellStyle name="표준 16 5 3 3 2 2 2" xfId="11165"/>
    <cellStyle name="표준 16 5 3 3 2 2 2 2" xfId="33632"/>
    <cellStyle name="표준 16 5 3 3 2 2 3" xfId="18649"/>
    <cellStyle name="표준 16 5 3 3 2 2 3 2" xfId="41114"/>
    <cellStyle name="표준 16 5 3 3 2 2 4" xfId="26150"/>
    <cellStyle name="표준 16 5 3 3 2 3" xfId="11164"/>
    <cellStyle name="표준 16 5 3 3 2 3 2" xfId="33631"/>
    <cellStyle name="표준 16 5 3 3 2 4" xfId="18648"/>
    <cellStyle name="표준 16 5 3 3 2 4 2" xfId="41113"/>
    <cellStyle name="표준 16 5 3 3 2 5" xfId="26149"/>
    <cellStyle name="표준 16 5 3 3 2_Sheet4" xfId="2572"/>
    <cellStyle name="표준 16 5 3 3 3" xfId="2573"/>
    <cellStyle name="표준 16 5 3 3 3 2" xfId="11166"/>
    <cellStyle name="표준 16 5 3 3 3 2 2" xfId="33633"/>
    <cellStyle name="표준 16 5 3 3 3 3" xfId="18650"/>
    <cellStyle name="표준 16 5 3 3 3 3 2" xfId="41115"/>
    <cellStyle name="표준 16 5 3 3 3 4" xfId="26151"/>
    <cellStyle name="표준 16 5 3 3 4" xfId="11163"/>
    <cellStyle name="표준 16 5 3 3 4 2" xfId="33630"/>
    <cellStyle name="표준 16 5 3 3 5" xfId="18647"/>
    <cellStyle name="표준 16 5 3 3 5 2" xfId="41112"/>
    <cellStyle name="표준 16 5 3 3 6" xfId="26148"/>
    <cellStyle name="표준 16 5 3 3_Sheet4" xfId="2574"/>
    <cellStyle name="표준 16 5 3 4" xfId="2575"/>
    <cellStyle name="표준 16 5 3 4 2" xfId="2576"/>
    <cellStyle name="표준 16 5 3 4 2 2" xfId="11168"/>
    <cellStyle name="표준 16 5 3 4 2 2 2" xfId="33635"/>
    <cellStyle name="표준 16 5 3 4 2 3" xfId="18652"/>
    <cellStyle name="표준 16 5 3 4 2 3 2" xfId="41117"/>
    <cellStyle name="표준 16 5 3 4 2 4" xfId="26153"/>
    <cellStyle name="표준 16 5 3 4 3" xfId="11167"/>
    <cellStyle name="표준 16 5 3 4 3 2" xfId="33634"/>
    <cellStyle name="표준 16 5 3 4 4" xfId="18651"/>
    <cellStyle name="표준 16 5 3 4 4 2" xfId="41116"/>
    <cellStyle name="표준 16 5 3 4 5" xfId="26152"/>
    <cellStyle name="표준 16 5 3 4_Sheet4" xfId="2577"/>
    <cellStyle name="표준 16 5 3 5" xfId="2578"/>
    <cellStyle name="표준 16 5 3 5 2" xfId="11169"/>
    <cellStyle name="표준 16 5 3 5 2 2" xfId="33636"/>
    <cellStyle name="표준 16 5 3 5 3" xfId="18653"/>
    <cellStyle name="표준 16 5 3 5 3 2" xfId="41118"/>
    <cellStyle name="표준 16 5 3 5 4" xfId="26154"/>
    <cellStyle name="표준 16 5 3 6" xfId="11154"/>
    <cellStyle name="표준 16 5 3 6 2" xfId="33621"/>
    <cellStyle name="표준 16 5 3 7" xfId="18638"/>
    <cellStyle name="표준 16 5 3 7 2" xfId="41103"/>
    <cellStyle name="표준 16 5 3 8" xfId="26139"/>
    <cellStyle name="표준 16 5 3_Sheet4" xfId="2579"/>
    <cellStyle name="표준 16 5 4" xfId="2580"/>
    <cellStyle name="표준 16 5 4 2" xfId="2581"/>
    <cellStyle name="표준 16 5 4 2 2" xfId="2582"/>
    <cellStyle name="표준 16 5 4 2 2 2" xfId="2583"/>
    <cellStyle name="표준 16 5 4 2 2 2 2" xfId="11173"/>
    <cellStyle name="표준 16 5 4 2 2 2 2 2" xfId="33640"/>
    <cellStyle name="표준 16 5 4 2 2 2 3" xfId="18657"/>
    <cellStyle name="표준 16 5 4 2 2 2 3 2" xfId="41122"/>
    <cellStyle name="표준 16 5 4 2 2 2 4" xfId="26158"/>
    <cellStyle name="표준 16 5 4 2 2 3" xfId="11172"/>
    <cellStyle name="표준 16 5 4 2 2 3 2" xfId="33639"/>
    <cellStyle name="표준 16 5 4 2 2 4" xfId="18656"/>
    <cellStyle name="표준 16 5 4 2 2 4 2" xfId="41121"/>
    <cellStyle name="표준 16 5 4 2 2 5" xfId="26157"/>
    <cellStyle name="표준 16 5 4 2 2_Sheet4" xfId="2584"/>
    <cellStyle name="표준 16 5 4 2 3" xfId="2585"/>
    <cellStyle name="표준 16 5 4 2 3 2" xfId="11174"/>
    <cellStyle name="표준 16 5 4 2 3 2 2" xfId="33641"/>
    <cellStyle name="표준 16 5 4 2 3 3" xfId="18658"/>
    <cellStyle name="표준 16 5 4 2 3 3 2" xfId="41123"/>
    <cellStyle name="표준 16 5 4 2 3 4" xfId="26159"/>
    <cellStyle name="표준 16 5 4 2 4" xfId="11171"/>
    <cellStyle name="표준 16 5 4 2 4 2" xfId="33638"/>
    <cellStyle name="표준 16 5 4 2 5" xfId="18655"/>
    <cellStyle name="표준 16 5 4 2 5 2" xfId="41120"/>
    <cellStyle name="표준 16 5 4 2 6" xfId="26156"/>
    <cellStyle name="표준 16 5 4 2_Sheet4" xfId="2586"/>
    <cellStyle name="표준 16 5 4 3" xfId="2587"/>
    <cellStyle name="표준 16 5 4 3 2" xfId="2588"/>
    <cellStyle name="표준 16 5 4 3 2 2" xfId="11176"/>
    <cellStyle name="표준 16 5 4 3 2 2 2" xfId="33643"/>
    <cellStyle name="표준 16 5 4 3 2 3" xfId="18660"/>
    <cellStyle name="표준 16 5 4 3 2 3 2" xfId="41125"/>
    <cellStyle name="표준 16 5 4 3 2 4" xfId="26161"/>
    <cellStyle name="표준 16 5 4 3 3" xfId="11175"/>
    <cellStyle name="표준 16 5 4 3 3 2" xfId="33642"/>
    <cellStyle name="표준 16 5 4 3 4" xfId="18659"/>
    <cellStyle name="표준 16 5 4 3 4 2" xfId="41124"/>
    <cellStyle name="표준 16 5 4 3 5" xfId="26160"/>
    <cellStyle name="표준 16 5 4 3_Sheet4" xfId="2589"/>
    <cellStyle name="표준 16 5 4 4" xfId="2590"/>
    <cellStyle name="표준 16 5 4 4 2" xfId="11177"/>
    <cellStyle name="표준 16 5 4 4 2 2" xfId="33644"/>
    <cellStyle name="표준 16 5 4 4 3" xfId="18661"/>
    <cellStyle name="표준 16 5 4 4 3 2" xfId="41126"/>
    <cellStyle name="표준 16 5 4 4 4" xfId="26162"/>
    <cellStyle name="표준 16 5 4 5" xfId="11170"/>
    <cellStyle name="표준 16 5 4 5 2" xfId="33637"/>
    <cellStyle name="표준 16 5 4 6" xfId="18654"/>
    <cellStyle name="표준 16 5 4 6 2" xfId="41119"/>
    <cellStyle name="표준 16 5 4 7" xfId="26155"/>
    <cellStyle name="표준 16 5 4_Sheet4" xfId="2591"/>
    <cellStyle name="표준 16 5 5" xfId="2592"/>
    <cellStyle name="표준 16 5 5 2" xfId="2593"/>
    <cellStyle name="표준 16 5 5 2 2" xfId="2594"/>
    <cellStyle name="표준 16 5 5 2 2 2" xfId="11180"/>
    <cellStyle name="표준 16 5 5 2 2 2 2" xfId="33647"/>
    <cellStyle name="표준 16 5 5 2 2 3" xfId="18664"/>
    <cellStyle name="표준 16 5 5 2 2 3 2" xfId="41129"/>
    <cellStyle name="표준 16 5 5 2 2 4" xfId="26165"/>
    <cellStyle name="표준 16 5 5 2 3" xfId="11179"/>
    <cellStyle name="표준 16 5 5 2 3 2" xfId="33646"/>
    <cellStyle name="표준 16 5 5 2 4" xfId="18663"/>
    <cellStyle name="표준 16 5 5 2 4 2" xfId="41128"/>
    <cellStyle name="표준 16 5 5 2 5" xfId="26164"/>
    <cellStyle name="표준 16 5 5 2_Sheet4" xfId="2595"/>
    <cellStyle name="표준 16 5 5 3" xfId="2596"/>
    <cellStyle name="표준 16 5 5 3 2" xfId="11181"/>
    <cellStyle name="표준 16 5 5 3 2 2" xfId="33648"/>
    <cellStyle name="표준 16 5 5 3 3" xfId="18665"/>
    <cellStyle name="표준 16 5 5 3 3 2" xfId="41130"/>
    <cellStyle name="표준 16 5 5 3 4" xfId="26166"/>
    <cellStyle name="표준 16 5 5 4" xfId="11178"/>
    <cellStyle name="표준 16 5 5 4 2" xfId="33645"/>
    <cellStyle name="표준 16 5 5 5" xfId="18662"/>
    <cellStyle name="표준 16 5 5 5 2" xfId="41127"/>
    <cellStyle name="표준 16 5 5 6" xfId="26163"/>
    <cellStyle name="표준 16 5 5_Sheet4" xfId="2597"/>
    <cellStyle name="표준 16 5 6" xfId="2598"/>
    <cellStyle name="표준 16 5 6 2" xfId="2599"/>
    <cellStyle name="표준 16 5 6 2 2" xfId="11183"/>
    <cellStyle name="표준 16 5 6 2 2 2" xfId="33650"/>
    <cellStyle name="표준 16 5 6 2 3" xfId="18667"/>
    <cellStyle name="표준 16 5 6 2 3 2" xfId="41132"/>
    <cellStyle name="표준 16 5 6 2 4" xfId="26168"/>
    <cellStyle name="표준 16 5 6 3" xfId="11182"/>
    <cellStyle name="표준 16 5 6 3 2" xfId="33649"/>
    <cellStyle name="표준 16 5 6 4" xfId="18666"/>
    <cellStyle name="표준 16 5 6 4 2" xfId="41131"/>
    <cellStyle name="표준 16 5 6 5" xfId="26167"/>
    <cellStyle name="표준 16 5 6_Sheet4" xfId="2600"/>
    <cellStyle name="표준 16 5 7" xfId="2601"/>
    <cellStyle name="표준 16 5 7 2" xfId="11184"/>
    <cellStyle name="표준 16 5 7 2 2" xfId="33651"/>
    <cellStyle name="표준 16 5 7 3" xfId="18668"/>
    <cellStyle name="표준 16 5 7 3 2" xfId="41133"/>
    <cellStyle name="표준 16 5 7 4" xfId="26169"/>
    <cellStyle name="표준 16 5 8" xfId="11137"/>
    <cellStyle name="표준 16 5 8 2" xfId="33604"/>
    <cellStyle name="표준 16 5 9" xfId="18621"/>
    <cellStyle name="표준 16 5 9 2" xfId="41086"/>
    <cellStyle name="표준 16 5_Sheet4" xfId="2602"/>
    <cellStyle name="표준 16 6" xfId="2603"/>
    <cellStyle name="표준 16 6 2" xfId="2604"/>
    <cellStyle name="표준 16 6 2 2" xfId="2605"/>
    <cellStyle name="표준 16 6 2 2 2" xfId="2606"/>
    <cellStyle name="표준 16 6 2 2 2 2" xfId="2607"/>
    <cellStyle name="표준 16 6 2 2 2 2 2" xfId="11189"/>
    <cellStyle name="표준 16 6 2 2 2 2 2 2" xfId="33656"/>
    <cellStyle name="표준 16 6 2 2 2 2 3" xfId="18673"/>
    <cellStyle name="표준 16 6 2 2 2 2 3 2" xfId="41138"/>
    <cellStyle name="표준 16 6 2 2 2 2 4" xfId="26174"/>
    <cellStyle name="표준 16 6 2 2 2 3" xfId="11188"/>
    <cellStyle name="표준 16 6 2 2 2 3 2" xfId="33655"/>
    <cellStyle name="표준 16 6 2 2 2 4" xfId="18672"/>
    <cellStyle name="표준 16 6 2 2 2 4 2" xfId="41137"/>
    <cellStyle name="표준 16 6 2 2 2 5" xfId="26173"/>
    <cellStyle name="표준 16 6 2 2 2_Sheet4" xfId="2608"/>
    <cellStyle name="표준 16 6 2 2 3" xfId="2609"/>
    <cellStyle name="표준 16 6 2 2 3 2" xfId="11190"/>
    <cellStyle name="표준 16 6 2 2 3 2 2" xfId="33657"/>
    <cellStyle name="표준 16 6 2 2 3 3" xfId="18674"/>
    <cellStyle name="표준 16 6 2 2 3 3 2" xfId="41139"/>
    <cellStyle name="표준 16 6 2 2 3 4" xfId="26175"/>
    <cellStyle name="표준 16 6 2 2 4" xfId="11187"/>
    <cellStyle name="표준 16 6 2 2 4 2" xfId="33654"/>
    <cellStyle name="표준 16 6 2 2 5" xfId="18671"/>
    <cellStyle name="표준 16 6 2 2 5 2" xfId="41136"/>
    <cellStyle name="표준 16 6 2 2 6" xfId="26172"/>
    <cellStyle name="표준 16 6 2 2_Sheet4" xfId="2610"/>
    <cellStyle name="표준 16 6 2 3" xfId="2611"/>
    <cellStyle name="표준 16 6 2 3 2" xfId="2612"/>
    <cellStyle name="표준 16 6 2 3 2 2" xfId="11192"/>
    <cellStyle name="표준 16 6 2 3 2 2 2" xfId="33659"/>
    <cellStyle name="표준 16 6 2 3 2 3" xfId="18676"/>
    <cellStyle name="표준 16 6 2 3 2 3 2" xfId="41141"/>
    <cellStyle name="표준 16 6 2 3 2 4" xfId="26177"/>
    <cellStyle name="표준 16 6 2 3 3" xfId="11191"/>
    <cellStyle name="표준 16 6 2 3 3 2" xfId="33658"/>
    <cellStyle name="표준 16 6 2 3 4" xfId="18675"/>
    <cellStyle name="표준 16 6 2 3 4 2" xfId="41140"/>
    <cellStyle name="표준 16 6 2 3 5" xfId="26176"/>
    <cellStyle name="표준 16 6 2 3_Sheet4" xfId="2613"/>
    <cellStyle name="표준 16 6 2 4" xfId="2614"/>
    <cellStyle name="표준 16 6 2 4 2" xfId="11193"/>
    <cellStyle name="표준 16 6 2 4 2 2" xfId="33660"/>
    <cellStyle name="표준 16 6 2 4 3" xfId="18677"/>
    <cellStyle name="표준 16 6 2 4 3 2" xfId="41142"/>
    <cellStyle name="표준 16 6 2 4 4" xfId="26178"/>
    <cellStyle name="표준 16 6 2 5" xfId="11186"/>
    <cellStyle name="표준 16 6 2 5 2" xfId="33653"/>
    <cellStyle name="표준 16 6 2 6" xfId="18670"/>
    <cellStyle name="표준 16 6 2 6 2" xfId="41135"/>
    <cellStyle name="표준 16 6 2 7" xfId="26171"/>
    <cellStyle name="표준 16 6 2_Sheet4" xfId="2615"/>
    <cellStyle name="표준 16 6 3" xfId="2616"/>
    <cellStyle name="표준 16 6 3 2" xfId="2617"/>
    <cellStyle name="표준 16 6 3 2 2" xfId="2618"/>
    <cellStyle name="표준 16 6 3 2 2 2" xfId="11196"/>
    <cellStyle name="표준 16 6 3 2 2 2 2" xfId="33663"/>
    <cellStyle name="표준 16 6 3 2 2 3" xfId="18680"/>
    <cellStyle name="표준 16 6 3 2 2 3 2" xfId="41145"/>
    <cellStyle name="표준 16 6 3 2 2 4" xfId="26181"/>
    <cellStyle name="표준 16 6 3 2 3" xfId="11195"/>
    <cellStyle name="표준 16 6 3 2 3 2" xfId="33662"/>
    <cellStyle name="표준 16 6 3 2 4" xfId="18679"/>
    <cellStyle name="표준 16 6 3 2 4 2" xfId="41144"/>
    <cellStyle name="표준 16 6 3 2 5" xfId="26180"/>
    <cellStyle name="표준 16 6 3 2_Sheet4" xfId="2619"/>
    <cellStyle name="표준 16 6 3 3" xfId="2620"/>
    <cellStyle name="표준 16 6 3 3 2" xfId="11197"/>
    <cellStyle name="표준 16 6 3 3 2 2" xfId="33664"/>
    <cellStyle name="표준 16 6 3 3 3" xfId="18681"/>
    <cellStyle name="표준 16 6 3 3 3 2" xfId="41146"/>
    <cellStyle name="표준 16 6 3 3 4" xfId="26182"/>
    <cellStyle name="표준 16 6 3 4" xfId="11194"/>
    <cellStyle name="표준 16 6 3 4 2" xfId="33661"/>
    <cellStyle name="표준 16 6 3 5" xfId="18678"/>
    <cellStyle name="표준 16 6 3 5 2" xfId="41143"/>
    <cellStyle name="표준 16 6 3 6" xfId="26179"/>
    <cellStyle name="표준 16 6 3_Sheet4" xfId="2621"/>
    <cellStyle name="표준 16 6 4" xfId="2622"/>
    <cellStyle name="표준 16 6 4 2" xfId="2623"/>
    <cellStyle name="표준 16 6 4 2 2" xfId="11199"/>
    <cellStyle name="표준 16 6 4 2 2 2" xfId="33666"/>
    <cellStyle name="표준 16 6 4 2 3" xfId="18683"/>
    <cellStyle name="표준 16 6 4 2 3 2" xfId="41148"/>
    <cellStyle name="표준 16 6 4 2 4" xfId="26184"/>
    <cellStyle name="표준 16 6 4 3" xfId="11198"/>
    <cellStyle name="표준 16 6 4 3 2" xfId="33665"/>
    <cellStyle name="표준 16 6 4 4" xfId="18682"/>
    <cellStyle name="표준 16 6 4 4 2" xfId="41147"/>
    <cellStyle name="표준 16 6 4 5" xfId="26183"/>
    <cellStyle name="표준 16 6 4_Sheet4" xfId="2624"/>
    <cellStyle name="표준 16 6 5" xfId="2625"/>
    <cellStyle name="표준 16 6 5 2" xfId="11200"/>
    <cellStyle name="표준 16 6 5 2 2" xfId="33667"/>
    <cellStyle name="표준 16 6 5 3" xfId="18684"/>
    <cellStyle name="표준 16 6 5 3 2" xfId="41149"/>
    <cellStyle name="표준 16 6 5 4" xfId="26185"/>
    <cellStyle name="표준 16 6 6" xfId="11185"/>
    <cellStyle name="표준 16 6 6 2" xfId="33652"/>
    <cellStyle name="표준 16 6 7" xfId="18669"/>
    <cellStyle name="표준 16 6 7 2" xfId="41134"/>
    <cellStyle name="표준 16 6 8" xfId="26170"/>
    <cellStyle name="표준 16 6_Sheet4" xfId="2626"/>
    <cellStyle name="표준 16 7" xfId="2627"/>
    <cellStyle name="표준 16 7 2" xfId="2628"/>
    <cellStyle name="표준 16 7 2 2" xfId="2629"/>
    <cellStyle name="표준 16 7 2 2 2" xfId="2630"/>
    <cellStyle name="표준 16 7 2 2 2 2" xfId="2631"/>
    <cellStyle name="표준 16 7 2 2 2 2 2" xfId="11205"/>
    <cellStyle name="표준 16 7 2 2 2 2 2 2" xfId="33672"/>
    <cellStyle name="표준 16 7 2 2 2 2 3" xfId="18689"/>
    <cellStyle name="표준 16 7 2 2 2 2 3 2" xfId="41154"/>
    <cellStyle name="표준 16 7 2 2 2 2 4" xfId="26190"/>
    <cellStyle name="표준 16 7 2 2 2 3" xfId="11204"/>
    <cellStyle name="표준 16 7 2 2 2 3 2" xfId="33671"/>
    <cellStyle name="표준 16 7 2 2 2 4" xfId="18688"/>
    <cellStyle name="표준 16 7 2 2 2 4 2" xfId="41153"/>
    <cellStyle name="표준 16 7 2 2 2 5" xfId="26189"/>
    <cellStyle name="표준 16 7 2 2 2_Sheet4" xfId="2632"/>
    <cellStyle name="표준 16 7 2 2 3" xfId="2633"/>
    <cellStyle name="표준 16 7 2 2 3 2" xfId="11206"/>
    <cellStyle name="표준 16 7 2 2 3 2 2" xfId="33673"/>
    <cellStyle name="표준 16 7 2 2 3 3" xfId="18690"/>
    <cellStyle name="표준 16 7 2 2 3 3 2" xfId="41155"/>
    <cellStyle name="표준 16 7 2 2 3 4" xfId="26191"/>
    <cellStyle name="표준 16 7 2 2 4" xfId="11203"/>
    <cellStyle name="표준 16 7 2 2 4 2" xfId="33670"/>
    <cellStyle name="표준 16 7 2 2 5" xfId="18687"/>
    <cellStyle name="표준 16 7 2 2 5 2" xfId="41152"/>
    <cellStyle name="표준 16 7 2 2 6" xfId="26188"/>
    <cellStyle name="표준 16 7 2 2_Sheet4" xfId="2634"/>
    <cellStyle name="표준 16 7 2 3" xfId="2635"/>
    <cellStyle name="표준 16 7 2 3 2" xfId="2636"/>
    <cellStyle name="표준 16 7 2 3 2 2" xfId="11208"/>
    <cellStyle name="표준 16 7 2 3 2 2 2" xfId="33675"/>
    <cellStyle name="표준 16 7 2 3 2 3" xfId="18692"/>
    <cellStyle name="표준 16 7 2 3 2 3 2" xfId="41157"/>
    <cellStyle name="표준 16 7 2 3 2 4" xfId="26193"/>
    <cellStyle name="표준 16 7 2 3 3" xfId="11207"/>
    <cellStyle name="표준 16 7 2 3 3 2" xfId="33674"/>
    <cellStyle name="표준 16 7 2 3 4" xfId="18691"/>
    <cellStyle name="표준 16 7 2 3 4 2" xfId="41156"/>
    <cellStyle name="표준 16 7 2 3 5" xfId="26192"/>
    <cellStyle name="표준 16 7 2 3_Sheet4" xfId="2637"/>
    <cellStyle name="표준 16 7 2 4" xfId="2638"/>
    <cellStyle name="표준 16 7 2 4 2" xfId="11209"/>
    <cellStyle name="표준 16 7 2 4 2 2" xfId="33676"/>
    <cellStyle name="표준 16 7 2 4 3" xfId="18693"/>
    <cellStyle name="표준 16 7 2 4 3 2" xfId="41158"/>
    <cellStyle name="표준 16 7 2 4 4" xfId="26194"/>
    <cellStyle name="표준 16 7 2 5" xfId="11202"/>
    <cellStyle name="표준 16 7 2 5 2" xfId="33669"/>
    <cellStyle name="표준 16 7 2 6" xfId="18686"/>
    <cellStyle name="표준 16 7 2 6 2" xfId="41151"/>
    <cellStyle name="표준 16 7 2 7" xfId="26187"/>
    <cellStyle name="표준 16 7 2_Sheet4" xfId="2639"/>
    <cellStyle name="표준 16 7 3" xfId="2640"/>
    <cellStyle name="표준 16 7 3 2" xfId="2641"/>
    <cellStyle name="표준 16 7 3 2 2" xfId="2642"/>
    <cellStyle name="표준 16 7 3 2 2 2" xfId="11212"/>
    <cellStyle name="표준 16 7 3 2 2 2 2" xfId="33679"/>
    <cellStyle name="표준 16 7 3 2 2 3" xfId="18696"/>
    <cellStyle name="표준 16 7 3 2 2 3 2" xfId="41161"/>
    <cellStyle name="표준 16 7 3 2 2 4" xfId="26197"/>
    <cellStyle name="표준 16 7 3 2 3" xfId="11211"/>
    <cellStyle name="표준 16 7 3 2 3 2" xfId="33678"/>
    <cellStyle name="표준 16 7 3 2 4" xfId="18695"/>
    <cellStyle name="표준 16 7 3 2 4 2" xfId="41160"/>
    <cellStyle name="표준 16 7 3 2 5" xfId="26196"/>
    <cellStyle name="표준 16 7 3 2_Sheet4" xfId="2643"/>
    <cellStyle name="표준 16 7 3 3" xfId="2644"/>
    <cellStyle name="표준 16 7 3 3 2" xfId="11213"/>
    <cellStyle name="표준 16 7 3 3 2 2" xfId="33680"/>
    <cellStyle name="표준 16 7 3 3 3" xfId="18697"/>
    <cellStyle name="표준 16 7 3 3 3 2" xfId="41162"/>
    <cellStyle name="표준 16 7 3 3 4" xfId="26198"/>
    <cellStyle name="표준 16 7 3 4" xfId="11210"/>
    <cellStyle name="표준 16 7 3 4 2" xfId="33677"/>
    <cellStyle name="표준 16 7 3 5" xfId="18694"/>
    <cellStyle name="표준 16 7 3 5 2" xfId="41159"/>
    <cellStyle name="표준 16 7 3 6" xfId="26195"/>
    <cellStyle name="표준 16 7 3_Sheet4" xfId="2645"/>
    <cellStyle name="표준 16 7 4" xfId="2646"/>
    <cellStyle name="표준 16 7 4 2" xfId="2647"/>
    <cellStyle name="표준 16 7 4 2 2" xfId="11215"/>
    <cellStyle name="표준 16 7 4 2 2 2" xfId="33682"/>
    <cellStyle name="표준 16 7 4 2 3" xfId="18699"/>
    <cellStyle name="표준 16 7 4 2 3 2" xfId="41164"/>
    <cellStyle name="표준 16 7 4 2 4" xfId="26200"/>
    <cellStyle name="표준 16 7 4 3" xfId="11214"/>
    <cellStyle name="표준 16 7 4 3 2" xfId="33681"/>
    <cellStyle name="표준 16 7 4 4" xfId="18698"/>
    <cellStyle name="표준 16 7 4 4 2" xfId="41163"/>
    <cellStyle name="표준 16 7 4 5" xfId="26199"/>
    <cellStyle name="표준 16 7 4_Sheet4" xfId="2648"/>
    <cellStyle name="표준 16 7 5" xfId="2649"/>
    <cellStyle name="표준 16 7 5 2" xfId="11216"/>
    <cellStyle name="표준 16 7 5 2 2" xfId="33683"/>
    <cellStyle name="표준 16 7 5 3" xfId="18700"/>
    <cellStyle name="표준 16 7 5 3 2" xfId="41165"/>
    <cellStyle name="표준 16 7 5 4" xfId="26201"/>
    <cellStyle name="표준 16 7 6" xfId="11201"/>
    <cellStyle name="표준 16 7 6 2" xfId="33668"/>
    <cellStyle name="표준 16 7 7" xfId="18685"/>
    <cellStyle name="표준 16 7 7 2" xfId="41150"/>
    <cellStyle name="표준 16 7 8" xfId="26186"/>
    <cellStyle name="표준 16 7_Sheet4" xfId="2650"/>
    <cellStyle name="표준 16 8" xfId="2651"/>
    <cellStyle name="표준 16 8 2" xfId="2652"/>
    <cellStyle name="표준 16 8 2 2" xfId="2653"/>
    <cellStyle name="표준 16 8 2 2 2" xfId="2654"/>
    <cellStyle name="표준 16 8 2 2 2 2" xfId="11220"/>
    <cellStyle name="표준 16 8 2 2 2 2 2" xfId="33687"/>
    <cellStyle name="표준 16 8 2 2 2 3" xfId="18704"/>
    <cellStyle name="표준 16 8 2 2 2 3 2" xfId="41169"/>
    <cellStyle name="표준 16 8 2 2 2 4" xfId="26205"/>
    <cellStyle name="표준 16 8 2 2 3" xfId="11219"/>
    <cellStyle name="표준 16 8 2 2 3 2" xfId="33686"/>
    <cellStyle name="표준 16 8 2 2 4" xfId="18703"/>
    <cellStyle name="표준 16 8 2 2 4 2" xfId="41168"/>
    <cellStyle name="표준 16 8 2 2 5" xfId="26204"/>
    <cellStyle name="표준 16 8 2 2_Sheet4" xfId="2655"/>
    <cellStyle name="표준 16 8 2 3" xfId="2656"/>
    <cellStyle name="표준 16 8 2 3 2" xfId="11221"/>
    <cellStyle name="표준 16 8 2 3 2 2" xfId="33688"/>
    <cellStyle name="표준 16 8 2 3 3" xfId="18705"/>
    <cellStyle name="표준 16 8 2 3 3 2" xfId="41170"/>
    <cellStyle name="표준 16 8 2 3 4" xfId="26206"/>
    <cellStyle name="표준 16 8 2 4" xfId="11218"/>
    <cellStyle name="표준 16 8 2 4 2" xfId="33685"/>
    <cellStyle name="표준 16 8 2 5" xfId="18702"/>
    <cellStyle name="표준 16 8 2 5 2" xfId="41167"/>
    <cellStyle name="표준 16 8 2 6" xfId="26203"/>
    <cellStyle name="표준 16 8 2_Sheet4" xfId="2657"/>
    <cellStyle name="표준 16 8 3" xfId="2658"/>
    <cellStyle name="표준 16 8 3 2" xfId="2659"/>
    <cellStyle name="표준 16 8 3 2 2" xfId="11223"/>
    <cellStyle name="표준 16 8 3 2 2 2" xfId="33690"/>
    <cellStyle name="표준 16 8 3 2 3" xfId="18707"/>
    <cellStyle name="표준 16 8 3 2 3 2" xfId="41172"/>
    <cellStyle name="표준 16 8 3 2 4" xfId="26208"/>
    <cellStyle name="표준 16 8 3 3" xfId="11222"/>
    <cellStyle name="표준 16 8 3 3 2" xfId="33689"/>
    <cellStyle name="표준 16 8 3 4" xfId="18706"/>
    <cellStyle name="표준 16 8 3 4 2" xfId="41171"/>
    <cellStyle name="표준 16 8 3 5" xfId="26207"/>
    <cellStyle name="표준 16 8 3_Sheet4" xfId="2660"/>
    <cellStyle name="표준 16 8 4" xfId="2661"/>
    <cellStyle name="표준 16 8 4 2" xfId="11224"/>
    <cellStyle name="표준 16 8 4 2 2" xfId="33691"/>
    <cellStyle name="표준 16 8 4 3" xfId="18708"/>
    <cellStyle name="표준 16 8 4 3 2" xfId="41173"/>
    <cellStyle name="표준 16 8 4 4" xfId="26209"/>
    <cellStyle name="표준 16 8 5" xfId="11217"/>
    <cellStyle name="표준 16 8 5 2" xfId="33684"/>
    <cellStyle name="표준 16 8 6" xfId="18701"/>
    <cellStyle name="표준 16 8 6 2" xfId="41166"/>
    <cellStyle name="표준 16 8 7" xfId="26202"/>
    <cellStyle name="표준 16 8_Sheet4" xfId="2662"/>
    <cellStyle name="표준 16 9" xfId="2663"/>
    <cellStyle name="표준 16 9 2" xfId="2664"/>
    <cellStyle name="표준 16 9 2 2" xfId="2665"/>
    <cellStyle name="표준 16 9 2 2 2" xfId="2666"/>
    <cellStyle name="표준 16 9 2 2 2 2" xfId="11228"/>
    <cellStyle name="표준 16 9 2 2 2 2 2" xfId="33695"/>
    <cellStyle name="표준 16 9 2 2 2 3" xfId="18712"/>
    <cellStyle name="표준 16 9 2 2 2 3 2" xfId="41177"/>
    <cellStyle name="표준 16 9 2 2 2 4" xfId="26213"/>
    <cellStyle name="표준 16 9 2 2 3" xfId="11227"/>
    <cellStyle name="표준 16 9 2 2 3 2" xfId="33694"/>
    <cellStyle name="표준 16 9 2 2 4" xfId="18711"/>
    <cellStyle name="표준 16 9 2 2 4 2" xfId="41176"/>
    <cellStyle name="표준 16 9 2 2 5" xfId="26212"/>
    <cellStyle name="표준 16 9 2 2_Sheet4" xfId="2667"/>
    <cellStyle name="표준 16 9 2 3" xfId="2668"/>
    <cellStyle name="표준 16 9 2 3 2" xfId="11229"/>
    <cellStyle name="표준 16 9 2 3 2 2" xfId="33696"/>
    <cellStyle name="표준 16 9 2 3 3" xfId="18713"/>
    <cellStyle name="표준 16 9 2 3 3 2" xfId="41178"/>
    <cellStyle name="표준 16 9 2 3 4" xfId="26214"/>
    <cellStyle name="표준 16 9 2 4" xfId="11226"/>
    <cellStyle name="표준 16 9 2 4 2" xfId="33693"/>
    <cellStyle name="표준 16 9 2 5" xfId="18710"/>
    <cellStyle name="표준 16 9 2 5 2" xfId="41175"/>
    <cellStyle name="표준 16 9 2 6" xfId="26211"/>
    <cellStyle name="표준 16 9 2_Sheet4" xfId="2669"/>
    <cellStyle name="표준 16 9 3" xfId="2670"/>
    <cellStyle name="표준 16 9 3 2" xfId="2671"/>
    <cellStyle name="표준 16 9 3 2 2" xfId="11231"/>
    <cellStyle name="표준 16 9 3 2 2 2" xfId="33698"/>
    <cellStyle name="표준 16 9 3 2 3" xfId="18715"/>
    <cellStyle name="표준 16 9 3 2 3 2" xfId="41180"/>
    <cellStyle name="표준 16 9 3 2 4" xfId="26216"/>
    <cellStyle name="표준 16 9 3 3" xfId="11230"/>
    <cellStyle name="표준 16 9 3 3 2" xfId="33697"/>
    <cellStyle name="표준 16 9 3 4" xfId="18714"/>
    <cellStyle name="표준 16 9 3 4 2" xfId="41179"/>
    <cellStyle name="표준 16 9 3 5" xfId="26215"/>
    <cellStyle name="표준 16 9 3_Sheet4" xfId="2672"/>
    <cellStyle name="표준 16 9 4" xfId="2673"/>
    <cellStyle name="표준 16 9 4 2" xfId="11232"/>
    <cellStyle name="표준 16 9 4 2 2" xfId="33699"/>
    <cellStyle name="표준 16 9 4 3" xfId="18716"/>
    <cellStyle name="표준 16 9 4 3 2" xfId="41181"/>
    <cellStyle name="표준 16 9 4 4" xfId="26217"/>
    <cellStyle name="표준 16 9 5" xfId="11225"/>
    <cellStyle name="표준 16 9 5 2" xfId="33692"/>
    <cellStyle name="표준 16 9 6" xfId="18709"/>
    <cellStyle name="표준 16 9 6 2" xfId="41174"/>
    <cellStyle name="표준 16 9 7" xfId="26210"/>
    <cellStyle name="표준 16 9_Sheet4" xfId="2674"/>
    <cellStyle name="표준 16_Sheet4" xfId="2675"/>
    <cellStyle name="표준 17" xfId="9"/>
    <cellStyle name="표준 18" xfId="2676"/>
    <cellStyle name="표준 18 10" xfId="2677"/>
    <cellStyle name="표준 18 10 2" xfId="2678"/>
    <cellStyle name="표준 18 10 2 2" xfId="2679"/>
    <cellStyle name="표준 18 10 2 2 2" xfId="11236"/>
    <cellStyle name="표준 18 10 2 2 2 2" xfId="33703"/>
    <cellStyle name="표준 18 10 2 2 3" xfId="18720"/>
    <cellStyle name="표준 18 10 2 2 3 2" xfId="41185"/>
    <cellStyle name="표준 18 10 2 2 4" xfId="26221"/>
    <cellStyle name="표준 18 10 2 3" xfId="11235"/>
    <cellStyle name="표준 18 10 2 3 2" xfId="33702"/>
    <cellStyle name="표준 18 10 2 4" xfId="18719"/>
    <cellStyle name="표준 18 10 2 4 2" xfId="41184"/>
    <cellStyle name="표준 18 10 2 5" xfId="26220"/>
    <cellStyle name="표준 18 10 2_Sheet4" xfId="2680"/>
    <cellStyle name="표준 18 10 3" xfId="2681"/>
    <cellStyle name="표준 18 10 3 2" xfId="11237"/>
    <cellStyle name="표준 18 10 3 2 2" xfId="33704"/>
    <cellStyle name="표준 18 10 3 3" xfId="18721"/>
    <cellStyle name="표준 18 10 3 3 2" xfId="41186"/>
    <cellStyle name="표준 18 10 3 4" xfId="26222"/>
    <cellStyle name="표준 18 10 4" xfId="11234"/>
    <cellStyle name="표준 18 10 4 2" xfId="33701"/>
    <cellStyle name="표준 18 10 5" xfId="18718"/>
    <cellStyle name="표준 18 10 5 2" xfId="41183"/>
    <cellStyle name="표준 18 10 6" xfId="26219"/>
    <cellStyle name="표준 18 10_Sheet4" xfId="2682"/>
    <cellStyle name="표준 18 11" xfId="2683"/>
    <cellStyle name="표준 18 11 2" xfId="2684"/>
    <cellStyle name="표준 18 11 2 2" xfId="2685"/>
    <cellStyle name="표준 18 11 2 2 2" xfId="11240"/>
    <cellStyle name="표준 18 11 2 2 2 2" xfId="33707"/>
    <cellStyle name="표준 18 11 2 2 3" xfId="18724"/>
    <cellStyle name="표준 18 11 2 2 3 2" xfId="41189"/>
    <cellStyle name="표준 18 11 2 2 4" xfId="26225"/>
    <cellStyle name="표준 18 11 2 3" xfId="11239"/>
    <cellStyle name="표준 18 11 2 3 2" xfId="33706"/>
    <cellStyle name="표준 18 11 2 4" xfId="18723"/>
    <cellStyle name="표준 18 11 2 4 2" xfId="41188"/>
    <cellStyle name="표준 18 11 2 5" xfId="26224"/>
    <cellStyle name="표준 18 11 2_Sheet4" xfId="2686"/>
    <cellStyle name="표준 18 11 3" xfId="2687"/>
    <cellStyle name="표준 18 11 3 2" xfId="11241"/>
    <cellStyle name="표준 18 11 3 2 2" xfId="33708"/>
    <cellStyle name="표준 18 11 3 3" xfId="18725"/>
    <cellStyle name="표준 18 11 3 3 2" xfId="41190"/>
    <cellStyle name="표준 18 11 3 4" xfId="26226"/>
    <cellStyle name="표준 18 11 4" xfId="11238"/>
    <cellStyle name="표준 18 11 4 2" xfId="33705"/>
    <cellStyle name="표준 18 11 5" xfId="18722"/>
    <cellStyle name="표준 18 11 5 2" xfId="41187"/>
    <cellStyle name="표준 18 11 6" xfId="26223"/>
    <cellStyle name="표준 18 11_Sheet4" xfId="2688"/>
    <cellStyle name="표준 18 12" xfId="2689"/>
    <cellStyle name="표준 18 12 2" xfId="2690"/>
    <cellStyle name="표준 18 12 2 2" xfId="2691"/>
    <cellStyle name="표준 18 12 2 2 2" xfId="11244"/>
    <cellStyle name="표준 18 12 2 2 2 2" xfId="33711"/>
    <cellStyle name="표준 18 12 2 2 3" xfId="18728"/>
    <cellStyle name="표준 18 12 2 2 3 2" xfId="41193"/>
    <cellStyle name="표준 18 12 2 2 4" xfId="26229"/>
    <cellStyle name="표준 18 12 2 3" xfId="11243"/>
    <cellStyle name="표준 18 12 2 3 2" xfId="33710"/>
    <cellStyle name="표준 18 12 2 4" xfId="18727"/>
    <cellStyle name="표준 18 12 2 4 2" xfId="41192"/>
    <cellStyle name="표준 18 12 2 5" xfId="26228"/>
    <cellStyle name="표준 18 12 2_Sheet4" xfId="2692"/>
    <cellStyle name="표준 18 12 3" xfId="2693"/>
    <cellStyle name="표준 18 12 3 2" xfId="11245"/>
    <cellStyle name="표준 18 12 3 2 2" xfId="33712"/>
    <cellStyle name="표준 18 12 3 3" xfId="18729"/>
    <cellStyle name="표준 18 12 3 3 2" xfId="41194"/>
    <cellStyle name="표준 18 12 3 4" xfId="26230"/>
    <cellStyle name="표준 18 12 4" xfId="11242"/>
    <cellStyle name="표준 18 12 4 2" xfId="33709"/>
    <cellStyle name="표준 18 12 5" xfId="18726"/>
    <cellStyle name="표준 18 12 5 2" xfId="41191"/>
    <cellStyle name="표준 18 12 6" xfId="26227"/>
    <cellStyle name="표준 18 12_Sheet4" xfId="2694"/>
    <cellStyle name="표준 18 13" xfId="2695"/>
    <cellStyle name="표준 18 13 2" xfId="2696"/>
    <cellStyle name="표준 18 13 2 2" xfId="11247"/>
    <cellStyle name="표준 18 13 2 2 2" xfId="33714"/>
    <cellStyle name="표준 18 13 2 3" xfId="18731"/>
    <cellStyle name="표준 18 13 2 3 2" xfId="41196"/>
    <cellStyle name="표준 18 13 2 4" xfId="26232"/>
    <cellStyle name="표준 18 13 3" xfId="11246"/>
    <cellStyle name="표준 18 13 3 2" xfId="33713"/>
    <cellStyle name="표준 18 13 4" xfId="18730"/>
    <cellStyle name="표준 18 13 4 2" xfId="41195"/>
    <cellStyle name="표준 18 13 5" xfId="26231"/>
    <cellStyle name="표준 18 13_Sheet4" xfId="2697"/>
    <cellStyle name="표준 18 14" xfId="2698"/>
    <cellStyle name="표준 18 14 2" xfId="11248"/>
    <cellStyle name="표준 18 14 2 2" xfId="33715"/>
    <cellStyle name="표준 18 14 3" xfId="18732"/>
    <cellStyle name="표준 18 14 3 2" xfId="41197"/>
    <cellStyle name="표준 18 14 4" xfId="26233"/>
    <cellStyle name="표준 18 15" xfId="11233"/>
    <cellStyle name="표준 18 15 2" xfId="33700"/>
    <cellStyle name="표준 18 16" xfId="18717"/>
    <cellStyle name="표준 18 16 2" xfId="41182"/>
    <cellStyle name="표준 18 17" xfId="26218"/>
    <cellStyle name="표준 18 2" xfId="2699"/>
    <cellStyle name="표준 18 2 10" xfId="11249"/>
    <cellStyle name="표준 18 2 10 2" xfId="33716"/>
    <cellStyle name="표준 18 2 11" xfId="18733"/>
    <cellStyle name="표준 18 2 11 2" xfId="41198"/>
    <cellStyle name="표준 18 2 12" xfId="26234"/>
    <cellStyle name="표준 18 2 2" xfId="2700"/>
    <cellStyle name="표준 18 2 2 10" xfId="26235"/>
    <cellStyle name="표준 18 2 2 2" xfId="2701"/>
    <cellStyle name="표준 18 2 2 2 2" xfId="2702"/>
    <cellStyle name="표준 18 2 2 2 2 2" xfId="2703"/>
    <cellStyle name="표준 18 2 2 2 2 2 2" xfId="2704"/>
    <cellStyle name="표준 18 2 2 2 2 2 2 2" xfId="2705"/>
    <cellStyle name="표준 18 2 2 2 2 2 2 2 2" xfId="11255"/>
    <cellStyle name="표준 18 2 2 2 2 2 2 2 2 2" xfId="33722"/>
    <cellStyle name="표준 18 2 2 2 2 2 2 2 3" xfId="18739"/>
    <cellStyle name="표준 18 2 2 2 2 2 2 2 3 2" xfId="41204"/>
    <cellStyle name="표준 18 2 2 2 2 2 2 2 4" xfId="26240"/>
    <cellStyle name="표준 18 2 2 2 2 2 2 3" xfId="11254"/>
    <cellStyle name="표준 18 2 2 2 2 2 2 3 2" xfId="33721"/>
    <cellStyle name="표준 18 2 2 2 2 2 2 4" xfId="18738"/>
    <cellStyle name="표준 18 2 2 2 2 2 2 4 2" xfId="41203"/>
    <cellStyle name="표준 18 2 2 2 2 2 2 5" xfId="26239"/>
    <cellStyle name="표준 18 2 2 2 2 2 2_Sheet4" xfId="2706"/>
    <cellStyle name="표준 18 2 2 2 2 2 3" xfId="2707"/>
    <cellStyle name="표준 18 2 2 2 2 2 3 2" xfId="11256"/>
    <cellStyle name="표준 18 2 2 2 2 2 3 2 2" xfId="33723"/>
    <cellStyle name="표준 18 2 2 2 2 2 3 3" xfId="18740"/>
    <cellStyle name="표준 18 2 2 2 2 2 3 3 2" xfId="41205"/>
    <cellStyle name="표준 18 2 2 2 2 2 3 4" xfId="26241"/>
    <cellStyle name="표준 18 2 2 2 2 2 4" xfId="11253"/>
    <cellStyle name="표준 18 2 2 2 2 2 4 2" xfId="33720"/>
    <cellStyle name="표준 18 2 2 2 2 2 5" xfId="18737"/>
    <cellStyle name="표준 18 2 2 2 2 2 5 2" xfId="41202"/>
    <cellStyle name="표준 18 2 2 2 2 2 6" xfId="26238"/>
    <cellStyle name="표준 18 2 2 2 2 2_Sheet4" xfId="2708"/>
    <cellStyle name="표준 18 2 2 2 2 3" xfId="2709"/>
    <cellStyle name="표준 18 2 2 2 2 3 2" xfId="2710"/>
    <cellStyle name="표준 18 2 2 2 2 3 2 2" xfId="11258"/>
    <cellStyle name="표준 18 2 2 2 2 3 2 2 2" xfId="33725"/>
    <cellStyle name="표준 18 2 2 2 2 3 2 3" xfId="18742"/>
    <cellStyle name="표준 18 2 2 2 2 3 2 3 2" xfId="41207"/>
    <cellStyle name="표준 18 2 2 2 2 3 2 4" xfId="26243"/>
    <cellStyle name="표준 18 2 2 2 2 3 3" xfId="11257"/>
    <cellStyle name="표준 18 2 2 2 2 3 3 2" xfId="33724"/>
    <cellStyle name="표준 18 2 2 2 2 3 4" xfId="18741"/>
    <cellStyle name="표준 18 2 2 2 2 3 4 2" xfId="41206"/>
    <cellStyle name="표준 18 2 2 2 2 3 5" xfId="26242"/>
    <cellStyle name="표준 18 2 2 2 2 3_Sheet4" xfId="2711"/>
    <cellStyle name="표준 18 2 2 2 2 4" xfId="2712"/>
    <cellStyle name="표준 18 2 2 2 2 4 2" xfId="11259"/>
    <cellStyle name="표준 18 2 2 2 2 4 2 2" xfId="33726"/>
    <cellStyle name="표준 18 2 2 2 2 4 3" xfId="18743"/>
    <cellStyle name="표준 18 2 2 2 2 4 3 2" xfId="41208"/>
    <cellStyle name="표준 18 2 2 2 2 4 4" xfId="26244"/>
    <cellStyle name="표준 18 2 2 2 2 5" xfId="11252"/>
    <cellStyle name="표준 18 2 2 2 2 5 2" xfId="33719"/>
    <cellStyle name="표준 18 2 2 2 2 6" xfId="18736"/>
    <cellStyle name="표준 18 2 2 2 2 6 2" xfId="41201"/>
    <cellStyle name="표준 18 2 2 2 2 7" xfId="26237"/>
    <cellStyle name="표준 18 2 2 2 2_Sheet4" xfId="2713"/>
    <cellStyle name="표준 18 2 2 2 3" xfId="2714"/>
    <cellStyle name="표준 18 2 2 2 3 2" xfId="2715"/>
    <cellStyle name="표준 18 2 2 2 3 2 2" xfId="2716"/>
    <cellStyle name="표준 18 2 2 2 3 2 2 2" xfId="11262"/>
    <cellStyle name="표준 18 2 2 2 3 2 2 2 2" xfId="33729"/>
    <cellStyle name="표준 18 2 2 2 3 2 2 3" xfId="18746"/>
    <cellStyle name="표준 18 2 2 2 3 2 2 3 2" xfId="41211"/>
    <cellStyle name="표준 18 2 2 2 3 2 2 4" xfId="26247"/>
    <cellStyle name="표준 18 2 2 2 3 2 3" xfId="11261"/>
    <cellStyle name="표준 18 2 2 2 3 2 3 2" xfId="33728"/>
    <cellStyle name="표준 18 2 2 2 3 2 4" xfId="18745"/>
    <cellStyle name="표준 18 2 2 2 3 2 4 2" xfId="41210"/>
    <cellStyle name="표준 18 2 2 2 3 2 5" xfId="26246"/>
    <cellStyle name="표준 18 2 2 2 3 2_Sheet4" xfId="2717"/>
    <cellStyle name="표준 18 2 2 2 3 3" xfId="2718"/>
    <cellStyle name="표준 18 2 2 2 3 3 2" xfId="11263"/>
    <cellStyle name="표준 18 2 2 2 3 3 2 2" xfId="33730"/>
    <cellStyle name="표준 18 2 2 2 3 3 3" xfId="18747"/>
    <cellStyle name="표준 18 2 2 2 3 3 3 2" xfId="41212"/>
    <cellStyle name="표준 18 2 2 2 3 3 4" xfId="26248"/>
    <cellStyle name="표준 18 2 2 2 3 4" xfId="11260"/>
    <cellStyle name="표준 18 2 2 2 3 4 2" xfId="33727"/>
    <cellStyle name="표준 18 2 2 2 3 5" xfId="18744"/>
    <cellStyle name="표준 18 2 2 2 3 5 2" xfId="41209"/>
    <cellStyle name="표준 18 2 2 2 3 6" xfId="26245"/>
    <cellStyle name="표준 18 2 2 2 3_Sheet4" xfId="2719"/>
    <cellStyle name="표준 18 2 2 2 4" xfId="2720"/>
    <cellStyle name="표준 18 2 2 2 4 2" xfId="2721"/>
    <cellStyle name="표준 18 2 2 2 4 2 2" xfId="11265"/>
    <cellStyle name="표준 18 2 2 2 4 2 2 2" xfId="33732"/>
    <cellStyle name="표준 18 2 2 2 4 2 3" xfId="18749"/>
    <cellStyle name="표준 18 2 2 2 4 2 3 2" xfId="41214"/>
    <cellStyle name="표준 18 2 2 2 4 2 4" xfId="26250"/>
    <cellStyle name="표준 18 2 2 2 4 3" xfId="11264"/>
    <cellStyle name="표준 18 2 2 2 4 3 2" xfId="33731"/>
    <cellStyle name="표준 18 2 2 2 4 4" xfId="18748"/>
    <cellStyle name="표준 18 2 2 2 4 4 2" xfId="41213"/>
    <cellStyle name="표준 18 2 2 2 4 5" xfId="26249"/>
    <cellStyle name="표준 18 2 2 2 4_Sheet4" xfId="2722"/>
    <cellStyle name="표준 18 2 2 2 5" xfId="2723"/>
    <cellStyle name="표준 18 2 2 2 5 2" xfId="11266"/>
    <cellStyle name="표준 18 2 2 2 5 2 2" xfId="33733"/>
    <cellStyle name="표준 18 2 2 2 5 3" xfId="18750"/>
    <cellStyle name="표준 18 2 2 2 5 3 2" xfId="41215"/>
    <cellStyle name="표준 18 2 2 2 5 4" xfId="26251"/>
    <cellStyle name="표준 18 2 2 2 6" xfId="11251"/>
    <cellStyle name="표준 18 2 2 2 6 2" xfId="33718"/>
    <cellStyle name="표준 18 2 2 2 7" xfId="18735"/>
    <cellStyle name="표준 18 2 2 2 7 2" xfId="41200"/>
    <cellStyle name="표준 18 2 2 2 8" xfId="26236"/>
    <cellStyle name="표준 18 2 2 2_Sheet4" xfId="2724"/>
    <cellStyle name="표준 18 2 2 3" xfId="2725"/>
    <cellStyle name="표준 18 2 2 3 2" xfId="2726"/>
    <cellStyle name="표준 18 2 2 3 2 2" xfId="2727"/>
    <cellStyle name="표준 18 2 2 3 2 2 2" xfId="2728"/>
    <cellStyle name="표준 18 2 2 3 2 2 2 2" xfId="2729"/>
    <cellStyle name="표준 18 2 2 3 2 2 2 2 2" xfId="11271"/>
    <cellStyle name="표준 18 2 2 3 2 2 2 2 2 2" xfId="33738"/>
    <cellStyle name="표준 18 2 2 3 2 2 2 2 3" xfId="18755"/>
    <cellStyle name="표준 18 2 2 3 2 2 2 2 3 2" xfId="41220"/>
    <cellStyle name="표준 18 2 2 3 2 2 2 2 4" xfId="26256"/>
    <cellStyle name="표준 18 2 2 3 2 2 2 3" xfId="11270"/>
    <cellStyle name="표준 18 2 2 3 2 2 2 3 2" xfId="33737"/>
    <cellStyle name="표준 18 2 2 3 2 2 2 4" xfId="18754"/>
    <cellStyle name="표준 18 2 2 3 2 2 2 4 2" xfId="41219"/>
    <cellStyle name="표준 18 2 2 3 2 2 2 5" xfId="26255"/>
    <cellStyle name="표준 18 2 2 3 2 2 2_Sheet4" xfId="2730"/>
    <cellStyle name="표준 18 2 2 3 2 2 3" xfId="2731"/>
    <cellStyle name="표준 18 2 2 3 2 2 3 2" xfId="11272"/>
    <cellStyle name="표준 18 2 2 3 2 2 3 2 2" xfId="33739"/>
    <cellStyle name="표준 18 2 2 3 2 2 3 3" xfId="18756"/>
    <cellStyle name="표준 18 2 2 3 2 2 3 3 2" xfId="41221"/>
    <cellStyle name="표준 18 2 2 3 2 2 3 4" xfId="26257"/>
    <cellStyle name="표준 18 2 2 3 2 2 4" xfId="11269"/>
    <cellStyle name="표준 18 2 2 3 2 2 4 2" xfId="33736"/>
    <cellStyle name="표준 18 2 2 3 2 2 5" xfId="18753"/>
    <cellStyle name="표준 18 2 2 3 2 2 5 2" xfId="41218"/>
    <cellStyle name="표준 18 2 2 3 2 2 6" xfId="26254"/>
    <cellStyle name="표준 18 2 2 3 2 2_Sheet4" xfId="2732"/>
    <cellStyle name="표준 18 2 2 3 2 3" xfId="2733"/>
    <cellStyle name="표준 18 2 2 3 2 3 2" xfId="2734"/>
    <cellStyle name="표준 18 2 2 3 2 3 2 2" xfId="11274"/>
    <cellStyle name="표준 18 2 2 3 2 3 2 2 2" xfId="33741"/>
    <cellStyle name="표준 18 2 2 3 2 3 2 3" xfId="18758"/>
    <cellStyle name="표준 18 2 2 3 2 3 2 3 2" xfId="41223"/>
    <cellStyle name="표준 18 2 2 3 2 3 2 4" xfId="26259"/>
    <cellStyle name="표준 18 2 2 3 2 3 3" xfId="11273"/>
    <cellStyle name="표준 18 2 2 3 2 3 3 2" xfId="33740"/>
    <cellStyle name="표준 18 2 2 3 2 3 4" xfId="18757"/>
    <cellStyle name="표준 18 2 2 3 2 3 4 2" xfId="41222"/>
    <cellStyle name="표준 18 2 2 3 2 3 5" xfId="26258"/>
    <cellStyle name="표준 18 2 2 3 2 3_Sheet4" xfId="2735"/>
    <cellStyle name="표준 18 2 2 3 2 4" xfId="2736"/>
    <cellStyle name="표준 18 2 2 3 2 4 2" xfId="11275"/>
    <cellStyle name="표준 18 2 2 3 2 4 2 2" xfId="33742"/>
    <cellStyle name="표준 18 2 2 3 2 4 3" xfId="18759"/>
    <cellStyle name="표준 18 2 2 3 2 4 3 2" xfId="41224"/>
    <cellStyle name="표준 18 2 2 3 2 4 4" xfId="26260"/>
    <cellStyle name="표준 18 2 2 3 2 5" xfId="11268"/>
    <cellStyle name="표준 18 2 2 3 2 5 2" xfId="33735"/>
    <cellStyle name="표준 18 2 2 3 2 6" xfId="18752"/>
    <cellStyle name="표준 18 2 2 3 2 6 2" xfId="41217"/>
    <cellStyle name="표준 18 2 2 3 2 7" xfId="26253"/>
    <cellStyle name="표준 18 2 2 3 2_Sheet4" xfId="2737"/>
    <cellStyle name="표준 18 2 2 3 3" xfId="2738"/>
    <cellStyle name="표준 18 2 2 3 3 2" xfId="2739"/>
    <cellStyle name="표준 18 2 2 3 3 2 2" xfId="2740"/>
    <cellStyle name="표준 18 2 2 3 3 2 2 2" xfId="11278"/>
    <cellStyle name="표준 18 2 2 3 3 2 2 2 2" xfId="33745"/>
    <cellStyle name="표준 18 2 2 3 3 2 2 3" xfId="18762"/>
    <cellStyle name="표준 18 2 2 3 3 2 2 3 2" xfId="41227"/>
    <cellStyle name="표준 18 2 2 3 3 2 2 4" xfId="26263"/>
    <cellStyle name="표준 18 2 2 3 3 2 3" xfId="11277"/>
    <cellStyle name="표준 18 2 2 3 3 2 3 2" xfId="33744"/>
    <cellStyle name="표준 18 2 2 3 3 2 4" xfId="18761"/>
    <cellStyle name="표준 18 2 2 3 3 2 4 2" xfId="41226"/>
    <cellStyle name="표준 18 2 2 3 3 2 5" xfId="26262"/>
    <cellStyle name="표준 18 2 2 3 3 2_Sheet4" xfId="2741"/>
    <cellStyle name="표준 18 2 2 3 3 3" xfId="2742"/>
    <cellStyle name="표준 18 2 2 3 3 3 2" xfId="11279"/>
    <cellStyle name="표준 18 2 2 3 3 3 2 2" xfId="33746"/>
    <cellStyle name="표준 18 2 2 3 3 3 3" xfId="18763"/>
    <cellStyle name="표준 18 2 2 3 3 3 3 2" xfId="41228"/>
    <cellStyle name="표준 18 2 2 3 3 3 4" xfId="26264"/>
    <cellStyle name="표준 18 2 2 3 3 4" xfId="11276"/>
    <cellStyle name="표준 18 2 2 3 3 4 2" xfId="33743"/>
    <cellStyle name="표준 18 2 2 3 3 5" xfId="18760"/>
    <cellStyle name="표준 18 2 2 3 3 5 2" xfId="41225"/>
    <cellStyle name="표준 18 2 2 3 3 6" xfId="26261"/>
    <cellStyle name="표준 18 2 2 3 3_Sheet4" xfId="2743"/>
    <cellStyle name="표준 18 2 2 3 4" xfId="2744"/>
    <cellStyle name="표준 18 2 2 3 4 2" xfId="2745"/>
    <cellStyle name="표준 18 2 2 3 4 2 2" xfId="11281"/>
    <cellStyle name="표준 18 2 2 3 4 2 2 2" xfId="33748"/>
    <cellStyle name="표준 18 2 2 3 4 2 3" xfId="18765"/>
    <cellStyle name="표준 18 2 2 3 4 2 3 2" xfId="41230"/>
    <cellStyle name="표준 18 2 2 3 4 2 4" xfId="26266"/>
    <cellStyle name="표준 18 2 2 3 4 3" xfId="11280"/>
    <cellStyle name="표준 18 2 2 3 4 3 2" xfId="33747"/>
    <cellStyle name="표준 18 2 2 3 4 4" xfId="18764"/>
    <cellStyle name="표준 18 2 2 3 4 4 2" xfId="41229"/>
    <cellStyle name="표준 18 2 2 3 4 5" xfId="26265"/>
    <cellStyle name="표준 18 2 2 3 4_Sheet4" xfId="2746"/>
    <cellStyle name="표준 18 2 2 3 5" xfId="2747"/>
    <cellStyle name="표준 18 2 2 3 5 2" xfId="11282"/>
    <cellStyle name="표준 18 2 2 3 5 2 2" xfId="33749"/>
    <cellStyle name="표준 18 2 2 3 5 3" xfId="18766"/>
    <cellStyle name="표준 18 2 2 3 5 3 2" xfId="41231"/>
    <cellStyle name="표준 18 2 2 3 5 4" xfId="26267"/>
    <cellStyle name="표준 18 2 2 3 6" xfId="11267"/>
    <cellStyle name="표준 18 2 2 3 6 2" xfId="33734"/>
    <cellStyle name="표준 18 2 2 3 7" xfId="18751"/>
    <cellStyle name="표준 18 2 2 3 7 2" xfId="41216"/>
    <cellStyle name="표준 18 2 2 3 8" xfId="26252"/>
    <cellStyle name="표준 18 2 2 3_Sheet4" xfId="2748"/>
    <cellStyle name="표준 18 2 2 4" xfId="2749"/>
    <cellStyle name="표준 18 2 2 4 2" xfId="2750"/>
    <cellStyle name="표준 18 2 2 4 2 2" xfId="2751"/>
    <cellStyle name="표준 18 2 2 4 2 2 2" xfId="2752"/>
    <cellStyle name="표준 18 2 2 4 2 2 2 2" xfId="11286"/>
    <cellStyle name="표준 18 2 2 4 2 2 2 2 2" xfId="33753"/>
    <cellStyle name="표준 18 2 2 4 2 2 2 3" xfId="18770"/>
    <cellStyle name="표준 18 2 2 4 2 2 2 3 2" xfId="41235"/>
    <cellStyle name="표준 18 2 2 4 2 2 2 4" xfId="26271"/>
    <cellStyle name="표준 18 2 2 4 2 2 3" xfId="11285"/>
    <cellStyle name="표준 18 2 2 4 2 2 3 2" xfId="33752"/>
    <cellStyle name="표준 18 2 2 4 2 2 4" xfId="18769"/>
    <cellStyle name="표준 18 2 2 4 2 2 4 2" xfId="41234"/>
    <cellStyle name="표준 18 2 2 4 2 2 5" xfId="26270"/>
    <cellStyle name="표준 18 2 2 4 2 2_Sheet4" xfId="2753"/>
    <cellStyle name="표준 18 2 2 4 2 3" xfId="2754"/>
    <cellStyle name="표준 18 2 2 4 2 3 2" xfId="11287"/>
    <cellStyle name="표준 18 2 2 4 2 3 2 2" xfId="33754"/>
    <cellStyle name="표준 18 2 2 4 2 3 3" xfId="18771"/>
    <cellStyle name="표준 18 2 2 4 2 3 3 2" xfId="41236"/>
    <cellStyle name="표준 18 2 2 4 2 3 4" xfId="26272"/>
    <cellStyle name="표준 18 2 2 4 2 4" xfId="11284"/>
    <cellStyle name="표준 18 2 2 4 2 4 2" xfId="33751"/>
    <cellStyle name="표준 18 2 2 4 2 5" xfId="18768"/>
    <cellStyle name="표준 18 2 2 4 2 5 2" xfId="41233"/>
    <cellStyle name="표준 18 2 2 4 2 6" xfId="26269"/>
    <cellStyle name="표준 18 2 2 4 2_Sheet4" xfId="2755"/>
    <cellStyle name="표준 18 2 2 4 3" xfId="2756"/>
    <cellStyle name="표준 18 2 2 4 3 2" xfId="2757"/>
    <cellStyle name="표준 18 2 2 4 3 2 2" xfId="11289"/>
    <cellStyle name="표준 18 2 2 4 3 2 2 2" xfId="33756"/>
    <cellStyle name="표준 18 2 2 4 3 2 3" xfId="18773"/>
    <cellStyle name="표준 18 2 2 4 3 2 3 2" xfId="41238"/>
    <cellStyle name="표준 18 2 2 4 3 2 4" xfId="26274"/>
    <cellStyle name="표준 18 2 2 4 3 3" xfId="11288"/>
    <cellStyle name="표준 18 2 2 4 3 3 2" xfId="33755"/>
    <cellStyle name="표준 18 2 2 4 3 4" xfId="18772"/>
    <cellStyle name="표준 18 2 2 4 3 4 2" xfId="41237"/>
    <cellStyle name="표준 18 2 2 4 3 5" xfId="26273"/>
    <cellStyle name="표준 18 2 2 4 3_Sheet4" xfId="2758"/>
    <cellStyle name="표준 18 2 2 4 4" xfId="2759"/>
    <cellStyle name="표준 18 2 2 4 4 2" xfId="11290"/>
    <cellStyle name="표준 18 2 2 4 4 2 2" xfId="33757"/>
    <cellStyle name="표준 18 2 2 4 4 3" xfId="18774"/>
    <cellStyle name="표준 18 2 2 4 4 3 2" xfId="41239"/>
    <cellStyle name="표준 18 2 2 4 4 4" xfId="26275"/>
    <cellStyle name="표준 18 2 2 4 5" xfId="11283"/>
    <cellStyle name="표준 18 2 2 4 5 2" xfId="33750"/>
    <cellStyle name="표준 18 2 2 4 6" xfId="18767"/>
    <cellStyle name="표준 18 2 2 4 6 2" xfId="41232"/>
    <cellStyle name="표준 18 2 2 4 7" xfId="26268"/>
    <cellStyle name="표준 18 2 2 4_Sheet4" xfId="2760"/>
    <cellStyle name="표준 18 2 2 5" xfId="2761"/>
    <cellStyle name="표준 18 2 2 5 2" xfId="2762"/>
    <cellStyle name="표준 18 2 2 5 2 2" xfId="2763"/>
    <cellStyle name="표준 18 2 2 5 2 2 2" xfId="11293"/>
    <cellStyle name="표준 18 2 2 5 2 2 2 2" xfId="33760"/>
    <cellStyle name="표준 18 2 2 5 2 2 3" xfId="18777"/>
    <cellStyle name="표준 18 2 2 5 2 2 3 2" xfId="41242"/>
    <cellStyle name="표준 18 2 2 5 2 2 4" xfId="26278"/>
    <cellStyle name="표준 18 2 2 5 2 3" xfId="11292"/>
    <cellStyle name="표준 18 2 2 5 2 3 2" xfId="33759"/>
    <cellStyle name="표준 18 2 2 5 2 4" xfId="18776"/>
    <cellStyle name="표준 18 2 2 5 2 4 2" xfId="41241"/>
    <cellStyle name="표준 18 2 2 5 2 5" xfId="26277"/>
    <cellStyle name="표준 18 2 2 5 2_Sheet4" xfId="2764"/>
    <cellStyle name="표준 18 2 2 5 3" xfId="2765"/>
    <cellStyle name="표준 18 2 2 5 3 2" xfId="11294"/>
    <cellStyle name="표준 18 2 2 5 3 2 2" xfId="33761"/>
    <cellStyle name="표준 18 2 2 5 3 3" xfId="18778"/>
    <cellStyle name="표준 18 2 2 5 3 3 2" xfId="41243"/>
    <cellStyle name="표준 18 2 2 5 3 4" xfId="26279"/>
    <cellStyle name="표준 18 2 2 5 4" xfId="11291"/>
    <cellStyle name="표준 18 2 2 5 4 2" xfId="33758"/>
    <cellStyle name="표준 18 2 2 5 5" xfId="18775"/>
    <cellStyle name="표준 18 2 2 5 5 2" xfId="41240"/>
    <cellStyle name="표준 18 2 2 5 6" xfId="26276"/>
    <cellStyle name="표준 18 2 2 5_Sheet4" xfId="2766"/>
    <cellStyle name="표준 18 2 2 6" xfId="2767"/>
    <cellStyle name="표준 18 2 2 6 2" xfId="2768"/>
    <cellStyle name="표준 18 2 2 6 2 2" xfId="11296"/>
    <cellStyle name="표준 18 2 2 6 2 2 2" xfId="33763"/>
    <cellStyle name="표준 18 2 2 6 2 3" xfId="18780"/>
    <cellStyle name="표준 18 2 2 6 2 3 2" xfId="41245"/>
    <cellStyle name="표준 18 2 2 6 2 4" xfId="26281"/>
    <cellStyle name="표준 18 2 2 6 3" xfId="11295"/>
    <cellStyle name="표준 18 2 2 6 3 2" xfId="33762"/>
    <cellStyle name="표준 18 2 2 6 4" xfId="18779"/>
    <cellStyle name="표준 18 2 2 6 4 2" xfId="41244"/>
    <cellStyle name="표준 18 2 2 6 5" xfId="26280"/>
    <cellStyle name="표준 18 2 2 6_Sheet4" xfId="2769"/>
    <cellStyle name="표준 18 2 2 7" xfId="2770"/>
    <cellStyle name="표준 18 2 2 7 2" xfId="11297"/>
    <cellStyle name="표준 18 2 2 7 2 2" xfId="33764"/>
    <cellStyle name="표준 18 2 2 7 3" xfId="18781"/>
    <cellStyle name="표준 18 2 2 7 3 2" xfId="41246"/>
    <cellStyle name="표준 18 2 2 7 4" xfId="26282"/>
    <cellStyle name="표준 18 2 2 8" xfId="11250"/>
    <cellStyle name="표준 18 2 2 8 2" xfId="33717"/>
    <cellStyle name="표준 18 2 2 9" xfId="18734"/>
    <cellStyle name="표준 18 2 2 9 2" xfId="41199"/>
    <cellStyle name="표준 18 2 2_Sheet4" xfId="2771"/>
    <cellStyle name="표준 18 2 3" xfId="2772"/>
    <cellStyle name="표준 18 2 3 2" xfId="2773"/>
    <cellStyle name="표준 18 2 3 2 2" xfId="2774"/>
    <cellStyle name="표준 18 2 3 2 2 2" xfId="2775"/>
    <cellStyle name="표준 18 2 3 2 2 2 2" xfId="2776"/>
    <cellStyle name="표준 18 2 3 2 2 2 2 2" xfId="11302"/>
    <cellStyle name="표준 18 2 3 2 2 2 2 2 2" xfId="33769"/>
    <cellStyle name="표준 18 2 3 2 2 2 2 3" xfId="18786"/>
    <cellStyle name="표준 18 2 3 2 2 2 2 3 2" xfId="41251"/>
    <cellStyle name="표준 18 2 3 2 2 2 2 4" xfId="26287"/>
    <cellStyle name="표준 18 2 3 2 2 2 3" xfId="11301"/>
    <cellStyle name="표준 18 2 3 2 2 2 3 2" xfId="33768"/>
    <cellStyle name="표준 18 2 3 2 2 2 4" xfId="18785"/>
    <cellStyle name="표준 18 2 3 2 2 2 4 2" xfId="41250"/>
    <cellStyle name="표준 18 2 3 2 2 2 5" xfId="26286"/>
    <cellStyle name="표준 18 2 3 2 2 2_Sheet4" xfId="2777"/>
    <cellStyle name="표준 18 2 3 2 2 3" xfId="2778"/>
    <cellStyle name="표준 18 2 3 2 2 3 2" xfId="11303"/>
    <cellStyle name="표준 18 2 3 2 2 3 2 2" xfId="33770"/>
    <cellStyle name="표준 18 2 3 2 2 3 3" xfId="18787"/>
    <cellStyle name="표준 18 2 3 2 2 3 3 2" xfId="41252"/>
    <cellStyle name="표준 18 2 3 2 2 3 4" xfId="26288"/>
    <cellStyle name="표준 18 2 3 2 2 4" xfId="11300"/>
    <cellStyle name="표준 18 2 3 2 2 4 2" xfId="33767"/>
    <cellStyle name="표준 18 2 3 2 2 5" xfId="18784"/>
    <cellStyle name="표준 18 2 3 2 2 5 2" xfId="41249"/>
    <cellStyle name="표준 18 2 3 2 2 6" xfId="26285"/>
    <cellStyle name="표준 18 2 3 2 2_Sheet4" xfId="2779"/>
    <cellStyle name="표준 18 2 3 2 3" xfId="2780"/>
    <cellStyle name="표준 18 2 3 2 3 2" xfId="2781"/>
    <cellStyle name="표준 18 2 3 2 3 2 2" xfId="11305"/>
    <cellStyle name="표준 18 2 3 2 3 2 2 2" xfId="33772"/>
    <cellStyle name="표준 18 2 3 2 3 2 3" xfId="18789"/>
    <cellStyle name="표준 18 2 3 2 3 2 3 2" xfId="41254"/>
    <cellStyle name="표준 18 2 3 2 3 2 4" xfId="26290"/>
    <cellStyle name="표준 18 2 3 2 3 3" xfId="11304"/>
    <cellStyle name="표준 18 2 3 2 3 3 2" xfId="33771"/>
    <cellStyle name="표준 18 2 3 2 3 4" xfId="18788"/>
    <cellStyle name="표준 18 2 3 2 3 4 2" xfId="41253"/>
    <cellStyle name="표준 18 2 3 2 3 5" xfId="26289"/>
    <cellStyle name="표준 18 2 3 2 3_Sheet4" xfId="2782"/>
    <cellStyle name="표준 18 2 3 2 4" xfId="2783"/>
    <cellStyle name="표준 18 2 3 2 4 2" xfId="11306"/>
    <cellStyle name="표준 18 2 3 2 4 2 2" xfId="33773"/>
    <cellStyle name="표준 18 2 3 2 4 3" xfId="18790"/>
    <cellStyle name="표준 18 2 3 2 4 3 2" xfId="41255"/>
    <cellStyle name="표준 18 2 3 2 4 4" xfId="26291"/>
    <cellStyle name="표준 18 2 3 2 5" xfId="11299"/>
    <cellStyle name="표준 18 2 3 2 5 2" xfId="33766"/>
    <cellStyle name="표준 18 2 3 2 6" xfId="18783"/>
    <cellStyle name="표준 18 2 3 2 6 2" xfId="41248"/>
    <cellStyle name="표준 18 2 3 2 7" xfId="26284"/>
    <cellStyle name="표준 18 2 3 2_Sheet4" xfId="2784"/>
    <cellStyle name="표준 18 2 3 3" xfId="2785"/>
    <cellStyle name="표준 18 2 3 3 2" xfId="2786"/>
    <cellStyle name="표준 18 2 3 3 2 2" xfId="2787"/>
    <cellStyle name="표준 18 2 3 3 2 2 2" xfId="11309"/>
    <cellStyle name="표준 18 2 3 3 2 2 2 2" xfId="33776"/>
    <cellStyle name="표준 18 2 3 3 2 2 3" xfId="18793"/>
    <cellStyle name="표준 18 2 3 3 2 2 3 2" xfId="41258"/>
    <cellStyle name="표준 18 2 3 3 2 2 4" xfId="26294"/>
    <cellStyle name="표준 18 2 3 3 2 3" xfId="11308"/>
    <cellStyle name="표준 18 2 3 3 2 3 2" xfId="33775"/>
    <cellStyle name="표준 18 2 3 3 2 4" xfId="18792"/>
    <cellStyle name="표준 18 2 3 3 2 4 2" xfId="41257"/>
    <cellStyle name="표준 18 2 3 3 2 5" xfId="26293"/>
    <cellStyle name="표준 18 2 3 3 2_Sheet4" xfId="2788"/>
    <cellStyle name="표준 18 2 3 3 3" xfId="2789"/>
    <cellStyle name="표준 18 2 3 3 3 2" xfId="11310"/>
    <cellStyle name="표준 18 2 3 3 3 2 2" xfId="33777"/>
    <cellStyle name="표준 18 2 3 3 3 3" xfId="18794"/>
    <cellStyle name="표준 18 2 3 3 3 3 2" xfId="41259"/>
    <cellStyle name="표준 18 2 3 3 3 4" xfId="26295"/>
    <cellStyle name="표준 18 2 3 3 4" xfId="11307"/>
    <cellStyle name="표준 18 2 3 3 4 2" xfId="33774"/>
    <cellStyle name="표준 18 2 3 3 5" xfId="18791"/>
    <cellStyle name="표준 18 2 3 3 5 2" xfId="41256"/>
    <cellStyle name="표준 18 2 3 3 6" xfId="26292"/>
    <cellStyle name="표준 18 2 3 3_Sheet4" xfId="2790"/>
    <cellStyle name="표준 18 2 3 4" xfId="2791"/>
    <cellStyle name="표준 18 2 3 4 2" xfId="2792"/>
    <cellStyle name="표준 18 2 3 4 2 2" xfId="11312"/>
    <cellStyle name="표준 18 2 3 4 2 2 2" xfId="33779"/>
    <cellStyle name="표준 18 2 3 4 2 3" xfId="18796"/>
    <cellStyle name="표준 18 2 3 4 2 3 2" xfId="41261"/>
    <cellStyle name="표준 18 2 3 4 2 4" xfId="26297"/>
    <cellStyle name="표준 18 2 3 4 3" xfId="11311"/>
    <cellStyle name="표준 18 2 3 4 3 2" xfId="33778"/>
    <cellStyle name="표준 18 2 3 4 4" xfId="18795"/>
    <cellStyle name="표준 18 2 3 4 4 2" xfId="41260"/>
    <cellStyle name="표준 18 2 3 4 5" xfId="26296"/>
    <cellStyle name="표준 18 2 3 4_Sheet4" xfId="2793"/>
    <cellStyle name="표준 18 2 3 5" xfId="2794"/>
    <cellStyle name="표준 18 2 3 5 2" xfId="11313"/>
    <cellStyle name="표준 18 2 3 5 2 2" xfId="33780"/>
    <cellStyle name="표준 18 2 3 5 3" xfId="18797"/>
    <cellStyle name="표준 18 2 3 5 3 2" xfId="41262"/>
    <cellStyle name="표준 18 2 3 5 4" xfId="26298"/>
    <cellStyle name="표준 18 2 3 6" xfId="11298"/>
    <cellStyle name="표준 18 2 3 6 2" xfId="33765"/>
    <cellStyle name="표준 18 2 3 7" xfId="18782"/>
    <cellStyle name="표준 18 2 3 7 2" xfId="41247"/>
    <cellStyle name="표준 18 2 3 8" xfId="26283"/>
    <cellStyle name="표준 18 2 3_Sheet4" xfId="2795"/>
    <cellStyle name="표준 18 2 4" xfId="2796"/>
    <cellStyle name="표준 18 2 4 2" xfId="2797"/>
    <cellStyle name="표준 18 2 4 2 2" xfId="2798"/>
    <cellStyle name="표준 18 2 4 2 2 2" xfId="2799"/>
    <cellStyle name="표준 18 2 4 2 2 2 2" xfId="2800"/>
    <cellStyle name="표준 18 2 4 2 2 2 2 2" xfId="11318"/>
    <cellStyle name="표준 18 2 4 2 2 2 2 2 2" xfId="33785"/>
    <cellStyle name="표준 18 2 4 2 2 2 2 3" xfId="18802"/>
    <cellStyle name="표준 18 2 4 2 2 2 2 3 2" xfId="41267"/>
    <cellStyle name="표준 18 2 4 2 2 2 2 4" xfId="26303"/>
    <cellStyle name="표준 18 2 4 2 2 2 3" xfId="11317"/>
    <cellStyle name="표준 18 2 4 2 2 2 3 2" xfId="33784"/>
    <cellStyle name="표준 18 2 4 2 2 2 4" xfId="18801"/>
    <cellStyle name="표준 18 2 4 2 2 2 4 2" xfId="41266"/>
    <cellStyle name="표준 18 2 4 2 2 2 5" xfId="26302"/>
    <cellStyle name="표준 18 2 4 2 2 2_Sheet4" xfId="2801"/>
    <cellStyle name="표준 18 2 4 2 2 3" xfId="2802"/>
    <cellStyle name="표준 18 2 4 2 2 3 2" xfId="11319"/>
    <cellStyle name="표준 18 2 4 2 2 3 2 2" xfId="33786"/>
    <cellStyle name="표준 18 2 4 2 2 3 3" xfId="18803"/>
    <cellStyle name="표준 18 2 4 2 2 3 3 2" xfId="41268"/>
    <cellStyle name="표준 18 2 4 2 2 3 4" xfId="26304"/>
    <cellStyle name="표준 18 2 4 2 2 4" xfId="11316"/>
    <cellStyle name="표준 18 2 4 2 2 4 2" xfId="33783"/>
    <cellStyle name="표준 18 2 4 2 2 5" xfId="18800"/>
    <cellStyle name="표준 18 2 4 2 2 5 2" xfId="41265"/>
    <cellStyle name="표준 18 2 4 2 2 6" xfId="26301"/>
    <cellStyle name="표준 18 2 4 2 2_Sheet4" xfId="2803"/>
    <cellStyle name="표준 18 2 4 2 3" xfId="2804"/>
    <cellStyle name="표준 18 2 4 2 3 2" xfId="2805"/>
    <cellStyle name="표준 18 2 4 2 3 2 2" xfId="11321"/>
    <cellStyle name="표준 18 2 4 2 3 2 2 2" xfId="33788"/>
    <cellStyle name="표준 18 2 4 2 3 2 3" xfId="18805"/>
    <cellStyle name="표준 18 2 4 2 3 2 3 2" xfId="41270"/>
    <cellStyle name="표준 18 2 4 2 3 2 4" xfId="26306"/>
    <cellStyle name="표준 18 2 4 2 3 3" xfId="11320"/>
    <cellStyle name="표준 18 2 4 2 3 3 2" xfId="33787"/>
    <cellStyle name="표준 18 2 4 2 3 4" xfId="18804"/>
    <cellStyle name="표준 18 2 4 2 3 4 2" xfId="41269"/>
    <cellStyle name="표준 18 2 4 2 3 5" xfId="26305"/>
    <cellStyle name="표준 18 2 4 2 3_Sheet4" xfId="2806"/>
    <cellStyle name="표준 18 2 4 2 4" xfId="2807"/>
    <cellStyle name="표준 18 2 4 2 4 2" xfId="11322"/>
    <cellStyle name="표준 18 2 4 2 4 2 2" xfId="33789"/>
    <cellStyle name="표준 18 2 4 2 4 3" xfId="18806"/>
    <cellStyle name="표준 18 2 4 2 4 3 2" xfId="41271"/>
    <cellStyle name="표준 18 2 4 2 4 4" xfId="26307"/>
    <cellStyle name="표준 18 2 4 2 5" xfId="11315"/>
    <cellStyle name="표준 18 2 4 2 5 2" xfId="33782"/>
    <cellStyle name="표준 18 2 4 2 6" xfId="18799"/>
    <cellStyle name="표준 18 2 4 2 6 2" xfId="41264"/>
    <cellStyle name="표준 18 2 4 2 7" xfId="26300"/>
    <cellStyle name="표준 18 2 4 2_Sheet4" xfId="2808"/>
    <cellStyle name="표준 18 2 4 3" xfId="2809"/>
    <cellStyle name="표준 18 2 4 3 2" xfId="2810"/>
    <cellStyle name="표준 18 2 4 3 2 2" xfId="2811"/>
    <cellStyle name="표준 18 2 4 3 2 2 2" xfId="11325"/>
    <cellStyle name="표준 18 2 4 3 2 2 2 2" xfId="33792"/>
    <cellStyle name="표준 18 2 4 3 2 2 3" xfId="18809"/>
    <cellStyle name="표준 18 2 4 3 2 2 3 2" xfId="41274"/>
    <cellStyle name="표준 18 2 4 3 2 2 4" xfId="26310"/>
    <cellStyle name="표준 18 2 4 3 2 3" xfId="11324"/>
    <cellStyle name="표준 18 2 4 3 2 3 2" xfId="33791"/>
    <cellStyle name="표준 18 2 4 3 2 4" xfId="18808"/>
    <cellStyle name="표준 18 2 4 3 2 4 2" xfId="41273"/>
    <cellStyle name="표준 18 2 4 3 2 5" xfId="26309"/>
    <cellStyle name="표준 18 2 4 3 2_Sheet4" xfId="2812"/>
    <cellStyle name="표준 18 2 4 3 3" xfId="2813"/>
    <cellStyle name="표준 18 2 4 3 3 2" xfId="11326"/>
    <cellStyle name="표준 18 2 4 3 3 2 2" xfId="33793"/>
    <cellStyle name="표준 18 2 4 3 3 3" xfId="18810"/>
    <cellStyle name="표준 18 2 4 3 3 3 2" xfId="41275"/>
    <cellStyle name="표준 18 2 4 3 3 4" xfId="26311"/>
    <cellStyle name="표준 18 2 4 3 4" xfId="11323"/>
    <cellStyle name="표준 18 2 4 3 4 2" xfId="33790"/>
    <cellStyle name="표준 18 2 4 3 5" xfId="18807"/>
    <cellStyle name="표준 18 2 4 3 5 2" xfId="41272"/>
    <cellStyle name="표준 18 2 4 3 6" xfId="26308"/>
    <cellStyle name="표준 18 2 4 3_Sheet4" xfId="2814"/>
    <cellStyle name="표준 18 2 4 4" xfId="2815"/>
    <cellStyle name="표준 18 2 4 4 2" xfId="2816"/>
    <cellStyle name="표준 18 2 4 4 2 2" xfId="11328"/>
    <cellStyle name="표준 18 2 4 4 2 2 2" xfId="33795"/>
    <cellStyle name="표준 18 2 4 4 2 3" xfId="18812"/>
    <cellStyle name="표준 18 2 4 4 2 3 2" xfId="41277"/>
    <cellStyle name="표준 18 2 4 4 2 4" xfId="26313"/>
    <cellStyle name="표준 18 2 4 4 3" xfId="11327"/>
    <cellStyle name="표준 18 2 4 4 3 2" xfId="33794"/>
    <cellStyle name="표준 18 2 4 4 4" xfId="18811"/>
    <cellStyle name="표준 18 2 4 4 4 2" xfId="41276"/>
    <cellStyle name="표준 18 2 4 4 5" xfId="26312"/>
    <cellStyle name="표준 18 2 4 4_Sheet4" xfId="2817"/>
    <cellStyle name="표준 18 2 4 5" xfId="2818"/>
    <cellStyle name="표준 18 2 4 5 2" xfId="11329"/>
    <cellStyle name="표준 18 2 4 5 2 2" xfId="33796"/>
    <cellStyle name="표준 18 2 4 5 3" xfId="18813"/>
    <cellStyle name="표준 18 2 4 5 3 2" xfId="41278"/>
    <cellStyle name="표준 18 2 4 5 4" xfId="26314"/>
    <cellStyle name="표준 18 2 4 6" xfId="11314"/>
    <cellStyle name="표준 18 2 4 6 2" xfId="33781"/>
    <cellStyle name="표준 18 2 4 7" xfId="18798"/>
    <cellStyle name="표준 18 2 4 7 2" xfId="41263"/>
    <cellStyle name="표준 18 2 4 8" xfId="26299"/>
    <cellStyle name="표준 18 2 4_Sheet4" xfId="2819"/>
    <cellStyle name="표준 18 2 5" xfId="2820"/>
    <cellStyle name="표준 18 2 5 2" xfId="2821"/>
    <cellStyle name="표준 18 2 5 2 2" xfId="2822"/>
    <cellStyle name="표준 18 2 5 2 2 2" xfId="2823"/>
    <cellStyle name="표준 18 2 5 2 2 2 2" xfId="11333"/>
    <cellStyle name="표준 18 2 5 2 2 2 2 2" xfId="33800"/>
    <cellStyle name="표준 18 2 5 2 2 2 3" xfId="18817"/>
    <cellStyle name="표준 18 2 5 2 2 2 3 2" xfId="41282"/>
    <cellStyle name="표준 18 2 5 2 2 2 4" xfId="26318"/>
    <cellStyle name="표준 18 2 5 2 2 3" xfId="11332"/>
    <cellStyle name="표준 18 2 5 2 2 3 2" xfId="33799"/>
    <cellStyle name="표준 18 2 5 2 2 4" xfId="18816"/>
    <cellStyle name="표준 18 2 5 2 2 4 2" xfId="41281"/>
    <cellStyle name="표준 18 2 5 2 2 5" xfId="26317"/>
    <cellStyle name="표준 18 2 5 2 2_Sheet4" xfId="2824"/>
    <cellStyle name="표준 18 2 5 2 3" xfId="2825"/>
    <cellStyle name="표준 18 2 5 2 3 2" xfId="11334"/>
    <cellStyle name="표준 18 2 5 2 3 2 2" xfId="33801"/>
    <cellStyle name="표준 18 2 5 2 3 3" xfId="18818"/>
    <cellStyle name="표준 18 2 5 2 3 3 2" xfId="41283"/>
    <cellStyle name="표준 18 2 5 2 3 4" xfId="26319"/>
    <cellStyle name="표준 18 2 5 2 4" xfId="11331"/>
    <cellStyle name="표준 18 2 5 2 4 2" xfId="33798"/>
    <cellStyle name="표준 18 2 5 2 5" xfId="18815"/>
    <cellStyle name="표준 18 2 5 2 5 2" xfId="41280"/>
    <cellStyle name="표준 18 2 5 2 6" xfId="26316"/>
    <cellStyle name="표준 18 2 5 2_Sheet4" xfId="2826"/>
    <cellStyle name="표준 18 2 5 3" xfId="2827"/>
    <cellStyle name="표준 18 2 5 3 2" xfId="2828"/>
    <cellStyle name="표준 18 2 5 3 2 2" xfId="11336"/>
    <cellStyle name="표준 18 2 5 3 2 2 2" xfId="33803"/>
    <cellStyle name="표준 18 2 5 3 2 3" xfId="18820"/>
    <cellStyle name="표준 18 2 5 3 2 3 2" xfId="41285"/>
    <cellStyle name="표준 18 2 5 3 2 4" xfId="26321"/>
    <cellStyle name="표준 18 2 5 3 3" xfId="11335"/>
    <cellStyle name="표준 18 2 5 3 3 2" xfId="33802"/>
    <cellStyle name="표준 18 2 5 3 4" xfId="18819"/>
    <cellStyle name="표준 18 2 5 3 4 2" xfId="41284"/>
    <cellStyle name="표준 18 2 5 3 5" xfId="26320"/>
    <cellStyle name="표준 18 2 5 3_Sheet4" xfId="2829"/>
    <cellStyle name="표준 18 2 5 4" xfId="2830"/>
    <cellStyle name="표준 18 2 5 4 2" xfId="11337"/>
    <cellStyle name="표준 18 2 5 4 2 2" xfId="33804"/>
    <cellStyle name="표준 18 2 5 4 3" xfId="18821"/>
    <cellStyle name="표준 18 2 5 4 3 2" xfId="41286"/>
    <cellStyle name="표준 18 2 5 4 4" xfId="26322"/>
    <cellStyle name="표준 18 2 5 5" xfId="11330"/>
    <cellStyle name="표준 18 2 5 5 2" xfId="33797"/>
    <cellStyle name="표준 18 2 5 6" xfId="18814"/>
    <cellStyle name="표준 18 2 5 6 2" xfId="41279"/>
    <cellStyle name="표준 18 2 5 7" xfId="26315"/>
    <cellStyle name="표준 18 2 5_Sheet4" xfId="2831"/>
    <cellStyle name="표준 18 2 6" xfId="2832"/>
    <cellStyle name="표준 18 2 6 2" xfId="2833"/>
    <cellStyle name="표준 18 2 6 2 2" xfId="2834"/>
    <cellStyle name="표준 18 2 6 2 2 2" xfId="11340"/>
    <cellStyle name="표준 18 2 6 2 2 2 2" xfId="33807"/>
    <cellStyle name="표준 18 2 6 2 2 3" xfId="18824"/>
    <cellStyle name="표준 18 2 6 2 2 3 2" xfId="41289"/>
    <cellStyle name="표준 18 2 6 2 2 4" xfId="26325"/>
    <cellStyle name="표준 18 2 6 2 3" xfId="11339"/>
    <cellStyle name="표준 18 2 6 2 3 2" xfId="33806"/>
    <cellStyle name="표준 18 2 6 2 4" xfId="18823"/>
    <cellStyle name="표준 18 2 6 2 4 2" xfId="41288"/>
    <cellStyle name="표준 18 2 6 2 5" xfId="26324"/>
    <cellStyle name="표준 18 2 6 2_Sheet4" xfId="2835"/>
    <cellStyle name="표준 18 2 6 3" xfId="2836"/>
    <cellStyle name="표준 18 2 6 3 2" xfId="11341"/>
    <cellStyle name="표준 18 2 6 3 2 2" xfId="33808"/>
    <cellStyle name="표준 18 2 6 3 3" xfId="18825"/>
    <cellStyle name="표준 18 2 6 3 3 2" xfId="41290"/>
    <cellStyle name="표준 18 2 6 3 4" xfId="26326"/>
    <cellStyle name="표준 18 2 6 4" xfId="11338"/>
    <cellStyle name="표준 18 2 6 4 2" xfId="33805"/>
    <cellStyle name="표준 18 2 6 5" xfId="18822"/>
    <cellStyle name="표준 18 2 6 5 2" xfId="41287"/>
    <cellStyle name="표준 18 2 6 6" xfId="26323"/>
    <cellStyle name="표준 18 2 6_Sheet4" xfId="2837"/>
    <cellStyle name="표준 18 2 7" xfId="2838"/>
    <cellStyle name="표준 18 2 7 2" xfId="2839"/>
    <cellStyle name="표준 18 2 7 2 2" xfId="2840"/>
    <cellStyle name="표준 18 2 7 2 2 2" xfId="11344"/>
    <cellStyle name="표준 18 2 7 2 2 2 2" xfId="33811"/>
    <cellStyle name="표준 18 2 7 2 2 3" xfId="18828"/>
    <cellStyle name="표준 18 2 7 2 2 3 2" xfId="41293"/>
    <cellStyle name="표준 18 2 7 2 2 4" xfId="26329"/>
    <cellStyle name="표준 18 2 7 2 3" xfId="11343"/>
    <cellStyle name="표준 18 2 7 2 3 2" xfId="33810"/>
    <cellStyle name="표준 18 2 7 2 4" xfId="18827"/>
    <cellStyle name="표준 18 2 7 2 4 2" xfId="41292"/>
    <cellStyle name="표준 18 2 7 2 5" xfId="26328"/>
    <cellStyle name="표준 18 2 7 2_Sheet4" xfId="2841"/>
    <cellStyle name="표준 18 2 7 3" xfId="2842"/>
    <cellStyle name="표준 18 2 7 3 2" xfId="11345"/>
    <cellStyle name="표준 18 2 7 3 2 2" xfId="33812"/>
    <cellStyle name="표준 18 2 7 3 3" xfId="18829"/>
    <cellStyle name="표준 18 2 7 3 3 2" xfId="41294"/>
    <cellStyle name="표준 18 2 7 3 4" xfId="26330"/>
    <cellStyle name="표준 18 2 7 4" xfId="11342"/>
    <cellStyle name="표준 18 2 7 4 2" xfId="33809"/>
    <cellStyle name="표준 18 2 7 5" xfId="18826"/>
    <cellStyle name="표준 18 2 7 5 2" xfId="41291"/>
    <cellStyle name="표준 18 2 7 6" xfId="26327"/>
    <cellStyle name="표준 18 2 7_Sheet4" xfId="2843"/>
    <cellStyle name="표준 18 2 8" xfId="2844"/>
    <cellStyle name="표준 18 2 8 2" xfId="2845"/>
    <cellStyle name="표준 18 2 8 2 2" xfId="11347"/>
    <cellStyle name="표준 18 2 8 2 2 2" xfId="33814"/>
    <cellStyle name="표준 18 2 8 2 3" xfId="18831"/>
    <cellStyle name="표준 18 2 8 2 3 2" xfId="41296"/>
    <cellStyle name="표준 18 2 8 2 4" xfId="26332"/>
    <cellStyle name="표준 18 2 8 3" xfId="11346"/>
    <cellStyle name="표준 18 2 8 3 2" xfId="33813"/>
    <cellStyle name="표준 18 2 8 4" xfId="18830"/>
    <cellStyle name="표준 18 2 8 4 2" xfId="41295"/>
    <cellStyle name="표준 18 2 8 5" xfId="26331"/>
    <cellStyle name="표준 18 2 8_Sheet4" xfId="2846"/>
    <cellStyle name="표준 18 2 9" xfId="2847"/>
    <cellStyle name="표준 18 2 9 2" xfId="11348"/>
    <cellStyle name="표준 18 2 9 2 2" xfId="33815"/>
    <cellStyle name="표준 18 2 9 3" xfId="18832"/>
    <cellStyle name="표준 18 2 9 3 2" xfId="41297"/>
    <cellStyle name="표준 18 2 9 4" xfId="26333"/>
    <cellStyle name="표준 18 2_Sheet4" xfId="2848"/>
    <cellStyle name="표준 18 3" xfId="2849"/>
    <cellStyle name="표준 18 3 10" xfId="26334"/>
    <cellStyle name="표준 18 3 2" xfId="2850"/>
    <cellStyle name="표준 18 3 2 2" xfId="2851"/>
    <cellStyle name="표준 18 3 2 2 2" xfId="2852"/>
    <cellStyle name="표준 18 3 2 2 2 2" xfId="2853"/>
    <cellStyle name="표준 18 3 2 2 2 2 2" xfId="2854"/>
    <cellStyle name="표준 18 3 2 2 2 2 2 2" xfId="11354"/>
    <cellStyle name="표준 18 3 2 2 2 2 2 2 2" xfId="33821"/>
    <cellStyle name="표준 18 3 2 2 2 2 2 3" xfId="18838"/>
    <cellStyle name="표준 18 3 2 2 2 2 2 3 2" xfId="41303"/>
    <cellStyle name="표준 18 3 2 2 2 2 2 4" xfId="26339"/>
    <cellStyle name="표준 18 3 2 2 2 2 3" xfId="11353"/>
    <cellStyle name="표준 18 3 2 2 2 2 3 2" xfId="33820"/>
    <cellStyle name="표준 18 3 2 2 2 2 4" xfId="18837"/>
    <cellStyle name="표준 18 3 2 2 2 2 4 2" xfId="41302"/>
    <cellStyle name="표준 18 3 2 2 2 2 5" xfId="26338"/>
    <cellStyle name="표준 18 3 2 2 2 2_Sheet4" xfId="2855"/>
    <cellStyle name="표준 18 3 2 2 2 3" xfId="2856"/>
    <cellStyle name="표준 18 3 2 2 2 3 2" xfId="11355"/>
    <cellStyle name="표준 18 3 2 2 2 3 2 2" xfId="33822"/>
    <cellStyle name="표준 18 3 2 2 2 3 3" xfId="18839"/>
    <cellStyle name="표준 18 3 2 2 2 3 3 2" xfId="41304"/>
    <cellStyle name="표준 18 3 2 2 2 3 4" xfId="26340"/>
    <cellStyle name="표준 18 3 2 2 2 4" xfId="11352"/>
    <cellStyle name="표준 18 3 2 2 2 4 2" xfId="33819"/>
    <cellStyle name="표준 18 3 2 2 2 5" xfId="18836"/>
    <cellStyle name="표준 18 3 2 2 2 5 2" xfId="41301"/>
    <cellStyle name="표준 18 3 2 2 2 6" xfId="26337"/>
    <cellStyle name="표준 18 3 2 2 2_Sheet4" xfId="2857"/>
    <cellStyle name="표준 18 3 2 2 3" xfId="2858"/>
    <cellStyle name="표준 18 3 2 2 3 2" xfId="2859"/>
    <cellStyle name="표준 18 3 2 2 3 2 2" xfId="11357"/>
    <cellStyle name="표준 18 3 2 2 3 2 2 2" xfId="33824"/>
    <cellStyle name="표준 18 3 2 2 3 2 3" xfId="18841"/>
    <cellStyle name="표준 18 3 2 2 3 2 3 2" xfId="41306"/>
    <cellStyle name="표준 18 3 2 2 3 2 4" xfId="26342"/>
    <cellStyle name="표준 18 3 2 2 3 3" xfId="11356"/>
    <cellStyle name="표준 18 3 2 2 3 3 2" xfId="33823"/>
    <cellStyle name="표준 18 3 2 2 3 4" xfId="18840"/>
    <cellStyle name="표준 18 3 2 2 3 4 2" xfId="41305"/>
    <cellStyle name="표준 18 3 2 2 3 5" xfId="26341"/>
    <cellStyle name="표준 18 3 2 2 3_Sheet4" xfId="2860"/>
    <cellStyle name="표준 18 3 2 2 4" xfId="2861"/>
    <cellStyle name="표준 18 3 2 2 4 2" xfId="11358"/>
    <cellStyle name="표준 18 3 2 2 4 2 2" xfId="33825"/>
    <cellStyle name="표준 18 3 2 2 4 3" xfId="18842"/>
    <cellStyle name="표준 18 3 2 2 4 3 2" xfId="41307"/>
    <cellStyle name="표준 18 3 2 2 4 4" xfId="26343"/>
    <cellStyle name="표준 18 3 2 2 5" xfId="11351"/>
    <cellStyle name="표준 18 3 2 2 5 2" xfId="33818"/>
    <cellStyle name="표준 18 3 2 2 6" xfId="18835"/>
    <cellStyle name="표준 18 3 2 2 6 2" xfId="41300"/>
    <cellStyle name="표준 18 3 2 2 7" xfId="26336"/>
    <cellStyle name="표준 18 3 2 2_Sheet4" xfId="2862"/>
    <cellStyle name="표준 18 3 2 3" xfId="2863"/>
    <cellStyle name="표준 18 3 2 3 2" xfId="2864"/>
    <cellStyle name="표준 18 3 2 3 2 2" xfId="2865"/>
    <cellStyle name="표준 18 3 2 3 2 2 2" xfId="11361"/>
    <cellStyle name="표준 18 3 2 3 2 2 2 2" xfId="33828"/>
    <cellStyle name="표준 18 3 2 3 2 2 3" xfId="18845"/>
    <cellStyle name="표준 18 3 2 3 2 2 3 2" xfId="41310"/>
    <cellStyle name="표준 18 3 2 3 2 2 4" xfId="26346"/>
    <cellStyle name="표준 18 3 2 3 2 3" xfId="11360"/>
    <cellStyle name="표준 18 3 2 3 2 3 2" xfId="33827"/>
    <cellStyle name="표준 18 3 2 3 2 4" xfId="18844"/>
    <cellStyle name="표준 18 3 2 3 2 4 2" xfId="41309"/>
    <cellStyle name="표준 18 3 2 3 2 5" xfId="26345"/>
    <cellStyle name="표준 18 3 2 3 2_Sheet4" xfId="2866"/>
    <cellStyle name="표준 18 3 2 3 3" xfId="2867"/>
    <cellStyle name="표준 18 3 2 3 3 2" xfId="11362"/>
    <cellStyle name="표준 18 3 2 3 3 2 2" xfId="33829"/>
    <cellStyle name="표준 18 3 2 3 3 3" xfId="18846"/>
    <cellStyle name="표준 18 3 2 3 3 3 2" xfId="41311"/>
    <cellStyle name="표준 18 3 2 3 3 4" xfId="26347"/>
    <cellStyle name="표준 18 3 2 3 4" xfId="11359"/>
    <cellStyle name="표준 18 3 2 3 4 2" xfId="33826"/>
    <cellStyle name="표준 18 3 2 3 5" xfId="18843"/>
    <cellStyle name="표준 18 3 2 3 5 2" xfId="41308"/>
    <cellStyle name="표준 18 3 2 3 6" xfId="26344"/>
    <cellStyle name="표준 18 3 2 3_Sheet4" xfId="2868"/>
    <cellStyle name="표준 18 3 2 4" xfId="2869"/>
    <cellStyle name="표준 18 3 2 4 2" xfId="2870"/>
    <cellStyle name="표준 18 3 2 4 2 2" xfId="11364"/>
    <cellStyle name="표준 18 3 2 4 2 2 2" xfId="33831"/>
    <cellStyle name="표준 18 3 2 4 2 3" xfId="18848"/>
    <cellStyle name="표준 18 3 2 4 2 3 2" xfId="41313"/>
    <cellStyle name="표준 18 3 2 4 2 4" xfId="26349"/>
    <cellStyle name="표준 18 3 2 4 3" xfId="11363"/>
    <cellStyle name="표준 18 3 2 4 3 2" xfId="33830"/>
    <cellStyle name="표준 18 3 2 4 4" xfId="18847"/>
    <cellStyle name="표준 18 3 2 4 4 2" xfId="41312"/>
    <cellStyle name="표준 18 3 2 4 5" xfId="26348"/>
    <cellStyle name="표준 18 3 2 4_Sheet4" xfId="2871"/>
    <cellStyle name="표준 18 3 2 5" xfId="2872"/>
    <cellStyle name="표준 18 3 2 5 2" xfId="11365"/>
    <cellStyle name="표준 18 3 2 5 2 2" xfId="33832"/>
    <cellStyle name="표준 18 3 2 5 3" xfId="18849"/>
    <cellStyle name="표준 18 3 2 5 3 2" xfId="41314"/>
    <cellStyle name="표준 18 3 2 5 4" xfId="26350"/>
    <cellStyle name="표준 18 3 2 6" xfId="11350"/>
    <cellStyle name="표준 18 3 2 6 2" xfId="33817"/>
    <cellStyle name="표준 18 3 2 7" xfId="18834"/>
    <cellStyle name="표준 18 3 2 7 2" xfId="41299"/>
    <cellStyle name="표준 18 3 2 8" xfId="26335"/>
    <cellStyle name="표준 18 3 2_Sheet4" xfId="2873"/>
    <cellStyle name="표준 18 3 3" xfId="2874"/>
    <cellStyle name="표준 18 3 3 2" xfId="2875"/>
    <cellStyle name="표준 18 3 3 2 2" xfId="2876"/>
    <cellStyle name="표준 18 3 3 2 2 2" xfId="2877"/>
    <cellStyle name="표준 18 3 3 2 2 2 2" xfId="2878"/>
    <cellStyle name="표준 18 3 3 2 2 2 2 2" xfId="11370"/>
    <cellStyle name="표준 18 3 3 2 2 2 2 2 2" xfId="33837"/>
    <cellStyle name="표준 18 3 3 2 2 2 2 3" xfId="18854"/>
    <cellStyle name="표준 18 3 3 2 2 2 2 3 2" xfId="41319"/>
    <cellStyle name="표준 18 3 3 2 2 2 2 4" xfId="26355"/>
    <cellStyle name="표준 18 3 3 2 2 2 3" xfId="11369"/>
    <cellStyle name="표준 18 3 3 2 2 2 3 2" xfId="33836"/>
    <cellStyle name="표준 18 3 3 2 2 2 4" xfId="18853"/>
    <cellStyle name="표준 18 3 3 2 2 2 4 2" xfId="41318"/>
    <cellStyle name="표준 18 3 3 2 2 2 5" xfId="26354"/>
    <cellStyle name="표준 18 3 3 2 2 2_Sheet4" xfId="2879"/>
    <cellStyle name="표준 18 3 3 2 2 3" xfId="2880"/>
    <cellStyle name="표준 18 3 3 2 2 3 2" xfId="11371"/>
    <cellStyle name="표준 18 3 3 2 2 3 2 2" xfId="33838"/>
    <cellStyle name="표준 18 3 3 2 2 3 3" xfId="18855"/>
    <cellStyle name="표준 18 3 3 2 2 3 3 2" xfId="41320"/>
    <cellStyle name="표준 18 3 3 2 2 3 4" xfId="26356"/>
    <cellStyle name="표준 18 3 3 2 2 4" xfId="11368"/>
    <cellStyle name="표준 18 3 3 2 2 4 2" xfId="33835"/>
    <cellStyle name="표준 18 3 3 2 2 5" xfId="18852"/>
    <cellStyle name="표준 18 3 3 2 2 5 2" xfId="41317"/>
    <cellStyle name="표준 18 3 3 2 2 6" xfId="26353"/>
    <cellStyle name="표준 18 3 3 2 2_Sheet4" xfId="2881"/>
    <cellStyle name="표준 18 3 3 2 3" xfId="2882"/>
    <cellStyle name="표준 18 3 3 2 3 2" xfId="2883"/>
    <cellStyle name="표준 18 3 3 2 3 2 2" xfId="11373"/>
    <cellStyle name="표준 18 3 3 2 3 2 2 2" xfId="33840"/>
    <cellStyle name="표준 18 3 3 2 3 2 3" xfId="18857"/>
    <cellStyle name="표준 18 3 3 2 3 2 3 2" xfId="41322"/>
    <cellStyle name="표준 18 3 3 2 3 2 4" xfId="26358"/>
    <cellStyle name="표준 18 3 3 2 3 3" xfId="11372"/>
    <cellStyle name="표준 18 3 3 2 3 3 2" xfId="33839"/>
    <cellStyle name="표준 18 3 3 2 3 4" xfId="18856"/>
    <cellStyle name="표준 18 3 3 2 3 4 2" xfId="41321"/>
    <cellStyle name="표준 18 3 3 2 3 5" xfId="26357"/>
    <cellStyle name="표준 18 3 3 2 3_Sheet4" xfId="2884"/>
    <cellStyle name="표준 18 3 3 2 4" xfId="2885"/>
    <cellStyle name="표준 18 3 3 2 4 2" xfId="11374"/>
    <cellStyle name="표준 18 3 3 2 4 2 2" xfId="33841"/>
    <cellStyle name="표준 18 3 3 2 4 3" xfId="18858"/>
    <cellStyle name="표준 18 3 3 2 4 3 2" xfId="41323"/>
    <cellStyle name="표준 18 3 3 2 4 4" xfId="26359"/>
    <cellStyle name="표준 18 3 3 2 5" xfId="11367"/>
    <cellStyle name="표준 18 3 3 2 5 2" xfId="33834"/>
    <cellStyle name="표준 18 3 3 2 6" xfId="18851"/>
    <cellStyle name="표준 18 3 3 2 6 2" xfId="41316"/>
    <cellStyle name="표준 18 3 3 2 7" xfId="26352"/>
    <cellStyle name="표준 18 3 3 2_Sheet4" xfId="2886"/>
    <cellStyle name="표준 18 3 3 3" xfId="2887"/>
    <cellStyle name="표준 18 3 3 3 2" xfId="2888"/>
    <cellStyle name="표준 18 3 3 3 2 2" xfId="2889"/>
    <cellStyle name="표준 18 3 3 3 2 2 2" xfId="11377"/>
    <cellStyle name="표준 18 3 3 3 2 2 2 2" xfId="33844"/>
    <cellStyle name="표준 18 3 3 3 2 2 3" xfId="18861"/>
    <cellStyle name="표준 18 3 3 3 2 2 3 2" xfId="41326"/>
    <cellStyle name="표준 18 3 3 3 2 2 4" xfId="26362"/>
    <cellStyle name="표준 18 3 3 3 2 3" xfId="11376"/>
    <cellStyle name="표준 18 3 3 3 2 3 2" xfId="33843"/>
    <cellStyle name="표준 18 3 3 3 2 4" xfId="18860"/>
    <cellStyle name="표준 18 3 3 3 2 4 2" xfId="41325"/>
    <cellStyle name="표준 18 3 3 3 2 5" xfId="26361"/>
    <cellStyle name="표준 18 3 3 3 2_Sheet4" xfId="2890"/>
    <cellStyle name="표준 18 3 3 3 3" xfId="2891"/>
    <cellStyle name="표준 18 3 3 3 3 2" xfId="11378"/>
    <cellStyle name="표준 18 3 3 3 3 2 2" xfId="33845"/>
    <cellStyle name="표준 18 3 3 3 3 3" xfId="18862"/>
    <cellStyle name="표준 18 3 3 3 3 3 2" xfId="41327"/>
    <cellStyle name="표준 18 3 3 3 3 4" xfId="26363"/>
    <cellStyle name="표준 18 3 3 3 4" xfId="11375"/>
    <cellStyle name="표준 18 3 3 3 4 2" xfId="33842"/>
    <cellStyle name="표준 18 3 3 3 5" xfId="18859"/>
    <cellStyle name="표준 18 3 3 3 5 2" xfId="41324"/>
    <cellStyle name="표준 18 3 3 3 6" xfId="26360"/>
    <cellStyle name="표준 18 3 3 3_Sheet4" xfId="2892"/>
    <cellStyle name="표준 18 3 3 4" xfId="2893"/>
    <cellStyle name="표준 18 3 3 4 2" xfId="2894"/>
    <cellStyle name="표준 18 3 3 4 2 2" xfId="11380"/>
    <cellStyle name="표준 18 3 3 4 2 2 2" xfId="33847"/>
    <cellStyle name="표준 18 3 3 4 2 3" xfId="18864"/>
    <cellStyle name="표준 18 3 3 4 2 3 2" xfId="41329"/>
    <cellStyle name="표준 18 3 3 4 2 4" xfId="26365"/>
    <cellStyle name="표준 18 3 3 4 3" xfId="11379"/>
    <cellStyle name="표준 18 3 3 4 3 2" xfId="33846"/>
    <cellStyle name="표준 18 3 3 4 4" xfId="18863"/>
    <cellStyle name="표준 18 3 3 4 4 2" xfId="41328"/>
    <cellStyle name="표준 18 3 3 4 5" xfId="26364"/>
    <cellStyle name="표준 18 3 3 4_Sheet4" xfId="2895"/>
    <cellStyle name="표준 18 3 3 5" xfId="2896"/>
    <cellStyle name="표준 18 3 3 5 2" xfId="11381"/>
    <cellStyle name="표준 18 3 3 5 2 2" xfId="33848"/>
    <cellStyle name="표준 18 3 3 5 3" xfId="18865"/>
    <cellStyle name="표준 18 3 3 5 3 2" xfId="41330"/>
    <cellStyle name="표준 18 3 3 5 4" xfId="26366"/>
    <cellStyle name="표준 18 3 3 6" xfId="11366"/>
    <cellStyle name="표준 18 3 3 6 2" xfId="33833"/>
    <cellStyle name="표준 18 3 3 7" xfId="18850"/>
    <cellStyle name="표준 18 3 3 7 2" xfId="41315"/>
    <cellStyle name="표준 18 3 3 8" xfId="26351"/>
    <cellStyle name="표준 18 3 3_Sheet4" xfId="2897"/>
    <cellStyle name="표준 18 3 4" xfId="2898"/>
    <cellStyle name="표준 18 3 4 2" xfId="2899"/>
    <cellStyle name="표준 18 3 4 2 2" xfId="2900"/>
    <cellStyle name="표준 18 3 4 2 2 2" xfId="2901"/>
    <cellStyle name="표준 18 3 4 2 2 2 2" xfId="11385"/>
    <cellStyle name="표준 18 3 4 2 2 2 2 2" xfId="33852"/>
    <cellStyle name="표준 18 3 4 2 2 2 3" xfId="18869"/>
    <cellStyle name="표준 18 3 4 2 2 2 3 2" xfId="41334"/>
    <cellStyle name="표준 18 3 4 2 2 2 4" xfId="26370"/>
    <cellStyle name="표준 18 3 4 2 2 3" xfId="11384"/>
    <cellStyle name="표준 18 3 4 2 2 3 2" xfId="33851"/>
    <cellStyle name="표준 18 3 4 2 2 4" xfId="18868"/>
    <cellStyle name="표준 18 3 4 2 2 4 2" xfId="41333"/>
    <cellStyle name="표준 18 3 4 2 2 5" xfId="26369"/>
    <cellStyle name="표준 18 3 4 2 2_Sheet4" xfId="2902"/>
    <cellStyle name="표준 18 3 4 2 3" xfId="2903"/>
    <cellStyle name="표준 18 3 4 2 3 2" xfId="11386"/>
    <cellStyle name="표준 18 3 4 2 3 2 2" xfId="33853"/>
    <cellStyle name="표준 18 3 4 2 3 3" xfId="18870"/>
    <cellStyle name="표준 18 3 4 2 3 3 2" xfId="41335"/>
    <cellStyle name="표준 18 3 4 2 3 4" xfId="26371"/>
    <cellStyle name="표준 18 3 4 2 4" xfId="11383"/>
    <cellStyle name="표준 18 3 4 2 4 2" xfId="33850"/>
    <cellStyle name="표준 18 3 4 2 5" xfId="18867"/>
    <cellStyle name="표준 18 3 4 2 5 2" xfId="41332"/>
    <cellStyle name="표준 18 3 4 2 6" xfId="26368"/>
    <cellStyle name="표준 18 3 4 2_Sheet4" xfId="2904"/>
    <cellStyle name="표준 18 3 4 3" xfId="2905"/>
    <cellStyle name="표준 18 3 4 3 2" xfId="2906"/>
    <cellStyle name="표준 18 3 4 3 2 2" xfId="11388"/>
    <cellStyle name="표준 18 3 4 3 2 2 2" xfId="33855"/>
    <cellStyle name="표준 18 3 4 3 2 3" xfId="18872"/>
    <cellStyle name="표준 18 3 4 3 2 3 2" xfId="41337"/>
    <cellStyle name="표준 18 3 4 3 2 4" xfId="26373"/>
    <cellStyle name="표준 18 3 4 3 3" xfId="11387"/>
    <cellStyle name="표준 18 3 4 3 3 2" xfId="33854"/>
    <cellStyle name="표준 18 3 4 3 4" xfId="18871"/>
    <cellStyle name="표준 18 3 4 3 4 2" xfId="41336"/>
    <cellStyle name="표준 18 3 4 3 5" xfId="26372"/>
    <cellStyle name="표준 18 3 4 3_Sheet4" xfId="2907"/>
    <cellStyle name="표준 18 3 4 4" xfId="2908"/>
    <cellStyle name="표준 18 3 4 4 2" xfId="11389"/>
    <cellStyle name="표준 18 3 4 4 2 2" xfId="33856"/>
    <cellStyle name="표준 18 3 4 4 3" xfId="18873"/>
    <cellStyle name="표준 18 3 4 4 3 2" xfId="41338"/>
    <cellStyle name="표준 18 3 4 4 4" xfId="26374"/>
    <cellStyle name="표준 18 3 4 5" xfId="11382"/>
    <cellStyle name="표준 18 3 4 5 2" xfId="33849"/>
    <cellStyle name="표준 18 3 4 6" xfId="18866"/>
    <cellStyle name="표준 18 3 4 6 2" xfId="41331"/>
    <cellStyle name="표준 18 3 4 7" xfId="26367"/>
    <cellStyle name="표준 18 3 4_Sheet4" xfId="2909"/>
    <cellStyle name="표준 18 3 5" xfId="2910"/>
    <cellStyle name="표준 18 3 5 2" xfId="2911"/>
    <cellStyle name="표준 18 3 5 2 2" xfId="2912"/>
    <cellStyle name="표준 18 3 5 2 2 2" xfId="11392"/>
    <cellStyle name="표준 18 3 5 2 2 2 2" xfId="33859"/>
    <cellStyle name="표준 18 3 5 2 2 3" xfId="18876"/>
    <cellStyle name="표준 18 3 5 2 2 3 2" xfId="41341"/>
    <cellStyle name="표준 18 3 5 2 2 4" xfId="26377"/>
    <cellStyle name="표준 18 3 5 2 3" xfId="11391"/>
    <cellStyle name="표준 18 3 5 2 3 2" xfId="33858"/>
    <cellStyle name="표준 18 3 5 2 4" xfId="18875"/>
    <cellStyle name="표준 18 3 5 2 4 2" xfId="41340"/>
    <cellStyle name="표준 18 3 5 2 5" xfId="26376"/>
    <cellStyle name="표준 18 3 5 2_Sheet4" xfId="2913"/>
    <cellStyle name="표준 18 3 5 3" xfId="2914"/>
    <cellStyle name="표준 18 3 5 3 2" xfId="11393"/>
    <cellStyle name="표준 18 3 5 3 2 2" xfId="33860"/>
    <cellStyle name="표준 18 3 5 3 3" xfId="18877"/>
    <cellStyle name="표준 18 3 5 3 3 2" xfId="41342"/>
    <cellStyle name="표준 18 3 5 3 4" xfId="26378"/>
    <cellStyle name="표준 18 3 5 4" xfId="11390"/>
    <cellStyle name="표준 18 3 5 4 2" xfId="33857"/>
    <cellStyle name="표준 18 3 5 5" xfId="18874"/>
    <cellStyle name="표준 18 3 5 5 2" xfId="41339"/>
    <cellStyle name="표준 18 3 5 6" xfId="26375"/>
    <cellStyle name="표준 18 3 5_Sheet4" xfId="2915"/>
    <cellStyle name="표준 18 3 6" xfId="2916"/>
    <cellStyle name="표준 18 3 6 2" xfId="2917"/>
    <cellStyle name="표준 18 3 6 2 2" xfId="11395"/>
    <cellStyle name="표준 18 3 6 2 2 2" xfId="33862"/>
    <cellStyle name="표준 18 3 6 2 3" xfId="18879"/>
    <cellStyle name="표준 18 3 6 2 3 2" xfId="41344"/>
    <cellStyle name="표준 18 3 6 2 4" xfId="26380"/>
    <cellStyle name="표준 18 3 6 3" xfId="11394"/>
    <cellStyle name="표준 18 3 6 3 2" xfId="33861"/>
    <cellStyle name="표준 18 3 6 4" xfId="18878"/>
    <cellStyle name="표준 18 3 6 4 2" xfId="41343"/>
    <cellStyle name="표준 18 3 6 5" xfId="26379"/>
    <cellStyle name="표준 18 3 6_Sheet4" xfId="2918"/>
    <cellStyle name="표준 18 3 7" xfId="2919"/>
    <cellStyle name="표준 18 3 7 2" xfId="11396"/>
    <cellStyle name="표준 18 3 7 2 2" xfId="33863"/>
    <cellStyle name="표준 18 3 7 3" xfId="18880"/>
    <cellStyle name="표준 18 3 7 3 2" xfId="41345"/>
    <cellStyle name="표준 18 3 7 4" xfId="26381"/>
    <cellStyle name="표준 18 3 8" xfId="11349"/>
    <cellStyle name="표준 18 3 8 2" xfId="33816"/>
    <cellStyle name="표준 18 3 9" xfId="18833"/>
    <cellStyle name="표준 18 3 9 2" xfId="41298"/>
    <cellStyle name="표준 18 3_Sheet4" xfId="2920"/>
    <cellStyle name="표준 18 4" xfId="2921"/>
    <cellStyle name="표준 18 4 2" xfId="2922"/>
    <cellStyle name="표준 18 4 2 2" xfId="2923"/>
    <cellStyle name="표준 18 4 2 2 2" xfId="2924"/>
    <cellStyle name="표준 18 4 2 2 2 2" xfId="2925"/>
    <cellStyle name="표준 18 4 2 2 2 2 2" xfId="11401"/>
    <cellStyle name="표준 18 4 2 2 2 2 2 2" xfId="33868"/>
    <cellStyle name="표준 18 4 2 2 2 2 3" xfId="18885"/>
    <cellStyle name="표준 18 4 2 2 2 2 3 2" xfId="41350"/>
    <cellStyle name="표준 18 4 2 2 2 2 4" xfId="26386"/>
    <cellStyle name="표준 18 4 2 2 2 3" xfId="11400"/>
    <cellStyle name="표준 18 4 2 2 2 3 2" xfId="33867"/>
    <cellStyle name="표준 18 4 2 2 2 4" xfId="18884"/>
    <cellStyle name="표준 18 4 2 2 2 4 2" xfId="41349"/>
    <cellStyle name="표준 18 4 2 2 2 5" xfId="26385"/>
    <cellStyle name="표준 18 4 2 2 2_Sheet4" xfId="2926"/>
    <cellStyle name="표준 18 4 2 2 3" xfId="2927"/>
    <cellStyle name="표준 18 4 2 2 3 2" xfId="11402"/>
    <cellStyle name="표준 18 4 2 2 3 2 2" xfId="33869"/>
    <cellStyle name="표준 18 4 2 2 3 3" xfId="18886"/>
    <cellStyle name="표준 18 4 2 2 3 3 2" xfId="41351"/>
    <cellStyle name="표준 18 4 2 2 3 4" xfId="26387"/>
    <cellStyle name="표준 18 4 2 2 4" xfId="11399"/>
    <cellStyle name="표준 18 4 2 2 4 2" xfId="33866"/>
    <cellStyle name="표준 18 4 2 2 5" xfId="18883"/>
    <cellStyle name="표준 18 4 2 2 5 2" xfId="41348"/>
    <cellStyle name="표준 18 4 2 2 6" xfId="26384"/>
    <cellStyle name="표준 18 4 2 2_Sheet4" xfId="2928"/>
    <cellStyle name="표준 18 4 2 3" xfId="2929"/>
    <cellStyle name="표준 18 4 2 3 2" xfId="2930"/>
    <cellStyle name="표준 18 4 2 3 2 2" xfId="11404"/>
    <cellStyle name="표준 18 4 2 3 2 2 2" xfId="33871"/>
    <cellStyle name="표준 18 4 2 3 2 3" xfId="18888"/>
    <cellStyle name="표준 18 4 2 3 2 3 2" xfId="41353"/>
    <cellStyle name="표준 18 4 2 3 2 4" xfId="26389"/>
    <cellStyle name="표준 18 4 2 3 3" xfId="11403"/>
    <cellStyle name="표준 18 4 2 3 3 2" xfId="33870"/>
    <cellStyle name="표준 18 4 2 3 4" xfId="18887"/>
    <cellStyle name="표준 18 4 2 3 4 2" xfId="41352"/>
    <cellStyle name="표준 18 4 2 3 5" xfId="26388"/>
    <cellStyle name="표준 18 4 2 3_Sheet4" xfId="2931"/>
    <cellStyle name="표준 18 4 2 4" xfId="2932"/>
    <cellStyle name="표준 18 4 2 4 2" xfId="11405"/>
    <cellStyle name="표준 18 4 2 4 2 2" xfId="33872"/>
    <cellStyle name="표준 18 4 2 4 3" xfId="18889"/>
    <cellStyle name="표준 18 4 2 4 3 2" xfId="41354"/>
    <cellStyle name="표준 18 4 2 4 4" xfId="26390"/>
    <cellStyle name="표준 18 4 2 5" xfId="11398"/>
    <cellStyle name="표준 18 4 2 5 2" xfId="33865"/>
    <cellStyle name="표준 18 4 2 6" xfId="18882"/>
    <cellStyle name="표준 18 4 2 6 2" xfId="41347"/>
    <cellStyle name="표준 18 4 2 7" xfId="26383"/>
    <cellStyle name="표준 18 4 2_Sheet4" xfId="2933"/>
    <cellStyle name="표준 18 4 3" xfId="2934"/>
    <cellStyle name="표준 18 4 3 2" xfId="2935"/>
    <cellStyle name="표준 18 4 3 2 2" xfId="2936"/>
    <cellStyle name="표준 18 4 3 2 2 2" xfId="11408"/>
    <cellStyle name="표준 18 4 3 2 2 2 2" xfId="33875"/>
    <cellStyle name="표준 18 4 3 2 2 3" xfId="18892"/>
    <cellStyle name="표준 18 4 3 2 2 3 2" xfId="41357"/>
    <cellStyle name="표준 18 4 3 2 2 4" xfId="26393"/>
    <cellStyle name="표준 18 4 3 2 3" xfId="11407"/>
    <cellStyle name="표준 18 4 3 2 3 2" xfId="33874"/>
    <cellStyle name="표준 18 4 3 2 4" xfId="18891"/>
    <cellStyle name="표준 18 4 3 2 4 2" xfId="41356"/>
    <cellStyle name="표준 18 4 3 2 5" xfId="26392"/>
    <cellStyle name="표준 18 4 3 2_Sheet4" xfId="2937"/>
    <cellStyle name="표준 18 4 3 3" xfId="2938"/>
    <cellStyle name="표준 18 4 3 3 2" xfId="11409"/>
    <cellStyle name="표준 18 4 3 3 2 2" xfId="33876"/>
    <cellStyle name="표준 18 4 3 3 3" xfId="18893"/>
    <cellStyle name="표준 18 4 3 3 3 2" xfId="41358"/>
    <cellStyle name="표준 18 4 3 3 4" xfId="26394"/>
    <cellStyle name="표준 18 4 3 4" xfId="11406"/>
    <cellStyle name="표준 18 4 3 4 2" xfId="33873"/>
    <cellStyle name="표준 18 4 3 5" xfId="18890"/>
    <cellStyle name="표준 18 4 3 5 2" xfId="41355"/>
    <cellStyle name="표준 18 4 3 6" xfId="26391"/>
    <cellStyle name="표준 18 4 3_Sheet4" xfId="2939"/>
    <cellStyle name="표준 18 4 4" xfId="2940"/>
    <cellStyle name="표준 18 4 4 2" xfId="2941"/>
    <cellStyle name="표준 18 4 4 2 2" xfId="11411"/>
    <cellStyle name="표준 18 4 4 2 2 2" xfId="33878"/>
    <cellStyle name="표준 18 4 4 2 3" xfId="18895"/>
    <cellStyle name="표준 18 4 4 2 3 2" xfId="41360"/>
    <cellStyle name="표준 18 4 4 2 4" xfId="26396"/>
    <cellStyle name="표준 18 4 4 3" xfId="11410"/>
    <cellStyle name="표준 18 4 4 3 2" xfId="33877"/>
    <cellStyle name="표준 18 4 4 4" xfId="18894"/>
    <cellStyle name="표준 18 4 4 4 2" xfId="41359"/>
    <cellStyle name="표준 18 4 4 5" xfId="26395"/>
    <cellStyle name="표준 18 4 4_Sheet4" xfId="2942"/>
    <cellStyle name="표준 18 4 5" xfId="2943"/>
    <cellStyle name="표준 18 4 5 2" xfId="11412"/>
    <cellStyle name="표준 18 4 5 2 2" xfId="33879"/>
    <cellStyle name="표준 18 4 5 3" xfId="18896"/>
    <cellStyle name="표준 18 4 5 3 2" xfId="41361"/>
    <cellStyle name="표준 18 4 5 4" xfId="26397"/>
    <cellStyle name="표준 18 4 6" xfId="11397"/>
    <cellStyle name="표준 18 4 6 2" xfId="33864"/>
    <cellStyle name="표준 18 4 7" xfId="18881"/>
    <cellStyle name="표준 18 4 7 2" xfId="41346"/>
    <cellStyle name="표준 18 4 8" xfId="26382"/>
    <cellStyle name="표준 18 4_Sheet4" xfId="2944"/>
    <cellStyle name="표준 18 5" xfId="2945"/>
    <cellStyle name="표준 18 5 2" xfId="2946"/>
    <cellStyle name="표준 18 5 2 2" xfId="2947"/>
    <cellStyle name="표준 18 5 2 2 2" xfId="2948"/>
    <cellStyle name="표준 18 5 2 2 2 2" xfId="2949"/>
    <cellStyle name="표준 18 5 2 2 2 2 2" xfId="11417"/>
    <cellStyle name="표준 18 5 2 2 2 2 2 2" xfId="33884"/>
    <cellStyle name="표준 18 5 2 2 2 2 3" xfId="18901"/>
    <cellStyle name="표준 18 5 2 2 2 2 3 2" xfId="41366"/>
    <cellStyle name="표준 18 5 2 2 2 2 4" xfId="26402"/>
    <cellStyle name="표준 18 5 2 2 2 3" xfId="11416"/>
    <cellStyle name="표준 18 5 2 2 2 3 2" xfId="33883"/>
    <cellStyle name="표준 18 5 2 2 2 4" xfId="18900"/>
    <cellStyle name="표준 18 5 2 2 2 4 2" xfId="41365"/>
    <cellStyle name="표준 18 5 2 2 2 5" xfId="26401"/>
    <cellStyle name="표준 18 5 2 2 2_Sheet4" xfId="2950"/>
    <cellStyle name="표준 18 5 2 2 3" xfId="2951"/>
    <cellStyle name="표준 18 5 2 2 3 2" xfId="11418"/>
    <cellStyle name="표준 18 5 2 2 3 2 2" xfId="33885"/>
    <cellStyle name="표준 18 5 2 2 3 3" xfId="18902"/>
    <cellStyle name="표준 18 5 2 2 3 3 2" xfId="41367"/>
    <cellStyle name="표준 18 5 2 2 3 4" xfId="26403"/>
    <cellStyle name="표준 18 5 2 2 4" xfId="11415"/>
    <cellStyle name="표준 18 5 2 2 4 2" xfId="33882"/>
    <cellStyle name="표준 18 5 2 2 5" xfId="18899"/>
    <cellStyle name="표준 18 5 2 2 5 2" xfId="41364"/>
    <cellStyle name="표준 18 5 2 2 6" xfId="26400"/>
    <cellStyle name="표준 18 5 2 2_Sheet4" xfId="2952"/>
    <cellStyle name="표준 18 5 2 3" xfId="2953"/>
    <cellStyle name="표준 18 5 2 3 2" xfId="2954"/>
    <cellStyle name="표준 18 5 2 3 2 2" xfId="11420"/>
    <cellStyle name="표준 18 5 2 3 2 2 2" xfId="33887"/>
    <cellStyle name="표준 18 5 2 3 2 3" xfId="18904"/>
    <cellStyle name="표준 18 5 2 3 2 3 2" xfId="41369"/>
    <cellStyle name="표준 18 5 2 3 2 4" xfId="26405"/>
    <cellStyle name="표준 18 5 2 3 3" xfId="11419"/>
    <cellStyle name="표준 18 5 2 3 3 2" xfId="33886"/>
    <cellStyle name="표준 18 5 2 3 4" xfId="18903"/>
    <cellStyle name="표준 18 5 2 3 4 2" xfId="41368"/>
    <cellStyle name="표준 18 5 2 3 5" xfId="26404"/>
    <cellStyle name="표준 18 5 2 3_Sheet4" xfId="2955"/>
    <cellStyle name="표준 18 5 2 4" xfId="2956"/>
    <cellStyle name="표준 18 5 2 4 2" xfId="11421"/>
    <cellStyle name="표준 18 5 2 4 2 2" xfId="33888"/>
    <cellStyle name="표준 18 5 2 4 3" xfId="18905"/>
    <cellStyle name="표준 18 5 2 4 3 2" xfId="41370"/>
    <cellStyle name="표준 18 5 2 4 4" xfId="26406"/>
    <cellStyle name="표준 18 5 2 5" xfId="11414"/>
    <cellStyle name="표준 18 5 2 5 2" xfId="33881"/>
    <cellStyle name="표준 18 5 2 6" xfId="18898"/>
    <cellStyle name="표준 18 5 2 6 2" xfId="41363"/>
    <cellStyle name="표준 18 5 2 7" xfId="26399"/>
    <cellStyle name="표준 18 5 2_Sheet4" xfId="2957"/>
    <cellStyle name="표준 18 5 3" xfId="2958"/>
    <cellStyle name="표준 18 5 3 2" xfId="2959"/>
    <cellStyle name="표준 18 5 3 2 2" xfId="2960"/>
    <cellStyle name="표준 18 5 3 2 2 2" xfId="11424"/>
    <cellStyle name="표준 18 5 3 2 2 2 2" xfId="33891"/>
    <cellStyle name="표준 18 5 3 2 2 3" xfId="18908"/>
    <cellStyle name="표준 18 5 3 2 2 3 2" xfId="41373"/>
    <cellStyle name="표준 18 5 3 2 2 4" xfId="26409"/>
    <cellStyle name="표준 18 5 3 2 3" xfId="11423"/>
    <cellStyle name="표준 18 5 3 2 3 2" xfId="33890"/>
    <cellStyle name="표준 18 5 3 2 4" xfId="18907"/>
    <cellStyle name="표준 18 5 3 2 4 2" xfId="41372"/>
    <cellStyle name="표준 18 5 3 2 5" xfId="26408"/>
    <cellStyle name="표준 18 5 3 2_Sheet4" xfId="2961"/>
    <cellStyle name="표준 18 5 3 3" xfId="2962"/>
    <cellStyle name="표준 18 5 3 3 2" xfId="11425"/>
    <cellStyle name="표준 18 5 3 3 2 2" xfId="33892"/>
    <cellStyle name="표준 18 5 3 3 3" xfId="18909"/>
    <cellStyle name="표준 18 5 3 3 3 2" xfId="41374"/>
    <cellStyle name="표준 18 5 3 3 4" xfId="26410"/>
    <cellStyle name="표준 18 5 3 4" xfId="11422"/>
    <cellStyle name="표준 18 5 3 4 2" xfId="33889"/>
    <cellStyle name="표준 18 5 3 5" xfId="18906"/>
    <cellStyle name="표준 18 5 3 5 2" xfId="41371"/>
    <cellStyle name="표준 18 5 3 6" xfId="26407"/>
    <cellStyle name="표준 18 5 3_Sheet4" xfId="2963"/>
    <cellStyle name="표준 18 5 4" xfId="2964"/>
    <cellStyle name="표준 18 5 4 2" xfId="2965"/>
    <cellStyle name="표준 18 5 4 2 2" xfId="11427"/>
    <cellStyle name="표준 18 5 4 2 2 2" xfId="33894"/>
    <cellStyle name="표준 18 5 4 2 3" xfId="18911"/>
    <cellStyle name="표준 18 5 4 2 3 2" xfId="41376"/>
    <cellStyle name="표준 18 5 4 2 4" xfId="26412"/>
    <cellStyle name="표준 18 5 4 3" xfId="11426"/>
    <cellStyle name="표준 18 5 4 3 2" xfId="33893"/>
    <cellStyle name="표준 18 5 4 4" xfId="18910"/>
    <cellStyle name="표준 18 5 4 4 2" xfId="41375"/>
    <cellStyle name="표준 18 5 4 5" xfId="26411"/>
    <cellStyle name="표준 18 5 4_Sheet4" xfId="2966"/>
    <cellStyle name="표준 18 5 5" xfId="2967"/>
    <cellStyle name="표준 18 5 5 2" xfId="11428"/>
    <cellStyle name="표준 18 5 5 2 2" xfId="33895"/>
    <cellStyle name="표준 18 5 5 3" xfId="18912"/>
    <cellStyle name="표준 18 5 5 3 2" xfId="41377"/>
    <cellStyle name="표준 18 5 5 4" xfId="26413"/>
    <cellStyle name="표준 18 5 6" xfId="11413"/>
    <cellStyle name="표준 18 5 6 2" xfId="33880"/>
    <cellStyle name="표준 18 5 7" xfId="18897"/>
    <cellStyle name="표준 18 5 7 2" xfId="41362"/>
    <cellStyle name="표준 18 5 8" xfId="26398"/>
    <cellStyle name="표준 18 5_Sheet4" xfId="2968"/>
    <cellStyle name="표준 18 6" xfId="2969"/>
    <cellStyle name="표준 18 6 2" xfId="2970"/>
    <cellStyle name="표준 18 6 2 2" xfId="2971"/>
    <cellStyle name="표준 18 6 2 2 2" xfId="2972"/>
    <cellStyle name="표준 18 6 2 2 2 2" xfId="11432"/>
    <cellStyle name="표준 18 6 2 2 2 2 2" xfId="33899"/>
    <cellStyle name="표준 18 6 2 2 2 3" xfId="18916"/>
    <cellStyle name="표준 18 6 2 2 2 3 2" xfId="41381"/>
    <cellStyle name="표준 18 6 2 2 2 4" xfId="26417"/>
    <cellStyle name="표준 18 6 2 2 3" xfId="11431"/>
    <cellStyle name="표준 18 6 2 2 3 2" xfId="33898"/>
    <cellStyle name="표준 18 6 2 2 4" xfId="18915"/>
    <cellStyle name="표준 18 6 2 2 4 2" xfId="41380"/>
    <cellStyle name="표준 18 6 2 2 5" xfId="26416"/>
    <cellStyle name="표준 18 6 2 2_Sheet4" xfId="2973"/>
    <cellStyle name="표준 18 6 2 3" xfId="2974"/>
    <cellStyle name="표준 18 6 2 3 2" xfId="11433"/>
    <cellStyle name="표준 18 6 2 3 2 2" xfId="33900"/>
    <cellStyle name="표준 18 6 2 3 3" xfId="18917"/>
    <cellStyle name="표준 18 6 2 3 3 2" xfId="41382"/>
    <cellStyle name="표준 18 6 2 3 4" xfId="26418"/>
    <cellStyle name="표준 18 6 2 4" xfId="11430"/>
    <cellStyle name="표준 18 6 2 4 2" xfId="33897"/>
    <cellStyle name="표준 18 6 2 5" xfId="18914"/>
    <cellStyle name="표준 18 6 2 5 2" xfId="41379"/>
    <cellStyle name="표준 18 6 2 6" xfId="26415"/>
    <cellStyle name="표준 18 6 2_Sheet4" xfId="2975"/>
    <cellStyle name="표준 18 6 3" xfId="2976"/>
    <cellStyle name="표준 18 6 3 2" xfId="2977"/>
    <cellStyle name="표준 18 6 3 2 2" xfId="11435"/>
    <cellStyle name="표준 18 6 3 2 2 2" xfId="33902"/>
    <cellStyle name="표준 18 6 3 2 3" xfId="18919"/>
    <cellStyle name="표준 18 6 3 2 3 2" xfId="41384"/>
    <cellStyle name="표준 18 6 3 2 4" xfId="26420"/>
    <cellStyle name="표준 18 6 3 3" xfId="11434"/>
    <cellStyle name="표준 18 6 3 3 2" xfId="33901"/>
    <cellStyle name="표준 18 6 3 4" xfId="18918"/>
    <cellStyle name="표준 18 6 3 4 2" xfId="41383"/>
    <cellStyle name="표준 18 6 3 5" xfId="26419"/>
    <cellStyle name="표준 18 6 3_Sheet4" xfId="2978"/>
    <cellStyle name="표준 18 6 4" xfId="2979"/>
    <cellStyle name="표준 18 6 4 2" xfId="11436"/>
    <cellStyle name="표준 18 6 4 2 2" xfId="33903"/>
    <cellStyle name="표준 18 6 4 3" xfId="18920"/>
    <cellStyle name="표준 18 6 4 3 2" xfId="41385"/>
    <cellStyle name="표준 18 6 4 4" xfId="26421"/>
    <cellStyle name="표준 18 6 5" xfId="11429"/>
    <cellStyle name="표준 18 6 5 2" xfId="33896"/>
    <cellStyle name="표준 18 6 6" xfId="18913"/>
    <cellStyle name="표준 18 6 6 2" xfId="41378"/>
    <cellStyle name="표준 18 6 7" xfId="26414"/>
    <cellStyle name="표준 18 6_Sheet4" xfId="2980"/>
    <cellStyle name="표준 18 7" xfId="2981"/>
    <cellStyle name="표준 18 7 2" xfId="2982"/>
    <cellStyle name="표준 18 7 2 2" xfId="2983"/>
    <cellStyle name="표준 18 7 2 2 2" xfId="2984"/>
    <cellStyle name="표준 18 7 2 2 2 2" xfId="11440"/>
    <cellStyle name="표준 18 7 2 2 2 2 2" xfId="33907"/>
    <cellStyle name="표준 18 7 2 2 2 3" xfId="18924"/>
    <cellStyle name="표준 18 7 2 2 2 3 2" xfId="41389"/>
    <cellStyle name="표준 18 7 2 2 2 4" xfId="26425"/>
    <cellStyle name="표준 18 7 2 2 3" xfId="11439"/>
    <cellStyle name="표준 18 7 2 2 3 2" xfId="33906"/>
    <cellStyle name="표준 18 7 2 2 4" xfId="18923"/>
    <cellStyle name="표준 18 7 2 2 4 2" xfId="41388"/>
    <cellStyle name="표준 18 7 2 2 5" xfId="26424"/>
    <cellStyle name="표준 18 7 2 2_Sheet4" xfId="2985"/>
    <cellStyle name="표준 18 7 2 3" xfId="2986"/>
    <cellStyle name="표준 18 7 2 3 2" xfId="11441"/>
    <cellStyle name="표준 18 7 2 3 2 2" xfId="33908"/>
    <cellStyle name="표준 18 7 2 3 3" xfId="18925"/>
    <cellStyle name="표준 18 7 2 3 3 2" xfId="41390"/>
    <cellStyle name="표준 18 7 2 3 4" xfId="26426"/>
    <cellStyle name="표준 18 7 2 4" xfId="11438"/>
    <cellStyle name="표준 18 7 2 4 2" xfId="33905"/>
    <cellStyle name="표준 18 7 2 5" xfId="18922"/>
    <cellStyle name="표준 18 7 2 5 2" xfId="41387"/>
    <cellStyle name="표준 18 7 2 6" xfId="26423"/>
    <cellStyle name="표준 18 7 2_Sheet4" xfId="2987"/>
    <cellStyle name="표준 18 7 3" xfId="2988"/>
    <cellStyle name="표준 18 7 3 2" xfId="2989"/>
    <cellStyle name="표준 18 7 3 2 2" xfId="11443"/>
    <cellStyle name="표준 18 7 3 2 2 2" xfId="33910"/>
    <cellStyle name="표준 18 7 3 2 3" xfId="18927"/>
    <cellStyle name="표준 18 7 3 2 3 2" xfId="41392"/>
    <cellStyle name="표준 18 7 3 2 4" xfId="26428"/>
    <cellStyle name="표준 18 7 3 3" xfId="11442"/>
    <cellStyle name="표준 18 7 3 3 2" xfId="33909"/>
    <cellStyle name="표준 18 7 3 4" xfId="18926"/>
    <cellStyle name="표준 18 7 3 4 2" xfId="41391"/>
    <cellStyle name="표준 18 7 3 5" xfId="26427"/>
    <cellStyle name="표준 18 7 3_Sheet4" xfId="2990"/>
    <cellStyle name="표준 18 7 4" xfId="2991"/>
    <cellStyle name="표준 18 7 4 2" xfId="11444"/>
    <cellStyle name="표준 18 7 4 2 2" xfId="33911"/>
    <cellStyle name="표준 18 7 4 3" xfId="18928"/>
    <cellStyle name="표준 18 7 4 3 2" xfId="41393"/>
    <cellStyle name="표준 18 7 4 4" xfId="26429"/>
    <cellStyle name="표준 18 7 5" xfId="11437"/>
    <cellStyle name="표준 18 7 5 2" xfId="33904"/>
    <cellStyle name="표준 18 7 6" xfId="18921"/>
    <cellStyle name="표준 18 7 6 2" xfId="41386"/>
    <cellStyle name="표준 18 7 7" xfId="26422"/>
    <cellStyle name="표준 18 7_Sheet4" xfId="2992"/>
    <cellStyle name="표준 18 8" xfId="2993"/>
    <cellStyle name="표준 18 8 2" xfId="2994"/>
    <cellStyle name="표준 18 8 2 2" xfId="2995"/>
    <cellStyle name="표준 18 8 2 2 2" xfId="2996"/>
    <cellStyle name="표준 18 8 2 2 2 2" xfId="11448"/>
    <cellStyle name="표준 18 8 2 2 2 2 2" xfId="33915"/>
    <cellStyle name="표준 18 8 2 2 2 3" xfId="18932"/>
    <cellStyle name="표준 18 8 2 2 2 3 2" xfId="41397"/>
    <cellStyle name="표준 18 8 2 2 2 4" xfId="26433"/>
    <cellStyle name="표준 18 8 2 2 3" xfId="11447"/>
    <cellStyle name="표준 18 8 2 2 3 2" xfId="33914"/>
    <cellStyle name="표준 18 8 2 2 4" xfId="18931"/>
    <cellStyle name="표준 18 8 2 2 4 2" xfId="41396"/>
    <cellStyle name="표준 18 8 2 2 5" xfId="26432"/>
    <cellStyle name="표준 18 8 2 2_Sheet4" xfId="2997"/>
    <cellStyle name="표준 18 8 2 3" xfId="2998"/>
    <cellStyle name="표준 18 8 2 3 2" xfId="11449"/>
    <cellStyle name="표준 18 8 2 3 2 2" xfId="33916"/>
    <cellStyle name="표준 18 8 2 3 3" xfId="18933"/>
    <cellStyle name="표준 18 8 2 3 3 2" xfId="41398"/>
    <cellStyle name="표준 18 8 2 3 4" xfId="26434"/>
    <cellStyle name="표준 18 8 2 4" xfId="11446"/>
    <cellStyle name="표준 18 8 2 4 2" xfId="33913"/>
    <cellStyle name="표준 18 8 2 5" xfId="18930"/>
    <cellStyle name="표준 18 8 2 5 2" xfId="41395"/>
    <cellStyle name="표준 18 8 2 6" xfId="26431"/>
    <cellStyle name="표준 18 8 2_Sheet4" xfId="2999"/>
    <cellStyle name="표준 18 8 3" xfId="3000"/>
    <cellStyle name="표준 18 8 3 2" xfId="3001"/>
    <cellStyle name="표준 18 8 3 2 2" xfId="11451"/>
    <cellStyle name="표준 18 8 3 2 2 2" xfId="33918"/>
    <cellStyle name="표준 18 8 3 2 3" xfId="18935"/>
    <cellStyle name="표준 18 8 3 2 3 2" xfId="41400"/>
    <cellStyle name="표준 18 8 3 2 4" xfId="26436"/>
    <cellStyle name="표준 18 8 3 3" xfId="11450"/>
    <cellStyle name="표준 18 8 3 3 2" xfId="33917"/>
    <cellStyle name="표준 18 8 3 4" xfId="18934"/>
    <cellStyle name="표준 18 8 3 4 2" xfId="41399"/>
    <cellStyle name="표준 18 8 3 5" xfId="26435"/>
    <cellStyle name="표준 18 8 3_Sheet4" xfId="3002"/>
    <cellStyle name="표준 18 8 4" xfId="3003"/>
    <cellStyle name="표준 18 8 4 2" xfId="11452"/>
    <cellStyle name="표준 18 8 4 2 2" xfId="33919"/>
    <cellStyle name="표준 18 8 4 3" xfId="18936"/>
    <cellStyle name="표준 18 8 4 3 2" xfId="41401"/>
    <cellStyle name="표준 18 8 4 4" xfId="26437"/>
    <cellStyle name="표준 18 8 5" xfId="11445"/>
    <cellStyle name="표준 18 8 5 2" xfId="33912"/>
    <cellStyle name="표준 18 8 6" xfId="18929"/>
    <cellStyle name="표준 18 8 6 2" xfId="41394"/>
    <cellStyle name="표준 18 8 7" xfId="26430"/>
    <cellStyle name="표준 18 8_Sheet4" xfId="3004"/>
    <cellStyle name="표준 18 9" xfId="3005"/>
    <cellStyle name="표준 18 9 2" xfId="3006"/>
    <cellStyle name="표준 18 9 2 2" xfId="3007"/>
    <cellStyle name="표준 18 9 2 2 2" xfId="11455"/>
    <cellStyle name="표준 18 9 2 2 2 2" xfId="33922"/>
    <cellStyle name="표준 18 9 2 2 3" xfId="18939"/>
    <cellStyle name="표준 18 9 2 2 3 2" xfId="41404"/>
    <cellStyle name="표준 18 9 2 2 4" xfId="26440"/>
    <cellStyle name="표준 18 9 2 3" xfId="11454"/>
    <cellStyle name="표준 18 9 2 3 2" xfId="33921"/>
    <cellStyle name="표준 18 9 2 4" xfId="18938"/>
    <cellStyle name="표준 18 9 2 4 2" xfId="41403"/>
    <cellStyle name="표준 18 9 2 5" xfId="26439"/>
    <cellStyle name="표준 18 9 2_Sheet4" xfId="3008"/>
    <cellStyle name="표준 18 9 3" xfId="3009"/>
    <cellStyle name="표준 18 9 3 2" xfId="11456"/>
    <cellStyle name="표준 18 9 3 2 2" xfId="33923"/>
    <cellStyle name="표준 18 9 3 3" xfId="18940"/>
    <cellStyle name="표준 18 9 3 3 2" xfId="41405"/>
    <cellStyle name="표준 18 9 3 4" xfId="26441"/>
    <cellStyle name="표준 18 9 4" xfId="11453"/>
    <cellStyle name="표준 18 9 4 2" xfId="33920"/>
    <cellStyle name="표준 18 9 5" xfId="18937"/>
    <cellStyle name="표준 18 9 5 2" xfId="41402"/>
    <cellStyle name="표준 18 9 6" xfId="26438"/>
    <cellStyle name="표준 18 9_Sheet4" xfId="3010"/>
    <cellStyle name="표준 18_Sheet4" xfId="3011"/>
    <cellStyle name="표준 19" xfId="3012"/>
    <cellStyle name="표준 2" xfId="2"/>
    <cellStyle name="표준 2 2" xfId="7"/>
    <cellStyle name="표준 2 3" xfId="13"/>
    <cellStyle name="표준 20" xfId="3013"/>
    <cellStyle name="표준 20 10" xfId="18941"/>
    <cellStyle name="표준 20 10 2" xfId="41406"/>
    <cellStyle name="표준 20 11" xfId="26442"/>
    <cellStyle name="표준 20 2" xfId="3014"/>
    <cellStyle name="표준 20 2 10" xfId="26443"/>
    <cellStyle name="표준 20 2 2" xfId="3015"/>
    <cellStyle name="표준 20 2 2 2" xfId="3016"/>
    <cellStyle name="표준 20 2 2 2 2" xfId="3017"/>
    <cellStyle name="표준 20 2 2 2 2 2" xfId="3018"/>
    <cellStyle name="표준 20 2 2 2 2 2 2" xfId="3019"/>
    <cellStyle name="표준 20 2 2 2 2 2 2 2" xfId="11463"/>
    <cellStyle name="표준 20 2 2 2 2 2 2 2 2" xfId="33930"/>
    <cellStyle name="표준 20 2 2 2 2 2 2 3" xfId="18947"/>
    <cellStyle name="표준 20 2 2 2 2 2 2 3 2" xfId="41412"/>
    <cellStyle name="표준 20 2 2 2 2 2 2 4" xfId="26448"/>
    <cellStyle name="표준 20 2 2 2 2 2 3" xfId="11462"/>
    <cellStyle name="표준 20 2 2 2 2 2 3 2" xfId="33929"/>
    <cellStyle name="표준 20 2 2 2 2 2 4" xfId="18946"/>
    <cellStyle name="표준 20 2 2 2 2 2 4 2" xfId="41411"/>
    <cellStyle name="표준 20 2 2 2 2 2 5" xfId="26447"/>
    <cellStyle name="표준 20 2 2 2 2 2_Sheet4" xfId="3020"/>
    <cellStyle name="표준 20 2 2 2 2 3" xfId="3021"/>
    <cellStyle name="표준 20 2 2 2 2 3 2" xfId="11464"/>
    <cellStyle name="표준 20 2 2 2 2 3 2 2" xfId="33931"/>
    <cellStyle name="표준 20 2 2 2 2 3 3" xfId="18948"/>
    <cellStyle name="표준 20 2 2 2 2 3 3 2" xfId="41413"/>
    <cellStyle name="표준 20 2 2 2 2 3 4" xfId="26449"/>
    <cellStyle name="표준 20 2 2 2 2 4" xfId="11461"/>
    <cellStyle name="표준 20 2 2 2 2 4 2" xfId="33928"/>
    <cellStyle name="표준 20 2 2 2 2 5" xfId="18945"/>
    <cellStyle name="표준 20 2 2 2 2 5 2" xfId="41410"/>
    <cellStyle name="표준 20 2 2 2 2 6" xfId="26446"/>
    <cellStyle name="표준 20 2 2 2 2_Sheet4" xfId="3022"/>
    <cellStyle name="표준 20 2 2 2 3" xfId="3023"/>
    <cellStyle name="표준 20 2 2 2 3 2" xfId="3024"/>
    <cellStyle name="표준 20 2 2 2 3 2 2" xfId="11466"/>
    <cellStyle name="표준 20 2 2 2 3 2 2 2" xfId="33933"/>
    <cellStyle name="표준 20 2 2 2 3 2 3" xfId="18950"/>
    <cellStyle name="표준 20 2 2 2 3 2 3 2" xfId="41415"/>
    <cellStyle name="표준 20 2 2 2 3 2 4" xfId="26451"/>
    <cellStyle name="표준 20 2 2 2 3 3" xfId="11465"/>
    <cellStyle name="표준 20 2 2 2 3 3 2" xfId="33932"/>
    <cellStyle name="표준 20 2 2 2 3 4" xfId="18949"/>
    <cellStyle name="표준 20 2 2 2 3 4 2" xfId="41414"/>
    <cellStyle name="표준 20 2 2 2 3 5" xfId="26450"/>
    <cellStyle name="표준 20 2 2 2 3_Sheet4" xfId="3025"/>
    <cellStyle name="표준 20 2 2 2 4" xfId="3026"/>
    <cellStyle name="표준 20 2 2 2 4 2" xfId="11467"/>
    <cellStyle name="표준 20 2 2 2 4 2 2" xfId="33934"/>
    <cellStyle name="표준 20 2 2 2 4 3" xfId="18951"/>
    <cellStyle name="표준 20 2 2 2 4 3 2" xfId="41416"/>
    <cellStyle name="표준 20 2 2 2 4 4" xfId="26452"/>
    <cellStyle name="표준 20 2 2 2 5" xfId="11460"/>
    <cellStyle name="표준 20 2 2 2 5 2" xfId="33927"/>
    <cellStyle name="표준 20 2 2 2 6" xfId="18944"/>
    <cellStyle name="표준 20 2 2 2 6 2" xfId="41409"/>
    <cellStyle name="표준 20 2 2 2 7" xfId="26445"/>
    <cellStyle name="표준 20 2 2 2_Sheet4" xfId="3027"/>
    <cellStyle name="표준 20 2 2 3" xfId="3028"/>
    <cellStyle name="표준 20 2 2 3 2" xfId="3029"/>
    <cellStyle name="표준 20 2 2 3 2 2" xfId="3030"/>
    <cellStyle name="표준 20 2 2 3 2 2 2" xfId="11470"/>
    <cellStyle name="표준 20 2 2 3 2 2 2 2" xfId="33937"/>
    <cellStyle name="표준 20 2 2 3 2 2 3" xfId="18954"/>
    <cellStyle name="표준 20 2 2 3 2 2 3 2" xfId="41419"/>
    <cellStyle name="표준 20 2 2 3 2 2 4" xfId="26455"/>
    <cellStyle name="표준 20 2 2 3 2 3" xfId="11469"/>
    <cellStyle name="표준 20 2 2 3 2 3 2" xfId="33936"/>
    <cellStyle name="표준 20 2 2 3 2 4" xfId="18953"/>
    <cellStyle name="표준 20 2 2 3 2 4 2" xfId="41418"/>
    <cellStyle name="표준 20 2 2 3 2 5" xfId="26454"/>
    <cellStyle name="표준 20 2 2 3 2_Sheet4" xfId="3031"/>
    <cellStyle name="표준 20 2 2 3 3" xfId="3032"/>
    <cellStyle name="표준 20 2 2 3 3 2" xfId="11471"/>
    <cellStyle name="표준 20 2 2 3 3 2 2" xfId="33938"/>
    <cellStyle name="표준 20 2 2 3 3 3" xfId="18955"/>
    <cellStyle name="표준 20 2 2 3 3 3 2" xfId="41420"/>
    <cellStyle name="표준 20 2 2 3 3 4" xfId="26456"/>
    <cellStyle name="표준 20 2 2 3 4" xfId="11468"/>
    <cellStyle name="표준 20 2 2 3 4 2" xfId="33935"/>
    <cellStyle name="표준 20 2 2 3 5" xfId="18952"/>
    <cellStyle name="표준 20 2 2 3 5 2" xfId="41417"/>
    <cellStyle name="표준 20 2 2 3 6" xfId="26453"/>
    <cellStyle name="표준 20 2 2 3_Sheet4" xfId="3033"/>
    <cellStyle name="표준 20 2 2 4" xfId="3034"/>
    <cellStyle name="표준 20 2 2 4 2" xfId="3035"/>
    <cellStyle name="표준 20 2 2 4 2 2" xfId="11473"/>
    <cellStyle name="표준 20 2 2 4 2 2 2" xfId="33940"/>
    <cellStyle name="표준 20 2 2 4 2 3" xfId="18957"/>
    <cellStyle name="표준 20 2 2 4 2 3 2" xfId="41422"/>
    <cellStyle name="표준 20 2 2 4 2 4" xfId="26458"/>
    <cellStyle name="표준 20 2 2 4 3" xfId="11472"/>
    <cellStyle name="표준 20 2 2 4 3 2" xfId="33939"/>
    <cellStyle name="표준 20 2 2 4 4" xfId="18956"/>
    <cellStyle name="표준 20 2 2 4 4 2" xfId="41421"/>
    <cellStyle name="표준 20 2 2 4 5" xfId="26457"/>
    <cellStyle name="표준 20 2 2 4_Sheet4" xfId="3036"/>
    <cellStyle name="표준 20 2 2 5" xfId="3037"/>
    <cellStyle name="표준 20 2 2 5 2" xfId="11474"/>
    <cellStyle name="표준 20 2 2 5 2 2" xfId="33941"/>
    <cellStyle name="표준 20 2 2 5 3" xfId="18958"/>
    <cellStyle name="표준 20 2 2 5 3 2" xfId="41423"/>
    <cellStyle name="표준 20 2 2 5 4" xfId="26459"/>
    <cellStyle name="표준 20 2 2 6" xfId="11459"/>
    <cellStyle name="표준 20 2 2 6 2" xfId="33926"/>
    <cellStyle name="표준 20 2 2 7" xfId="18943"/>
    <cellStyle name="표준 20 2 2 7 2" xfId="41408"/>
    <cellStyle name="표준 20 2 2 8" xfId="26444"/>
    <cellStyle name="표준 20 2 2_Sheet4" xfId="3038"/>
    <cellStyle name="표준 20 2 3" xfId="3039"/>
    <cellStyle name="표준 20 2 3 2" xfId="3040"/>
    <cellStyle name="표준 20 2 3 2 2" xfId="3041"/>
    <cellStyle name="표준 20 2 3 2 2 2" xfId="3042"/>
    <cellStyle name="표준 20 2 3 2 2 2 2" xfId="3043"/>
    <cellStyle name="표준 20 2 3 2 2 2 2 2" xfId="11479"/>
    <cellStyle name="표준 20 2 3 2 2 2 2 2 2" xfId="33946"/>
    <cellStyle name="표준 20 2 3 2 2 2 2 3" xfId="18963"/>
    <cellStyle name="표준 20 2 3 2 2 2 2 3 2" xfId="41428"/>
    <cellStyle name="표준 20 2 3 2 2 2 2 4" xfId="26464"/>
    <cellStyle name="표준 20 2 3 2 2 2 3" xfId="11478"/>
    <cellStyle name="표준 20 2 3 2 2 2 3 2" xfId="33945"/>
    <cellStyle name="표준 20 2 3 2 2 2 4" xfId="18962"/>
    <cellStyle name="표준 20 2 3 2 2 2 4 2" xfId="41427"/>
    <cellStyle name="표준 20 2 3 2 2 2 5" xfId="26463"/>
    <cellStyle name="표준 20 2 3 2 2 2_Sheet4" xfId="3044"/>
    <cellStyle name="표준 20 2 3 2 2 3" xfId="3045"/>
    <cellStyle name="표준 20 2 3 2 2 3 2" xfId="11480"/>
    <cellStyle name="표준 20 2 3 2 2 3 2 2" xfId="33947"/>
    <cellStyle name="표준 20 2 3 2 2 3 3" xfId="18964"/>
    <cellStyle name="표준 20 2 3 2 2 3 3 2" xfId="41429"/>
    <cellStyle name="표준 20 2 3 2 2 3 4" xfId="26465"/>
    <cellStyle name="표준 20 2 3 2 2 4" xfId="11477"/>
    <cellStyle name="표준 20 2 3 2 2 4 2" xfId="33944"/>
    <cellStyle name="표준 20 2 3 2 2 5" xfId="18961"/>
    <cellStyle name="표준 20 2 3 2 2 5 2" xfId="41426"/>
    <cellStyle name="표준 20 2 3 2 2 6" xfId="26462"/>
    <cellStyle name="표준 20 2 3 2 2_Sheet4" xfId="3046"/>
    <cellStyle name="표준 20 2 3 2 3" xfId="3047"/>
    <cellStyle name="표준 20 2 3 2 3 2" xfId="3048"/>
    <cellStyle name="표준 20 2 3 2 3 2 2" xfId="11482"/>
    <cellStyle name="표준 20 2 3 2 3 2 2 2" xfId="33949"/>
    <cellStyle name="표준 20 2 3 2 3 2 3" xfId="18966"/>
    <cellStyle name="표준 20 2 3 2 3 2 3 2" xfId="41431"/>
    <cellStyle name="표준 20 2 3 2 3 2 4" xfId="26467"/>
    <cellStyle name="표준 20 2 3 2 3 3" xfId="11481"/>
    <cellStyle name="표준 20 2 3 2 3 3 2" xfId="33948"/>
    <cellStyle name="표준 20 2 3 2 3 4" xfId="18965"/>
    <cellStyle name="표준 20 2 3 2 3 4 2" xfId="41430"/>
    <cellStyle name="표준 20 2 3 2 3 5" xfId="26466"/>
    <cellStyle name="표준 20 2 3 2 3_Sheet4" xfId="3049"/>
    <cellStyle name="표준 20 2 3 2 4" xfId="3050"/>
    <cellStyle name="표준 20 2 3 2 4 2" xfId="11483"/>
    <cellStyle name="표준 20 2 3 2 4 2 2" xfId="33950"/>
    <cellStyle name="표준 20 2 3 2 4 3" xfId="18967"/>
    <cellStyle name="표준 20 2 3 2 4 3 2" xfId="41432"/>
    <cellStyle name="표준 20 2 3 2 4 4" xfId="26468"/>
    <cellStyle name="표준 20 2 3 2 5" xfId="11476"/>
    <cellStyle name="표준 20 2 3 2 5 2" xfId="33943"/>
    <cellStyle name="표준 20 2 3 2 6" xfId="18960"/>
    <cellStyle name="표준 20 2 3 2 6 2" xfId="41425"/>
    <cellStyle name="표준 20 2 3 2 7" xfId="26461"/>
    <cellStyle name="표준 20 2 3 2_Sheet4" xfId="3051"/>
    <cellStyle name="표준 20 2 3 3" xfId="3052"/>
    <cellStyle name="표준 20 2 3 3 2" xfId="3053"/>
    <cellStyle name="표준 20 2 3 3 2 2" xfId="3054"/>
    <cellStyle name="표준 20 2 3 3 2 2 2" xfId="11486"/>
    <cellStyle name="표준 20 2 3 3 2 2 2 2" xfId="33953"/>
    <cellStyle name="표준 20 2 3 3 2 2 3" xfId="18970"/>
    <cellStyle name="표준 20 2 3 3 2 2 3 2" xfId="41435"/>
    <cellStyle name="표준 20 2 3 3 2 2 4" xfId="26471"/>
    <cellStyle name="표준 20 2 3 3 2 3" xfId="11485"/>
    <cellStyle name="표준 20 2 3 3 2 3 2" xfId="33952"/>
    <cellStyle name="표준 20 2 3 3 2 4" xfId="18969"/>
    <cellStyle name="표준 20 2 3 3 2 4 2" xfId="41434"/>
    <cellStyle name="표준 20 2 3 3 2 5" xfId="26470"/>
    <cellStyle name="표준 20 2 3 3 2_Sheet4" xfId="3055"/>
    <cellStyle name="표준 20 2 3 3 3" xfId="3056"/>
    <cellStyle name="표준 20 2 3 3 3 2" xfId="11487"/>
    <cellStyle name="표준 20 2 3 3 3 2 2" xfId="33954"/>
    <cellStyle name="표준 20 2 3 3 3 3" xfId="18971"/>
    <cellStyle name="표준 20 2 3 3 3 3 2" xfId="41436"/>
    <cellStyle name="표준 20 2 3 3 3 4" xfId="26472"/>
    <cellStyle name="표준 20 2 3 3 4" xfId="11484"/>
    <cellStyle name="표준 20 2 3 3 4 2" xfId="33951"/>
    <cellStyle name="표준 20 2 3 3 5" xfId="18968"/>
    <cellStyle name="표준 20 2 3 3 5 2" xfId="41433"/>
    <cellStyle name="표준 20 2 3 3 6" xfId="26469"/>
    <cellStyle name="표준 20 2 3 3_Sheet4" xfId="3057"/>
    <cellStyle name="표준 20 2 3 4" xfId="3058"/>
    <cellStyle name="표준 20 2 3 4 2" xfId="3059"/>
    <cellStyle name="표준 20 2 3 4 2 2" xfId="11489"/>
    <cellStyle name="표준 20 2 3 4 2 2 2" xfId="33956"/>
    <cellStyle name="표준 20 2 3 4 2 3" xfId="18973"/>
    <cellStyle name="표준 20 2 3 4 2 3 2" xfId="41438"/>
    <cellStyle name="표준 20 2 3 4 2 4" xfId="26474"/>
    <cellStyle name="표준 20 2 3 4 3" xfId="11488"/>
    <cellStyle name="표준 20 2 3 4 3 2" xfId="33955"/>
    <cellStyle name="표준 20 2 3 4 4" xfId="18972"/>
    <cellStyle name="표준 20 2 3 4 4 2" xfId="41437"/>
    <cellStyle name="표준 20 2 3 4 5" xfId="26473"/>
    <cellStyle name="표준 20 2 3 4_Sheet4" xfId="3060"/>
    <cellStyle name="표준 20 2 3 5" xfId="3061"/>
    <cellStyle name="표준 20 2 3 5 2" xfId="11490"/>
    <cellStyle name="표준 20 2 3 5 2 2" xfId="33957"/>
    <cellStyle name="표준 20 2 3 5 3" xfId="18974"/>
    <cellStyle name="표준 20 2 3 5 3 2" xfId="41439"/>
    <cellStyle name="표준 20 2 3 5 4" xfId="26475"/>
    <cellStyle name="표준 20 2 3 6" xfId="11475"/>
    <cellStyle name="표준 20 2 3 6 2" xfId="33942"/>
    <cellStyle name="표준 20 2 3 7" xfId="18959"/>
    <cellStyle name="표준 20 2 3 7 2" xfId="41424"/>
    <cellStyle name="표준 20 2 3 8" xfId="26460"/>
    <cellStyle name="표준 20 2 3_Sheet4" xfId="3062"/>
    <cellStyle name="표준 20 2 4" xfId="3063"/>
    <cellStyle name="표준 20 2 4 2" xfId="3064"/>
    <cellStyle name="표준 20 2 4 2 2" xfId="3065"/>
    <cellStyle name="표준 20 2 4 2 2 2" xfId="3066"/>
    <cellStyle name="표준 20 2 4 2 2 2 2" xfId="11494"/>
    <cellStyle name="표준 20 2 4 2 2 2 2 2" xfId="33961"/>
    <cellStyle name="표준 20 2 4 2 2 2 3" xfId="18978"/>
    <cellStyle name="표준 20 2 4 2 2 2 3 2" xfId="41443"/>
    <cellStyle name="표준 20 2 4 2 2 2 4" xfId="26479"/>
    <cellStyle name="표준 20 2 4 2 2 3" xfId="11493"/>
    <cellStyle name="표준 20 2 4 2 2 3 2" xfId="33960"/>
    <cellStyle name="표준 20 2 4 2 2 4" xfId="18977"/>
    <cellStyle name="표준 20 2 4 2 2 4 2" xfId="41442"/>
    <cellStyle name="표준 20 2 4 2 2 5" xfId="26478"/>
    <cellStyle name="표준 20 2 4 2 2_Sheet4" xfId="3067"/>
    <cellStyle name="표준 20 2 4 2 3" xfId="3068"/>
    <cellStyle name="표준 20 2 4 2 3 2" xfId="11495"/>
    <cellStyle name="표준 20 2 4 2 3 2 2" xfId="33962"/>
    <cellStyle name="표준 20 2 4 2 3 3" xfId="18979"/>
    <cellStyle name="표준 20 2 4 2 3 3 2" xfId="41444"/>
    <cellStyle name="표준 20 2 4 2 3 4" xfId="26480"/>
    <cellStyle name="표준 20 2 4 2 4" xfId="11492"/>
    <cellStyle name="표준 20 2 4 2 4 2" xfId="33959"/>
    <cellStyle name="표준 20 2 4 2 5" xfId="18976"/>
    <cellStyle name="표준 20 2 4 2 5 2" xfId="41441"/>
    <cellStyle name="표준 20 2 4 2 6" xfId="26477"/>
    <cellStyle name="표준 20 2 4 2_Sheet4" xfId="3069"/>
    <cellStyle name="표준 20 2 4 3" xfId="3070"/>
    <cellStyle name="표준 20 2 4 3 2" xfId="3071"/>
    <cellStyle name="표준 20 2 4 3 2 2" xfId="11497"/>
    <cellStyle name="표준 20 2 4 3 2 2 2" xfId="33964"/>
    <cellStyle name="표준 20 2 4 3 2 3" xfId="18981"/>
    <cellStyle name="표준 20 2 4 3 2 3 2" xfId="41446"/>
    <cellStyle name="표준 20 2 4 3 2 4" xfId="26482"/>
    <cellStyle name="표준 20 2 4 3 3" xfId="11496"/>
    <cellStyle name="표준 20 2 4 3 3 2" xfId="33963"/>
    <cellStyle name="표준 20 2 4 3 4" xfId="18980"/>
    <cellStyle name="표준 20 2 4 3 4 2" xfId="41445"/>
    <cellStyle name="표준 20 2 4 3 5" xfId="26481"/>
    <cellStyle name="표준 20 2 4 3_Sheet4" xfId="3072"/>
    <cellStyle name="표준 20 2 4 4" xfId="3073"/>
    <cellStyle name="표준 20 2 4 4 2" xfId="11498"/>
    <cellStyle name="표준 20 2 4 4 2 2" xfId="33965"/>
    <cellStyle name="표준 20 2 4 4 3" xfId="18982"/>
    <cellStyle name="표준 20 2 4 4 3 2" xfId="41447"/>
    <cellStyle name="표준 20 2 4 4 4" xfId="26483"/>
    <cellStyle name="표준 20 2 4 5" xfId="11491"/>
    <cellStyle name="표준 20 2 4 5 2" xfId="33958"/>
    <cellStyle name="표준 20 2 4 6" xfId="18975"/>
    <cellStyle name="표준 20 2 4 6 2" xfId="41440"/>
    <cellStyle name="표준 20 2 4 7" xfId="26476"/>
    <cellStyle name="표준 20 2 4_Sheet4" xfId="3074"/>
    <cellStyle name="표준 20 2 5" xfId="3075"/>
    <cellStyle name="표준 20 2 5 2" xfId="3076"/>
    <cellStyle name="표준 20 2 5 2 2" xfId="3077"/>
    <cellStyle name="표준 20 2 5 2 2 2" xfId="11501"/>
    <cellStyle name="표준 20 2 5 2 2 2 2" xfId="33968"/>
    <cellStyle name="표준 20 2 5 2 2 3" xfId="18985"/>
    <cellStyle name="표준 20 2 5 2 2 3 2" xfId="41450"/>
    <cellStyle name="표준 20 2 5 2 2 4" xfId="26486"/>
    <cellStyle name="표준 20 2 5 2 3" xfId="11500"/>
    <cellStyle name="표준 20 2 5 2 3 2" xfId="33967"/>
    <cellStyle name="표준 20 2 5 2 4" xfId="18984"/>
    <cellStyle name="표준 20 2 5 2 4 2" xfId="41449"/>
    <cellStyle name="표준 20 2 5 2 5" xfId="26485"/>
    <cellStyle name="표준 20 2 5 2_Sheet4" xfId="3078"/>
    <cellStyle name="표준 20 2 5 3" xfId="3079"/>
    <cellStyle name="표준 20 2 5 3 2" xfId="11502"/>
    <cellStyle name="표준 20 2 5 3 2 2" xfId="33969"/>
    <cellStyle name="표준 20 2 5 3 3" xfId="18986"/>
    <cellStyle name="표준 20 2 5 3 3 2" xfId="41451"/>
    <cellStyle name="표준 20 2 5 3 4" xfId="26487"/>
    <cellStyle name="표준 20 2 5 4" xfId="11499"/>
    <cellStyle name="표준 20 2 5 4 2" xfId="33966"/>
    <cellStyle name="표준 20 2 5 5" xfId="18983"/>
    <cellStyle name="표준 20 2 5 5 2" xfId="41448"/>
    <cellStyle name="표준 20 2 5 6" xfId="26484"/>
    <cellStyle name="표준 20 2 5_Sheet4" xfId="3080"/>
    <cellStyle name="표준 20 2 6" xfId="3081"/>
    <cellStyle name="표준 20 2 6 2" xfId="3082"/>
    <cellStyle name="표준 20 2 6 2 2" xfId="11504"/>
    <cellStyle name="표준 20 2 6 2 2 2" xfId="33971"/>
    <cellStyle name="표준 20 2 6 2 3" xfId="18988"/>
    <cellStyle name="표준 20 2 6 2 3 2" xfId="41453"/>
    <cellStyle name="표준 20 2 6 2 4" xfId="26489"/>
    <cellStyle name="표준 20 2 6 3" xfId="11503"/>
    <cellStyle name="표준 20 2 6 3 2" xfId="33970"/>
    <cellStyle name="표준 20 2 6 4" xfId="18987"/>
    <cellStyle name="표준 20 2 6 4 2" xfId="41452"/>
    <cellStyle name="표준 20 2 6 5" xfId="26488"/>
    <cellStyle name="표준 20 2 6_Sheet4" xfId="3083"/>
    <cellStyle name="표준 20 2 7" xfId="3084"/>
    <cellStyle name="표준 20 2 7 2" xfId="11505"/>
    <cellStyle name="표준 20 2 7 2 2" xfId="33972"/>
    <cellStyle name="표준 20 2 7 3" xfId="18989"/>
    <cellStyle name="표준 20 2 7 3 2" xfId="41454"/>
    <cellStyle name="표준 20 2 7 4" xfId="26490"/>
    <cellStyle name="표준 20 2 8" xfId="11458"/>
    <cellStyle name="표준 20 2 8 2" xfId="33925"/>
    <cellStyle name="표준 20 2 9" xfId="18942"/>
    <cellStyle name="표준 20 2 9 2" xfId="41407"/>
    <cellStyle name="표준 20 2_Sheet4" xfId="3085"/>
    <cellStyle name="표준 20 3" xfId="3086"/>
    <cellStyle name="표준 20 3 2" xfId="3087"/>
    <cellStyle name="표준 20 3 2 2" xfId="3088"/>
    <cellStyle name="표준 20 3 2 2 2" xfId="3089"/>
    <cellStyle name="표준 20 3 2 2 2 2" xfId="3090"/>
    <cellStyle name="표준 20 3 2 2 2 2 2" xfId="11510"/>
    <cellStyle name="표준 20 3 2 2 2 2 2 2" xfId="33977"/>
    <cellStyle name="표준 20 3 2 2 2 2 3" xfId="18994"/>
    <cellStyle name="표준 20 3 2 2 2 2 3 2" xfId="41459"/>
    <cellStyle name="표준 20 3 2 2 2 2 4" xfId="26495"/>
    <cellStyle name="표준 20 3 2 2 2 3" xfId="11509"/>
    <cellStyle name="표준 20 3 2 2 2 3 2" xfId="33976"/>
    <cellStyle name="표준 20 3 2 2 2 4" xfId="18993"/>
    <cellStyle name="표준 20 3 2 2 2 4 2" xfId="41458"/>
    <cellStyle name="표준 20 3 2 2 2 5" xfId="26494"/>
    <cellStyle name="표준 20 3 2 2 2_Sheet4" xfId="3091"/>
    <cellStyle name="표준 20 3 2 2 3" xfId="3092"/>
    <cellStyle name="표준 20 3 2 2 3 2" xfId="11511"/>
    <cellStyle name="표준 20 3 2 2 3 2 2" xfId="33978"/>
    <cellStyle name="표준 20 3 2 2 3 3" xfId="18995"/>
    <cellStyle name="표준 20 3 2 2 3 3 2" xfId="41460"/>
    <cellStyle name="표준 20 3 2 2 3 4" xfId="26496"/>
    <cellStyle name="표준 20 3 2 2 4" xfId="11508"/>
    <cellStyle name="표준 20 3 2 2 4 2" xfId="33975"/>
    <cellStyle name="표준 20 3 2 2 5" xfId="18992"/>
    <cellStyle name="표준 20 3 2 2 5 2" xfId="41457"/>
    <cellStyle name="표준 20 3 2 2 6" xfId="26493"/>
    <cellStyle name="표준 20 3 2 2_Sheet4" xfId="3093"/>
    <cellStyle name="표준 20 3 2 3" xfId="3094"/>
    <cellStyle name="표준 20 3 2 3 2" xfId="3095"/>
    <cellStyle name="표준 20 3 2 3 2 2" xfId="11513"/>
    <cellStyle name="표준 20 3 2 3 2 2 2" xfId="33980"/>
    <cellStyle name="표준 20 3 2 3 2 3" xfId="18997"/>
    <cellStyle name="표준 20 3 2 3 2 3 2" xfId="41462"/>
    <cellStyle name="표준 20 3 2 3 2 4" xfId="26498"/>
    <cellStyle name="표준 20 3 2 3 3" xfId="11512"/>
    <cellStyle name="표준 20 3 2 3 3 2" xfId="33979"/>
    <cellStyle name="표준 20 3 2 3 4" xfId="18996"/>
    <cellStyle name="표준 20 3 2 3 4 2" xfId="41461"/>
    <cellStyle name="표준 20 3 2 3 5" xfId="26497"/>
    <cellStyle name="표준 20 3 2 3_Sheet4" xfId="3096"/>
    <cellStyle name="표준 20 3 2 4" xfId="3097"/>
    <cellStyle name="표준 20 3 2 4 2" xfId="11514"/>
    <cellStyle name="표준 20 3 2 4 2 2" xfId="33981"/>
    <cellStyle name="표준 20 3 2 4 3" xfId="18998"/>
    <cellStyle name="표준 20 3 2 4 3 2" xfId="41463"/>
    <cellStyle name="표준 20 3 2 4 4" xfId="26499"/>
    <cellStyle name="표준 20 3 2 5" xfId="11507"/>
    <cellStyle name="표준 20 3 2 5 2" xfId="33974"/>
    <cellStyle name="표준 20 3 2 6" xfId="18991"/>
    <cellStyle name="표준 20 3 2 6 2" xfId="41456"/>
    <cellStyle name="표준 20 3 2 7" xfId="26492"/>
    <cellStyle name="표준 20 3 2_Sheet4" xfId="3098"/>
    <cellStyle name="표준 20 3 3" xfId="3099"/>
    <cellStyle name="표준 20 3 3 2" xfId="3100"/>
    <cellStyle name="표준 20 3 3 2 2" xfId="3101"/>
    <cellStyle name="표준 20 3 3 2 2 2" xfId="11517"/>
    <cellStyle name="표준 20 3 3 2 2 2 2" xfId="33984"/>
    <cellStyle name="표준 20 3 3 2 2 3" xfId="19001"/>
    <cellStyle name="표준 20 3 3 2 2 3 2" xfId="41466"/>
    <cellStyle name="표준 20 3 3 2 2 4" xfId="26502"/>
    <cellStyle name="표준 20 3 3 2 3" xfId="11516"/>
    <cellStyle name="표준 20 3 3 2 3 2" xfId="33983"/>
    <cellStyle name="표준 20 3 3 2 4" xfId="19000"/>
    <cellStyle name="표준 20 3 3 2 4 2" xfId="41465"/>
    <cellStyle name="표준 20 3 3 2 5" xfId="26501"/>
    <cellStyle name="표준 20 3 3 2_Sheet4" xfId="3102"/>
    <cellStyle name="표준 20 3 3 3" xfId="3103"/>
    <cellStyle name="표준 20 3 3 3 2" xfId="11518"/>
    <cellStyle name="표준 20 3 3 3 2 2" xfId="33985"/>
    <cellStyle name="표준 20 3 3 3 3" xfId="19002"/>
    <cellStyle name="표준 20 3 3 3 3 2" xfId="41467"/>
    <cellStyle name="표준 20 3 3 3 4" xfId="26503"/>
    <cellStyle name="표준 20 3 3 4" xfId="11515"/>
    <cellStyle name="표준 20 3 3 4 2" xfId="33982"/>
    <cellStyle name="표준 20 3 3 5" xfId="18999"/>
    <cellStyle name="표준 20 3 3 5 2" xfId="41464"/>
    <cellStyle name="표준 20 3 3 6" xfId="26500"/>
    <cellStyle name="표준 20 3 3_Sheet4" xfId="3104"/>
    <cellStyle name="표준 20 3 4" xfId="3105"/>
    <cellStyle name="표준 20 3 4 2" xfId="3106"/>
    <cellStyle name="표준 20 3 4 2 2" xfId="11520"/>
    <cellStyle name="표준 20 3 4 2 2 2" xfId="33987"/>
    <cellStyle name="표준 20 3 4 2 3" xfId="19004"/>
    <cellStyle name="표준 20 3 4 2 3 2" xfId="41469"/>
    <cellStyle name="표준 20 3 4 2 4" xfId="26505"/>
    <cellStyle name="표준 20 3 4 3" xfId="11519"/>
    <cellStyle name="표준 20 3 4 3 2" xfId="33986"/>
    <cellStyle name="표준 20 3 4 4" xfId="19003"/>
    <cellStyle name="표준 20 3 4 4 2" xfId="41468"/>
    <cellStyle name="표준 20 3 4 5" xfId="26504"/>
    <cellStyle name="표준 20 3 4_Sheet4" xfId="3107"/>
    <cellStyle name="표준 20 3 5" xfId="3108"/>
    <cellStyle name="표준 20 3 5 2" xfId="11521"/>
    <cellStyle name="표준 20 3 5 2 2" xfId="33988"/>
    <cellStyle name="표준 20 3 5 3" xfId="19005"/>
    <cellStyle name="표준 20 3 5 3 2" xfId="41470"/>
    <cellStyle name="표준 20 3 5 4" xfId="26506"/>
    <cellStyle name="표준 20 3 6" xfId="11506"/>
    <cellStyle name="표준 20 3 6 2" xfId="33973"/>
    <cellStyle name="표준 20 3 7" xfId="18990"/>
    <cellStyle name="표준 20 3 7 2" xfId="41455"/>
    <cellStyle name="표준 20 3 8" xfId="26491"/>
    <cellStyle name="표준 20 3_Sheet4" xfId="3109"/>
    <cellStyle name="표준 20 4" xfId="3110"/>
    <cellStyle name="표준 20 4 2" xfId="3111"/>
    <cellStyle name="표준 20 4 2 2" xfId="3112"/>
    <cellStyle name="표준 20 4 2 2 2" xfId="3113"/>
    <cellStyle name="표준 20 4 2 2 2 2" xfId="3114"/>
    <cellStyle name="표준 20 4 2 2 2 2 2" xfId="11526"/>
    <cellStyle name="표준 20 4 2 2 2 2 2 2" xfId="33993"/>
    <cellStyle name="표준 20 4 2 2 2 2 3" xfId="19010"/>
    <cellStyle name="표준 20 4 2 2 2 2 3 2" xfId="41475"/>
    <cellStyle name="표준 20 4 2 2 2 2 4" xfId="26511"/>
    <cellStyle name="표준 20 4 2 2 2 3" xfId="11525"/>
    <cellStyle name="표준 20 4 2 2 2 3 2" xfId="33992"/>
    <cellStyle name="표준 20 4 2 2 2 4" xfId="19009"/>
    <cellStyle name="표준 20 4 2 2 2 4 2" xfId="41474"/>
    <cellStyle name="표준 20 4 2 2 2 5" xfId="26510"/>
    <cellStyle name="표준 20 4 2 2 2_Sheet4" xfId="3115"/>
    <cellStyle name="표준 20 4 2 2 3" xfId="3116"/>
    <cellStyle name="표준 20 4 2 2 3 2" xfId="11527"/>
    <cellStyle name="표준 20 4 2 2 3 2 2" xfId="33994"/>
    <cellStyle name="표준 20 4 2 2 3 3" xfId="19011"/>
    <cellStyle name="표준 20 4 2 2 3 3 2" xfId="41476"/>
    <cellStyle name="표준 20 4 2 2 3 4" xfId="26512"/>
    <cellStyle name="표준 20 4 2 2 4" xfId="11524"/>
    <cellStyle name="표준 20 4 2 2 4 2" xfId="33991"/>
    <cellStyle name="표준 20 4 2 2 5" xfId="19008"/>
    <cellStyle name="표준 20 4 2 2 5 2" xfId="41473"/>
    <cellStyle name="표준 20 4 2 2 6" xfId="26509"/>
    <cellStyle name="표준 20 4 2 2_Sheet4" xfId="3117"/>
    <cellStyle name="표준 20 4 2 3" xfId="3118"/>
    <cellStyle name="표준 20 4 2 3 2" xfId="3119"/>
    <cellStyle name="표준 20 4 2 3 2 2" xfId="11529"/>
    <cellStyle name="표준 20 4 2 3 2 2 2" xfId="33996"/>
    <cellStyle name="표준 20 4 2 3 2 3" xfId="19013"/>
    <cellStyle name="표준 20 4 2 3 2 3 2" xfId="41478"/>
    <cellStyle name="표준 20 4 2 3 2 4" xfId="26514"/>
    <cellStyle name="표준 20 4 2 3 3" xfId="11528"/>
    <cellStyle name="표준 20 4 2 3 3 2" xfId="33995"/>
    <cellStyle name="표준 20 4 2 3 4" xfId="19012"/>
    <cellStyle name="표준 20 4 2 3 4 2" xfId="41477"/>
    <cellStyle name="표준 20 4 2 3 5" xfId="26513"/>
    <cellStyle name="표준 20 4 2 3_Sheet4" xfId="3120"/>
    <cellStyle name="표준 20 4 2 4" xfId="3121"/>
    <cellStyle name="표준 20 4 2 4 2" xfId="11530"/>
    <cellStyle name="표준 20 4 2 4 2 2" xfId="33997"/>
    <cellStyle name="표준 20 4 2 4 3" xfId="19014"/>
    <cellStyle name="표준 20 4 2 4 3 2" xfId="41479"/>
    <cellStyle name="표준 20 4 2 4 4" xfId="26515"/>
    <cellStyle name="표준 20 4 2 5" xfId="11523"/>
    <cellStyle name="표준 20 4 2 5 2" xfId="33990"/>
    <cellStyle name="표준 20 4 2 6" xfId="19007"/>
    <cellStyle name="표준 20 4 2 6 2" xfId="41472"/>
    <cellStyle name="표준 20 4 2 7" xfId="26508"/>
    <cellStyle name="표준 20 4 2_Sheet4" xfId="3122"/>
    <cellStyle name="표준 20 4 3" xfId="3123"/>
    <cellStyle name="표준 20 4 3 2" xfId="3124"/>
    <cellStyle name="표준 20 4 3 2 2" xfId="3125"/>
    <cellStyle name="표준 20 4 3 2 2 2" xfId="11533"/>
    <cellStyle name="표준 20 4 3 2 2 2 2" xfId="34000"/>
    <cellStyle name="표준 20 4 3 2 2 3" xfId="19017"/>
    <cellStyle name="표준 20 4 3 2 2 3 2" xfId="41482"/>
    <cellStyle name="표준 20 4 3 2 2 4" xfId="26518"/>
    <cellStyle name="표준 20 4 3 2 3" xfId="11532"/>
    <cellStyle name="표준 20 4 3 2 3 2" xfId="33999"/>
    <cellStyle name="표준 20 4 3 2 4" xfId="19016"/>
    <cellStyle name="표준 20 4 3 2 4 2" xfId="41481"/>
    <cellStyle name="표준 20 4 3 2 5" xfId="26517"/>
    <cellStyle name="표준 20 4 3 2_Sheet4" xfId="3126"/>
    <cellStyle name="표준 20 4 3 3" xfId="3127"/>
    <cellStyle name="표준 20 4 3 3 2" xfId="11534"/>
    <cellStyle name="표준 20 4 3 3 2 2" xfId="34001"/>
    <cellStyle name="표준 20 4 3 3 3" xfId="19018"/>
    <cellStyle name="표준 20 4 3 3 3 2" xfId="41483"/>
    <cellStyle name="표준 20 4 3 3 4" xfId="26519"/>
    <cellStyle name="표준 20 4 3 4" xfId="11531"/>
    <cellStyle name="표준 20 4 3 4 2" xfId="33998"/>
    <cellStyle name="표준 20 4 3 5" xfId="19015"/>
    <cellStyle name="표준 20 4 3 5 2" xfId="41480"/>
    <cellStyle name="표준 20 4 3 6" xfId="26516"/>
    <cellStyle name="표준 20 4 3_Sheet4" xfId="3128"/>
    <cellStyle name="표준 20 4 4" xfId="3129"/>
    <cellStyle name="표준 20 4 4 2" xfId="3130"/>
    <cellStyle name="표준 20 4 4 2 2" xfId="11536"/>
    <cellStyle name="표준 20 4 4 2 2 2" xfId="34003"/>
    <cellStyle name="표준 20 4 4 2 3" xfId="19020"/>
    <cellStyle name="표준 20 4 4 2 3 2" xfId="41485"/>
    <cellStyle name="표준 20 4 4 2 4" xfId="26521"/>
    <cellStyle name="표준 20 4 4 3" xfId="11535"/>
    <cellStyle name="표준 20 4 4 3 2" xfId="34002"/>
    <cellStyle name="표준 20 4 4 4" xfId="19019"/>
    <cellStyle name="표준 20 4 4 4 2" xfId="41484"/>
    <cellStyle name="표준 20 4 4 5" xfId="26520"/>
    <cellStyle name="표준 20 4 4_Sheet4" xfId="3131"/>
    <cellStyle name="표준 20 4 5" xfId="3132"/>
    <cellStyle name="표준 20 4 5 2" xfId="11537"/>
    <cellStyle name="표준 20 4 5 2 2" xfId="34004"/>
    <cellStyle name="표준 20 4 5 3" xfId="19021"/>
    <cellStyle name="표준 20 4 5 3 2" xfId="41486"/>
    <cellStyle name="표준 20 4 5 4" xfId="26522"/>
    <cellStyle name="표준 20 4 6" xfId="11522"/>
    <cellStyle name="표준 20 4 6 2" xfId="33989"/>
    <cellStyle name="표준 20 4 7" xfId="19006"/>
    <cellStyle name="표준 20 4 7 2" xfId="41471"/>
    <cellStyle name="표준 20 4 8" xfId="26507"/>
    <cellStyle name="표준 20 4_Sheet4" xfId="3133"/>
    <cellStyle name="표준 20 5" xfId="3134"/>
    <cellStyle name="표준 20 5 2" xfId="3135"/>
    <cellStyle name="표준 20 5 2 2" xfId="3136"/>
    <cellStyle name="표준 20 5 2 2 2" xfId="3137"/>
    <cellStyle name="표준 20 5 2 2 2 2" xfId="11541"/>
    <cellStyle name="표준 20 5 2 2 2 2 2" xfId="34008"/>
    <cellStyle name="표준 20 5 2 2 2 3" xfId="19025"/>
    <cellStyle name="표준 20 5 2 2 2 3 2" xfId="41490"/>
    <cellStyle name="표준 20 5 2 2 2 4" xfId="26526"/>
    <cellStyle name="표준 20 5 2 2 3" xfId="11540"/>
    <cellStyle name="표준 20 5 2 2 3 2" xfId="34007"/>
    <cellStyle name="표준 20 5 2 2 4" xfId="19024"/>
    <cellStyle name="표준 20 5 2 2 4 2" xfId="41489"/>
    <cellStyle name="표준 20 5 2 2 5" xfId="26525"/>
    <cellStyle name="표준 20 5 2 2_Sheet4" xfId="3138"/>
    <cellStyle name="표준 20 5 2 3" xfId="3139"/>
    <cellStyle name="표준 20 5 2 3 2" xfId="11542"/>
    <cellStyle name="표준 20 5 2 3 2 2" xfId="34009"/>
    <cellStyle name="표준 20 5 2 3 3" xfId="19026"/>
    <cellStyle name="표준 20 5 2 3 3 2" xfId="41491"/>
    <cellStyle name="표준 20 5 2 3 4" xfId="26527"/>
    <cellStyle name="표준 20 5 2 4" xfId="11539"/>
    <cellStyle name="표준 20 5 2 4 2" xfId="34006"/>
    <cellStyle name="표준 20 5 2 5" xfId="19023"/>
    <cellStyle name="표준 20 5 2 5 2" xfId="41488"/>
    <cellStyle name="표준 20 5 2 6" xfId="26524"/>
    <cellStyle name="표준 20 5 2_Sheet4" xfId="3140"/>
    <cellStyle name="표준 20 5 3" xfId="3141"/>
    <cellStyle name="표준 20 5 3 2" xfId="3142"/>
    <cellStyle name="표준 20 5 3 2 2" xfId="11544"/>
    <cellStyle name="표준 20 5 3 2 2 2" xfId="34011"/>
    <cellStyle name="표준 20 5 3 2 3" xfId="19028"/>
    <cellStyle name="표준 20 5 3 2 3 2" xfId="41493"/>
    <cellStyle name="표준 20 5 3 2 4" xfId="26529"/>
    <cellStyle name="표준 20 5 3 3" xfId="11543"/>
    <cellStyle name="표준 20 5 3 3 2" xfId="34010"/>
    <cellStyle name="표준 20 5 3 4" xfId="19027"/>
    <cellStyle name="표준 20 5 3 4 2" xfId="41492"/>
    <cellStyle name="표준 20 5 3 5" xfId="26528"/>
    <cellStyle name="표준 20 5 3_Sheet4" xfId="3143"/>
    <cellStyle name="표준 20 5 4" xfId="3144"/>
    <cellStyle name="표준 20 5 4 2" xfId="11545"/>
    <cellStyle name="표준 20 5 4 2 2" xfId="34012"/>
    <cellStyle name="표준 20 5 4 3" xfId="19029"/>
    <cellStyle name="표준 20 5 4 3 2" xfId="41494"/>
    <cellStyle name="표준 20 5 4 4" xfId="26530"/>
    <cellStyle name="표준 20 5 5" xfId="11538"/>
    <cellStyle name="표준 20 5 5 2" xfId="34005"/>
    <cellStyle name="표준 20 5 6" xfId="19022"/>
    <cellStyle name="표준 20 5 6 2" xfId="41487"/>
    <cellStyle name="표준 20 5 7" xfId="26523"/>
    <cellStyle name="표준 20 5_Sheet4" xfId="3145"/>
    <cellStyle name="표준 20 6" xfId="3146"/>
    <cellStyle name="표준 20 6 2" xfId="3147"/>
    <cellStyle name="표준 20 6 2 2" xfId="3148"/>
    <cellStyle name="표준 20 6 2 2 2" xfId="11548"/>
    <cellStyle name="표준 20 6 2 2 2 2" xfId="34015"/>
    <cellStyle name="표준 20 6 2 2 3" xfId="19032"/>
    <cellStyle name="표준 20 6 2 2 3 2" xfId="41497"/>
    <cellStyle name="표준 20 6 2 2 4" xfId="26533"/>
    <cellStyle name="표준 20 6 2 3" xfId="11547"/>
    <cellStyle name="표준 20 6 2 3 2" xfId="34014"/>
    <cellStyle name="표준 20 6 2 4" xfId="19031"/>
    <cellStyle name="표준 20 6 2 4 2" xfId="41496"/>
    <cellStyle name="표준 20 6 2 5" xfId="26532"/>
    <cellStyle name="표준 20 6 2_Sheet4" xfId="3149"/>
    <cellStyle name="표준 20 6 3" xfId="3150"/>
    <cellStyle name="표준 20 6 3 2" xfId="11549"/>
    <cellStyle name="표준 20 6 3 2 2" xfId="34016"/>
    <cellStyle name="표준 20 6 3 3" xfId="19033"/>
    <cellStyle name="표준 20 6 3 3 2" xfId="41498"/>
    <cellStyle name="표준 20 6 3 4" xfId="26534"/>
    <cellStyle name="표준 20 6 4" xfId="11546"/>
    <cellStyle name="표준 20 6 4 2" xfId="34013"/>
    <cellStyle name="표준 20 6 5" xfId="19030"/>
    <cellStyle name="표준 20 6 5 2" xfId="41495"/>
    <cellStyle name="표준 20 6 6" xfId="26531"/>
    <cellStyle name="표준 20 6_Sheet4" xfId="3151"/>
    <cellStyle name="표준 20 7" xfId="3152"/>
    <cellStyle name="표준 20 7 2" xfId="3153"/>
    <cellStyle name="표준 20 7 2 2" xfId="11551"/>
    <cellStyle name="표준 20 7 2 2 2" xfId="34018"/>
    <cellStyle name="표준 20 7 2 3" xfId="19035"/>
    <cellStyle name="표준 20 7 2 3 2" xfId="41500"/>
    <cellStyle name="표준 20 7 2 4" xfId="26536"/>
    <cellStyle name="표준 20 7 3" xfId="11550"/>
    <cellStyle name="표준 20 7 3 2" xfId="34017"/>
    <cellStyle name="표준 20 7 4" xfId="19034"/>
    <cellStyle name="표준 20 7 4 2" xfId="41499"/>
    <cellStyle name="표준 20 7 5" xfId="26535"/>
    <cellStyle name="표준 20 7_Sheet4" xfId="3154"/>
    <cellStyle name="표준 20 8" xfId="3155"/>
    <cellStyle name="표준 20 8 2" xfId="11552"/>
    <cellStyle name="표준 20 8 2 2" xfId="34019"/>
    <cellStyle name="표준 20 8 3" xfId="19036"/>
    <cellStyle name="표준 20 8 3 2" xfId="41501"/>
    <cellStyle name="표준 20 8 4" xfId="26537"/>
    <cellStyle name="표준 20 9" xfId="11457"/>
    <cellStyle name="표준 20 9 2" xfId="33924"/>
    <cellStyle name="표준 20_Sheet4" xfId="3156"/>
    <cellStyle name="표준 21" xfId="3157"/>
    <cellStyle name="표준 22" xfId="3158"/>
    <cellStyle name="표준 22 10" xfId="26538"/>
    <cellStyle name="표준 22 2" xfId="3159"/>
    <cellStyle name="표준 22 2 2" xfId="3160"/>
    <cellStyle name="표준 22 2 2 2" xfId="3161"/>
    <cellStyle name="표준 22 2 2 2 2" xfId="3162"/>
    <cellStyle name="표준 22 2 2 2 2 2" xfId="3163"/>
    <cellStyle name="표준 22 2 2 2 2 2 2" xfId="11558"/>
    <cellStyle name="표준 22 2 2 2 2 2 2 2" xfId="34025"/>
    <cellStyle name="표준 22 2 2 2 2 2 3" xfId="19042"/>
    <cellStyle name="표준 22 2 2 2 2 2 3 2" xfId="41507"/>
    <cellStyle name="표준 22 2 2 2 2 2 4" xfId="26543"/>
    <cellStyle name="표준 22 2 2 2 2 3" xfId="11557"/>
    <cellStyle name="표준 22 2 2 2 2 3 2" xfId="34024"/>
    <cellStyle name="표준 22 2 2 2 2 4" xfId="19041"/>
    <cellStyle name="표준 22 2 2 2 2 4 2" xfId="41506"/>
    <cellStyle name="표준 22 2 2 2 2 5" xfId="26542"/>
    <cellStyle name="표준 22 2 2 2 2_Sheet4" xfId="3164"/>
    <cellStyle name="표준 22 2 2 2 3" xfId="3165"/>
    <cellStyle name="표준 22 2 2 2 3 2" xfId="11559"/>
    <cellStyle name="표준 22 2 2 2 3 2 2" xfId="34026"/>
    <cellStyle name="표준 22 2 2 2 3 3" xfId="19043"/>
    <cellStyle name="표준 22 2 2 2 3 3 2" xfId="41508"/>
    <cellStyle name="표준 22 2 2 2 3 4" xfId="26544"/>
    <cellStyle name="표준 22 2 2 2 4" xfId="11556"/>
    <cellStyle name="표준 22 2 2 2 4 2" xfId="34023"/>
    <cellStyle name="표준 22 2 2 2 5" xfId="19040"/>
    <cellStyle name="표준 22 2 2 2 5 2" xfId="41505"/>
    <cellStyle name="표준 22 2 2 2 6" xfId="26541"/>
    <cellStyle name="표준 22 2 2 2_Sheet4" xfId="3166"/>
    <cellStyle name="표준 22 2 2 3" xfId="3167"/>
    <cellStyle name="표준 22 2 2 3 2" xfId="3168"/>
    <cellStyle name="표준 22 2 2 3 2 2" xfId="11561"/>
    <cellStyle name="표준 22 2 2 3 2 2 2" xfId="34028"/>
    <cellStyle name="표준 22 2 2 3 2 3" xfId="19045"/>
    <cellStyle name="표준 22 2 2 3 2 3 2" xfId="41510"/>
    <cellStyle name="표준 22 2 2 3 2 4" xfId="26546"/>
    <cellStyle name="표준 22 2 2 3 3" xfId="11560"/>
    <cellStyle name="표준 22 2 2 3 3 2" xfId="34027"/>
    <cellStyle name="표준 22 2 2 3 4" xfId="19044"/>
    <cellStyle name="표준 22 2 2 3 4 2" xfId="41509"/>
    <cellStyle name="표준 22 2 2 3 5" xfId="26545"/>
    <cellStyle name="표준 22 2 2 3_Sheet4" xfId="3169"/>
    <cellStyle name="표준 22 2 2 4" xfId="3170"/>
    <cellStyle name="표준 22 2 2 4 2" xfId="11562"/>
    <cellStyle name="표준 22 2 2 4 2 2" xfId="34029"/>
    <cellStyle name="표준 22 2 2 4 3" xfId="19046"/>
    <cellStyle name="표준 22 2 2 4 3 2" xfId="41511"/>
    <cellStyle name="표준 22 2 2 4 4" xfId="26547"/>
    <cellStyle name="표준 22 2 2 5" xfId="11555"/>
    <cellStyle name="표준 22 2 2 5 2" xfId="34022"/>
    <cellStyle name="표준 22 2 2 6" xfId="19039"/>
    <cellStyle name="표준 22 2 2 6 2" xfId="41504"/>
    <cellStyle name="표준 22 2 2 7" xfId="26540"/>
    <cellStyle name="표준 22 2 2_Sheet4" xfId="3171"/>
    <cellStyle name="표준 22 2 3" xfId="3172"/>
    <cellStyle name="표준 22 2 3 2" xfId="3173"/>
    <cellStyle name="표준 22 2 3 2 2" xfId="3174"/>
    <cellStyle name="표준 22 2 3 2 2 2" xfId="11565"/>
    <cellStyle name="표준 22 2 3 2 2 2 2" xfId="34032"/>
    <cellStyle name="표준 22 2 3 2 2 3" xfId="19049"/>
    <cellStyle name="표준 22 2 3 2 2 3 2" xfId="41514"/>
    <cellStyle name="표준 22 2 3 2 2 4" xfId="26550"/>
    <cellStyle name="표준 22 2 3 2 3" xfId="11564"/>
    <cellStyle name="표준 22 2 3 2 3 2" xfId="34031"/>
    <cellStyle name="표준 22 2 3 2 4" xfId="19048"/>
    <cellStyle name="표준 22 2 3 2 4 2" xfId="41513"/>
    <cellStyle name="표준 22 2 3 2 5" xfId="26549"/>
    <cellStyle name="표준 22 2 3 2_Sheet4" xfId="3175"/>
    <cellStyle name="표준 22 2 3 3" xfId="3176"/>
    <cellStyle name="표준 22 2 3 3 2" xfId="11566"/>
    <cellStyle name="표준 22 2 3 3 2 2" xfId="34033"/>
    <cellStyle name="표준 22 2 3 3 3" xfId="19050"/>
    <cellStyle name="표준 22 2 3 3 3 2" xfId="41515"/>
    <cellStyle name="표준 22 2 3 3 4" xfId="26551"/>
    <cellStyle name="표준 22 2 3 4" xfId="11563"/>
    <cellStyle name="표준 22 2 3 4 2" xfId="34030"/>
    <cellStyle name="표준 22 2 3 5" xfId="19047"/>
    <cellStyle name="표준 22 2 3 5 2" xfId="41512"/>
    <cellStyle name="표준 22 2 3 6" xfId="26548"/>
    <cellStyle name="표준 22 2 3_Sheet4" xfId="3177"/>
    <cellStyle name="표준 22 2 4" xfId="3178"/>
    <cellStyle name="표준 22 2 4 2" xfId="3179"/>
    <cellStyle name="표준 22 2 4 2 2" xfId="11568"/>
    <cellStyle name="표준 22 2 4 2 2 2" xfId="34035"/>
    <cellStyle name="표준 22 2 4 2 3" xfId="19052"/>
    <cellStyle name="표준 22 2 4 2 3 2" xfId="41517"/>
    <cellStyle name="표준 22 2 4 2 4" xfId="26553"/>
    <cellStyle name="표준 22 2 4 3" xfId="11567"/>
    <cellStyle name="표준 22 2 4 3 2" xfId="34034"/>
    <cellStyle name="표준 22 2 4 4" xfId="19051"/>
    <cellStyle name="표준 22 2 4 4 2" xfId="41516"/>
    <cellStyle name="표준 22 2 4 5" xfId="26552"/>
    <cellStyle name="표준 22 2 4_Sheet4" xfId="3180"/>
    <cellStyle name="표준 22 2 5" xfId="3181"/>
    <cellStyle name="표준 22 2 5 2" xfId="11569"/>
    <cellStyle name="표준 22 2 5 2 2" xfId="34036"/>
    <cellStyle name="표준 22 2 5 3" xfId="19053"/>
    <cellStyle name="표준 22 2 5 3 2" xfId="41518"/>
    <cellStyle name="표준 22 2 5 4" xfId="26554"/>
    <cellStyle name="표준 22 2 6" xfId="11554"/>
    <cellStyle name="표준 22 2 6 2" xfId="34021"/>
    <cellStyle name="표준 22 2 7" xfId="19038"/>
    <cellStyle name="표준 22 2 7 2" xfId="41503"/>
    <cellStyle name="표준 22 2 8" xfId="26539"/>
    <cellStyle name="표준 22 2_Sheet4" xfId="3182"/>
    <cellStyle name="표준 22 3" xfId="3183"/>
    <cellStyle name="표준 22 3 2" xfId="3184"/>
    <cellStyle name="표준 22 3 2 2" xfId="3185"/>
    <cellStyle name="표준 22 3 2 2 2" xfId="3186"/>
    <cellStyle name="표준 22 3 2 2 2 2" xfId="3187"/>
    <cellStyle name="표준 22 3 2 2 2 2 2" xfId="11574"/>
    <cellStyle name="표준 22 3 2 2 2 2 2 2" xfId="34041"/>
    <cellStyle name="표준 22 3 2 2 2 2 3" xfId="19058"/>
    <cellStyle name="표준 22 3 2 2 2 2 3 2" xfId="41523"/>
    <cellStyle name="표준 22 3 2 2 2 2 4" xfId="26559"/>
    <cellStyle name="표준 22 3 2 2 2 3" xfId="11573"/>
    <cellStyle name="표준 22 3 2 2 2 3 2" xfId="34040"/>
    <cellStyle name="표준 22 3 2 2 2 4" xfId="19057"/>
    <cellStyle name="표준 22 3 2 2 2 4 2" xfId="41522"/>
    <cellStyle name="표준 22 3 2 2 2 5" xfId="26558"/>
    <cellStyle name="표준 22 3 2 2 2_Sheet4" xfId="3188"/>
    <cellStyle name="표준 22 3 2 2 3" xfId="3189"/>
    <cellStyle name="표준 22 3 2 2 3 2" xfId="11575"/>
    <cellStyle name="표준 22 3 2 2 3 2 2" xfId="34042"/>
    <cellStyle name="표준 22 3 2 2 3 3" xfId="19059"/>
    <cellStyle name="표준 22 3 2 2 3 3 2" xfId="41524"/>
    <cellStyle name="표준 22 3 2 2 3 4" xfId="26560"/>
    <cellStyle name="표준 22 3 2 2 4" xfId="11572"/>
    <cellStyle name="표준 22 3 2 2 4 2" xfId="34039"/>
    <cellStyle name="표준 22 3 2 2 5" xfId="19056"/>
    <cellStyle name="표준 22 3 2 2 5 2" xfId="41521"/>
    <cellStyle name="표준 22 3 2 2 6" xfId="26557"/>
    <cellStyle name="표준 22 3 2 2_Sheet4" xfId="3190"/>
    <cellStyle name="표준 22 3 2 3" xfId="3191"/>
    <cellStyle name="표준 22 3 2 3 2" xfId="3192"/>
    <cellStyle name="표준 22 3 2 3 2 2" xfId="11577"/>
    <cellStyle name="표준 22 3 2 3 2 2 2" xfId="34044"/>
    <cellStyle name="표준 22 3 2 3 2 3" xfId="19061"/>
    <cellStyle name="표준 22 3 2 3 2 3 2" xfId="41526"/>
    <cellStyle name="표준 22 3 2 3 2 4" xfId="26562"/>
    <cellStyle name="표준 22 3 2 3 3" xfId="11576"/>
    <cellStyle name="표준 22 3 2 3 3 2" xfId="34043"/>
    <cellStyle name="표준 22 3 2 3 4" xfId="19060"/>
    <cellStyle name="표준 22 3 2 3 4 2" xfId="41525"/>
    <cellStyle name="표준 22 3 2 3 5" xfId="26561"/>
    <cellStyle name="표준 22 3 2 3_Sheet4" xfId="3193"/>
    <cellStyle name="표준 22 3 2 4" xfId="3194"/>
    <cellStyle name="표준 22 3 2 4 2" xfId="11578"/>
    <cellStyle name="표준 22 3 2 4 2 2" xfId="34045"/>
    <cellStyle name="표준 22 3 2 4 3" xfId="19062"/>
    <cellStyle name="표준 22 3 2 4 3 2" xfId="41527"/>
    <cellStyle name="표준 22 3 2 4 4" xfId="26563"/>
    <cellStyle name="표준 22 3 2 5" xfId="11571"/>
    <cellStyle name="표준 22 3 2 5 2" xfId="34038"/>
    <cellStyle name="표준 22 3 2 6" xfId="19055"/>
    <cellStyle name="표준 22 3 2 6 2" xfId="41520"/>
    <cellStyle name="표준 22 3 2 7" xfId="26556"/>
    <cellStyle name="표준 22 3 2_Sheet4" xfId="3195"/>
    <cellStyle name="표준 22 3 3" xfId="3196"/>
    <cellStyle name="표준 22 3 3 2" xfId="3197"/>
    <cellStyle name="표준 22 3 3 2 2" xfId="3198"/>
    <cellStyle name="표준 22 3 3 2 2 2" xfId="11581"/>
    <cellStyle name="표준 22 3 3 2 2 2 2" xfId="34048"/>
    <cellStyle name="표준 22 3 3 2 2 3" xfId="19065"/>
    <cellStyle name="표준 22 3 3 2 2 3 2" xfId="41530"/>
    <cellStyle name="표준 22 3 3 2 2 4" xfId="26566"/>
    <cellStyle name="표준 22 3 3 2 3" xfId="11580"/>
    <cellStyle name="표준 22 3 3 2 3 2" xfId="34047"/>
    <cellStyle name="표준 22 3 3 2 4" xfId="19064"/>
    <cellStyle name="표준 22 3 3 2 4 2" xfId="41529"/>
    <cellStyle name="표준 22 3 3 2 5" xfId="26565"/>
    <cellStyle name="표준 22 3 3 2_Sheet4" xfId="3199"/>
    <cellStyle name="표준 22 3 3 3" xfId="3200"/>
    <cellStyle name="표준 22 3 3 3 2" xfId="11582"/>
    <cellStyle name="표준 22 3 3 3 2 2" xfId="34049"/>
    <cellStyle name="표준 22 3 3 3 3" xfId="19066"/>
    <cellStyle name="표준 22 3 3 3 3 2" xfId="41531"/>
    <cellStyle name="표준 22 3 3 3 4" xfId="26567"/>
    <cellStyle name="표준 22 3 3 4" xfId="11579"/>
    <cellStyle name="표준 22 3 3 4 2" xfId="34046"/>
    <cellStyle name="표준 22 3 3 5" xfId="19063"/>
    <cellStyle name="표준 22 3 3 5 2" xfId="41528"/>
    <cellStyle name="표준 22 3 3 6" xfId="26564"/>
    <cellStyle name="표준 22 3 3_Sheet4" xfId="3201"/>
    <cellStyle name="표준 22 3 4" xfId="3202"/>
    <cellStyle name="표준 22 3 4 2" xfId="3203"/>
    <cellStyle name="표준 22 3 4 2 2" xfId="11584"/>
    <cellStyle name="표준 22 3 4 2 2 2" xfId="34051"/>
    <cellStyle name="표준 22 3 4 2 3" xfId="19068"/>
    <cellStyle name="표준 22 3 4 2 3 2" xfId="41533"/>
    <cellStyle name="표준 22 3 4 2 4" xfId="26569"/>
    <cellStyle name="표준 22 3 4 3" xfId="11583"/>
    <cellStyle name="표준 22 3 4 3 2" xfId="34050"/>
    <cellStyle name="표준 22 3 4 4" xfId="19067"/>
    <cellStyle name="표준 22 3 4 4 2" xfId="41532"/>
    <cellStyle name="표준 22 3 4 5" xfId="26568"/>
    <cellStyle name="표준 22 3 4_Sheet4" xfId="3204"/>
    <cellStyle name="표준 22 3 5" xfId="3205"/>
    <cellStyle name="표준 22 3 5 2" xfId="11585"/>
    <cellStyle name="표준 22 3 5 2 2" xfId="34052"/>
    <cellStyle name="표준 22 3 5 3" xfId="19069"/>
    <cellStyle name="표준 22 3 5 3 2" xfId="41534"/>
    <cellStyle name="표준 22 3 5 4" xfId="26570"/>
    <cellStyle name="표준 22 3 6" xfId="11570"/>
    <cellStyle name="표준 22 3 6 2" xfId="34037"/>
    <cellStyle name="표준 22 3 7" xfId="19054"/>
    <cellStyle name="표준 22 3 7 2" xfId="41519"/>
    <cellStyle name="표준 22 3 8" xfId="26555"/>
    <cellStyle name="표준 22 3_Sheet4" xfId="3206"/>
    <cellStyle name="표준 22 4" xfId="3207"/>
    <cellStyle name="표준 22 4 2" xfId="3208"/>
    <cellStyle name="표준 22 4 2 2" xfId="3209"/>
    <cellStyle name="표준 22 4 2 2 2" xfId="3210"/>
    <cellStyle name="표준 22 4 2 2 2 2" xfId="11589"/>
    <cellStyle name="표준 22 4 2 2 2 2 2" xfId="34056"/>
    <cellStyle name="표준 22 4 2 2 2 3" xfId="19073"/>
    <cellStyle name="표준 22 4 2 2 2 3 2" xfId="41538"/>
    <cellStyle name="표준 22 4 2 2 2 4" xfId="26574"/>
    <cellStyle name="표준 22 4 2 2 3" xfId="11588"/>
    <cellStyle name="표준 22 4 2 2 3 2" xfId="34055"/>
    <cellStyle name="표준 22 4 2 2 4" xfId="19072"/>
    <cellStyle name="표준 22 4 2 2 4 2" xfId="41537"/>
    <cellStyle name="표준 22 4 2 2 5" xfId="26573"/>
    <cellStyle name="표준 22 4 2 2_Sheet4" xfId="3211"/>
    <cellStyle name="표준 22 4 2 3" xfId="3212"/>
    <cellStyle name="표준 22 4 2 3 2" xfId="11590"/>
    <cellStyle name="표준 22 4 2 3 2 2" xfId="34057"/>
    <cellStyle name="표준 22 4 2 3 3" xfId="19074"/>
    <cellStyle name="표준 22 4 2 3 3 2" xfId="41539"/>
    <cellStyle name="표준 22 4 2 3 4" xfId="26575"/>
    <cellStyle name="표준 22 4 2 4" xfId="11587"/>
    <cellStyle name="표준 22 4 2 4 2" xfId="34054"/>
    <cellStyle name="표준 22 4 2 5" xfId="19071"/>
    <cellStyle name="표준 22 4 2 5 2" xfId="41536"/>
    <cellStyle name="표준 22 4 2 6" xfId="26572"/>
    <cellStyle name="표준 22 4 2_Sheet4" xfId="3213"/>
    <cellStyle name="표준 22 4 3" xfId="3214"/>
    <cellStyle name="표준 22 4 3 2" xfId="3215"/>
    <cellStyle name="표준 22 4 3 2 2" xfId="11592"/>
    <cellStyle name="표준 22 4 3 2 2 2" xfId="34059"/>
    <cellStyle name="표준 22 4 3 2 3" xfId="19076"/>
    <cellStyle name="표준 22 4 3 2 3 2" xfId="41541"/>
    <cellStyle name="표준 22 4 3 2 4" xfId="26577"/>
    <cellStyle name="표준 22 4 3 3" xfId="11591"/>
    <cellStyle name="표준 22 4 3 3 2" xfId="34058"/>
    <cellStyle name="표준 22 4 3 4" xfId="19075"/>
    <cellStyle name="표준 22 4 3 4 2" xfId="41540"/>
    <cellStyle name="표준 22 4 3 5" xfId="26576"/>
    <cellStyle name="표준 22 4 3_Sheet4" xfId="3216"/>
    <cellStyle name="표준 22 4 4" xfId="3217"/>
    <cellStyle name="표준 22 4 4 2" xfId="11593"/>
    <cellStyle name="표준 22 4 4 2 2" xfId="34060"/>
    <cellStyle name="표준 22 4 4 3" xfId="19077"/>
    <cellStyle name="표준 22 4 4 3 2" xfId="41542"/>
    <cellStyle name="표준 22 4 4 4" xfId="26578"/>
    <cellStyle name="표준 22 4 5" xfId="11586"/>
    <cellStyle name="표준 22 4 5 2" xfId="34053"/>
    <cellStyle name="표준 22 4 6" xfId="19070"/>
    <cellStyle name="표준 22 4 6 2" xfId="41535"/>
    <cellStyle name="표준 22 4 7" xfId="26571"/>
    <cellStyle name="표준 22 4_Sheet4" xfId="3218"/>
    <cellStyle name="표준 22 5" xfId="3219"/>
    <cellStyle name="표준 22 5 2" xfId="3220"/>
    <cellStyle name="표준 22 5 2 2" xfId="3221"/>
    <cellStyle name="표준 22 5 2 2 2" xfId="11596"/>
    <cellStyle name="표준 22 5 2 2 2 2" xfId="34063"/>
    <cellStyle name="표준 22 5 2 2 3" xfId="19080"/>
    <cellStyle name="표준 22 5 2 2 3 2" xfId="41545"/>
    <cellStyle name="표준 22 5 2 2 4" xfId="26581"/>
    <cellStyle name="표준 22 5 2 3" xfId="11595"/>
    <cellStyle name="표준 22 5 2 3 2" xfId="34062"/>
    <cellStyle name="표준 22 5 2 4" xfId="19079"/>
    <cellStyle name="표준 22 5 2 4 2" xfId="41544"/>
    <cellStyle name="표준 22 5 2 5" xfId="26580"/>
    <cellStyle name="표준 22 5 2_Sheet4" xfId="3222"/>
    <cellStyle name="표준 22 5 3" xfId="3223"/>
    <cellStyle name="표준 22 5 3 2" xfId="11597"/>
    <cellStyle name="표준 22 5 3 2 2" xfId="34064"/>
    <cellStyle name="표준 22 5 3 3" xfId="19081"/>
    <cellStyle name="표준 22 5 3 3 2" xfId="41546"/>
    <cellStyle name="표준 22 5 3 4" xfId="26582"/>
    <cellStyle name="표준 22 5 4" xfId="11594"/>
    <cellStyle name="표준 22 5 4 2" xfId="34061"/>
    <cellStyle name="표준 22 5 5" xfId="19078"/>
    <cellStyle name="표준 22 5 5 2" xfId="41543"/>
    <cellStyle name="표준 22 5 6" xfId="26579"/>
    <cellStyle name="표준 22 5_Sheet4" xfId="3224"/>
    <cellStyle name="표준 22 6" xfId="3225"/>
    <cellStyle name="표준 22 6 2" xfId="3226"/>
    <cellStyle name="표준 22 6 2 2" xfId="11599"/>
    <cellStyle name="표준 22 6 2 2 2" xfId="34066"/>
    <cellStyle name="표준 22 6 2 3" xfId="19083"/>
    <cellStyle name="표준 22 6 2 3 2" xfId="41548"/>
    <cellStyle name="표준 22 6 2 4" xfId="26584"/>
    <cellStyle name="표준 22 6 3" xfId="11598"/>
    <cellStyle name="표준 22 6 3 2" xfId="34065"/>
    <cellStyle name="표준 22 6 4" xfId="19082"/>
    <cellStyle name="표준 22 6 4 2" xfId="41547"/>
    <cellStyle name="표준 22 6 5" xfId="26583"/>
    <cellStyle name="표준 22 6_Sheet4" xfId="3227"/>
    <cellStyle name="표준 22 7" xfId="3228"/>
    <cellStyle name="표준 22 7 2" xfId="11600"/>
    <cellStyle name="표준 22 7 2 2" xfId="34067"/>
    <cellStyle name="표준 22 7 3" xfId="19084"/>
    <cellStyle name="표준 22 7 3 2" xfId="41549"/>
    <cellStyle name="표준 22 7 4" xfId="26585"/>
    <cellStyle name="표준 22 8" xfId="11553"/>
    <cellStyle name="표준 22 8 2" xfId="34020"/>
    <cellStyle name="표준 22 9" xfId="19037"/>
    <cellStyle name="표준 22 9 2" xfId="41502"/>
    <cellStyle name="표준 22_Sheet4" xfId="3229"/>
    <cellStyle name="표준 23" xfId="3230"/>
    <cellStyle name="표준 24" xfId="3231"/>
    <cellStyle name="표준 24 2" xfId="3232"/>
    <cellStyle name="표준 24 2 2" xfId="3233"/>
    <cellStyle name="표준 24 2 2 2" xfId="3234"/>
    <cellStyle name="표준 24 2 2 2 2" xfId="3235"/>
    <cellStyle name="표준 24 2 2 2 2 2" xfId="11605"/>
    <cellStyle name="표준 24 2 2 2 2 2 2" xfId="34072"/>
    <cellStyle name="표준 24 2 2 2 2 3" xfId="19089"/>
    <cellStyle name="표준 24 2 2 2 2 3 2" xfId="41554"/>
    <cellStyle name="표준 24 2 2 2 2 4" xfId="26590"/>
    <cellStyle name="표준 24 2 2 2 3" xfId="11604"/>
    <cellStyle name="표준 24 2 2 2 3 2" xfId="34071"/>
    <cellStyle name="표준 24 2 2 2 4" xfId="19088"/>
    <cellStyle name="표준 24 2 2 2 4 2" xfId="41553"/>
    <cellStyle name="표준 24 2 2 2 5" xfId="26589"/>
    <cellStyle name="표준 24 2 2 2_Sheet4" xfId="3236"/>
    <cellStyle name="표준 24 2 2 3" xfId="3237"/>
    <cellStyle name="표준 24 2 2 3 2" xfId="11606"/>
    <cellStyle name="표준 24 2 2 3 2 2" xfId="34073"/>
    <cellStyle name="표준 24 2 2 3 3" xfId="19090"/>
    <cellStyle name="표준 24 2 2 3 3 2" xfId="41555"/>
    <cellStyle name="표준 24 2 2 3 4" xfId="26591"/>
    <cellStyle name="표준 24 2 2 4" xfId="11603"/>
    <cellStyle name="표준 24 2 2 4 2" xfId="34070"/>
    <cellStyle name="표준 24 2 2 5" xfId="19087"/>
    <cellStyle name="표준 24 2 2 5 2" xfId="41552"/>
    <cellStyle name="표준 24 2 2 6" xfId="26588"/>
    <cellStyle name="표준 24 2 2_Sheet4" xfId="3238"/>
    <cellStyle name="표준 24 2 3" xfId="3239"/>
    <cellStyle name="표준 24 2 3 2" xfId="3240"/>
    <cellStyle name="표준 24 2 3 2 2" xfId="11608"/>
    <cellStyle name="표준 24 2 3 2 2 2" xfId="34075"/>
    <cellStyle name="표준 24 2 3 2 3" xfId="19092"/>
    <cellStyle name="표준 24 2 3 2 3 2" xfId="41557"/>
    <cellStyle name="표준 24 2 3 2 4" xfId="26593"/>
    <cellStyle name="표준 24 2 3 3" xfId="11607"/>
    <cellStyle name="표준 24 2 3 3 2" xfId="34074"/>
    <cellStyle name="표준 24 2 3 4" xfId="19091"/>
    <cellStyle name="표준 24 2 3 4 2" xfId="41556"/>
    <cellStyle name="표준 24 2 3 5" xfId="26592"/>
    <cellStyle name="표준 24 2 3_Sheet4" xfId="3241"/>
    <cellStyle name="표준 24 2 4" xfId="3242"/>
    <cellStyle name="표준 24 2 4 2" xfId="11609"/>
    <cellStyle name="표준 24 2 4 2 2" xfId="34076"/>
    <cellStyle name="표준 24 2 4 3" xfId="19093"/>
    <cellStyle name="표준 24 2 4 3 2" xfId="41558"/>
    <cellStyle name="표준 24 2 4 4" xfId="26594"/>
    <cellStyle name="표준 24 2 5" xfId="11602"/>
    <cellStyle name="표준 24 2 5 2" xfId="34069"/>
    <cellStyle name="표준 24 2 6" xfId="19086"/>
    <cellStyle name="표준 24 2 6 2" xfId="41551"/>
    <cellStyle name="표준 24 2 7" xfId="26587"/>
    <cellStyle name="표준 24 2_Sheet4" xfId="3243"/>
    <cellStyle name="표준 24 3" xfId="3244"/>
    <cellStyle name="표준 24 3 2" xfId="3245"/>
    <cellStyle name="표준 24 3 2 2" xfId="3246"/>
    <cellStyle name="표준 24 3 2 2 2" xfId="11612"/>
    <cellStyle name="표준 24 3 2 2 2 2" xfId="34079"/>
    <cellStyle name="표준 24 3 2 2 3" xfId="19096"/>
    <cellStyle name="표준 24 3 2 2 3 2" xfId="41561"/>
    <cellStyle name="표준 24 3 2 2 4" xfId="26597"/>
    <cellStyle name="표준 24 3 2 3" xfId="11611"/>
    <cellStyle name="표준 24 3 2 3 2" xfId="34078"/>
    <cellStyle name="표준 24 3 2 4" xfId="19095"/>
    <cellStyle name="표준 24 3 2 4 2" xfId="41560"/>
    <cellStyle name="표준 24 3 2 5" xfId="26596"/>
    <cellStyle name="표준 24 3 2_Sheet4" xfId="3247"/>
    <cellStyle name="표준 24 3 3" xfId="3248"/>
    <cellStyle name="표준 24 3 3 2" xfId="11613"/>
    <cellStyle name="표준 24 3 3 2 2" xfId="34080"/>
    <cellStyle name="표준 24 3 3 3" xfId="19097"/>
    <cellStyle name="표준 24 3 3 3 2" xfId="41562"/>
    <cellStyle name="표준 24 3 3 4" xfId="26598"/>
    <cellStyle name="표준 24 3 4" xfId="11610"/>
    <cellStyle name="표준 24 3 4 2" xfId="34077"/>
    <cellStyle name="표준 24 3 5" xfId="19094"/>
    <cellStyle name="표준 24 3 5 2" xfId="41559"/>
    <cellStyle name="표준 24 3 6" xfId="26595"/>
    <cellStyle name="표준 24 3_Sheet4" xfId="3249"/>
    <cellStyle name="표준 24 4" xfId="3250"/>
    <cellStyle name="표준 24 4 2" xfId="3251"/>
    <cellStyle name="표준 24 4 2 2" xfId="11615"/>
    <cellStyle name="표준 24 4 2 2 2" xfId="34082"/>
    <cellStyle name="표준 24 4 2 3" xfId="19099"/>
    <cellStyle name="표준 24 4 2 3 2" xfId="41564"/>
    <cellStyle name="표준 24 4 2 4" xfId="26600"/>
    <cellStyle name="표준 24 4 3" xfId="11614"/>
    <cellStyle name="표준 24 4 3 2" xfId="34081"/>
    <cellStyle name="표준 24 4 4" xfId="19098"/>
    <cellStyle name="표준 24 4 4 2" xfId="41563"/>
    <cellStyle name="표준 24 4 5" xfId="26599"/>
    <cellStyle name="표준 24 4_Sheet4" xfId="3252"/>
    <cellStyle name="표준 24 5" xfId="3253"/>
    <cellStyle name="표준 24 5 2" xfId="11616"/>
    <cellStyle name="표준 24 5 2 2" xfId="34083"/>
    <cellStyle name="표준 24 5 3" xfId="19100"/>
    <cellStyle name="표준 24 5 3 2" xfId="41565"/>
    <cellStyle name="표준 24 5 4" xfId="26601"/>
    <cellStyle name="표준 24 6" xfId="11601"/>
    <cellStyle name="표준 24 6 2" xfId="34068"/>
    <cellStyle name="표준 24 7" xfId="19085"/>
    <cellStyle name="표준 24 7 2" xfId="41550"/>
    <cellStyle name="표준 24 8" xfId="26586"/>
    <cellStyle name="표준 24_Sheet4" xfId="3254"/>
    <cellStyle name="표준 25" xfId="3255"/>
    <cellStyle name="표준 26" xfId="3256"/>
    <cellStyle name="표준 26 2" xfId="3257"/>
    <cellStyle name="표준 26 2 2" xfId="3258"/>
    <cellStyle name="표준 26 2 2 2" xfId="3259"/>
    <cellStyle name="표준 26 2 2 2 2" xfId="11620"/>
    <cellStyle name="표준 26 2 2 2 2 2" xfId="34087"/>
    <cellStyle name="표준 26 2 2 2 3" xfId="19104"/>
    <cellStyle name="표준 26 2 2 2 3 2" xfId="41569"/>
    <cellStyle name="표준 26 2 2 2 4" xfId="26605"/>
    <cellStyle name="표준 26 2 2 3" xfId="11619"/>
    <cellStyle name="표준 26 2 2 3 2" xfId="34086"/>
    <cellStyle name="표준 26 2 2 4" xfId="19103"/>
    <cellStyle name="표준 26 2 2 4 2" xfId="41568"/>
    <cellStyle name="표준 26 2 2 5" xfId="26604"/>
    <cellStyle name="표준 26 2 2_Sheet4" xfId="3260"/>
    <cellStyle name="표준 26 2 3" xfId="3261"/>
    <cellStyle name="표준 26 2 3 2" xfId="11621"/>
    <cellStyle name="표준 26 2 3 2 2" xfId="34088"/>
    <cellStyle name="표준 26 2 3 3" xfId="19105"/>
    <cellStyle name="표준 26 2 3 3 2" xfId="41570"/>
    <cellStyle name="표준 26 2 3 4" xfId="26606"/>
    <cellStyle name="표준 26 2 4" xfId="11618"/>
    <cellStyle name="표준 26 2 4 2" xfId="34085"/>
    <cellStyle name="표준 26 2 5" xfId="19102"/>
    <cellStyle name="표준 26 2 5 2" xfId="41567"/>
    <cellStyle name="표준 26 2 6" xfId="26603"/>
    <cellStyle name="표준 26 2_Sheet4" xfId="3262"/>
    <cellStyle name="표준 26 3" xfId="3263"/>
    <cellStyle name="표준 26 3 2" xfId="3264"/>
    <cellStyle name="표준 26 3 2 2" xfId="11623"/>
    <cellStyle name="표준 26 3 2 2 2" xfId="34090"/>
    <cellStyle name="표준 26 3 2 3" xfId="19107"/>
    <cellStyle name="표준 26 3 2 3 2" xfId="41572"/>
    <cellStyle name="표준 26 3 2 4" xfId="26608"/>
    <cellStyle name="표준 26 3 3" xfId="11622"/>
    <cellStyle name="표준 26 3 3 2" xfId="34089"/>
    <cellStyle name="표준 26 3 4" xfId="19106"/>
    <cellStyle name="표준 26 3 4 2" xfId="41571"/>
    <cellStyle name="표준 26 3 5" xfId="26607"/>
    <cellStyle name="표준 26 3_Sheet4" xfId="3265"/>
    <cellStyle name="표준 26 4" xfId="3266"/>
    <cellStyle name="표준 26 4 2" xfId="11624"/>
    <cellStyle name="표준 26 4 2 2" xfId="34091"/>
    <cellStyle name="표준 26 4 3" xfId="19108"/>
    <cellStyle name="표준 26 4 3 2" xfId="41573"/>
    <cellStyle name="표준 26 4 4" xfId="26609"/>
    <cellStyle name="표준 26 5" xfId="11617"/>
    <cellStyle name="표준 26 5 2" xfId="34084"/>
    <cellStyle name="표준 26 6" xfId="19101"/>
    <cellStyle name="표준 26 6 2" xfId="41566"/>
    <cellStyle name="표준 26 7" xfId="26602"/>
    <cellStyle name="표준 26_Sheet4" xfId="3267"/>
    <cellStyle name="표준 27" xfId="3268"/>
    <cellStyle name="표준 28" xfId="3269"/>
    <cellStyle name="표준 28 2" xfId="3270"/>
    <cellStyle name="표준 28 2 2" xfId="3271"/>
    <cellStyle name="표준 28 2 2 2" xfId="11627"/>
    <cellStyle name="표준 28 2 2 2 2" xfId="34094"/>
    <cellStyle name="표준 28 2 2 3" xfId="19111"/>
    <cellStyle name="표준 28 2 2 3 2" xfId="41576"/>
    <cellStyle name="표준 28 2 2 4" xfId="26612"/>
    <cellStyle name="표준 28 2 3" xfId="11626"/>
    <cellStyle name="표준 28 2 3 2" xfId="34093"/>
    <cellStyle name="표준 28 2 4" xfId="19110"/>
    <cellStyle name="표준 28 2 4 2" xfId="41575"/>
    <cellStyle name="표준 28 2 5" xfId="26611"/>
    <cellStyle name="표준 28 2_Sheet4" xfId="3272"/>
    <cellStyle name="표준 28 3" xfId="3273"/>
    <cellStyle name="표준 28 3 2" xfId="11628"/>
    <cellStyle name="표준 28 3 2 2" xfId="34095"/>
    <cellStyle name="표준 28 3 3" xfId="19112"/>
    <cellStyle name="표준 28 3 3 2" xfId="41577"/>
    <cellStyle name="표준 28 3 4" xfId="26613"/>
    <cellStyle name="표준 28 4" xfId="11625"/>
    <cellStyle name="표준 28 4 2" xfId="34092"/>
    <cellStyle name="표준 28 5" xfId="19109"/>
    <cellStyle name="표준 28 5 2" xfId="41574"/>
    <cellStyle name="표준 28 6" xfId="26610"/>
    <cellStyle name="표준 28_Sheet4" xfId="3274"/>
    <cellStyle name="표준 29" xfId="9597"/>
    <cellStyle name="표준 29 2" xfId="17079"/>
    <cellStyle name="표준 29 2 2" xfId="39546"/>
    <cellStyle name="표준 29 3" xfId="32064"/>
    <cellStyle name="표준 3" xfId="3275"/>
    <cellStyle name="표준 3 2" xfId="3276"/>
    <cellStyle name="표준 3 3" xfId="3277"/>
    <cellStyle name="표준 3 3 10" xfId="3278"/>
    <cellStyle name="표준 3 3 10 2" xfId="3279"/>
    <cellStyle name="표준 3 3 10 2 2" xfId="3280"/>
    <cellStyle name="표준 3 3 10 2 2 2" xfId="3281"/>
    <cellStyle name="표준 3 3 10 2 2 2 2" xfId="11633"/>
    <cellStyle name="표준 3 3 10 2 2 2 2 2" xfId="34100"/>
    <cellStyle name="표준 3 3 10 2 2 2 3" xfId="19117"/>
    <cellStyle name="표준 3 3 10 2 2 2 3 2" xfId="41582"/>
    <cellStyle name="표준 3 3 10 2 2 2 4" xfId="26618"/>
    <cellStyle name="표준 3 3 10 2 2 3" xfId="11632"/>
    <cellStyle name="표준 3 3 10 2 2 3 2" xfId="34099"/>
    <cellStyle name="표준 3 3 10 2 2 4" xfId="19116"/>
    <cellStyle name="표준 3 3 10 2 2 4 2" xfId="41581"/>
    <cellStyle name="표준 3 3 10 2 2 5" xfId="26617"/>
    <cellStyle name="표준 3 3 10 2 2_Sheet4" xfId="3282"/>
    <cellStyle name="표준 3 3 10 2 3" xfId="3283"/>
    <cellStyle name="표준 3 3 10 2 3 2" xfId="11634"/>
    <cellStyle name="표준 3 3 10 2 3 2 2" xfId="34101"/>
    <cellStyle name="표준 3 3 10 2 3 3" xfId="19118"/>
    <cellStyle name="표준 3 3 10 2 3 3 2" xfId="41583"/>
    <cellStyle name="표준 3 3 10 2 3 4" xfId="26619"/>
    <cellStyle name="표준 3 3 10 2 4" xfId="11631"/>
    <cellStyle name="표준 3 3 10 2 4 2" xfId="34098"/>
    <cellStyle name="표준 3 3 10 2 5" xfId="19115"/>
    <cellStyle name="표준 3 3 10 2 5 2" xfId="41580"/>
    <cellStyle name="표준 3 3 10 2 6" xfId="26616"/>
    <cellStyle name="표준 3 3 10 2_Sheet4" xfId="3284"/>
    <cellStyle name="표준 3 3 10 3" xfId="3285"/>
    <cellStyle name="표준 3 3 10 3 2" xfId="3286"/>
    <cellStyle name="표준 3 3 10 3 2 2" xfId="11636"/>
    <cellStyle name="표준 3 3 10 3 2 2 2" xfId="34103"/>
    <cellStyle name="표준 3 3 10 3 2 3" xfId="19120"/>
    <cellStyle name="표준 3 3 10 3 2 3 2" xfId="41585"/>
    <cellStyle name="표준 3 3 10 3 2 4" xfId="26621"/>
    <cellStyle name="표준 3 3 10 3 3" xfId="11635"/>
    <cellStyle name="표준 3 3 10 3 3 2" xfId="34102"/>
    <cellStyle name="표준 3 3 10 3 4" xfId="19119"/>
    <cellStyle name="표준 3 3 10 3 4 2" xfId="41584"/>
    <cellStyle name="표준 3 3 10 3 5" xfId="26620"/>
    <cellStyle name="표준 3 3 10 3_Sheet4" xfId="3287"/>
    <cellStyle name="표준 3 3 10 4" xfId="3288"/>
    <cellStyle name="표준 3 3 10 4 2" xfId="11637"/>
    <cellStyle name="표준 3 3 10 4 2 2" xfId="34104"/>
    <cellStyle name="표준 3 3 10 4 3" xfId="19121"/>
    <cellStyle name="표준 3 3 10 4 3 2" xfId="41586"/>
    <cellStyle name="표준 3 3 10 4 4" xfId="26622"/>
    <cellStyle name="표준 3 3 10 5" xfId="11630"/>
    <cellStyle name="표준 3 3 10 5 2" xfId="34097"/>
    <cellStyle name="표준 3 3 10 6" xfId="19114"/>
    <cellStyle name="표준 3 3 10 6 2" xfId="41579"/>
    <cellStyle name="표준 3 3 10 7" xfId="26615"/>
    <cellStyle name="표준 3 3 10_Sheet4" xfId="3289"/>
    <cellStyle name="표준 3 3 11" xfId="3290"/>
    <cellStyle name="표준 3 3 11 2" xfId="3291"/>
    <cellStyle name="표준 3 3 11 2 2" xfId="3292"/>
    <cellStyle name="표준 3 3 11 2 2 2" xfId="3293"/>
    <cellStyle name="표준 3 3 11 2 2 2 2" xfId="11641"/>
    <cellStyle name="표준 3 3 11 2 2 2 2 2" xfId="34108"/>
    <cellStyle name="표준 3 3 11 2 2 2 3" xfId="19125"/>
    <cellStyle name="표준 3 3 11 2 2 2 3 2" xfId="41590"/>
    <cellStyle name="표준 3 3 11 2 2 2 4" xfId="26626"/>
    <cellStyle name="표준 3 3 11 2 2 3" xfId="11640"/>
    <cellStyle name="표준 3 3 11 2 2 3 2" xfId="34107"/>
    <cellStyle name="표준 3 3 11 2 2 4" xfId="19124"/>
    <cellStyle name="표준 3 3 11 2 2 4 2" xfId="41589"/>
    <cellStyle name="표준 3 3 11 2 2 5" xfId="26625"/>
    <cellStyle name="표준 3 3 11 2 2_Sheet4" xfId="3294"/>
    <cellStyle name="표준 3 3 11 2 3" xfId="3295"/>
    <cellStyle name="표준 3 3 11 2 3 2" xfId="11642"/>
    <cellStyle name="표준 3 3 11 2 3 2 2" xfId="34109"/>
    <cellStyle name="표준 3 3 11 2 3 3" xfId="19126"/>
    <cellStyle name="표준 3 3 11 2 3 3 2" xfId="41591"/>
    <cellStyle name="표준 3 3 11 2 3 4" xfId="26627"/>
    <cellStyle name="표준 3 3 11 2 4" xfId="11639"/>
    <cellStyle name="표준 3 3 11 2 4 2" xfId="34106"/>
    <cellStyle name="표준 3 3 11 2 5" xfId="19123"/>
    <cellStyle name="표준 3 3 11 2 5 2" xfId="41588"/>
    <cellStyle name="표준 3 3 11 2 6" xfId="26624"/>
    <cellStyle name="표준 3 3 11 2_Sheet4" xfId="3296"/>
    <cellStyle name="표준 3 3 11 3" xfId="3297"/>
    <cellStyle name="표준 3 3 11 3 2" xfId="3298"/>
    <cellStyle name="표준 3 3 11 3 2 2" xfId="11644"/>
    <cellStyle name="표준 3 3 11 3 2 2 2" xfId="34111"/>
    <cellStyle name="표준 3 3 11 3 2 3" xfId="19128"/>
    <cellStyle name="표준 3 3 11 3 2 3 2" xfId="41593"/>
    <cellStyle name="표준 3 3 11 3 2 4" xfId="26629"/>
    <cellStyle name="표준 3 3 11 3 3" xfId="11643"/>
    <cellStyle name="표준 3 3 11 3 3 2" xfId="34110"/>
    <cellStyle name="표준 3 3 11 3 4" xfId="19127"/>
    <cellStyle name="표준 3 3 11 3 4 2" xfId="41592"/>
    <cellStyle name="표준 3 3 11 3 5" xfId="26628"/>
    <cellStyle name="표준 3 3 11 3_Sheet4" xfId="3299"/>
    <cellStyle name="표준 3 3 11 4" xfId="3300"/>
    <cellStyle name="표준 3 3 11 4 2" xfId="11645"/>
    <cellStyle name="표준 3 3 11 4 2 2" xfId="34112"/>
    <cellStyle name="표준 3 3 11 4 3" xfId="19129"/>
    <cellStyle name="표준 3 3 11 4 3 2" xfId="41594"/>
    <cellStyle name="표준 3 3 11 4 4" xfId="26630"/>
    <cellStyle name="표준 3 3 11 5" xfId="11638"/>
    <cellStyle name="표준 3 3 11 5 2" xfId="34105"/>
    <cellStyle name="표준 3 3 11 6" xfId="19122"/>
    <cellStyle name="표준 3 3 11 6 2" xfId="41587"/>
    <cellStyle name="표준 3 3 11 7" xfId="26623"/>
    <cellStyle name="표준 3 3 11_Sheet4" xfId="3301"/>
    <cellStyle name="표준 3 3 12" xfId="3302"/>
    <cellStyle name="표준 3 3 12 2" xfId="3303"/>
    <cellStyle name="표준 3 3 12 2 2" xfId="3304"/>
    <cellStyle name="표준 3 3 12 2 2 2" xfId="11648"/>
    <cellStyle name="표준 3 3 12 2 2 2 2" xfId="34115"/>
    <cellStyle name="표준 3 3 12 2 2 3" xfId="19132"/>
    <cellStyle name="표준 3 3 12 2 2 3 2" xfId="41597"/>
    <cellStyle name="표준 3 3 12 2 2 4" xfId="26633"/>
    <cellStyle name="표준 3 3 12 2 3" xfId="11647"/>
    <cellStyle name="표준 3 3 12 2 3 2" xfId="34114"/>
    <cellStyle name="표준 3 3 12 2 4" xfId="19131"/>
    <cellStyle name="표준 3 3 12 2 4 2" xfId="41596"/>
    <cellStyle name="표준 3 3 12 2 5" xfId="26632"/>
    <cellStyle name="표준 3 3 12 2_Sheet4" xfId="3305"/>
    <cellStyle name="표준 3 3 12 3" xfId="3306"/>
    <cellStyle name="표준 3 3 12 3 2" xfId="11649"/>
    <cellStyle name="표준 3 3 12 3 2 2" xfId="34116"/>
    <cellStyle name="표준 3 3 12 3 3" xfId="19133"/>
    <cellStyle name="표준 3 3 12 3 3 2" xfId="41598"/>
    <cellStyle name="표준 3 3 12 3 4" xfId="26634"/>
    <cellStyle name="표준 3 3 12 4" xfId="11646"/>
    <cellStyle name="표준 3 3 12 4 2" xfId="34113"/>
    <cellStyle name="표준 3 3 12 5" xfId="19130"/>
    <cellStyle name="표준 3 3 12 5 2" xfId="41595"/>
    <cellStyle name="표준 3 3 12 6" xfId="26631"/>
    <cellStyle name="표준 3 3 12_Sheet4" xfId="3307"/>
    <cellStyle name="표준 3 3 13" xfId="3308"/>
    <cellStyle name="표준 3 3 13 2" xfId="3309"/>
    <cellStyle name="표준 3 3 13 2 2" xfId="3310"/>
    <cellStyle name="표준 3 3 13 2 2 2" xfId="11652"/>
    <cellStyle name="표준 3 3 13 2 2 2 2" xfId="34119"/>
    <cellStyle name="표준 3 3 13 2 2 3" xfId="19136"/>
    <cellStyle name="표준 3 3 13 2 2 3 2" xfId="41601"/>
    <cellStyle name="표준 3 3 13 2 2 4" xfId="26637"/>
    <cellStyle name="표준 3 3 13 2 3" xfId="11651"/>
    <cellStyle name="표준 3 3 13 2 3 2" xfId="34118"/>
    <cellStyle name="표준 3 3 13 2 4" xfId="19135"/>
    <cellStyle name="표준 3 3 13 2 4 2" xfId="41600"/>
    <cellStyle name="표준 3 3 13 2 5" xfId="26636"/>
    <cellStyle name="표준 3 3 13 2_Sheet4" xfId="3311"/>
    <cellStyle name="표준 3 3 13 3" xfId="3312"/>
    <cellStyle name="표준 3 3 13 3 2" xfId="11653"/>
    <cellStyle name="표준 3 3 13 3 2 2" xfId="34120"/>
    <cellStyle name="표준 3 3 13 3 3" xfId="19137"/>
    <cellStyle name="표준 3 3 13 3 3 2" xfId="41602"/>
    <cellStyle name="표준 3 3 13 3 4" xfId="26638"/>
    <cellStyle name="표준 3 3 13 4" xfId="11650"/>
    <cellStyle name="표준 3 3 13 4 2" xfId="34117"/>
    <cellStyle name="표준 3 3 13 5" xfId="19134"/>
    <cellStyle name="표준 3 3 13 5 2" xfId="41599"/>
    <cellStyle name="표준 3 3 13 6" xfId="26635"/>
    <cellStyle name="표준 3 3 13_Sheet4" xfId="3313"/>
    <cellStyle name="표준 3 3 14" xfId="3314"/>
    <cellStyle name="표준 3 3 14 2" xfId="3315"/>
    <cellStyle name="표준 3 3 14 2 2" xfId="3316"/>
    <cellStyle name="표준 3 3 14 2 2 2" xfId="11656"/>
    <cellStyle name="표준 3 3 14 2 2 2 2" xfId="34123"/>
    <cellStyle name="표준 3 3 14 2 2 3" xfId="19140"/>
    <cellStyle name="표준 3 3 14 2 2 3 2" xfId="41605"/>
    <cellStyle name="표준 3 3 14 2 2 4" xfId="26641"/>
    <cellStyle name="표준 3 3 14 2 3" xfId="11655"/>
    <cellStyle name="표준 3 3 14 2 3 2" xfId="34122"/>
    <cellStyle name="표준 3 3 14 2 4" xfId="19139"/>
    <cellStyle name="표준 3 3 14 2 4 2" xfId="41604"/>
    <cellStyle name="표준 3 3 14 2 5" xfId="26640"/>
    <cellStyle name="표준 3 3 14 2_Sheet4" xfId="3317"/>
    <cellStyle name="표준 3 3 14 3" xfId="3318"/>
    <cellStyle name="표준 3 3 14 3 2" xfId="11657"/>
    <cellStyle name="표준 3 3 14 3 2 2" xfId="34124"/>
    <cellStyle name="표준 3 3 14 3 3" xfId="19141"/>
    <cellStyle name="표준 3 3 14 3 3 2" xfId="41606"/>
    <cellStyle name="표준 3 3 14 3 4" xfId="26642"/>
    <cellStyle name="표준 3 3 14 4" xfId="11654"/>
    <cellStyle name="표준 3 3 14 4 2" xfId="34121"/>
    <cellStyle name="표준 3 3 14 5" xfId="19138"/>
    <cellStyle name="표준 3 3 14 5 2" xfId="41603"/>
    <cellStyle name="표준 3 3 14 6" xfId="26639"/>
    <cellStyle name="표준 3 3 14_Sheet4" xfId="3319"/>
    <cellStyle name="표준 3 3 15" xfId="3320"/>
    <cellStyle name="표준 3 3 15 2" xfId="3321"/>
    <cellStyle name="표준 3 3 15 2 2" xfId="3322"/>
    <cellStyle name="표준 3 3 15 2 2 2" xfId="11660"/>
    <cellStyle name="표준 3 3 15 2 2 2 2" xfId="34127"/>
    <cellStyle name="표준 3 3 15 2 2 3" xfId="19144"/>
    <cellStyle name="표준 3 3 15 2 2 3 2" xfId="41609"/>
    <cellStyle name="표준 3 3 15 2 2 4" xfId="26645"/>
    <cellStyle name="표준 3 3 15 2 3" xfId="11659"/>
    <cellStyle name="표준 3 3 15 2 3 2" xfId="34126"/>
    <cellStyle name="표준 3 3 15 2 4" xfId="19143"/>
    <cellStyle name="표준 3 3 15 2 4 2" xfId="41608"/>
    <cellStyle name="표준 3 3 15 2 5" xfId="26644"/>
    <cellStyle name="표준 3 3 15 2_Sheet4" xfId="3323"/>
    <cellStyle name="표준 3 3 15 3" xfId="3324"/>
    <cellStyle name="표준 3 3 15 3 2" xfId="11661"/>
    <cellStyle name="표준 3 3 15 3 2 2" xfId="34128"/>
    <cellStyle name="표준 3 3 15 3 3" xfId="19145"/>
    <cellStyle name="표준 3 3 15 3 3 2" xfId="41610"/>
    <cellStyle name="표준 3 3 15 3 4" xfId="26646"/>
    <cellStyle name="표준 3 3 15 4" xfId="11658"/>
    <cellStyle name="표준 3 3 15 4 2" xfId="34125"/>
    <cellStyle name="표준 3 3 15 5" xfId="19142"/>
    <cellStyle name="표준 3 3 15 5 2" xfId="41607"/>
    <cellStyle name="표준 3 3 15 6" xfId="26643"/>
    <cellStyle name="표준 3 3 15_Sheet4" xfId="3325"/>
    <cellStyle name="표준 3 3 16" xfId="3326"/>
    <cellStyle name="표준 3 3 16 2" xfId="3327"/>
    <cellStyle name="표준 3 3 16 2 2" xfId="11663"/>
    <cellStyle name="표준 3 3 16 2 2 2" xfId="34130"/>
    <cellStyle name="표준 3 3 16 2 3" xfId="19147"/>
    <cellStyle name="표준 3 3 16 2 3 2" xfId="41612"/>
    <cellStyle name="표준 3 3 16 2 4" xfId="26648"/>
    <cellStyle name="표준 3 3 16 3" xfId="11662"/>
    <cellStyle name="표준 3 3 16 3 2" xfId="34129"/>
    <cellStyle name="표준 3 3 16 4" xfId="19146"/>
    <cellStyle name="표준 3 3 16 4 2" xfId="41611"/>
    <cellStyle name="표준 3 3 16 5" xfId="26647"/>
    <cellStyle name="표준 3 3 16_Sheet4" xfId="3328"/>
    <cellStyle name="표준 3 3 17" xfId="3329"/>
    <cellStyle name="표준 3 3 17 2" xfId="11664"/>
    <cellStyle name="표준 3 3 17 2 2" xfId="34131"/>
    <cellStyle name="표준 3 3 17 3" xfId="19148"/>
    <cellStyle name="표준 3 3 17 3 2" xfId="41613"/>
    <cellStyle name="표준 3 3 17 4" xfId="26649"/>
    <cellStyle name="표준 3 3 18" xfId="3330"/>
    <cellStyle name="표준 3 3 18 2" xfId="11665"/>
    <cellStyle name="표준 3 3 18 2 2" xfId="34132"/>
    <cellStyle name="표준 3 3 18 3" xfId="19149"/>
    <cellStyle name="표준 3 3 18 3 2" xfId="41614"/>
    <cellStyle name="표준 3 3 18 4" xfId="26650"/>
    <cellStyle name="표준 3 3 19" xfId="11629"/>
    <cellStyle name="표준 3 3 19 2" xfId="34096"/>
    <cellStyle name="표준 3 3 2" xfId="3331"/>
    <cellStyle name="표준 3 3 2 10" xfId="3332"/>
    <cellStyle name="표준 3 3 2 10 2" xfId="3333"/>
    <cellStyle name="표준 3 3 2 10 2 2" xfId="3334"/>
    <cellStyle name="표준 3 3 2 10 2 2 2" xfId="3335"/>
    <cellStyle name="표준 3 3 2 10 2 2 2 2" xfId="11670"/>
    <cellStyle name="표준 3 3 2 10 2 2 2 2 2" xfId="34137"/>
    <cellStyle name="표준 3 3 2 10 2 2 2 3" xfId="19154"/>
    <cellStyle name="표준 3 3 2 10 2 2 2 3 2" xfId="41619"/>
    <cellStyle name="표준 3 3 2 10 2 2 2 4" xfId="26655"/>
    <cellStyle name="표준 3 3 2 10 2 2 3" xfId="11669"/>
    <cellStyle name="표준 3 3 2 10 2 2 3 2" xfId="34136"/>
    <cellStyle name="표준 3 3 2 10 2 2 4" xfId="19153"/>
    <cellStyle name="표준 3 3 2 10 2 2 4 2" xfId="41618"/>
    <cellStyle name="표준 3 3 2 10 2 2 5" xfId="26654"/>
    <cellStyle name="표준 3 3 2 10 2 2_Sheet4" xfId="3336"/>
    <cellStyle name="표준 3 3 2 10 2 3" xfId="3337"/>
    <cellStyle name="표준 3 3 2 10 2 3 2" xfId="11671"/>
    <cellStyle name="표준 3 3 2 10 2 3 2 2" xfId="34138"/>
    <cellStyle name="표준 3 3 2 10 2 3 3" xfId="19155"/>
    <cellStyle name="표준 3 3 2 10 2 3 3 2" xfId="41620"/>
    <cellStyle name="표준 3 3 2 10 2 3 4" xfId="26656"/>
    <cellStyle name="표준 3 3 2 10 2 4" xfId="11668"/>
    <cellStyle name="표준 3 3 2 10 2 4 2" xfId="34135"/>
    <cellStyle name="표준 3 3 2 10 2 5" xfId="19152"/>
    <cellStyle name="표준 3 3 2 10 2 5 2" xfId="41617"/>
    <cellStyle name="표준 3 3 2 10 2 6" xfId="26653"/>
    <cellStyle name="표준 3 3 2 10 2_Sheet4" xfId="3338"/>
    <cellStyle name="표준 3 3 2 10 3" xfId="3339"/>
    <cellStyle name="표준 3 3 2 10 3 2" xfId="3340"/>
    <cellStyle name="표준 3 3 2 10 3 2 2" xfId="11673"/>
    <cellStyle name="표준 3 3 2 10 3 2 2 2" xfId="34140"/>
    <cellStyle name="표준 3 3 2 10 3 2 3" xfId="19157"/>
    <cellStyle name="표준 3 3 2 10 3 2 3 2" xfId="41622"/>
    <cellStyle name="표준 3 3 2 10 3 2 4" xfId="26658"/>
    <cellStyle name="표준 3 3 2 10 3 3" xfId="11672"/>
    <cellStyle name="표준 3 3 2 10 3 3 2" xfId="34139"/>
    <cellStyle name="표준 3 3 2 10 3 4" xfId="19156"/>
    <cellStyle name="표준 3 3 2 10 3 4 2" xfId="41621"/>
    <cellStyle name="표준 3 3 2 10 3 5" xfId="26657"/>
    <cellStyle name="표준 3 3 2 10 3_Sheet4" xfId="3341"/>
    <cellStyle name="표준 3 3 2 10 4" xfId="3342"/>
    <cellStyle name="표준 3 3 2 10 4 2" xfId="11674"/>
    <cellStyle name="표준 3 3 2 10 4 2 2" xfId="34141"/>
    <cellStyle name="표준 3 3 2 10 4 3" xfId="19158"/>
    <cellStyle name="표준 3 3 2 10 4 3 2" xfId="41623"/>
    <cellStyle name="표준 3 3 2 10 4 4" xfId="26659"/>
    <cellStyle name="표준 3 3 2 10 5" xfId="11667"/>
    <cellStyle name="표준 3 3 2 10 5 2" xfId="34134"/>
    <cellStyle name="표준 3 3 2 10 6" xfId="19151"/>
    <cellStyle name="표준 3 3 2 10 6 2" xfId="41616"/>
    <cellStyle name="표준 3 3 2 10 7" xfId="26652"/>
    <cellStyle name="표준 3 3 2 10_Sheet4" xfId="3343"/>
    <cellStyle name="표준 3 3 2 11" xfId="3344"/>
    <cellStyle name="표준 3 3 2 11 2" xfId="3345"/>
    <cellStyle name="표준 3 3 2 11 2 2" xfId="3346"/>
    <cellStyle name="표준 3 3 2 11 2 2 2" xfId="11677"/>
    <cellStyle name="표준 3 3 2 11 2 2 2 2" xfId="34144"/>
    <cellStyle name="표준 3 3 2 11 2 2 3" xfId="19161"/>
    <cellStyle name="표준 3 3 2 11 2 2 3 2" xfId="41626"/>
    <cellStyle name="표준 3 3 2 11 2 2 4" xfId="26662"/>
    <cellStyle name="표준 3 3 2 11 2 3" xfId="11676"/>
    <cellStyle name="표준 3 3 2 11 2 3 2" xfId="34143"/>
    <cellStyle name="표준 3 3 2 11 2 4" xfId="19160"/>
    <cellStyle name="표준 3 3 2 11 2 4 2" xfId="41625"/>
    <cellStyle name="표준 3 3 2 11 2 5" xfId="26661"/>
    <cellStyle name="표준 3 3 2 11 2_Sheet4" xfId="3347"/>
    <cellStyle name="표준 3 3 2 11 3" xfId="3348"/>
    <cellStyle name="표준 3 3 2 11 3 2" xfId="11678"/>
    <cellStyle name="표준 3 3 2 11 3 2 2" xfId="34145"/>
    <cellStyle name="표준 3 3 2 11 3 3" xfId="19162"/>
    <cellStyle name="표준 3 3 2 11 3 3 2" xfId="41627"/>
    <cellStyle name="표준 3 3 2 11 3 4" xfId="26663"/>
    <cellStyle name="표준 3 3 2 11 4" xfId="11675"/>
    <cellStyle name="표준 3 3 2 11 4 2" xfId="34142"/>
    <cellStyle name="표준 3 3 2 11 5" xfId="19159"/>
    <cellStyle name="표준 3 3 2 11 5 2" xfId="41624"/>
    <cellStyle name="표준 3 3 2 11 6" xfId="26660"/>
    <cellStyle name="표준 3 3 2 11_Sheet4" xfId="3349"/>
    <cellStyle name="표준 3 3 2 12" xfId="3350"/>
    <cellStyle name="표준 3 3 2 12 2" xfId="3351"/>
    <cellStyle name="표준 3 3 2 12 2 2" xfId="3352"/>
    <cellStyle name="표준 3 3 2 12 2 2 2" xfId="11681"/>
    <cellStyle name="표준 3 3 2 12 2 2 2 2" xfId="34148"/>
    <cellStyle name="표준 3 3 2 12 2 2 3" xfId="19165"/>
    <cellStyle name="표준 3 3 2 12 2 2 3 2" xfId="41630"/>
    <cellStyle name="표준 3 3 2 12 2 2 4" xfId="26666"/>
    <cellStyle name="표준 3 3 2 12 2 3" xfId="11680"/>
    <cellStyle name="표준 3 3 2 12 2 3 2" xfId="34147"/>
    <cellStyle name="표준 3 3 2 12 2 4" xfId="19164"/>
    <cellStyle name="표준 3 3 2 12 2 4 2" xfId="41629"/>
    <cellStyle name="표준 3 3 2 12 2 5" xfId="26665"/>
    <cellStyle name="표준 3 3 2 12 2_Sheet4" xfId="3353"/>
    <cellStyle name="표준 3 3 2 12 3" xfId="3354"/>
    <cellStyle name="표준 3 3 2 12 3 2" xfId="11682"/>
    <cellStyle name="표준 3 3 2 12 3 2 2" xfId="34149"/>
    <cellStyle name="표준 3 3 2 12 3 3" xfId="19166"/>
    <cellStyle name="표준 3 3 2 12 3 3 2" xfId="41631"/>
    <cellStyle name="표준 3 3 2 12 3 4" xfId="26667"/>
    <cellStyle name="표준 3 3 2 12 4" xfId="11679"/>
    <cellStyle name="표준 3 3 2 12 4 2" xfId="34146"/>
    <cellStyle name="표준 3 3 2 12 5" xfId="19163"/>
    <cellStyle name="표준 3 3 2 12 5 2" xfId="41628"/>
    <cellStyle name="표준 3 3 2 12 6" xfId="26664"/>
    <cellStyle name="표준 3 3 2 12_Sheet4" xfId="3355"/>
    <cellStyle name="표준 3 3 2 13" xfId="3356"/>
    <cellStyle name="표준 3 3 2 13 2" xfId="3357"/>
    <cellStyle name="표준 3 3 2 13 2 2" xfId="3358"/>
    <cellStyle name="표준 3 3 2 13 2 2 2" xfId="11685"/>
    <cellStyle name="표준 3 3 2 13 2 2 2 2" xfId="34152"/>
    <cellStyle name="표준 3 3 2 13 2 2 3" xfId="19169"/>
    <cellStyle name="표준 3 3 2 13 2 2 3 2" xfId="41634"/>
    <cellStyle name="표준 3 3 2 13 2 2 4" xfId="26670"/>
    <cellStyle name="표준 3 3 2 13 2 3" xfId="11684"/>
    <cellStyle name="표준 3 3 2 13 2 3 2" xfId="34151"/>
    <cellStyle name="표준 3 3 2 13 2 4" xfId="19168"/>
    <cellStyle name="표준 3 3 2 13 2 4 2" xfId="41633"/>
    <cellStyle name="표준 3 3 2 13 2 5" xfId="26669"/>
    <cellStyle name="표준 3 3 2 13 2_Sheet4" xfId="3359"/>
    <cellStyle name="표준 3 3 2 13 3" xfId="3360"/>
    <cellStyle name="표준 3 3 2 13 3 2" xfId="11686"/>
    <cellStyle name="표준 3 3 2 13 3 2 2" xfId="34153"/>
    <cellStyle name="표준 3 3 2 13 3 3" xfId="19170"/>
    <cellStyle name="표준 3 3 2 13 3 3 2" xfId="41635"/>
    <cellStyle name="표준 3 3 2 13 3 4" xfId="26671"/>
    <cellStyle name="표준 3 3 2 13 4" xfId="11683"/>
    <cellStyle name="표준 3 3 2 13 4 2" xfId="34150"/>
    <cellStyle name="표준 3 3 2 13 5" xfId="19167"/>
    <cellStyle name="표준 3 3 2 13 5 2" xfId="41632"/>
    <cellStyle name="표준 3 3 2 13 6" xfId="26668"/>
    <cellStyle name="표준 3 3 2 13_Sheet4" xfId="3361"/>
    <cellStyle name="표준 3 3 2 14" xfId="3362"/>
    <cellStyle name="표준 3 3 2 14 2" xfId="3363"/>
    <cellStyle name="표준 3 3 2 14 2 2" xfId="3364"/>
    <cellStyle name="표준 3 3 2 14 2 2 2" xfId="11689"/>
    <cellStyle name="표준 3 3 2 14 2 2 2 2" xfId="34156"/>
    <cellStyle name="표준 3 3 2 14 2 2 3" xfId="19173"/>
    <cellStyle name="표준 3 3 2 14 2 2 3 2" xfId="41638"/>
    <cellStyle name="표준 3 3 2 14 2 2 4" xfId="26674"/>
    <cellStyle name="표준 3 3 2 14 2 3" xfId="11688"/>
    <cellStyle name="표준 3 3 2 14 2 3 2" xfId="34155"/>
    <cellStyle name="표준 3 3 2 14 2 4" xfId="19172"/>
    <cellStyle name="표준 3 3 2 14 2 4 2" xfId="41637"/>
    <cellStyle name="표준 3 3 2 14 2 5" xfId="26673"/>
    <cellStyle name="표준 3 3 2 14 2_Sheet4" xfId="3365"/>
    <cellStyle name="표준 3 3 2 14 3" xfId="3366"/>
    <cellStyle name="표준 3 3 2 14 3 2" xfId="11690"/>
    <cellStyle name="표준 3 3 2 14 3 2 2" xfId="34157"/>
    <cellStyle name="표준 3 3 2 14 3 3" xfId="19174"/>
    <cellStyle name="표준 3 3 2 14 3 3 2" xfId="41639"/>
    <cellStyle name="표준 3 3 2 14 3 4" xfId="26675"/>
    <cellStyle name="표준 3 3 2 14 4" xfId="11687"/>
    <cellStyle name="표준 3 3 2 14 4 2" xfId="34154"/>
    <cellStyle name="표준 3 3 2 14 5" xfId="19171"/>
    <cellStyle name="표준 3 3 2 14 5 2" xfId="41636"/>
    <cellStyle name="표준 3 3 2 14 6" xfId="26672"/>
    <cellStyle name="표준 3 3 2 14_Sheet4" xfId="3367"/>
    <cellStyle name="표준 3 3 2 15" xfId="3368"/>
    <cellStyle name="표준 3 3 2 15 2" xfId="3369"/>
    <cellStyle name="표준 3 3 2 15 2 2" xfId="11692"/>
    <cellStyle name="표준 3 3 2 15 2 2 2" xfId="34159"/>
    <cellStyle name="표준 3 3 2 15 2 3" xfId="19176"/>
    <cellStyle name="표준 3 3 2 15 2 3 2" xfId="41641"/>
    <cellStyle name="표준 3 3 2 15 2 4" xfId="26677"/>
    <cellStyle name="표준 3 3 2 15 3" xfId="11691"/>
    <cellStyle name="표준 3 3 2 15 3 2" xfId="34158"/>
    <cellStyle name="표준 3 3 2 15 4" xfId="19175"/>
    <cellStyle name="표준 3 3 2 15 4 2" xfId="41640"/>
    <cellStyle name="표준 3 3 2 15 5" xfId="26676"/>
    <cellStyle name="표준 3 3 2 15_Sheet4" xfId="3370"/>
    <cellStyle name="표준 3 3 2 16" xfId="3371"/>
    <cellStyle name="표준 3 3 2 16 2" xfId="11693"/>
    <cellStyle name="표준 3 3 2 16 2 2" xfId="34160"/>
    <cellStyle name="표준 3 3 2 16 3" xfId="19177"/>
    <cellStyle name="표준 3 3 2 16 3 2" xfId="41642"/>
    <cellStyle name="표준 3 3 2 16 4" xfId="26678"/>
    <cellStyle name="표준 3 3 2 17" xfId="3372"/>
    <cellStyle name="표준 3 3 2 17 2" xfId="11694"/>
    <cellStyle name="표준 3 3 2 17 2 2" xfId="34161"/>
    <cellStyle name="표준 3 3 2 17 3" xfId="19178"/>
    <cellStyle name="표준 3 3 2 17 3 2" xfId="41643"/>
    <cellStyle name="표준 3 3 2 17 4" xfId="26679"/>
    <cellStyle name="표준 3 3 2 18" xfId="11666"/>
    <cellStyle name="표준 3 3 2 18 2" xfId="34133"/>
    <cellStyle name="표준 3 3 2 19" xfId="19150"/>
    <cellStyle name="표준 3 3 2 19 2" xfId="41615"/>
    <cellStyle name="표준 3 3 2 2" xfId="3373"/>
    <cellStyle name="표준 3 3 2 2 10" xfId="3374"/>
    <cellStyle name="표준 3 3 2 2 10 2" xfId="3375"/>
    <cellStyle name="표준 3 3 2 2 10 2 2" xfId="3376"/>
    <cellStyle name="표준 3 3 2 2 10 2 2 2" xfId="11698"/>
    <cellStyle name="표준 3 3 2 2 10 2 2 2 2" xfId="34165"/>
    <cellStyle name="표준 3 3 2 2 10 2 2 3" xfId="19182"/>
    <cellStyle name="표준 3 3 2 2 10 2 2 3 2" xfId="41647"/>
    <cellStyle name="표준 3 3 2 2 10 2 2 4" xfId="26683"/>
    <cellStyle name="표준 3 3 2 2 10 2 3" xfId="11697"/>
    <cellStyle name="표준 3 3 2 2 10 2 3 2" xfId="34164"/>
    <cellStyle name="표준 3 3 2 2 10 2 4" xfId="19181"/>
    <cellStyle name="표준 3 3 2 2 10 2 4 2" xfId="41646"/>
    <cellStyle name="표준 3 3 2 2 10 2 5" xfId="26682"/>
    <cellStyle name="표준 3 3 2 2 10 2_Sheet4" xfId="3377"/>
    <cellStyle name="표준 3 3 2 2 10 3" xfId="3378"/>
    <cellStyle name="표준 3 3 2 2 10 3 2" xfId="11699"/>
    <cellStyle name="표준 3 3 2 2 10 3 2 2" xfId="34166"/>
    <cellStyle name="표준 3 3 2 2 10 3 3" xfId="19183"/>
    <cellStyle name="표준 3 3 2 2 10 3 3 2" xfId="41648"/>
    <cellStyle name="표준 3 3 2 2 10 3 4" xfId="26684"/>
    <cellStyle name="표준 3 3 2 2 10 4" xfId="11696"/>
    <cellStyle name="표준 3 3 2 2 10 4 2" xfId="34163"/>
    <cellStyle name="표준 3 3 2 2 10 5" xfId="19180"/>
    <cellStyle name="표준 3 3 2 2 10 5 2" xfId="41645"/>
    <cellStyle name="표준 3 3 2 2 10 6" xfId="26681"/>
    <cellStyle name="표준 3 3 2 2 10_Sheet4" xfId="3379"/>
    <cellStyle name="표준 3 3 2 2 11" xfId="3380"/>
    <cellStyle name="표준 3 3 2 2 11 2" xfId="3381"/>
    <cellStyle name="표준 3 3 2 2 11 2 2" xfId="3382"/>
    <cellStyle name="표준 3 3 2 2 11 2 2 2" xfId="11702"/>
    <cellStyle name="표준 3 3 2 2 11 2 2 2 2" xfId="34169"/>
    <cellStyle name="표준 3 3 2 2 11 2 2 3" xfId="19186"/>
    <cellStyle name="표준 3 3 2 2 11 2 2 3 2" xfId="41651"/>
    <cellStyle name="표준 3 3 2 2 11 2 2 4" xfId="26687"/>
    <cellStyle name="표준 3 3 2 2 11 2 3" xfId="11701"/>
    <cellStyle name="표준 3 3 2 2 11 2 3 2" xfId="34168"/>
    <cellStyle name="표준 3 3 2 2 11 2 4" xfId="19185"/>
    <cellStyle name="표준 3 3 2 2 11 2 4 2" xfId="41650"/>
    <cellStyle name="표준 3 3 2 2 11 2 5" xfId="26686"/>
    <cellStyle name="표준 3 3 2 2 11 2_Sheet4" xfId="3383"/>
    <cellStyle name="표준 3 3 2 2 11 3" xfId="3384"/>
    <cellStyle name="표준 3 3 2 2 11 3 2" xfId="11703"/>
    <cellStyle name="표준 3 3 2 2 11 3 2 2" xfId="34170"/>
    <cellStyle name="표준 3 3 2 2 11 3 3" xfId="19187"/>
    <cellStyle name="표준 3 3 2 2 11 3 3 2" xfId="41652"/>
    <cellStyle name="표준 3 3 2 2 11 3 4" xfId="26688"/>
    <cellStyle name="표준 3 3 2 2 11 4" xfId="11700"/>
    <cellStyle name="표준 3 3 2 2 11 4 2" xfId="34167"/>
    <cellStyle name="표준 3 3 2 2 11 5" xfId="19184"/>
    <cellStyle name="표준 3 3 2 2 11 5 2" xfId="41649"/>
    <cellStyle name="표준 3 3 2 2 11 6" xfId="26685"/>
    <cellStyle name="표준 3 3 2 2 11_Sheet4" xfId="3385"/>
    <cellStyle name="표준 3 3 2 2 12" xfId="3386"/>
    <cellStyle name="표준 3 3 2 2 12 2" xfId="3387"/>
    <cellStyle name="표준 3 3 2 2 12 2 2" xfId="3388"/>
    <cellStyle name="표준 3 3 2 2 12 2 2 2" xfId="11706"/>
    <cellStyle name="표준 3 3 2 2 12 2 2 2 2" xfId="34173"/>
    <cellStyle name="표준 3 3 2 2 12 2 2 3" xfId="19190"/>
    <cellStyle name="표준 3 3 2 2 12 2 2 3 2" xfId="41655"/>
    <cellStyle name="표준 3 3 2 2 12 2 2 4" xfId="26691"/>
    <cellStyle name="표준 3 3 2 2 12 2 3" xfId="11705"/>
    <cellStyle name="표준 3 3 2 2 12 2 3 2" xfId="34172"/>
    <cellStyle name="표준 3 3 2 2 12 2 4" xfId="19189"/>
    <cellStyle name="표준 3 3 2 2 12 2 4 2" xfId="41654"/>
    <cellStyle name="표준 3 3 2 2 12 2 5" xfId="26690"/>
    <cellStyle name="표준 3 3 2 2 12 2_Sheet4" xfId="3389"/>
    <cellStyle name="표준 3 3 2 2 12 3" xfId="3390"/>
    <cellStyle name="표준 3 3 2 2 12 3 2" xfId="11707"/>
    <cellStyle name="표준 3 3 2 2 12 3 2 2" xfId="34174"/>
    <cellStyle name="표준 3 3 2 2 12 3 3" xfId="19191"/>
    <cellStyle name="표준 3 3 2 2 12 3 3 2" xfId="41656"/>
    <cellStyle name="표준 3 3 2 2 12 3 4" xfId="26692"/>
    <cellStyle name="표준 3 3 2 2 12 4" xfId="11704"/>
    <cellStyle name="표준 3 3 2 2 12 4 2" xfId="34171"/>
    <cellStyle name="표준 3 3 2 2 12 5" xfId="19188"/>
    <cellStyle name="표준 3 3 2 2 12 5 2" xfId="41653"/>
    <cellStyle name="표준 3 3 2 2 12 6" xfId="26689"/>
    <cellStyle name="표준 3 3 2 2 12_Sheet4" xfId="3391"/>
    <cellStyle name="표준 3 3 2 2 13" xfId="3392"/>
    <cellStyle name="표준 3 3 2 2 13 2" xfId="3393"/>
    <cellStyle name="표준 3 3 2 2 13 2 2" xfId="11709"/>
    <cellStyle name="표준 3 3 2 2 13 2 2 2" xfId="34176"/>
    <cellStyle name="표준 3 3 2 2 13 2 3" xfId="19193"/>
    <cellStyle name="표준 3 3 2 2 13 2 3 2" xfId="41658"/>
    <cellStyle name="표준 3 3 2 2 13 2 4" xfId="26694"/>
    <cellStyle name="표준 3 3 2 2 13 3" xfId="11708"/>
    <cellStyle name="표준 3 3 2 2 13 3 2" xfId="34175"/>
    <cellStyle name="표준 3 3 2 2 13 4" xfId="19192"/>
    <cellStyle name="표준 3 3 2 2 13 4 2" xfId="41657"/>
    <cellStyle name="표준 3 3 2 2 13 5" xfId="26693"/>
    <cellStyle name="표준 3 3 2 2 13_Sheet4" xfId="3394"/>
    <cellStyle name="표준 3 3 2 2 14" xfId="3395"/>
    <cellStyle name="표준 3 3 2 2 14 2" xfId="11710"/>
    <cellStyle name="표준 3 3 2 2 14 2 2" xfId="34177"/>
    <cellStyle name="표준 3 3 2 2 14 3" xfId="19194"/>
    <cellStyle name="표준 3 3 2 2 14 3 2" xfId="41659"/>
    <cellStyle name="표준 3 3 2 2 14 4" xfId="26695"/>
    <cellStyle name="표준 3 3 2 2 15" xfId="11695"/>
    <cellStyle name="표준 3 3 2 2 15 2" xfId="34162"/>
    <cellStyle name="표준 3 3 2 2 16" xfId="19179"/>
    <cellStyle name="표준 3 3 2 2 16 2" xfId="41644"/>
    <cellStyle name="표준 3 3 2 2 17" xfId="26680"/>
    <cellStyle name="표준 3 3 2 2 2" xfId="3396"/>
    <cellStyle name="표준 3 3 2 2 2 10" xfId="11711"/>
    <cellStyle name="표준 3 3 2 2 2 10 2" xfId="34178"/>
    <cellStyle name="표준 3 3 2 2 2 11" xfId="19195"/>
    <cellStyle name="표준 3 3 2 2 2 11 2" xfId="41660"/>
    <cellStyle name="표준 3 3 2 2 2 12" xfId="26696"/>
    <cellStyle name="표준 3 3 2 2 2 2" xfId="3397"/>
    <cellStyle name="표준 3 3 2 2 2 2 10" xfId="26697"/>
    <cellStyle name="표준 3 3 2 2 2 2 2" xfId="3398"/>
    <cellStyle name="표준 3 3 2 2 2 2 2 2" xfId="3399"/>
    <cellStyle name="표준 3 3 2 2 2 2 2 2 2" xfId="3400"/>
    <cellStyle name="표준 3 3 2 2 2 2 2 2 2 2" xfId="3401"/>
    <cellStyle name="표준 3 3 2 2 2 2 2 2 2 2 2" xfId="3402"/>
    <cellStyle name="표준 3 3 2 2 2 2 2 2 2 2 2 2" xfId="11717"/>
    <cellStyle name="표준 3 3 2 2 2 2 2 2 2 2 2 2 2" xfId="34184"/>
    <cellStyle name="표준 3 3 2 2 2 2 2 2 2 2 2 3" xfId="19201"/>
    <cellStyle name="표준 3 3 2 2 2 2 2 2 2 2 2 3 2" xfId="41666"/>
    <cellStyle name="표준 3 3 2 2 2 2 2 2 2 2 2 4" xfId="26702"/>
    <cellStyle name="표준 3 3 2 2 2 2 2 2 2 2 3" xfId="11716"/>
    <cellStyle name="표준 3 3 2 2 2 2 2 2 2 2 3 2" xfId="34183"/>
    <cellStyle name="표준 3 3 2 2 2 2 2 2 2 2 4" xfId="19200"/>
    <cellStyle name="표준 3 3 2 2 2 2 2 2 2 2 4 2" xfId="41665"/>
    <cellStyle name="표준 3 3 2 2 2 2 2 2 2 2 5" xfId="26701"/>
    <cellStyle name="표준 3 3 2 2 2 2 2 2 2 2_Sheet4" xfId="3403"/>
    <cellStyle name="표준 3 3 2 2 2 2 2 2 2 3" xfId="3404"/>
    <cellStyle name="표준 3 3 2 2 2 2 2 2 2 3 2" xfId="11718"/>
    <cellStyle name="표준 3 3 2 2 2 2 2 2 2 3 2 2" xfId="34185"/>
    <cellStyle name="표준 3 3 2 2 2 2 2 2 2 3 3" xfId="19202"/>
    <cellStyle name="표준 3 3 2 2 2 2 2 2 2 3 3 2" xfId="41667"/>
    <cellStyle name="표준 3 3 2 2 2 2 2 2 2 3 4" xfId="26703"/>
    <cellStyle name="표준 3 3 2 2 2 2 2 2 2 4" xfId="11715"/>
    <cellStyle name="표준 3 3 2 2 2 2 2 2 2 4 2" xfId="34182"/>
    <cellStyle name="표준 3 3 2 2 2 2 2 2 2 5" xfId="19199"/>
    <cellStyle name="표준 3 3 2 2 2 2 2 2 2 5 2" xfId="41664"/>
    <cellStyle name="표준 3 3 2 2 2 2 2 2 2 6" xfId="26700"/>
    <cellStyle name="표준 3 3 2 2 2 2 2 2 2_Sheet4" xfId="3405"/>
    <cellStyle name="표준 3 3 2 2 2 2 2 2 3" xfId="3406"/>
    <cellStyle name="표준 3 3 2 2 2 2 2 2 3 2" xfId="3407"/>
    <cellStyle name="표준 3 3 2 2 2 2 2 2 3 2 2" xfId="11720"/>
    <cellStyle name="표준 3 3 2 2 2 2 2 2 3 2 2 2" xfId="34187"/>
    <cellStyle name="표준 3 3 2 2 2 2 2 2 3 2 3" xfId="19204"/>
    <cellStyle name="표준 3 3 2 2 2 2 2 2 3 2 3 2" xfId="41669"/>
    <cellStyle name="표준 3 3 2 2 2 2 2 2 3 2 4" xfId="26705"/>
    <cellStyle name="표준 3 3 2 2 2 2 2 2 3 3" xfId="11719"/>
    <cellStyle name="표준 3 3 2 2 2 2 2 2 3 3 2" xfId="34186"/>
    <cellStyle name="표준 3 3 2 2 2 2 2 2 3 4" xfId="19203"/>
    <cellStyle name="표준 3 3 2 2 2 2 2 2 3 4 2" xfId="41668"/>
    <cellStyle name="표준 3 3 2 2 2 2 2 2 3 5" xfId="26704"/>
    <cellStyle name="표준 3 3 2 2 2 2 2 2 3_Sheet4" xfId="3408"/>
    <cellStyle name="표준 3 3 2 2 2 2 2 2 4" xfId="3409"/>
    <cellStyle name="표준 3 3 2 2 2 2 2 2 4 2" xfId="11721"/>
    <cellStyle name="표준 3 3 2 2 2 2 2 2 4 2 2" xfId="34188"/>
    <cellStyle name="표준 3 3 2 2 2 2 2 2 4 3" xfId="19205"/>
    <cellStyle name="표준 3 3 2 2 2 2 2 2 4 3 2" xfId="41670"/>
    <cellStyle name="표준 3 3 2 2 2 2 2 2 4 4" xfId="26706"/>
    <cellStyle name="표준 3 3 2 2 2 2 2 2 5" xfId="11714"/>
    <cellStyle name="표준 3 3 2 2 2 2 2 2 5 2" xfId="34181"/>
    <cellStyle name="표준 3 3 2 2 2 2 2 2 6" xfId="19198"/>
    <cellStyle name="표준 3 3 2 2 2 2 2 2 6 2" xfId="41663"/>
    <cellStyle name="표준 3 3 2 2 2 2 2 2 7" xfId="26699"/>
    <cellStyle name="표준 3 3 2 2 2 2 2 2_Sheet4" xfId="3410"/>
    <cellStyle name="표준 3 3 2 2 2 2 2 3" xfId="3411"/>
    <cellStyle name="표준 3 3 2 2 2 2 2 3 2" xfId="3412"/>
    <cellStyle name="표준 3 3 2 2 2 2 2 3 2 2" xfId="3413"/>
    <cellStyle name="표준 3 3 2 2 2 2 2 3 2 2 2" xfId="11724"/>
    <cellStyle name="표준 3 3 2 2 2 2 2 3 2 2 2 2" xfId="34191"/>
    <cellStyle name="표준 3 3 2 2 2 2 2 3 2 2 3" xfId="19208"/>
    <cellStyle name="표준 3 3 2 2 2 2 2 3 2 2 3 2" xfId="41673"/>
    <cellStyle name="표준 3 3 2 2 2 2 2 3 2 2 4" xfId="26709"/>
    <cellStyle name="표준 3 3 2 2 2 2 2 3 2 3" xfId="11723"/>
    <cellStyle name="표준 3 3 2 2 2 2 2 3 2 3 2" xfId="34190"/>
    <cellStyle name="표준 3 3 2 2 2 2 2 3 2 4" xfId="19207"/>
    <cellStyle name="표준 3 3 2 2 2 2 2 3 2 4 2" xfId="41672"/>
    <cellStyle name="표준 3 3 2 2 2 2 2 3 2 5" xfId="26708"/>
    <cellStyle name="표준 3 3 2 2 2 2 2 3 2_Sheet4" xfId="3414"/>
    <cellStyle name="표준 3 3 2 2 2 2 2 3 3" xfId="3415"/>
    <cellStyle name="표준 3 3 2 2 2 2 2 3 3 2" xfId="11725"/>
    <cellStyle name="표준 3 3 2 2 2 2 2 3 3 2 2" xfId="34192"/>
    <cellStyle name="표준 3 3 2 2 2 2 2 3 3 3" xfId="19209"/>
    <cellStyle name="표준 3 3 2 2 2 2 2 3 3 3 2" xfId="41674"/>
    <cellStyle name="표준 3 3 2 2 2 2 2 3 3 4" xfId="26710"/>
    <cellStyle name="표준 3 3 2 2 2 2 2 3 4" xfId="11722"/>
    <cellStyle name="표준 3 3 2 2 2 2 2 3 4 2" xfId="34189"/>
    <cellStyle name="표준 3 3 2 2 2 2 2 3 5" xfId="19206"/>
    <cellStyle name="표준 3 3 2 2 2 2 2 3 5 2" xfId="41671"/>
    <cellStyle name="표준 3 3 2 2 2 2 2 3 6" xfId="26707"/>
    <cellStyle name="표준 3 3 2 2 2 2 2 3_Sheet4" xfId="3416"/>
    <cellStyle name="표준 3 3 2 2 2 2 2 4" xfId="3417"/>
    <cellStyle name="표준 3 3 2 2 2 2 2 4 2" xfId="3418"/>
    <cellStyle name="표준 3 3 2 2 2 2 2 4 2 2" xfId="11727"/>
    <cellStyle name="표준 3 3 2 2 2 2 2 4 2 2 2" xfId="34194"/>
    <cellStyle name="표준 3 3 2 2 2 2 2 4 2 3" xfId="19211"/>
    <cellStyle name="표준 3 3 2 2 2 2 2 4 2 3 2" xfId="41676"/>
    <cellStyle name="표준 3 3 2 2 2 2 2 4 2 4" xfId="26712"/>
    <cellStyle name="표준 3 3 2 2 2 2 2 4 3" xfId="11726"/>
    <cellStyle name="표준 3 3 2 2 2 2 2 4 3 2" xfId="34193"/>
    <cellStyle name="표준 3 3 2 2 2 2 2 4 4" xfId="19210"/>
    <cellStyle name="표준 3 3 2 2 2 2 2 4 4 2" xfId="41675"/>
    <cellStyle name="표준 3 3 2 2 2 2 2 4 5" xfId="26711"/>
    <cellStyle name="표준 3 3 2 2 2 2 2 4_Sheet4" xfId="3419"/>
    <cellStyle name="표준 3 3 2 2 2 2 2 5" xfId="3420"/>
    <cellStyle name="표준 3 3 2 2 2 2 2 5 2" xfId="11728"/>
    <cellStyle name="표준 3 3 2 2 2 2 2 5 2 2" xfId="34195"/>
    <cellStyle name="표준 3 3 2 2 2 2 2 5 3" xfId="19212"/>
    <cellStyle name="표준 3 3 2 2 2 2 2 5 3 2" xfId="41677"/>
    <cellStyle name="표준 3 3 2 2 2 2 2 5 4" xfId="26713"/>
    <cellStyle name="표준 3 3 2 2 2 2 2 6" xfId="11713"/>
    <cellStyle name="표준 3 3 2 2 2 2 2 6 2" xfId="34180"/>
    <cellStyle name="표준 3 3 2 2 2 2 2 7" xfId="19197"/>
    <cellStyle name="표준 3 3 2 2 2 2 2 7 2" xfId="41662"/>
    <cellStyle name="표준 3 3 2 2 2 2 2 8" xfId="26698"/>
    <cellStyle name="표준 3 3 2 2 2 2 2_Sheet4" xfId="3421"/>
    <cellStyle name="표준 3 3 2 2 2 2 3" xfId="3422"/>
    <cellStyle name="표준 3 3 2 2 2 2 3 2" xfId="3423"/>
    <cellStyle name="표준 3 3 2 2 2 2 3 2 2" xfId="3424"/>
    <cellStyle name="표준 3 3 2 2 2 2 3 2 2 2" xfId="3425"/>
    <cellStyle name="표준 3 3 2 2 2 2 3 2 2 2 2" xfId="3426"/>
    <cellStyle name="표준 3 3 2 2 2 2 3 2 2 2 2 2" xfId="11733"/>
    <cellStyle name="표준 3 3 2 2 2 2 3 2 2 2 2 2 2" xfId="34200"/>
    <cellStyle name="표준 3 3 2 2 2 2 3 2 2 2 2 3" xfId="19217"/>
    <cellStyle name="표준 3 3 2 2 2 2 3 2 2 2 2 3 2" xfId="41682"/>
    <cellStyle name="표준 3 3 2 2 2 2 3 2 2 2 2 4" xfId="26718"/>
    <cellStyle name="표준 3 3 2 2 2 2 3 2 2 2 3" xfId="11732"/>
    <cellStyle name="표준 3 3 2 2 2 2 3 2 2 2 3 2" xfId="34199"/>
    <cellStyle name="표준 3 3 2 2 2 2 3 2 2 2 4" xfId="19216"/>
    <cellStyle name="표준 3 3 2 2 2 2 3 2 2 2 4 2" xfId="41681"/>
    <cellStyle name="표준 3 3 2 2 2 2 3 2 2 2 5" xfId="26717"/>
    <cellStyle name="표준 3 3 2 2 2 2 3 2 2 2_Sheet4" xfId="3427"/>
    <cellStyle name="표준 3 3 2 2 2 2 3 2 2 3" xfId="3428"/>
    <cellStyle name="표준 3 3 2 2 2 2 3 2 2 3 2" xfId="11734"/>
    <cellStyle name="표준 3 3 2 2 2 2 3 2 2 3 2 2" xfId="34201"/>
    <cellStyle name="표준 3 3 2 2 2 2 3 2 2 3 3" xfId="19218"/>
    <cellStyle name="표준 3 3 2 2 2 2 3 2 2 3 3 2" xfId="41683"/>
    <cellStyle name="표준 3 3 2 2 2 2 3 2 2 3 4" xfId="26719"/>
    <cellStyle name="표준 3 3 2 2 2 2 3 2 2 4" xfId="11731"/>
    <cellStyle name="표준 3 3 2 2 2 2 3 2 2 4 2" xfId="34198"/>
    <cellStyle name="표준 3 3 2 2 2 2 3 2 2 5" xfId="19215"/>
    <cellStyle name="표준 3 3 2 2 2 2 3 2 2 5 2" xfId="41680"/>
    <cellStyle name="표준 3 3 2 2 2 2 3 2 2 6" xfId="26716"/>
    <cellStyle name="표준 3 3 2 2 2 2 3 2 2_Sheet4" xfId="3429"/>
    <cellStyle name="표준 3 3 2 2 2 2 3 2 3" xfId="3430"/>
    <cellStyle name="표준 3 3 2 2 2 2 3 2 3 2" xfId="3431"/>
    <cellStyle name="표준 3 3 2 2 2 2 3 2 3 2 2" xfId="11736"/>
    <cellStyle name="표준 3 3 2 2 2 2 3 2 3 2 2 2" xfId="34203"/>
    <cellStyle name="표준 3 3 2 2 2 2 3 2 3 2 3" xfId="19220"/>
    <cellStyle name="표준 3 3 2 2 2 2 3 2 3 2 3 2" xfId="41685"/>
    <cellStyle name="표준 3 3 2 2 2 2 3 2 3 2 4" xfId="26721"/>
    <cellStyle name="표준 3 3 2 2 2 2 3 2 3 3" xfId="11735"/>
    <cellStyle name="표준 3 3 2 2 2 2 3 2 3 3 2" xfId="34202"/>
    <cellStyle name="표준 3 3 2 2 2 2 3 2 3 4" xfId="19219"/>
    <cellStyle name="표준 3 3 2 2 2 2 3 2 3 4 2" xfId="41684"/>
    <cellStyle name="표준 3 3 2 2 2 2 3 2 3 5" xfId="26720"/>
    <cellStyle name="표준 3 3 2 2 2 2 3 2 3_Sheet4" xfId="3432"/>
    <cellStyle name="표준 3 3 2 2 2 2 3 2 4" xfId="3433"/>
    <cellStyle name="표준 3 3 2 2 2 2 3 2 4 2" xfId="11737"/>
    <cellStyle name="표준 3 3 2 2 2 2 3 2 4 2 2" xfId="34204"/>
    <cellStyle name="표준 3 3 2 2 2 2 3 2 4 3" xfId="19221"/>
    <cellStyle name="표준 3 3 2 2 2 2 3 2 4 3 2" xfId="41686"/>
    <cellStyle name="표준 3 3 2 2 2 2 3 2 4 4" xfId="26722"/>
    <cellStyle name="표준 3 3 2 2 2 2 3 2 5" xfId="11730"/>
    <cellStyle name="표준 3 3 2 2 2 2 3 2 5 2" xfId="34197"/>
    <cellStyle name="표준 3 3 2 2 2 2 3 2 6" xfId="19214"/>
    <cellStyle name="표준 3 3 2 2 2 2 3 2 6 2" xfId="41679"/>
    <cellStyle name="표준 3 3 2 2 2 2 3 2 7" xfId="26715"/>
    <cellStyle name="표준 3 3 2 2 2 2 3 2_Sheet4" xfId="3434"/>
    <cellStyle name="표준 3 3 2 2 2 2 3 3" xfId="3435"/>
    <cellStyle name="표준 3 3 2 2 2 2 3 3 2" xfId="3436"/>
    <cellStyle name="표준 3 3 2 2 2 2 3 3 2 2" xfId="3437"/>
    <cellStyle name="표준 3 3 2 2 2 2 3 3 2 2 2" xfId="11740"/>
    <cellStyle name="표준 3 3 2 2 2 2 3 3 2 2 2 2" xfId="34207"/>
    <cellStyle name="표준 3 3 2 2 2 2 3 3 2 2 3" xfId="19224"/>
    <cellStyle name="표준 3 3 2 2 2 2 3 3 2 2 3 2" xfId="41689"/>
    <cellStyle name="표준 3 3 2 2 2 2 3 3 2 2 4" xfId="26725"/>
    <cellStyle name="표준 3 3 2 2 2 2 3 3 2 3" xfId="11739"/>
    <cellStyle name="표준 3 3 2 2 2 2 3 3 2 3 2" xfId="34206"/>
    <cellStyle name="표준 3 3 2 2 2 2 3 3 2 4" xfId="19223"/>
    <cellStyle name="표준 3 3 2 2 2 2 3 3 2 4 2" xfId="41688"/>
    <cellStyle name="표준 3 3 2 2 2 2 3 3 2 5" xfId="26724"/>
    <cellStyle name="표준 3 3 2 2 2 2 3 3 2_Sheet4" xfId="3438"/>
    <cellStyle name="표준 3 3 2 2 2 2 3 3 3" xfId="3439"/>
    <cellStyle name="표준 3 3 2 2 2 2 3 3 3 2" xfId="11741"/>
    <cellStyle name="표준 3 3 2 2 2 2 3 3 3 2 2" xfId="34208"/>
    <cellStyle name="표준 3 3 2 2 2 2 3 3 3 3" xfId="19225"/>
    <cellStyle name="표준 3 3 2 2 2 2 3 3 3 3 2" xfId="41690"/>
    <cellStyle name="표준 3 3 2 2 2 2 3 3 3 4" xfId="26726"/>
    <cellStyle name="표준 3 3 2 2 2 2 3 3 4" xfId="11738"/>
    <cellStyle name="표준 3 3 2 2 2 2 3 3 4 2" xfId="34205"/>
    <cellStyle name="표준 3 3 2 2 2 2 3 3 5" xfId="19222"/>
    <cellStyle name="표준 3 3 2 2 2 2 3 3 5 2" xfId="41687"/>
    <cellStyle name="표준 3 3 2 2 2 2 3 3 6" xfId="26723"/>
    <cellStyle name="표준 3 3 2 2 2 2 3 3_Sheet4" xfId="3440"/>
    <cellStyle name="표준 3 3 2 2 2 2 3 4" xfId="3441"/>
    <cellStyle name="표준 3 3 2 2 2 2 3 4 2" xfId="3442"/>
    <cellStyle name="표준 3 3 2 2 2 2 3 4 2 2" xfId="11743"/>
    <cellStyle name="표준 3 3 2 2 2 2 3 4 2 2 2" xfId="34210"/>
    <cellStyle name="표준 3 3 2 2 2 2 3 4 2 3" xfId="19227"/>
    <cellStyle name="표준 3 3 2 2 2 2 3 4 2 3 2" xfId="41692"/>
    <cellStyle name="표준 3 3 2 2 2 2 3 4 2 4" xfId="26728"/>
    <cellStyle name="표준 3 3 2 2 2 2 3 4 3" xfId="11742"/>
    <cellStyle name="표준 3 3 2 2 2 2 3 4 3 2" xfId="34209"/>
    <cellStyle name="표준 3 3 2 2 2 2 3 4 4" xfId="19226"/>
    <cellStyle name="표준 3 3 2 2 2 2 3 4 4 2" xfId="41691"/>
    <cellStyle name="표준 3 3 2 2 2 2 3 4 5" xfId="26727"/>
    <cellStyle name="표준 3 3 2 2 2 2 3 4_Sheet4" xfId="3443"/>
    <cellStyle name="표준 3 3 2 2 2 2 3 5" xfId="3444"/>
    <cellStyle name="표준 3 3 2 2 2 2 3 5 2" xfId="11744"/>
    <cellStyle name="표준 3 3 2 2 2 2 3 5 2 2" xfId="34211"/>
    <cellStyle name="표준 3 3 2 2 2 2 3 5 3" xfId="19228"/>
    <cellStyle name="표준 3 3 2 2 2 2 3 5 3 2" xfId="41693"/>
    <cellStyle name="표준 3 3 2 2 2 2 3 5 4" xfId="26729"/>
    <cellStyle name="표준 3 3 2 2 2 2 3 6" xfId="11729"/>
    <cellStyle name="표준 3 3 2 2 2 2 3 6 2" xfId="34196"/>
    <cellStyle name="표준 3 3 2 2 2 2 3 7" xfId="19213"/>
    <cellStyle name="표준 3 3 2 2 2 2 3 7 2" xfId="41678"/>
    <cellStyle name="표준 3 3 2 2 2 2 3 8" xfId="26714"/>
    <cellStyle name="표준 3 3 2 2 2 2 3_Sheet4" xfId="3445"/>
    <cellStyle name="표준 3 3 2 2 2 2 4" xfId="3446"/>
    <cellStyle name="표준 3 3 2 2 2 2 4 2" xfId="3447"/>
    <cellStyle name="표준 3 3 2 2 2 2 4 2 2" xfId="3448"/>
    <cellStyle name="표준 3 3 2 2 2 2 4 2 2 2" xfId="3449"/>
    <cellStyle name="표준 3 3 2 2 2 2 4 2 2 2 2" xfId="11748"/>
    <cellStyle name="표준 3 3 2 2 2 2 4 2 2 2 2 2" xfId="34215"/>
    <cellStyle name="표준 3 3 2 2 2 2 4 2 2 2 3" xfId="19232"/>
    <cellStyle name="표준 3 3 2 2 2 2 4 2 2 2 3 2" xfId="41697"/>
    <cellStyle name="표준 3 3 2 2 2 2 4 2 2 2 4" xfId="26733"/>
    <cellStyle name="표준 3 3 2 2 2 2 4 2 2 3" xfId="11747"/>
    <cellStyle name="표준 3 3 2 2 2 2 4 2 2 3 2" xfId="34214"/>
    <cellStyle name="표준 3 3 2 2 2 2 4 2 2 4" xfId="19231"/>
    <cellStyle name="표준 3 3 2 2 2 2 4 2 2 4 2" xfId="41696"/>
    <cellStyle name="표준 3 3 2 2 2 2 4 2 2 5" xfId="26732"/>
    <cellStyle name="표준 3 3 2 2 2 2 4 2 2_Sheet4" xfId="3450"/>
    <cellStyle name="표준 3 3 2 2 2 2 4 2 3" xfId="3451"/>
    <cellStyle name="표준 3 3 2 2 2 2 4 2 3 2" xfId="11749"/>
    <cellStyle name="표준 3 3 2 2 2 2 4 2 3 2 2" xfId="34216"/>
    <cellStyle name="표준 3 3 2 2 2 2 4 2 3 3" xfId="19233"/>
    <cellStyle name="표준 3 3 2 2 2 2 4 2 3 3 2" xfId="41698"/>
    <cellStyle name="표준 3 3 2 2 2 2 4 2 3 4" xfId="26734"/>
    <cellStyle name="표준 3 3 2 2 2 2 4 2 4" xfId="11746"/>
    <cellStyle name="표준 3 3 2 2 2 2 4 2 4 2" xfId="34213"/>
    <cellStyle name="표준 3 3 2 2 2 2 4 2 5" xfId="19230"/>
    <cellStyle name="표준 3 3 2 2 2 2 4 2 5 2" xfId="41695"/>
    <cellStyle name="표준 3 3 2 2 2 2 4 2 6" xfId="26731"/>
    <cellStyle name="표준 3 3 2 2 2 2 4 2_Sheet4" xfId="3452"/>
    <cellStyle name="표준 3 3 2 2 2 2 4 3" xfId="3453"/>
    <cellStyle name="표준 3 3 2 2 2 2 4 3 2" xfId="3454"/>
    <cellStyle name="표준 3 3 2 2 2 2 4 3 2 2" xfId="11751"/>
    <cellStyle name="표준 3 3 2 2 2 2 4 3 2 2 2" xfId="34218"/>
    <cellStyle name="표준 3 3 2 2 2 2 4 3 2 3" xfId="19235"/>
    <cellStyle name="표준 3 3 2 2 2 2 4 3 2 3 2" xfId="41700"/>
    <cellStyle name="표준 3 3 2 2 2 2 4 3 2 4" xfId="26736"/>
    <cellStyle name="표준 3 3 2 2 2 2 4 3 3" xfId="11750"/>
    <cellStyle name="표준 3 3 2 2 2 2 4 3 3 2" xfId="34217"/>
    <cellStyle name="표준 3 3 2 2 2 2 4 3 4" xfId="19234"/>
    <cellStyle name="표준 3 3 2 2 2 2 4 3 4 2" xfId="41699"/>
    <cellStyle name="표준 3 3 2 2 2 2 4 3 5" xfId="26735"/>
    <cellStyle name="표준 3 3 2 2 2 2 4 3_Sheet4" xfId="3455"/>
    <cellStyle name="표준 3 3 2 2 2 2 4 4" xfId="3456"/>
    <cellStyle name="표준 3 3 2 2 2 2 4 4 2" xfId="11752"/>
    <cellStyle name="표준 3 3 2 2 2 2 4 4 2 2" xfId="34219"/>
    <cellStyle name="표준 3 3 2 2 2 2 4 4 3" xfId="19236"/>
    <cellStyle name="표준 3 3 2 2 2 2 4 4 3 2" xfId="41701"/>
    <cellStyle name="표준 3 3 2 2 2 2 4 4 4" xfId="26737"/>
    <cellStyle name="표준 3 3 2 2 2 2 4 5" xfId="11745"/>
    <cellStyle name="표준 3 3 2 2 2 2 4 5 2" xfId="34212"/>
    <cellStyle name="표준 3 3 2 2 2 2 4 6" xfId="19229"/>
    <cellStyle name="표준 3 3 2 2 2 2 4 6 2" xfId="41694"/>
    <cellStyle name="표준 3 3 2 2 2 2 4 7" xfId="26730"/>
    <cellStyle name="표준 3 3 2 2 2 2 4_Sheet4" xfId="3457"/>
    <cellStyle name="표준 3 3 2 2 2 2 5" xfId="3458"/>
    <cellStyle name="표준 3 3 2 2 2 2 5 2" xfId="3459"/>
    <cellStyle name="표준 3 3 2 2 2 2 5 2 2" xfId="3460"/>
    <cellStyle name="표준 3 3 2 2 2 2 5 2 2 2" xfId="11755"/>
    <cellStyle name="표준 3 3 2 2 2 2 5 2 2 2 2" xfId="34222"/>
    <cellStyle name="표준 3 3 2 2 2 2 5 2 2 3" xfId="19239"/>
    <cellStyle name="표준 3 3 2 2 2 2 5 2 2 3 2" xfId="41704"/>
    <cellStyle name="표준 3 3 2 2 2 2 5 2 2 4" xfId="26740"/>
    <cellStyle name="표준 3 3 2 2 2 2 5 2 3" xfId="11754"/>
    <cellStyle name="표준 3 3 2 2 2 2 5 2 3 2" xfId="34221"/>
    <cellStyle name="표준 3 3 2 2 2 2 5 2 4" xfId="19238"/>
    <cellStyle name="표준 3 3 2 2 2 2 5 2 4 2" xfId="41703"/>
    <cellStyle name="표준 3 3 2 2 2 2 5 2 5" xfId="26739"/>
    <cellStyle name="표준 3 3 2 2 2 2 5 2_Sheet4" xfId="3461"/>
    <cellStyle name="표준 3 3 2 2 2 2 5 3" xfId="3462"/>
    <cellStyle name="표준 3 3 2 2 2 2 5 3 2" xfId="11756"/>
    <cellStyle name="표준 3 3 2 2 2 2 5 3 2 2" xfId="34223"/>
    <cellStyle name="표준 3 3 2 2 2 2 5 3 3" xfId="19240"/>
    <cellStyle name="표준 3 3 2 2 2 2 5 3 3 2" xfId="41705"/>
    <cellStyle name="표준 3 3 2 2 2 2 5 3 4" xfId="26741"/>
    <cellStyle name="표준 3 3 2 2 2 2 5 4" xfId="11753"/>
    <cellStyle name="표준 3 3 2 2 2 2 5 4 2" xfId="34220"/>
    <cellStyle name="표준 3 3 2 2 2 2 5 5" xfId="19237"/>
    <cellStyle name="표준 3 3 2 2 2 2 5 5 2" xfId="41702"/>
    <cellStyle name="표준 3 3 2 2 2 2 5 6" xfId="26738"/>
    <cellStyle name="표준 3 3 2 2 2 2 5_Sheet4" xfId="3463"/>
    <cellStyle name="표준 3 3 2 2 2 2 6" xfId="3464"/>
    <cellStyle name="표준 3 3 2 2 2 2 6 2" xfId="3465"/>
    <cellStyle name="표준 3 3 2 2 2 2 6 2 2" xfId="11758"/>
    <cellStyle name="표준 3 3 2 2 2 2 6 2 2 2" xfId="34225"/>
    <cellStyle name="표준 3 3 2 2 2 2 6 2 3" xfId="19242"/>
    <cellStyle name="표준 3 3 2 2 2 2 6 2 3 2" xfId="41707"/>
    <cellStyle name="표준 3 3 2 2 2 2 6 2 4" xfId="26743"/>
    <cellStyle name="표준 3 3 2 2 2 2 6 3" xfId="11757"/>
    <cellStyle name="표준 3 3 2 2 2 2 6 3 2" xfId="34224"/>
    <cellStyle name="표준 3 3 2 2 2 2 6 4" xfId="19241"/>
    <cellStyle name="표준 3 3 2 2 2 2 6 4 2" xfId="41706"/>
    <cellStyle name="표준 3 3 2 2 2 2 6 5" xfId="26742"/>
    <cellStyle name="표준 3 3 2 2 2 2 6_Sheet4" xfId="3466"/>
    <cellStyle name="표준 3 3 2 2 2 2 7" xfId="3467"/>
    <cellStyle name="표준 3 3 2 2 2 2 7 2" xfId="11759"/>
    <cellStyle name="표준 3 3 2 2 2 2 7 2 2" xfId="34226"/>
    <cellStyle name="표준 3 3 2 2 2 2 7 3" xfId="19243"/>
    <cellStyle name="표준 3 3 2 2 2 2 7 3 2" xfId="41708"/>
    <cellStyle name="표준 3 3 2 2 2 2 7 4" xfId="26744"/>
    <cellStyle name="표준 3 3 2 2 2 2 8" xfId="11712"/>
    <cellStyle name="표준 3 3 2 2 2 2 8 2" xfId="34179"/>
    <cellStyle name="표준 3 3 2 2 2 2 9" xfId="19196"/>
    <cellStyle name="표준 3 3 2 2 2 2 9 2" xfId="41661"/>
    <cellStyle name="표준 3 3 2 2 2 2_Sheet4" xfId="3468"/>
    <cellStyle name="표준 3 3 2 2 2 3" xfId="3469"/>
    <cellStyle name="표준 3 3 2 2 2 3 2" xfId="3470"/>
    <cellStyle name="표준 3 3 2 2 2 3 2 2" xfId="3471"/>
    <cellStyle name="표준 3 3 2 2 2 3 2 2 2" xfId="3472"/>
    <cellStyle name="표준 3 3 2 2 2 3 2 2 2 2" xfId="3473"/>
    <cellStyle name="표준 3 3 2 2 2 3 2 2 2 2 2" xfId="11764"/>
    <cellStyle name="표준 3 3 2 2 2 3 2 2 2 2 2 2" xfId="34231"/>
    <cellStyle name="표준 3 3 2 2 2 3 2 2 2 2 3" xfId="19248"/>
    <cellStyle name="표준 3 3 2 2 2 3 2 2 2 2 3 2" xfId="41713"/>
    <cellStyle name="표준 3 3 2 2 2 3 2 2 2 2 4" xfId="26749"/>
    <cellStyle name="표준 3 3 2 2 2 3 2 2 2 3" xfId="11763"/>
    <cellStyle name="표준 3 3 2 2 2 3 2 2 2 3 2" xfId="34230"/>
    <cellStyle name="표준 3 3 2 2 2 3 2 2 2 4" xfId="19247"/>
    <cellStyle name="표준 3 3 2 2 2 3 2 2 2 4 2" xfId="41712"/>
    <cellStyle name="표준 3 3 2 2 2 3 2 2 2 5" xfId="26748"/>
    <cellStyle name="표준 3 3 2 2 2 3 2 2 2_Sheet4" xfId="3474"/>
    <cellStyle name="표준 3 3 2 2 2 3 2 2 3" xfId="3475"/>
    <cellStyle name="표준 3 3 2 2 2 3 2 2 3 2" xfId="11765"/>
    <cellStyle name="표준 3 3 2 2 2 3 2 2 3 2 2" xfId="34232"/>
    <cellStyle name="표준 3 3 2 2 2 3 2 2 3 3" xfId="19249"/>
    <cellStyle name="표준 3 3 2 2 2 3 2 2 3 3 2" xfId="41714"/>
    <cellStyle name="표준 3 3 2 2 2 3 2 2 3 4" xfId="26750"/>
    <cellStyle name="표준 3 3 2 2 2 3 2 2 4" xfId="11762"/>
    <cellStyle name="표준 3 3 2 2 2 3 2 2 4 2" xfId="34229"/>
    <cellStyle name="표준 3 3 2 2 2 3 2 2 5" xfId="19246"/>
    <cellStyle name="표준 3 3 2 2 2 3 2 2 5 2" xfId="41711"/>
    <cellStyle name="표준 3 3 2 2 2 3 2 2 6" xfId="26747"/>
    <cellStyle name="표준 3 3 2 2 2 3 2 2_Sheet4" xfId="3476"/>
    <cellStyle name="표준 3 3 2 2 2 3 2 3" xfId="3477"/>
    <cellStyle name="표준 3 3 2 2 2 3 2 3 2" xfId="3478"/>
    <cellStyle name="표준 3 3 2 2 2 3 2 3 2 2" xfId="11767"/>
    <cellStyle name="표준 3 3 2 2 2 3 2 3 2 2 2" xfId="34234"/>
    <cellStyle name="표준 3 3 2 2 2 3 2 3 2 3" xfId="19251"/>
    <cellStyle name="표준 3 3 2 2 2 3 2 3 2 3 2" xfId="41716"/>
    <cellStyle name="표준 3 3 2 2 2 3 2 3 2 4" xfId="26752"/>
    <cellStyle name="표준 3 3 2 2 2 3 2 3 3" xfId="11766"/>
    <cellStyle name="표준 3 3 2 2 2 3 2 3 3 2" xfId="34233"/>
    <cellStyle name="표준 3 3 2 2 2 3 2 3 4" xfId="19250"/>
    <cellStyle name="표준 3 3 2 2 2 3 2 3 4 2" xfId="41715"/>
    <cellStyle name="표준 3 3 2 2 2 3 2 3 5" xfId="26751"/>
    <cellStyle name="표준 3 3 2 2 2 3 2 3_Sheet4" xfId="3479"/>
    <cellStyle name="표준 3 3 2 2 2 3 2 4" xfId="3480"/>
    <cellStyle name="표준 3 3 2 2 2 3 2 4 2" xfId="11768"/>
    <cellStyle name="표준 3 3 2 2 2 3 2 4 2 2" xfId="34235"/>
    <cellStyle name="표준 3 3 2 2 2 3 2 4 3" xfId="19252"/>
    <cellStyle name="표준 3 3 2 2 2 3 2 4 3 2" xfId="41717"/>
    <cellStyle name="표준 3 3 2 2 2 3 2 4 4" xfId="26753"/>
    <cellStyle name="표준 3 3 2 2 2 3 2 5" xfId="11761"/>
    <cellStyle name="표준 3 3 2 2 2 3 2 5 2" xfId="34228"/>
    <cellStyle name="표준 3 3 2 2 2 3 2 6" xfId="19245"/>
    <cellStyle name="표준 3 3 2 2 2 3 2 6 2" xfId="41710"/>
    <cellStyle name="표준 3 3 2 2 2 3 2 7" xfId="26746"/>
    <cellStyle name="표준 3 3 2 2 2 3 2_Sheet4" xfId="3481"/>
    <cellStyle name="표준 3 3 2 2 2 3 3" xfId="3482"/>
    <cellStyle name="표준 3 3 2 2 2 3 3 2" xfId="3483"/>
    <cellStyle name="표준 3 3 2 2 2 3 3 2 2" xfId="3484"/>
    <cellStyle name="표준 3 3 2 2 2 3 3 2 2 2" xfId="11771"/>
    <cellStyle name="표준 3 3 2 2 2 3 3 2 2 2 2" xfId="34238"/>
    <cellStyle name="표준 3 3 2 2 2 3 3 2 2 3" xfId="19255"/>
    <cellStyle name="표준 3 3 2 2 2 3 3 2 2 3 2" xfId="41720"/>
    <cellStyle name="표준 3 3 2 2 2 3 3 2 2 4" xfId="26756"/>
    <cellStyle name="표준 3 3 2 2 2 3 3 2 3" xfId="11770"/>
    <cellStyle name="표준 3 3 2 2 2 3 3 2 3 2" xfId="34237"/>
    <cellStyle name="표준 3 3 2 2 2 3 3 2 4" xfId="19254"/>
    <cellStyle name="표준 3 3 2 2 2 3 3 2 4 2" xfId="41719"/>
    <cellStyle name="표준 3 3 2 2 2 3 3 2 5" xfId="26755"/>
    <cellStyle name="표준 3 3 2 2 2 3 3 2_Sheet4" xfId="3485"/>
    <cellStyle name="표준 3 3 2 2 2 3 3 3" xfId="3486"/>
    <cellStyle name="표준 3 3 2 2 2 3 3 3 2" xfId="11772"/>
    <cellStyle name="표준 3 3 2 2 2 3 3 3 2 2" xfId="34239"/>
    <cellStyle name="표준 3 3 2 2 2 3 3 3 3" xfId="19256"/>
    <cellStyle name="표준 3 3 2 2 2 3 3 3 3 2" xfId="41721"/>
    <cellStyle name="표준 3 3 2 2 2 3 3 3 4" xfId="26757"/>
    <cellStyle name="표준 3 3 2 2 2 3 3 4" xfId="11769"/>
    <cellStyle name="표준 3 3 2 2 2 3 3 4 2" xfId="34236"/>
    <cellStyle name="표준 3 3 2 2 2 3 3 5" xfId="19253"/>
    <cellStyle name="표준 3 3 2 2 2 3 3 5 2" xfId="41718"/>
    <cellStyle name="표준 3 3 2 2 2 3 3 6" xfId="26754"/>
    <cellStyle name="표준 3 3 2 2 2 3 3_Sheet4" xfId="3487"/>
    <cellStyle name="표준 3 3 2 2 2 3 4" xfId="3488"/>
    <cellStyle name="표준 3 3 2 2 2 3 4 2" xfId="3489"/>
    <cellStyle name="표준 3 3 2 2 2 3 4 2 2" xfId="11774"/>
    <cellStyle name="표준 3 3 2 2 2 3 4 2 2 2" xfId="34241"/>
    <cellStyle name="표준 3 3 2 2 2 3 4 2 3" xfId="19258"/>
    <cellStyle name="표준 3 3 2 2 2 3 4 2 3 2" xfId="41723"/>
    <cellStyle name="표준 3 3 2 2 2 3 4 2 4" xfId="26759"/>
    <cellStyle name="표준 3 3 2 2 2 3 4 3" xfId="11773"/>
    <cellStyle name="표준 3 3 2 2 2 3 4 3 2" xfId="34240"/>
    <cellStyle name="표준 3 3 2 2 2 3 4 4" xfId="19257"/>
    <cellStyle name="표준 3 3 2 2 2 3 4 4 2" xfId="41722"/>
    <cellStyle name="표준 3 3 2 2 2 3 4 5" xfId="26758"/>
    <cellStyle name="표준 3 3 2 2 2 3 4_Sheet4" xfId="3490"/>
    <cellStyle name="표준 3 3 2 2 2 3 5" xfId="3491"/>
    <cellStyle name="표준 3 3 2 2 2 3 5 2" xfId="11775"/>
    <cellStyle name="표준 3 3 2 2 2 3 5 2 2" xfId="34242"/>
    <cellStyle name="표준 3 3 2 2 2 3 5 3" xfId="19259"/>
    <cellStyle name="표준 3 3 2 2 2 3 5 3 2" xfId="41724"/>
    <cellStyle name="표준 3 3 2 2 2 3 5 4" xfId="26760"/>
    <cellStyle name="표준 3 3 2 2 2 3 6" xfId="11760"/>
    <cellStyle name="표준 3 3 2 2 2 3 6 2" xfId="34227"/>
    <cellStyle name="표준 3 3 2 2 2 3 7" xfId="19244"/>
    <cellStyle name="표준 3 3 2 2 2 3 7 2" xfId="41709"/>
    <cellStyle name="표준 3 3 2 2 2 3 8" xfId="26745"/>
    <cellStyle name="표준 3 3 2 2 2 3_Sheet4" xfId="3492"/>
    <cellStyle name="표준 3 3 2 2 2 4" xfId="3493"/>
    <cellStyle name="표준 3 3 2 2 2 4 2" xfId="3494"/>
    <cellStyle name="표준 3 3 2 2 2 4 2 2" xfId="3495"/>
    <cellStyle name="표준 3 3 2 2 2 4 2 2 2" xfId="3496"/>
    <cellStyle name="표준 3 3 2 2 2 4 2 2 2 2" xfId="3497"/>
    <cellStyle name="표준 3 3 2 2 2 4 2 2 2 2 2" xfId="11780"/>
    <cellStyle name="표준 3 3 2 2 2 4 2 2 2 2 2 2" xfId="34247"/>
    <cellStyle name="표준 3 3 2 2 2 4 2 2 2 2 3" xfId="19264"/>
    <cellStyle name="표준 3 3 2 2 2 4 2 2 2 2 3 2" xfId="41729"/>
    <cellStyle name="표준 3 3 2 2 2 4 2 2 2 2 4" xfId="26765"/>
    <cellStyle name="표준 3 3 2 2 2 4 2 2 2 3" xfId="11779"/>
    <cellStyle name="표준 3 3 2 2 2 4 2 2 2 3 2" xfId="34246"/>
    <cellStyle name="표준 3 3 2 2 2 4 2 2 2 4" xfId="19263"/>
    <cellStyle name="표준 3 3 2 2 2 4 2 2 2 4 2" xfId="41728"/>
    <cellStyle name="표준 3 3 2 2 2 4 2 2 2 5" xfId="26764"/>
    <cellStyle name="표준 3 3 2 2 2 4 2 2 2_Sheet4" xfId="3498"/>
    <cellStyle name="표준 3 3 2 2 2 4 2 2 3" xfId="3499"/>
    <cellStyle name="표준 3 3 2 2 2 4 2 2 3 2" xfId="11781"/>
    <cellStyle name="표준 3 3 2 2 2 4 2 2 3 2 2" xfId="34248"/>
    <cellStyle name="표준 3 3 2 2 2 4 2 2 3 3" xfId="19265"/>
    <cellStyle name="표준 3 3 2 2 2 4 2 2 3 3 2" xfId="41730"/>
    <cellStyle name="표준 3 3 2 2 2 4 2 2 3 4" xfId="26766"/>
    <cellStyle name="표준 3 3 2 2 2 4 2 2 4" xfId="11778"/>
    <cellStyle name="표준 3 3 2 2 2 4 2 2 4 2" xfId="34245"/>
    <cellStyle name="표준 3 3 2 2 2 4 2 2 5" xfId="19262"/>
    <cellStyle name="표준 3 3 2 2 2 4 2 2 5 2" xfId="41727"/>
    <cellStyle name="표준 3 3 2 2 2 4 2 2 6" xfId="26763"/>
    <cellStyle name="표준 3 3 2 2 2 4 2 2_Sheet4" xfId="3500"/>
    <cellStyle name="표준 3 3 2 2 2 4 2 3" xfId="3501"/>
    <cellStyle name="표준 3 3 2 2 2 4 2 3 2" xfId="3502"/>
    <cellStyle name="표준 3 3 2 2 2 4 2 3 2 2" xfId="11783"/>
    <cellStyle name="표준 3 3 2 2 2 4 2 3 2 2 2" xfId="34250"/>
    <cellStyle name="표준 3 3 2 2 2 4 2 3 2 3" xfId="19267"/>
    <cellStyle name="표준 3 3 2 2 2 4 2 3 2 3 2" xfId="41732"/>
    <cellStyle name="표준 3 3 2 2 2 4 2 3 2 4" xfId="26768"/>
    <cellStyle name="표준 3 3 2 2 2 4 2 3 3" xfId="11782"/>
    <cellStyle name="표준 3 3 2 2 2 4 2 3 3 2" xfId="34249"/>
    <cellStyle name="표준 3 3 2 2 2 4 2 3 4" xfId="19266"/>
    <cellStyle name="표준 3 3 2 2 2 4 2 3 4 2" xfId="41731"/>
    <cellStyle name="표준 3 3 2 2 2 4 2 3 5" xfId="26767"/>
    <cellStyle name="표준 3 3 2 2 2 4 2 3_Sheet4" xfId="3503"/>
    <cellStyle name="표준 3 3 2 2 2 4 2 4" xfId="3504"/>
    <cellStyle name="표준 3 3 2 2 2 4 2 4 2" xfId="11784"/>
    <cellStyle name="표준 3 3 2 2 2 4 2 4 2 2" xfId="34251"/>
    <cellStyle name="표준 3 3 2 2 2 4 2 4 3" xfId="19268"/>
    <cellStyle name="표준 3 3 2 2 2 4 2 4 3 2" xfId="41733"/>
    <cellStyle name="표준 3 3 2 2 2 4 2 4 4" xfId="26769"/>
    <cellStyle name="표준 3 3 2 2 2 4 2 5" xfId="11777"/>
    <cellStyle name="표준 3 3 2 2 2 4 2 5 2" xfId="34244"/>
    <cellStyle name="표준 3 3 2 2 2 4 2 6" xfId="19261"/>
    <cellStyle name="표준 3 3 2 2 2 4 2 6 2" xfId="41726"/>
    <cellStyle name="표준 3 3 2 2 2 4 2 7" xfId="26762"/>
    <cellStyle name="표준 3 3 2 2 2 4 2_Sheet4" xfId="3505"/>
    <cellStyle name="표준 3 3 2 2 2 4 3" xfId="3506"/>
    <cellStyle name="표준 3 3 2 2 2 4 3 2" xfId="3507"/>
    <cellStyle name="표준 3 3 2 2 2 4 3 2 2" xfId="3508"/>
    <cellStyle name="표준 3 3 2 2 2 4 3 2 2 2" xfId="11787"/>
    <cellStyle name="표준 3 3 2 2 2 4 3 2 2 2 2" xfId="34254"/>
    <cellStyle name="표준 3 3 2 2 2 4 3 2 2 3" xfId="19271"/>
    <cellStyle name="표준 3 3 2 2 2 4 3 2 2 3 2" xfId="41736"/>
    <cellStyle name="표준 3 3 2 2 2 4 3 2 2 4" xfId="26772"/>
    <cellStyle name="표준 3 3 2 2 2 4 3 2 3" xfId="11786"/>
    <cellStyle name="표준 3 3 2 2 2 4 3 2 3 2" xfId="34253"/>
    <cellStyle name="표준 3 3 2 2 2 4 3 2 4" xfId="19270"/>
    <cellStyle name="표준 3 3 2 2 2 4 3 2 4 2" xfId="41735"/>
    <cellStyle name="표준 3 3 2 2 2 4 3 2 5" xfId="26771"/>
    <cellStyle name="표준 3 3 2 2 2 4 3 2_Sheet4" xfId="3509"/>
    <cellStyle name="표준 3 3 2 2 2 4 3 3" xfId="3510"/>
    <cellStyle name="표준 3 3 2 2 2 4 3 3 2" xfId="11788"/>
    <cellStyle name="표준 3 3 2 2 2 4 3 3 2 2" xfId="34255"/>
    <cellStyle name="표준 3 3 2 2 2 4 3 3 3" xfId="19272"/>
    <cellStyle name="표준 3 3 2 2 2 4 3 3 3 2" xfId="41737"/>
    <cellStyle name="표준 3 3 2 2 2 4 3 3 4" xfId="26773"/>
    <cellStyle name="표준 3 3 2 2 2 4 3 4" xfId="11785"/>
    <cellStyle name="표준 3 3 2 2 2 4 3 4 2" xfId="34252"/>
    <cellStyle name="표준 3 3 2 2 2 4 3 5" xfId="19269"/>
    <cellStyle name="표준 3 3 2 2 2 4 3 5 2" xfId="41734"/>
    <cellStyle name="표준 3 3 2 2 2 4 3 6" xfId="26770"/>
    <cellStyle name="표준 3 3 2 2 2 4 3_Sheet4" xfId="3511"/>
    <cellStyle name="표준 3 3 2 2 2 4 4" xfId="3512"/>
    <cellStyle name="표준 3 3 2 2 2 4 4 2" xfId="3513"/>
    <cellStyle name="표준 3 3 2 2 2 4 4 2 2" xfId="11790"/>
    <cellStyle name="표준 3 3 2 2 2 4 4 2 2 2" xfId="34257"/>
    <cellStyle name="표준 3 3 2 2 2 4 4 2 3" xfId="19274"/>
    <cellStyle name="표준 3 3 2 2 2 4 4 2 3 2" xfId="41739"/>
    <cellStyle name="표준 3 3 2 2 2 4 4 2 4" xfId="26775"/>
    <cellStyle name="표준 3 3 2 2 2 4 4 3" xfId="11789"/>
    <cellStyle name="표준 3 3 2 2 2 4 4 3 2" xfId="34256"/>
    <cellStyle name="표준 3 3 2 2 2 4 4 4" xfId="19273"/>
    <cellStyle name="표준 3 3 2 2 2 4 4 4 2" xfId="41738"/>
    <cellStyle name="표준 3 3 2 2 2 4 4 5" xfId="26774"/>
    <cellStyle name="표준 3 3 2 2 2 4 4_Sheet4" xfId="3514"/>
    <cellStyle name="표준 3 3 2 2 2 4 5" xfId="3515"/>
    <cellStyle name="표준 3 3 2 2 2 4 5 2" xfId="11791"/>
    <cellStyle name="표준 3 3 2 2 2 4 5 2 2" xfId="34258"/>
    <cellStyle name="표준 3 3 2 2 2 4 5 3" xfId="19275"/>
    <cellStyle name="표준 3 3 2 2 2 4 5 3 2" xfId="41740"/>
    <cellStyle name="표준 3 3 2 2 2 4 5 4" xfId="26776"/>
    <cellStyle name="표준 3 3 2 2 2 4 6" xfId="11776"/>
    <cellStyle name="표준 3 3 2 2 2 4 6 2" xfId="34243"/>
    <cellStyle name="표준 3 3 2 2 2 4 7" xfId="19260"/>
    <cellStyle name="표준 3 3 2 2 2 4 7 2" xfId="41725"/>
    <cellStyle name="표준 3 3 2 2 2 4 8" xfId="26761"/>
    <cellStyle name="표준 3 3 2 2 2 4_Sheet4" xfId="3516"/>
    <cellStyle name="표준 3 3 2 2 2 5" xfId="3517"/>
    <cellStyle name="표준 3 3 2 2 2 5 2" xfId="3518"/>
    <cellStyle name="표준 3 3 2 2 2 5 2 2" xfId="3519"/>
    <cellStyle name="표준 3 3 2 2 2 5 2 2 2" xfId="3520"/>
    <cellStyle name="표준 3 3 2 2 2 5 2 2 2 2" xfId="11795"/>
    <cellStyle name="표준 3 3 2 2 2 5 2 2 2 2 2" xfId="34262"/>
    <cellStyle name="표준 3 3 2 2 2 5 2 2 2 3" xfId="19279"/>
    <cellStyle name="표준 3 3 2 2 2 5 2 2 2 3 2" xfId="41744"/>
    <cellStyle name="표준 3 3 2 2 2 5 2 2 2 4" xfId="26780"/>
    <cellStyle name="표준 3 3 2 2 2 5 2 2 3" xfId="11794"/>
    <cellStyle name="표준 3 3 2 2 2 5 2 2 3 2" xfId="34261"/>
    <cellStyle name="표준 3 3 2 2 2 5 2 2 4" xfId="19278"/>
    <cellStyle name="표준 3 3 2 2 2 5 2 2 4 2" xfId="41743"/>
    <cellStyle name="표준 3 3 2 2 2 5 2 2 5" xfId="26779"/>
    <cellStyle name="표준 3 3 2 2 2 5 2 2_Sheet4" xfId="3521"/>
    <cellStyle name="표준 3 3 2 2 2 5 2 3" xfId="3522"/>
    <cellStyle name="표준 3 3 2 2 2 5 2 3 2" xfId="11796"/>
    <cellStyle name="표준 3 3 2 2 2 5 2 3 2 2" xfId="34263"/>
    <cellStyle name="표준 3 3 2 2 2 5 2 3 3" xfId="19280"/>
    <cellStyle name="표준 3 3 2 2 2 5 2 3 3 2" xfId="41745"/>
    <cellStyle name="표준 3 3 2 2 2 5 2 3 4" xfId="26781"/>
    <cellStyle name="표준 3 3 2 2 2 5 2 4" xfId="11793"/>
    <cellStyle name="표준 3 3 2 2 2 5 2 4 2" xfId="34260"/>
    <cellStyle name="표준 3 3 2 2 2 5 2 5" xfId="19277"/>
    <cellStyle name="표준 3 3 2 2 2 5 2 5 2" xfId="41742"/>
    <cellStyle name="표준 3 3 2 2 2 5 2 6" xfId="26778"/>
    <cellStyle name="표준 3 3 2 2 2 5 2_Sheet4" xfId="3523"/>
    <cellStyle name="표준 3 3 2 2 2 5 3" xfId="3524"/>
    <cellStyle name="표준 3 3 2 2 2 5 3 2" xfId="3525"/>
    <cellStyle name="표준 3 3 2 2 2 5 3 2 2" xfId="11798"/>
    <cellStyle name="표준 3 3 2 2 2 5 3 2 2 2" xfId="34265"/>
    <cellStyle name="표준 3 3 2 2 2 5 3 2 3" xfId="19282"/>
    <cellStyle name="표준 3 3 2 2 2 5 3 2 3 2" xfId="41747"/>
    <cellStyle name="표준 3 3 2 2 2 5 3 2 4" xfId="26783"/>
    <cellStyle name="표준 3 3 2 2 2 5 3 3" xfId="11797"/>
    <cellStyle name="표준 3 3 2 2 2 5 3 3 2" xfId="34264"/>
    <cellStyle name="표준 3 3 2 2 2 5 3 4" xfId="19281"/>
    <cellStyle name="표준 3 3 2 2 2 5 3 4 2" xfId="41746"/>
    <cellStyle name="표준 3 3 2 2 2 5 3 5" xfId="26782"/>
    <cellStyle name="표준 3 3 2 2 2 5 3_Sheet4" xfId="3526"/>
    <cellStyle name="표준 3 3 2 2 2 5 4" xfId="3527"/>
    <cellStyle name="표준 3 3 2 2 2 5 4 2" xfId="11799"/>
    <cellStyle name="표준 3 3 2 2 2 5 4 2 2" xfId="34266"/>
    <cellStyle name="표준 3 3 2 2 2 5 4 3" xfId="19283"/>
    <cellStyle name="표준 3 3 2 2 2 5 4 3 2" xfId="41748"/>
    <cellStyle name="표준 3 3 2 2 2 5 4 4" xfId="26784"/>
    <cellStyle name="표준 3 3 2 2 2 5 5" xfId="11792"/>
    <cellStyle name="표준 3 3 2 2 2 5 5 2" xfId="34259"/>
    <cellStyle name="표준 3 3 2 2 2 5 6" xfId="19276"/>
    <cellStyle name="표준 3 3 2 2 2 5 6 2" xfId="41741"/>
    <cellStyle name="표준 3 3 2 2 2 5 7" xfId="26777"/>
    <cellStyle name="표준 3 3 2 2 2 5_Sheet4" xfId="3528"/>
    <cellStyle name="표준 3 3 2 2 2 6" xfId="3529"/>
    <cellStyle name="표준 3 3 2 2 2 6 2" xfId="3530"/>
    <cellStyle name="표준 3 3 2 2 2 6 2 2" xfId="3531"/>
    <cellStyle name="표준 3 3 2 2 2 6 2 2 2" xfId="11802"/>
    <cellStyle name="표준 3 3 2 2 2 6 2 2 2 2" xfId="34269"/>
    <cellStyle name="표준 3 3 2 2 2 6 2 2 3" xfId="19286"/>
    <cellStyle name="표준 3 3 2 2 2 6 2 2 3 2" xfId="41751"/>
    <cellStyle name="표준 3 3 2 2 2 6 2 2 4" xfId="26787"/>
    <cellStyle name="표준 3 3 2 2 2 6 2 3" xfId="11801"/>
    <cellStyle name="표준 3 3 2 2 2 6 2 3 2" xfId="34268"/>
    <cellStyle name="표준 3 3 2 2 2 6 2 4" xfId="19285"/>
    <cellStyle name="표준 3 3 2 2 2 6 2 4 2" xfId="41750"/>
    <cellStyle name="표준 3 3 2 2 2 6 2 5" xfId="26786"/>
    <cellStyle name="표준 3 3 2 2 2 6 2_Sheet4" xfId="3532"/>
    <cellStyle name="표준 3 3 2 2 2 6 3" xfId="3533"/>
    <cellStyle name="표준 3 3 2 2 2 6 3 2" xfId="11803"/>
    <cellStyle name="표준 3 3 2 2 2 6 3 2 2" xfId="34270"/>
    <cellStyle name="표준 3 3 2 2 2 6 3 3" xfId="19287"/>
    <cellStyle name="표준 3 3 2 2 2 6 3 3 2" xfId="41752"/>
    <cellStyle name="표준 3 3 2 2 2 6 3 4" xfId="26788"/>
    <cellStyle name="표준 3 3 2 2 2 6 4" xfId="11800"/>
    <cellStyle name="표준 3 3 2 2 2 6 4 2" xfId="34267"/>
    <cellStyle name="표준 3 3 2 2 2 6 5" xfId="19284"/>
    <cellStyle name="표준 3 3 2 2 2 6 5 2" xfId="41749"/>
    <cellStyle name="표준 3 3 2 2 2 6 6" xfId="26785"/>
    <cellStyle name="표준 3 3 2 2 2 6_Sheet4" xfId="3534"/>
    <cellStyle name="표준 3 3 2 2 2 7" xfId="3535"/>
    <cellStyle name="표준 3 3 2 2 2 7 2" xfId="3536"/>
    <cellStyle name="표준 3 3 2 2 2 7 2 2" xfId="3537"/>
    <cellStyle name="표준 3 3 2 2 2 7 2 2 2" xfId="11806"/>
    <cellStyle name="표준 3 3 2 2 2 7 2 2 2 2" xfId="34273"/>
    <cellStyle name="표준 3 3 2 2 2 7 2 2 3" xfId="19290"/>
    <cellStyle name="표준 3 3 2 2 2 7 2 2 3 2" xfId="41755"/>
    <cellStyle name="표준 3 3 2 2 2 7 2 2 4" xfId="26791"/>
    <cellStyle name="표준 3 3 2 2 2 7 2 3" xfId="11805"/>
    <cellStyle name="표준 3 3 2 2 2 7 2 3 2" xfId="34272"/>
    <cellStyle name="표준 3 3 2 2 2 7 2 4" xfId="19289"/>
    <cellStyle name="표준 3 3 2 2 2 7 2 4 2" xfId="41754"/>
    <cellStyle name="표준 3 3 2 2 2 7 2 5" xfId="26790"/>
    <cellStyle name="표준 3 3 2 2 2 7 2_Sheet4" xfId="3538"/>
    <cellStyle name="표준 3 3 2 2 2 7 3" xfId="3539"/>
    <cellStyle name="표준 3 3 2 2 2 7 3 2" xfId="11807"/>
    <cellStyle name="표준 3 3 2 2 2 7 3 2 2" xfId="34274"/>
    <cellStyle name="표준 3 3 2 2 2 7 3 3" xfId="19291"/>
    <cellStyle name="표준 3 3 2 2 2 7 3 3 2" xfId="41756"/>
    <cellStyle name="표준 3 3 2 2 2 7 3 4" xfId="26792"/>
    <cellStyle name="표준 3 3 2 2 2 7 4" xfId="11804"/>
    <cellStyle name="표준 3 3 2 2 2 7 4 2" xfId="34271"/>
    <cellStyle name="표준 3 3 2 2 2 7 5" xfId="19288"/>
    <cellStyle name="표준 3 3 2 2 2 7 5 2" xfId="41753"/>
    <cellStyle name="표준 3 3 2 2 2 7 6" xfId="26789"/>
    <cellStyle name="표준 3 3 2 2 2 7_Sheet4" xfId="3540"/>
    <cellStyle name="표준 3 3 2 2 2 8" xfId="3541"/>
    <cellStyle name="표준 3 3 2 2 2 8 2" xfId="3542"/>
    <cellStyle name="표준 3 3 2 2 2 8 2 2" xfId="11809"/>
    <cellStyle name="표준 3 3 2 2 2 8 2 2 2" xfId="34276"/>
    <cellStyle name="표준 3 3 2 2 2 8 2 3" xfId="19293"/>
    <cellStyle name="표준 3 3 2 2 2 8 2 3 2" xfId="41758"/>
    <cellStyle name="표준 3 3 2 2 2 8 2 4" xfId="26794"/>
    <cellStyle name="표준 3 3 2 2 2 8 3" xfId="11808"/>
    <cellStyle name="표준 3 3 2 2 2 8 3 2" xfId="34275"/>
    <cellStyle name="표준 3 3 2 2 2 8 4" xfId="19292"/>
    <cellStyle name="표준 3 3 2 2 2 8 4 2" xfId="41757"/>
    <cellStyle name="표준 3 3 2 2 2 8 5" xfId="26793"/>
    <cellStyle name="표준 3 3 2 2 2 8_Sheet4" xfId="3543"/>
    <cellStyle name="표준 3 3 2 2 2 9" xfId="3544"/>
    <cellStyle name="표준 3 3 2 2 2 9 2" xfId="11810"/>
    <cellStyle name="표준 3 3 2 2 2 9 2 2" xfId="34277"/>
    <cellStyle name="표준 3 3 2 2 2 9 3" xfId="19294"/>
    <cellStyle name="표준 3 3 2 2 2 9 3 2" xfId="41759"/>
    <cellStyle name="표준 3 3 2 2 2 9 4" xfId="26795"/>
    <cellStyle name="표준 3 3 2 2 2_Sheet4" xfId="3545"/>
    <cellStyle name="표준 3 3 2 2 3" xfId="3546"/>
    <cellStyle name="표준 3 3 2 2 3 10" xfId="26796"/>
    <cellStyle name="표준 3 3 2 2 3 2" xfId="3547"/>
    <cellStyle name="표준 3 3 2 2 3 2 2" xfId="3548"/>
    <cellStyle name="표준 3 3 2 2 3 2 2 2" xfId="3549"/>
    <cellStyle name="표준 3 3 2 2 3 2 2 2 2" xfId="3550"/>
    <cellStyle name="표준 3 3 2 2 3 2 2 2 2 2" xfId="3551"/>
    <cellStyle name="표준 3 3 2 2 3 2 2 2 2 2 2" xfId="11816"/>
    <cellStyle name="표준 3 3 2 2 3 2 2 2 2 2 2 2" xfId="34283"/>
    <cellStyle name="표준 3 3 2 2 3 2 2 2 2 2 3" xfId="19300"/>
    <cellStyle name="표준 3 3 2 2 3 2 2 2 2 2 3 2" xfId="41765"/>
    <cellStyle name="표준 3 3 2 2 3 2 2 2 2 2 4" xfId="26801"/>
    <cellStyle name="표준 3 3 2 2 3 2 2 2 2 3" xfId="11815"/>
    <cellStyle name="표준 3 3 2 2 3 2 2 2 2 3 2" xfId="34282"/>
    <cellStyle name="표준 3 3 2 2 3 2 2 2 2 4" xfId="19299"/>
    <cellStyle name="표준 3 3 2 2 3 2 2 2 2 4 2" xfId="41764"/>
    <cellStyle name="표준 3 3 2 2 3 2 2 2 2 5" xfId="26800"/>
    <cellStyle name="표준 3 3 2 2 3 2 2 2 2_Sheet4" xfId="3552"/>
    <cellStyle name="표준 3 3 2 2 3 2 2 2 3" xfId="3553"/>
    <cellStyle name="표준 3 3 2 2 3 2 2 2 3 2" xfId="11817"/>
    <cellStyle name="표준 3 3 2 2 3 2 2 2 3 2 2" xfId="34284"/>
    <cellStyle name="표준 3 3 2 2 3 2 2 2 3 3" xfId="19301"/>
    <cellStyle name="표준 3 3 2 2 3 2 2 2 3 3 2" xfId="41766"/>
    <cellStyle name="표준 3 3 2 2 3 2 2 2 3 4" xfId="26802"/>
    <cellStyle name="표준 3 3 2 2 3 2 2 2 4" xfId="11814"/>
    <cellStyle name="표준 3 3 2 2 3 2 2 2 4 2" xfId="34281"/>
    <cellStyle name="표준 3 3 2 2 3 2 2 2 5" xfId="19298"/>
    <cellStyle name="표준 3 3 2 2 3 2 2 2 5 2" xfId="41763"/>
    <cellStyle name="표준 3 3 2 2 3 2 2 2 6" xfId="26799"/>
    <cellStyle name="표준 3 3 2 2 3 2 2 2_Sheet4" xfId="3554"/>
    <cellStyle name="표준 3 3 2 2 3 2 2 3" xfId="3555"/>
    <cellStyle name="표준 3 3 2 2 3 2 2 3 2" xfId="3556"/>
    <cellStyle name="표준 3 3 2 2 3 2 2 3 2 2" xfId="11819"/>
    <cellStyle name="표준 3 3 2 2 3 2 2 3 2 2 2" xfId="34286"/>
    <cellStyle name="표준 3 3 2 2 3 2 2 3 2 3" xfId="19303"/>
    <cellStyle name="표준 3 3 2 2 3 2 2 3 2 3 2" xfId="41768"/>
    <cellStyle name="표준 3 3 2 2 3 2 2 3 2 4" xfId="26804"/>
    <cellStyle name="표준 3 3 2 2 3 2 2 3 3" xfId="11818"/>
    <cellStyle name="표준 3 3 2 2 3 2 2 3 3 2" xfId="34285"/>
    <cellStyle name="표준 3 3 2 2 3 2 2 3 4" xfId="19302"/>
    <cellStyle name="표준 3 3 2 2 3 2 2 3 4 2" xfId="41767"/>
    <cellStyle name="표준 3 3 2 2 3 2 2 3 5" xfId="26803"/>
    <cellStyle name="표준 3 3 2 2 3 2 2 3_Sheet4" xfId="3557"/>
    <cellStyle name="표준 3 3 2 2 3 2 2 4" xfId="3558"/>
    <cellStyle name="표준 3 3 2 2 3 2 2 4 2" xfId="11820"/>
    <cellStyle name="표준 3 3 2 2 3 2 2 4 2 2" xfId="34287"/>
    <cellStyle name="표준 3 3 2 2 3 2 2 4 3" xfId="19304"/>
    <cellStyle name="표준 3 3 2 2 3 2 2 4 3 2" xfId="41769"/>
    <cellStyle name="표준 3 3 2 2 3 2 2 4 4" xfId="26805"/>
    <cellStyle name="표준 3 3 2 2 3 2 2 5" xfId="11813"/>
    <cellStyle name="표준 3 3 2 2 3 2 2 5 2" xfId="34280"/>
    <cellStyle name="표준 3 3 2 2 3 2 2 6" xfId="19297"/>
    <cellStyle name="표준 3 3 2 2 3 2 2 6 2" xfId="41762"/>
    <cellStyle name="표준 3 3 2 2 3 2 2 7" xfId="26798"/>
    <cellStyle name="표준 3 3 2 2 3 2 2_Sheet4" xfId="3559"/>
    <cellStyle name="표준 3 3 2 2 3 2 3" xfId="3560"/>
    <cellStyle name="표준 3 3 2 2 3 2 3 2" xfId="3561"/>
    <cellStyle name="표준 3 3 2 2 3 2 3 2 2" xfId="3562"/>
    <cellStyle name="표준 3 3 2 2 3 2 3 2 2 2" xfId="11823"/>
    <cellStyle name="표준 3 3 2 2 3 2 3 2 2 2 2" xfId="34290"/>
    <cellStyle name="표준 3 3 2 2 3 2 3 2 2 3" xfId="19307"/>
    <cellStyle name="표준 3 3 2 2 3 2 3 2 2 3 2" xfId="41772"/>
    <cellStyle name="표준 3 3 2 2 3 2 3 2 2 4" xfId="26808"/>
    <cellStyle name="표준 3 3 2 2 3 2 3 2 3" xfId="11822"/>
    <cellStyle name="표준 3 3 2 2 3 2 3 2 3 2" xfId="34289"/>
    <cellStyle name="표준 3 3 2 2 3 2 3 2 4" xfId="19306"/>
    <cellStyle name="표준 3 3 2 2 3 2 3 2 4 2" xfId="41771"/>
    <cellStyle name="표준 3 3 2 2 3 2 3 2 5" xfId="26807"/>
    <cellStyle name="표준 3 3 2 2 3 2 3 2_Sheet4" xfId="3563"/>
    <cellStyle name="표준 3 3 2 2 3 2 3 3" xfId="3564"/>
    <cellStyle name="표준 3 3 2 2 3 2 3 3 2" xfId="11824"/>
    <cellStyle name="표준 3 3 2 2 3 2 3 3 2 2" xfId="34291"/>
    <cellStyle name="표준 3 3 2 2 3 2 3 3 3" xfId="19308"/>
    <cellStyle name="표준 3 3 2 2 3 2 3 3 3 2" xfId="41773"/>
    <cellStyle name="표준 3 3 2 2 3 2 3 3 4" xfId="26809"/>
    <cellStyle name="표준 3 3 2 2 3 2 3 4" xfId="11821"/>
    <cellStyle name="표준 3 3 2 2 3 2 3 4 2" xfId="34288"/>
    <cellStyle name="표준 3 3 2 2 3 2 3 5" xfId="19305"/>
    <cellStyle name="표준 3 3 2 2 3 2 3 5 2" xfId="41770"/>
    <cellStyle name="표준 3 3 2 2 3 2 3 6" xfId="26806"/>
    <cellStyle name="표준 3 3 2 2 3 2 3_Sheet4" xfId="3565"/>
    <cellStyle name="표준 3 3 2 2 3 2 4" xfId="3566"/>
    <cellStyle name="표준 3 3 2 2 3 2 4 2" xfId="3567"/>
    <cellStyle name="표준 3 3 2 2 3 2 4 2 2" xfId="11826"/>
    <cellStyle name="표준 3 3 2 2 3 2 4 2 2 2" xfId="34293"/>
    <cellStyle name="표준 3 3 2 2 3 2 4 2 3" xfId="19310"/>
    <cellStyle name="표준 3 3 2 2 3 2 4 2 3 2" xfId="41775"/>
    <cellStyle name="표준 3 3 2 2 3 2 4 2 4" xfId="26811"/>
    <cellStyle name="표준 3 3 2 2 3 2 4 3" xfId="11825"/>
    <cellStyle name="표준 3 3 2 2 3 2 4 3 2" xfId="34292"/>
    <cellStyle name="표준 3 3 2 2 3 2 4 4" xfId="19309"/>
    <cellStyle name="표준 3 3 2 2 3 2 4 4 2" xfId="41774"/>
    <cellStyle name="표준 3 3 2 2 3 2 4 5" xfId="26810"/>
    <cellStyle name="표준 3 3 2 2 3 2 4_Sheet4" xfId="3568"/>
    <cellStyle name="표준 3 3 2 2 3 2 5" xfId="3569"/>
    <cellStyle name="표준 3 3 2 2 3 2 5 2" xfId="11827"/>
    <cellStyle name="표준 3 3 2 2 3 2 5 2 2" xfId="34294"/>
    <cellStyle name="표준 3 3 2 2 3 2 5 3" xfId="19311"/>
    <cellStyle name="표준 3 3 2 2 3 2 5 3 2" xfId="41776"/>
    <cellStyle name="표준 3 3 2 2 3 2 5 4" xfId="26812"/>
    <cellStyle name="표준 3 3 2 2 3 2 6" xfId="11812"/>
    <cellStyle name="표준 3 3 2 2 3 2 6 2" xfId="34279"/>
    <cellStyle name="표준 3 3 2 2 3 2 7" xfId="19296"/>
    <cellStyle name="표준 3 3 2 2 3 2 7 2" xfId="41761"/>
    <cellStyle name="표준 3 3 2 2 3 2 8" xfId="26797"/>
    <cellStyle name="표준 3 3 2 2 3 2_Sheet4" xfId="3570"/>
    <cellStyle name="표준 3 3 2 2 3 3" xfId="3571"/>
    <cellStyle name="표준 3 3 2 2 3 3 2" xfId="3572"/>
    <cellStyle name="표준 3 3 2 2 3 3 2 2" xfId="3573"/>
    <cellStyle name="표준 3 3 2 2 3 3 2 2 2" xfId="3574"/>
    <cellStyle name="표준 3 3 2 2 3 3 2 2 2 2" xfId="3575"/>
    <cellStyle name="표준 3 3 2 2 3 3 2 2 2 2 2" xfId="11832"/>
    <cellStyle name="표준 3 3 2 2 3 3 2 2 2 2 2 2" xfId="34299"/>
    <cellStyle name="표준 3 3 2 2 3 3 2 2 2 2 3" xfId="19316"/>
    <cellStyle name="표준 3 3 2 2 3 3 2 2 2 2 3 2" xfId="41781"/>
    <cellStyle name="표준 3 3 2 2 3 3 2 2 2 2 4" xfId="26817"/>
    <cellStyle name="표준 3 3 2 2 3 3 2 2 2 3" xfId="11831"/>
    <cellStyle name="표준 3 3 2 2 3 3 2 2 2 3 2" xfId="34298"/>
    <cellStyle name="표준 3 3 2 2 3 3 2 2 2 4" xfId="19315"/>
    <cellStyle name="표준 3 3 2 2 3 3 2 2 2 4 2" xfId="41780"/>
    <cellStyle name="표준 3 3 2 2 3 3 2 2 2 5" xfId="26816"/>
    <cellStyle name="표준 3 3 2 2 3 3 2 2 2_Sheet4" xfId="3576"/>
    <cellStyle name="표준 3 3 2 2 3 3 2 2 3" xfId="3577"/>
    <cellStyle name="표준 3 3 2 2 3 3 2 2 3 2" xfId="11833"/>
    <cellStyle name="표준 3 3 2 2 3 3 2 2 3 2 2" xfId="34300"/>
    <cellStyle name="표준 3 3 2 2 3 3 2 2 3 3" xfId="19317"/>
    <cellStyle name="표준 3 3 2 2 3 3 2 2 3 3 2" xfId="41782"/>
    <cellStyle name="표준 3 3 2 2 3 3 2 2 3 4" xfId="26818"/>
    <cellStyle name="표준 3 3 2 2 3 3 2 2 4" xfId="11830"/>
    <cellStyle name="표준 3 3 2 2 3 3 2 2 4 2" xfId="34297"/>
    <cellStyle name="표준 3 3 2 2 3 3 2 2 5" xfId="19314"/>
    <cellStyle name="표준 3 3 2 2 3 3 2 2 5 2" xfId="41779"/>
    <cellStyle name="표준 3 3 2 2 3 3 2 2 6" xfId="26815"/>
    <cellStyle name="표준 3 3 2 2 3 3 2 2_Sheet4" xfId="3578"/>
    <cellStyle name="표준 3 3 2 2 3 3 2 3" xfId="3579"/>
    <cellStyle name="표준 3 3 2 2 3 3 2 3 2" xfId="3580"/>
    <cellStyle name="표준 3 3 2 2 3 3 2 3 2 2" xfId="11835"/>
    <cellStyle name="표준 3 3 2 2 3 3 2 3 2 2 2" xfId="34302"/>
    <cellStyle name="표준 3 3 2 2 3 3 2 3 2 3" xfId="19319"/>
    <cellStyle name="표준 3 3 2 2 3 3 2 3 2 3 2" xfId="41784"/>
    <cellStyle name="표준 3 3 2 2 3 3 2 3 2 4" xfId="26820"/>
    <cellStyle name="표준 3 3 2 2 3 3 2 3 3" xfId="11834"/>
    <cellStyle name="표준 3 3 2 2 3 3 2 3 3 2" xfId="34301"/>
    <cellStyle name="표준 3 3 2 2 3 3 2 3 4" xfId="19318"/>
    <cellStyle name="표준 3 3 2 2 3 3 2 3 4 2" xfId="41783"/>
    <cellStyle name="표준 3 3 2 2 3 3 2 3 5" xfId="26819"/>
    <cellStyle name="표준 3 3 2 2 3 3 2 3_Sheet4" xfId="3581"/>
    <cellStyle name="표준 3 3 2 2 3 3 2 4" xfId="3582"/>
    <cellStyle name="표준 3 3 2 2 3 3 2 4 2" xfId="11836"/>
    <cellStyle name="표준 3 3 2 2 3 3 2 4 2 2" xfId="34303"/>
    <cellStyle name="표준 3 3 2 2 3 3 2 4 3" xfId="19320"/>
    <cellStyle name="표준 3 3 2 2 3 3 2 4 3 2" xfId="41785"/>
    <cellStyle name="표준 3 3 2 2 3 3 2 4 4" xfId="26821"/>
    <cellStyle name="표준 3 3 2 2 3 3 2 5" xfId="11829"/>
    <cellStyle name="표준 3 3 2 2 3 3 2 5 2" xfId="34296"/>
    <cellStyle name="표준 3 3 2 2 3 3 2 6" xfId="19313"/>
    <cellStyle name="표준 3 3 2 2 3 3 2 6 2" xfId="41778"/>
    <cellStyle name="표준 3 3 2 2 3 3 2 7" xfId="26814"/>
    <cellStyle name="표준 3 3 2 2 3 3 2_Sheet4" xfId="3583"/>
    <cellStyle name="표준 3 3 2 2 3 3 3" xfId="3584"/>
    <cellStyle name="표준 3 3 2 2 3 3 3 2" xfId="3585"/>
    <cellStyle name="표준 3 3 2 2 3 3 3 2 2" xfId="3586"/>
    <cellStyle name="표준 3 3 2 2 3 3 3 2 2 2" xfId="11839"/>
    <cellStyle name="표준 3 3 2 2 3 3 3 2 2 2 2" xfId="34306"/>
    <cellStyle name="표준 3 3 2 2 3 3 3 2 2 3" xfId="19323"/>
    <cellStyle name="표준 3 3 2 2 3 3 3 2 2 3 2" xfId="41788"/>
    <cellStyle name="표준 3 3 2 2 3 3 3 2 2 4" xfId="26824"/>
    <cellStyle name="표준 3 3 2 2 3 3 3 2 3" xfId="11838"/>
    <cellStyle name="표준 3 3 2 2 3 3 3 2 3 2" xfId="34305"/>
    <cellStyle name="표준 3 3 2 2 3 3 3 2 4" xfId="19322"/>
    <cellStyle name="표준 3 3 2 2 3 3 3 2 4 2" xfId="41787"/>
    <cellStyle name="표준 3 3 2 2 3 3 3 2 5" xfId="26823"/>
    <cellStyle name="표준 3 3 2 2 3 3 3 2_Sheet4" xfId="3587"/>
    <cellStyle name="표준 3 3 2 2 3 3 3 3" xfId="3588"/>
    <cellStyle name="표준 3 3 2 2 3 3 3 3 2" xfId="11840"/>
    <cellStyle name="표준 3 3 2 2 3 3 3 3 2 2" xfId="34307"/>
    <cellStyle name="표준 3 3 2 2 3 3 3 3 3" xfId="19324"/>
    <cellStyle name="표준 3 3 2 2 3 3 3 3 3 2" xfId="41789"/>
    <cellStyle name="표준 3 3 2 2 3 3 3 3 4" xfId="26825"/>
    <cellStyle name="표준 3 3 2 2 3 3 3 4" xfId="11837"/>
    <cellStyle name="표준 3 3 2 2 3 3 3 4 2" xfId="34304"/>
    <cellStyle name="표준 3 3 2 2 3 3 3 5" xfId="19321"/>
    <cellStyle name="표준 3 3 2 2 3 3 3 5 2" xfId="41786"/>
    <cellStyle name="표준 3 3 2 2 3 3 3 6" xfId="26822"/>
    <cellStyle name="표준 3 3 2 2 3 3 3_Sheet4" xfId="3589"/>
    <cellStyle name="표준 3 3 2 2 3 3 4" xfId="3590"/>
    <cellStyle name="표준 3 3 2 2 3 3 4 2" xfId="3591"/>
    <cellStyle name="표준 3 3 2 2 3 3 4 2 2" xfId="11842"/>
    <cellStyle name="표준 3 3 2 2 3 3 4 2 2 2" xfId="34309"/>
    <cellStyle name="표준 3 3 2 2 3 3 4 2 3" xfId="19326"/>
    <cellStyle name="표준 3 3 2 2 3 3 4 2 3 2" xfId="41791"/>
    <cellStyle name="표준 3 3 2 2 3 3 4 2 4" xfId="26827"/>
    <cellStyle name="표준 3 3 2 2 3 3 4 3" xfId="11841"/>
    <cellStyle name="표준 3 3 2 2 3 3 4 3 2" xfId="34308"/>
    <cellStyle name="표준 3 3 2 2 3 3 4 4" xfId="19325"/>
    <cellStyle name="표준 3 3 2 2 3 3 4 4 2" xfId="41790"/>
    <cellStyle name="표준 3 3 2 2 3 3 4 5" xfId="26826"/>
    <cellStyle name="표준 3 3 2 2 3 3 4_Sheet4" xfId="3592"/>
    <cellStyle name="표준 3 3 2 2 3 3 5" xfId="3593"/>
    <cellStyle name="표준 3 3 2 2 3 3 5 2" xfId="11843"/>
    <cellStyle name="표준 3 3 2 2 3 3 5 2 2" xfId="34310"/>
    <cellStyle name="표준 3 3 2 2 3 3 5 3" xfId="19327"/>
    <cellStyle name="표준 3 3 2 2 3 3 5 3 2" xfId="41792"/>
    <cellStyle name="표준 3 3 2 2 3 3 5 4" xfId="26828"/>
    <cellStyle name="표준 3 3 2 2 3 3 6" xfId="11828"/>
    <cellStyle name="표준 3 3 2 2 3 3 6 2" xfId="34295"/>
    <cellStyle name="표준 3 3 2 2 3 3 7" xfId="19312"/>
    <cellStyle name="표준 3 3 2 2 3 3 7 2" xfId="41777"/>
    <cellStyle name="표준 3 3 2 2 3 3 8" xfId="26813"/>
    <cellStyle name="표준 3 3 2 2 3 3_Sheet4" xfId="3594"/>
    <cellStyle name="표준 3 3 2 2 3 4" xfId="3595"/>
    <cellStyle name="표준 3 3 2 2 3 4 2" xfId="3596"/>
    <cellStyle name="표준 3 3 2 2 3 4 2 2" xfId="3597"/>
    <cellStyle name="표준 3 3 2 2 3 4 2 2 2" xfId="3598"/>
    <cellStyle name="표준 3 3 2 2 3 4 2 2 2 2" xfId="11847"/>
    <cellStyle name="표준 3 3 2 2 3 4 2 2 2 2 2" xfId="34314"/>
    <cellStyle name="표준 3 3 2 2 3 4 2 2 2 3" xfId="19331"/>
    <cellStyle name="표준 3 3 2 2 3 4 2 2 2 3 2" xfId="41796"/>
    <cellStyle name="표준 3 3 2 2 3 4 2 2 2 4" xfId="26832"/>
    <cellStyle name="표준 3 3 2 2 3 4 2 2 3" xfId="11846"/>
    <cellStyle name="표준 3 3 2 2 3 4 2 2 3 2" xfId="34313"/>
    <cellStyle name="표준 3 3 2 2 3 4 2 2 4" xfId="19330"/>
    <cellStyle name="표준 3 3 2 2 3 4 2 2 4 2" xfId="41795"/>
    <cellStyle name="표준 3 3 2 2 3 4 2 2 5" xfId="26831"/>
    <cellStyle name="표준 3 3 2 2 3 4 2 2_Sheet4" xfId="3599"/>
    <cellStyle name="표준 3 3 2 2 3 4 2 3" xfId="3600"/>
    <cellStyle name="표준 3 3 2 2 3 4 2 3 2" xfId="11848"/>
    <cellStyle name="표준 3 3 2 2 3 4 2 3 2 2" xfId="34315"/>
    <cellStyle name="표준 3 3 2 2 3 4 2 3 3" xfId="19332"/>
    <cellStyle name="표준 3 3 2 2 3 4 2 3 3 2" xfId="41797"/>
    <cellStyle name="표준 3 3 2 2 3 4 2 3 4" xfId="26833"/>
    <cellStyle name="표준 3 3 2 2 3 4 2 4" xfId="11845"/>
    <cellStyle name="표준 3 3 2 2 3 4 2 4 2" xfId="34312"/>
    <cellStyle name="표준 3 3 2 2 3 4 2 5" xfId="19329"/>
    <cellStyle name="표준 3 3 2 2 3 4 2 5 2" xfId="41794"/>
    <cellStyle name="표준 3 3 2 2 3 4 2 6" xfId="26830"/>
    <cellStyle name="표준 3 3 2 2 3 4 2_Sheet4" xfId="3601"/>
    <cellStyle name="표준 3 3 2 2 3 4 3" xfId="3602"/>
    <cellStyle name="표준 3 3 2 2 3 4 3 2" xfId="3603"/>
    <cellStyle name="표준 3 3 2 2 3 4 3 2 2" xfId="11850"/>
    <cellStyle name="표준 3 3 2 2 3 4 3 2 2 2" xfId="34317"/>
    <cellStyle name="표준 3 3 2 2 3 4 3 2 3" xfId="19334"/>
    <cellStyle name="표준 3 3 2 2 3 4 3 2 3 2" xfId="41799"/>
    <cellStyle name="표준 3 3 2 2 3 4 3 2 4" xfId="26835"/>
    <cellStyle name="표준 3 3 2 2 3 4 3 3" xfId="11849"/>
    <cellStyle name="표준 3 3 2 2 3 4 3 3 2" xfId="34316"/>
    <cellStyle name="표준 3 3 2 2 3 4 3 4" xfId="19333"/>
    <cellStyle name="표준 3 3 2 2 3 4 3 4 2" xfId="41798"/>
    <cellStyle name="표준 3 3 2 2 3 4 3 5" xfId="26834"/>
    <cellStyle name="표준 3 3 2 2 3 4 3_Sheet4" xfId="3604"/>
    <cellStyle name="표준 3 3 2 2 3 4 4" xfId="3605"/>
    <cellStyle name="표준 3 3 2 2 3 4 4 2" xfId="11851"/>
    <cellStyle name="표준 3 3 2 2 3 4 4 2 2" xfId="34318"/>
    <cellStyle name="표준 3 3 2 2 3 4 4 3" xfId="19335"/>
    <cellStyle name="표준 3 3 2 2 3 4 4 3 2" xfId="41800"/>
    <cellStyle name="표준 3 3 2 2 3 4 4 4" xfId="26836"/>
    <cellStyle name="표준 3 3 2 2 3 4 5" xfId="11844"/>
    <cellStyle name="표준 3 3 2 2 3 4 5 2" xfId="34311"/>
    <cellStyle name="표준 3 3 2 2 3 4 6" xfId="19328"/>
    <cellStyle name="표준 3 3 2 2 3 4 6 2" xfId="41793"/>
    <cellStyle name="표준 3 3 2 2 3 4 7" xfId="26829"/>
    <cellStyle name="표준 3 3 2 2 3 4_Sheet4" xfId="3606"/>
    <cellStyle name="표준 3 3 2 2 3 5" xfId="3607"/>
    <cellStyle name="표준 3 3 2 2 3 5 2" xfId="3608"/>
    <cellStyle name="표준 3 3 2 2 3 5 2 2" xfId="3609"/>
    <cellStyle name="표준 3 3 2 2 3 5 2 2 2" xfId="11854"/>
    <cellStyle name="표준 3 3 2 2 3 5 2 2 2 2" xfId="34321"/>
    <cellStyle name="표준 3 3 2 2 3 5 2 2 3" xfId="19338"/>
    <cellStyle name="표준 3 3 2 2 3 5 2 2 3 2" xfId="41803"/>
    <cellStyle name="표준 3 3 2 2 3 5 2 2 4" xfId="26839"/>
    <cellStyle name="표준 3 3 2 2 3 5 2 3" xfId="11853"/>
    <cellStyle name="표준 3 3 2 2 3 5 2 3 2" xfId="34320"/>
    <cellStyle name="표준 3 3 2 2 3 5 2 4" xfId="19337"/>
    <cellStyle name="표준 3 3 2 2 3 5 2 4 2" xfId="41802"/>
    <cellStyle name="표준 3 3 2 2 3 5 2 5" xfId="26838"/>
    <cellStyle name="표준 3 3 2 2 3 5 2_Sheet4" xfId="3610"/>
    <cellStyle name="표준 3 3 2 2 3 5 3" xfId="3611"/>
    <cellStyle name="표준 3 3 2 2 3 5 3 2" xfId="11855"/>
    <cellStyle name="표준 3 3 2 2 3 5 3 2 2" xfId="34322"/>
    <cellStyle name="표준 3 3 2 2 3 5 3 3" xfId="19339"/>
    <cellStyle name="표준 3 3 2 2 3 5 3 3 2" xfId="41804"/>
    <cellStyle name="표준 3 3 2 2 3 5 3 4" xfId="26840"/>
    <cellStyle name="표준 3 3 2 2 3 5 4" xfId="11852"/>
    <cellStyle name="표준 3 3 2 2 3 5 4 2" xfId="34319"/>
    <cellStyle name="표준 3 3 2 2 3 5 5" xfId="19336"/>
    <cellStyle name="표준 3 3 2 2 3 5 5 2" xfId="41801"/>
    <cellStyle name="표준 3 3 2 2 3 5 6" xfId="26837"/>
    <cellStyle name="표준 3 3 2 2 3 5_Sheet4" xfId="3612"/>
    <cellStyle name="표준 3 3 2 2 3 6" xfId="3613"/>
    <cellStyle name="표준 3 3 2 2 3 6 2" xfId="3614"/>
    <cellStyle name="표준 3 3 2 2 3 6 2 2" xfId="11857"/>
    <cellStyle name="표준 3 3 2 2 3 6 2 2 2" xfId="34324"/>
    <cellStyle name="표준 3 3 2 2 3 6 2 3" xfId="19341"/>
    <cellStyle name="표준 3 3 2 2 3 6 2 3 2" xfId="41806"/>
    <cellStyle name="표준 3 3 2 2 3 6 2 4" xfId="26842"/>
    <cellStyle name="표준 3 3 2 2 3 6 3" xfId="11856"/>
    <cellStyle name="표준 3 3 2 2 3 6 3 2" xfId="34323"/>
    <cellStyle name="표준 3 3 2 2 3 6 4" xfId="19340"/>
    <cellStyle name="표준 3 3 2 2 3 6 4 2" xfId="41805"/>
    <cellStyle name="표준 3 3 2 2 3 6 5" xfId="26841"/>
    <cellStyle name="표준 3 3 2 2 3 6_Sheet4" xfId="3615"/>
    <cellStyle name="표준 3 3 2 2 3 7" xfId="3616"/>
    <cellStyle name="표준 3 3 2 2 3 7 2" xfId="11858"/>
    <cellStyle name="표준 3 3 2 2 3 7 2 2" xfId="34325"/>
    <cellStyle name="표준 3 3 2 2 3 7 3" xfId="19342"/>
    <cellStyle name="표준 3 3 2 2 3 7 3 2" xfId="41807"/>
    <cellStyle name="표준 3 3 2 2 3 7 4" xfId="26843"/>
    <cellStyle name="표준 3 3 2 2 3 8" xfId="11811"/>
    <cellStyle name="표준 3 3 2 2 3 8 2" xfId="34278"/>
    <cellStyle name="표준 3 3 2 2 3 9" xfId="19295"/>
    <cellStyle name="표준 3 3 2 2 3 9 2" xfId="41760"/>
    <cellStyle name="표준 3 3 2 2 3_Sheet4" xfId="3617"/>
    <cellStyle name="표준 3 3 2 2 4" xfId="3618"/>
    <cellStyle name="표준 3 3 2 2 4 2" xfId="3619"/>
    <cellStyle name="표준 3 3 2 2 4 2 2" xfId="3620"/>
    <cellStyle name="표준 3 3 2 2 4 2 2 2" xfId="3621"/>
    <cellStyle name="표준 3 3 2 2 4 2 2 2 2" xfId="3622"/>
    <cellStyle name="표준 3 3 2 2 4 2 2 2 2 2" xfId="11863"/>
    <cellStyle name="표준 3 3 2 2 4 2 2 2 2 2 2" xfId="34330"/>
    <cellStyle name="표준 3 3 2 2 4 2 2 2 2 3" xfId="19347"/>
    <cellStyle name="표준 3 3 2 2 4 2 2 2 2 3 2" xfId="41812"/>
    <cellStyle name="표준 3 3 2 2 4 2 2 2 2 4" xfId="26848"/>
    <cellStyle name="표준 3 3 2 2 4 2 2 2 3" xfId="11862"/>
    <cellStyle name="표준 3 3 2 2 4 2 2 2 3 2" xfId="34329"/>
    <cellStyle name="표준 3 3 2 2 4 2 2 2 4" xfId="19346"/>
    <cellStyle name="표준 3 3 2 2 4 2 2 2 4 2" xfId="41811"/>
    <cellStyle name="표준 3 3 2 2 4 2 2 2 5" xfId="26847"/>
    <cellStyle name="표준 3 3 2 2 4 2 2 2_Sheet4" xfId="3623"/>
    <cellStyle name="표준 3 3 2 2 4 2 2 3" xfId="3624"/>
    <cellStyle name="표준 3 3 2 2 4 2 2 3 2" xfId="11864"/>
    <cellStyle name="표준 3 3 2 2 4 2 2 3 2 2" xfId="34331"/>
    <cellStyle name="표준 3 3 2 2 4 2 2 3 3" xfId="19348"/>
    <cellStyle name="표준 3 3 2 2 4 2 2 3 3 2" xfId="41813"/>
    <cellStyle name="표준 3 3 2 2 4 2 2 3 4" xfId="26849"/>
    <cellStyle name="표준 3 3 2 2 4 2 2 4" xfId="11861"/>
    <cellStyle name="표준 3 3 2 2 4 2 2 4 2" xfId="34328"/>
    <cellStyle name="표준 3 3 2 2 4 2 2 5" xfId="19345"/>
    <cellStyle name="표준 3 3 2 2 4 2 2 5 2" xfId="41810"/>
    <cellStyle name="표준 3 3 2 2 4 2 2 6" xfId="26846"/>
    <cellStyle name="표준 3 3 2 2 4 2 2_Sheet4" xfId="3625"/>
    <cellStyle name="표준 3 3 2 2 4 2 3" xfId="3626"/>
    <cellStyle name="표준 3 3 2 2 4 2 3 2" xfId="3627"/>
    <cellStyle name="표준 3 3 2 2 4 2 3 2 2" xfId="11866"/>
    <cellStyle name="표준 3 3 2 2 4 2 3 2 2 2" xfId="34333"/>
    <cellStyle name="표준 3 3 2 2 4 2 3 2 3" xfId="19350"/>
    <cellStyle name="표준 3 3 2 2 4 2 3 2 3 2" xfId="41815"/>
    <cellStyle name="표준 3 3 2 2 4 2 3 2 4" xfId="26851"/>
    <cellStyle name="표준 3 3 2 2 4 2 3 3" xfId="11865"/>
    <cellStyle name="표준 3 3 2 2 4 2 3 3 2" xfId="34332"/>
    <cellStyle name="표준 3 3 2 2 4 2 3 4" xfId="19349"/>
    <cellStyle name="표준 3 3 2 2 4 2 3 4 2" xfId="41814"/>
    <cellStyle name="표준 3 3 2 2 4 2 3 5" xfId="26850"/>
    <cellStyle name="표준 3 3 2 2 4 2 3_Sheet4" xfId="3628"/>
    <cellStyle name="표준 3 3 2 2 4 2 4" xfId="3629"/>
    <cellStyle name="표준 3 3 2 2 4 2 4 2" xfId="11867"/>
    <cellStyle name="표준 3 3 2 2 4 2 4 2 2" xfId="34334"/>
    <cellStyle name="표준 3 3 2 2 4 2 4 3" xfId="19351"/>
    <cellStyle name="표준 3 3 2 2 4 2 4 3 2" xfId="41816"/>
    <cellStyle name="표준 3 3 2 2 4 2 4 4" xfId="26852"/>
    <cellStyle name="표준 3 3 2 2 4 2 5" xfId="11860"/>
    <cellStyle name="표준 3 3 2 2 4 2 5 2" xfId="34327"/>
    <cellStyle name="표준 3 3 2 2 4 2 6" xfId="19344"/>
    <cellStyle name="표준 3 3 2 2 4 2 6 2" xfId="41809"/>
    <cellStyle name="표준 3 3 2 2 4 2 7" xfId="26845"/>
    <cellStyle name="표준 3 3 2 2 4 2_Sheet4" xfId="3630"/>
    <cellStyle name="표준 3 3 2 2 4 3" xfId="3631"/>
    <cellStyle name="표준 3 3 2 2 4 3 2" xfId="3632"/>
    <cellStyle name="표준 3 3 2 2 4 3 2 2" xfId="3633"/>
    <cellStyle name="표준 3 3 2 2 4 3 2 2 2" xfId="11870"/>
    <cellStyle name="표준 3 3 2 2 4 3 2 2 2 2" xfId="34337"/>
    <cellStyle name="표준 3 3 2 2 4 3 2 2 3" xfId="19354"/>
    <cellStyle name="표준 3 3 2 2 4 3 2 2 3 2" xfId="41819"/>
    <cellStyle name="표준 3 3 2 2 4 3 2 2 4" xfId="26855"/>
    <cellStyle name="표준 3 3 2 2 4 3 2 3" xfId="11869"/>
    <cellStyle name="표준 3 3 2 2 4 3 2 3 2" xfId="34336"/>
    <cellStyle name="표준 3 3 2 2 4 3 2 4" xfId="19353"/>
    <cellStyle name="표준 3 3 2 2 4 3 2 4 2" xfId="41818"/>
    <cellStyle name="표준 3 3 2 2 4 3 2 5" xfId="26854"/>
    <cellStyle name="표준 3 3 2 2 4 3 2_Sheet4" xfId="3634"/>
    <cellStyle name="표준 3 3 2 2 4 3 3" xfId="3635"/>
    <cellStyle name="표준 3 3 2 2 4 3 3 2" xfId="11871"/>
    <cellStyle name="표준 3 3 2 2 4 3 3 2 2" xfId="34338"/>
    <cellStyle name="표준 3 3 2 2 4 3 3 3" xfId="19355"/>
    <cellStyle name="표준 3 3 2 2 4 3 3 3 2" xfId="41820"/>
    <cellStyle name="표준 3 3 2 2 4 3 3 4" xfId="26856"/>
    <cellStyle name="표준 3 3 2 2 4 3 4" xfId="11868"/>
    <cellStyle name="표준 3 3 2 2 4 3 4 2" xfId="34335"/>
    <cellStyle name="표준 3 3 2 2 4 3 5" xfId="19352"/>
    <cellStyle name="표준 3 3 2 2 4 3 5 2" xfId="41817"/>
    <cellStyle name="표준 3 3 2 2 4 3 6" xfId="26853"/>
    <cellStyle name="표준 3 3 2 2 4 3_Sheet4" xfId="3636"/>
    <cellStyle name="표준 3 3 2 2 4 4" xfId="3637"/>
    <cellStyle name="표준 3 3 2 2 4 4 2" xfId="3638"/>
    <cellStyle name="표준 3 3 2 2 4 4 2 2" xfId="11873"/>
    <cellStyle name="표준 3 3 2 2 4 4 2 2 2" xfId="34340"/>
    <cellStyle name="표준 3 3 2 2 4 4 2 3" xfId="19357"/>
    <cellStyle name="표준 3 3 2 2 4 4 2 3 2" xfId="41822"/>
    <cellStyle name="표준 3 3 2 2 4 4 2 4" xfId="26858"/>
    <cellStyle name="표준 3 3 2 2 4 4 3" xfId="11872"/>
    <cellStyle name="표준 3 3 2 2 4 4 3 2" xfId="34339"/>
    <cellStyle name="표준 3 3 2 2 4 4 4" xfId="19356"/>
    <cellStyle name="표준 3 3 2 2 4 4 4 2" xfId="41821"/>
    <cellStyle name="표준 3 3 2 2 4 4 5" xfId="26857"/>
    <cellStyle name="표준 3 3 2 2 4 4_Sheet4" xfId="3639"/>
    <cellStyle name="표준 3 3 2 2 4 5" xfId="3640"/>
    <cellStyle name="표준 3 3 2 2 4 5 2" xfId="11874"/>
    <cellStyle name="표준 3 3 2 2 4 5 2 2" xfId="34341"/>
    <cellStyle name="표준 3 3 2 2 4 5 3" xfId="19358"/>
    <cellStyle name="표준 3 3 2 2 4 5 3 2" xfId="41823"/>
    <cellStyle name="표준 3 3 2 2 4 5 4" xfId="26859"/>
    <cellStyle name="표준 3 3 2 2 4 6" xfId="11859"/>
    <cellStyle name="표준 3 3 2 2 4 6 2" xfId="34326"/>
    <cellStyle name="표준 3 3 2 2 4 7" xfId="19343"/>
    <cellStyle name="표준 3 3 2 2 4 7 2" xfId="41808"/>
    <cellStyle name="표준 3 3 2 2 4 8" xfId="26844"/>
    <cellStyle name="표준 3 3 2 2 4_Sheet4" xfId="3641"/>
    <cellStyle name="표준 3 3 2 2 5" xfId="3642"/>
    <cellStyle name="표준 3 3 2 2 5 2" xfId="3643"/>
    <cellStyle name="표준 3 3 2 2 5 2 2" xfId="3644"/>
    <cellStyle name="표준 3 3 2 2 5 2 2 2" xfId="3645"/>
    <cellStyle name="표준 3 3 2 2 5 2 2 2 2" xfId="3646"/>
    <cellStyle name="표준 3 3 2 2 5 2 2 2 2 2" xfId="11879"/>
    <cellStyle name="표준 3 3 2 2 5 2 2 2 2 2 2" xfId="34346"/>
    <cellStyle name="표준 3 3 2 2 5 2 2 2 2 3" xfId="19363"/>
    <cellStyle name="표준 3 3 2 2 5 2 2 2 2 3 2" xfId="41828"/>
    <cellStyle name="표준 3 3 2 2 5 2 2 2 2 4" xfId="26864"/>
    <cellStyle name="표준 3 3 2 2 5 2 2 2 3" xfId="11878"/>
    <cellStyle name="표준 3 3 2 2 5 2 2 2 3 2" xfId="34345"/>
    <cellStyle name="표준 3 3 2 2 5 2 2 2 4" xfId="19362"/>
    <cellStyle name="표준 3 3 2 2 5 2 2 2 4 2" xfId="41827"/>
    <cellStyle name="표준 3 3 2 2 5 2 2 2 5" xfId="26863"/>
    <cellStyle name="표준 3 3 2 2 5 2 2 2_Sheet4" xfId="3647"/>
    <cellStyle name="표준 3 3 2 2 5 2 2 3" xfId="3648"/>
    <cellStyle name="표준 3 3 2 2 5 2 2 3 2" xfId="11880"/>
    <cellStyle name="표준 3 3 2 2 5 2 2 3 2 2" xfId="34347"/>
    <cellStyle name="표준 3 3 2 2 5 2 2 3 3" xfId="19364"/>
    <cellStyle name="표준 3 3 2 2 5 2 2 3 3 2" xfId="41829"/>
    <cellStyle name="표준 3 3 2 2 5 2 2 3 4" xfId="26865"/>
    <cellStyle name="표준 3 3 2 2 5 2 2 4" xfId="11877"/>
    <cellStyle name="표준 3 3 2 2 5 2 2 4 2" xfId="34344"/>
    <cellStyle name="표준 3 3 2 2 5 2 2 5" xfId="19361"/>
    <cellStyle name="표준 3 3 2 2 5 2 2 5 2" xfId="41826"/>
    <cellStyle name="표준 3 3 2 2 5 2 2 6" xfId="26862"/>
    <cellStyle name="표준 3 3 2 2 5 2 2_Sheet4" xfId="3649"/>
    <cellStyle name="표준 3 3 2 2 5 2 3" xfId="3650"/>
    <cellStyle name="표준 3 3 2 2 5 2 3 2" xfId="3651"/>
    <cellStyle name="표준 3 3 2 2 5 2 3 2 2" xfId="11882"/>
    <cellStyle name="표준 3 3 2 2 5 2 3 2 2 2" xfId="34349"/>
    <cellStyle name="표준 3 3 2 2 5 2 3 2 3" xfId="19366"/>
    <cellStyle name="표준 3 3 2 2 5 2 3 2 3 2" xfId="41831"/>
    <cellStyle name="표준 3 3 2 2 5 2 3 2 4" xfId="26867"/>
    <cellStyle name="표준 3 3 2 2 5 2 3 3" xfId="11881"/>
    <cellStyle name="표준 3 3 2 2 5 2 3 3 2" xfId="34348"/>
    <cellStyle name="표준 3 3 2 2 5 2 3 4" xfId="19365"/>
    <cellStyle name="표준 3 3 2 2 5 2 3 4 2" xfId="41830"/>
    <cellStyle name="표준 3 3 2 2 5 2 3 5" xfId="26866"/>
    <cellStyle name="표준 3 3 2 2 5 2 3_Sheet4" xfId="3652"/>
    <cellStyle name="표준 3 3 2 2 5 2 4" xfId="3653"/>
    <cellStyle name="표준 3 3 2 2 5 2 4 2" xfId="11883"/>
    <cellStyle name="표준 3 3 2 2 5 2 4 2 2" xfId="34350"/>
    <cellStyle name="표준 3 3 2 2 5 2 4 3" xfId="19367"/>
    <cellStyle name="표준 3 3 2 2 5 2 4 3 2" xfId="41832"/>
    <cellStyle name="표준 3 3 2 2 5 2 4 4" xfId="26868"/>
    <cellStyle name="표준 3 3 2 2 5 2 5" xfId="11876"/>
    <cellStyle name="표준 3 3 2 2 5 2 5 2" xfId="34343"/>
    <cellStyle name="표준 3 3 2 2 5 2 6" xfId="19360"/>
    <cellStyle name="표준 3 3 2 2 5 2 6 2" xfId="41825"/>
    <cellStyle name="표준 3 3 2 2 5 2 7" xfId="26861"/>
    <cellStyle name="표준 3 3 2 2 5 2_Sheet4" xfId="3654"/>
    <cellStyle name="표준 3 3 2 2 5 3" xfId="3655"/>
    <cellStyle name="표준 3 3 2 2 5 3 2" xfId="3656"/>
    <cellStyle name="표준 3 3 2 2 5 3 2 2" xfId="3657"/>
    <cellStyle name="표준 3 3 2 2 5 3 2 2 2" xfId="11886"/>
    <cellStyle name="표준 3 3 2 2 5 3 2 2 2 2" xfId="34353"/>
    <cellStyle name="표준 3 3 2 2 5 3 2 2 3" xfId="19370"/>
    <cellStyle name="표준 3 3 2 2 5 3 2 2 3 2" xfId="41835"/>
    <cellStyle name="표준 3 3 2 2 5 3 2 2 4" xfId="26871"/>
    <cellStyle name="표준 3 3 2 2 5 3 2 3" xfId="11885"/>
    <cellStyle name="표준 3 3 2 2 5 3 2 3 2" xfId="34352"/>
    <cellStyle name="표준 3 3 2 2 5 3 2 4" xfId="19369"/>
    <cellStyle name="표준 3 3 2 2 5 3 2 4 2" xfId="41834"/>
    <cellStyle name="표준 3 3 2 2 5 3 2 5" xfId="26870"/>
    <cellStyle name="표준 3 3 2 2 5 3 2_Sheet4" xfId="3658"/>
    <cellStyle name="표준 3 3 2 2 5 3 3" xfId="3659"/>
    <cellStyle name="표준 3 3 2 2 5 3 3 2" xfId="11887"/>
    <cellStyle name="표준 3 3 2 2 5 3 3 2 2" xfId="34354"/>
    <cellStyle name="표준 3 3 2 2 5 3 3 3" xfId="19371"/>
    <cellStyle name="표준 3 3 2 2 5 3 3 3 2" xfId="41836"/>
    <cellStyle name="표준 3 3 2 2 5 3 3 4" xfId="26872"/>
    <cellStyle name="표준 3 3 2 2 5 3 4" xfId="11884"/>
    <cellStyle name="표준 3 3 2 2 5 3 4 2" xfId="34351"/>
    <cellStyle name="표준 3 3 2 2 5 3 5" xfId="19368"/>
    <cellStyle name="표준 3 3 2 2 5 3 5 2" xfId="41833"/>
    <cellStyle name="표준 3 3 2 2 5 3 6" xfId="26869"/>
    <cellStyle name="표준 3 3 2 2 5 3_Sheet4" xfId="3660"/>
    <cellStyle name="표준 3 3 2 2 5 4" xfId="3661"/>
    <cellStyle name="표준 3 3 2 2 5 4 2" xfId="3662"/>
    <cellStyle name="표준 3 3 2 2 5 4 2 2" xfId="11889"/>
    <cellStyle name="표준 3 3 2 2 5 4 2 2 2" xfId="34356"/>
    <cellStyle name="표준 3 3 2 2 5 4 2 3" xfId="19373"/>
    <cellStyle name="표준 3 3 2 2 5 4 2 3 2" xfId="41838"/>
    <cellStyle name="표준 3 3 2 2 5 4 2 4" xfId="26874"/>
    <cellStyle name="표준 3 3 2 2 5 4 3" xfId="11888"/>
    <cellStyle name="표준 3 3 2 2 5 4 3 2" xfId="34355"/>
    <cellStyle name="표준 3 3 2 2 5 4 4" xfId="19372"/>
    <cellStyle name="표준 3 3 2 2 5 4 4 2" xfId="41837"/>
    <cellStyle name="표준 3 3 2 2 5 4 5" xfId="26873"/>
    <cellStyle name="표준 3 3 2 2 5 4_Sheet4" xfId="3663"/>
    <cellStyle name="표준 3 3 2 2 5 5" xfId="3664"/>
    <cellStyle name="표준 3 3 2 2 5 5 2" xfId="11890"/>
    <cellStyle name="표준 3 3 2 2 5 5 2 2" xfId="34357"/>
    <cellStyle name="표준 3 3 2 2 5 5 3" xfId="19374"/>
    <cellStyle name="표준 3 3 2 2 5 5 3 2" xfId="41839"/>
    <cellStyle name="표준 3 3 2 2 5 5 4" xfId="26875"/>
    <cellStyle name="표준 3 3 2 2 5 6" xfId="11875"/>
    <cellStyle name="표준 3 3 2 2 5 6 2" xfId="34342"/>
    <cellStyle name="표준 3 3 2 2 5 7" xfId="19359"/>
    <cellStyle name="표준 3 3 2 2 5 7 2" xfId="41824"/>
    <cellStyle name="표준 3 3 2 2 5 8" xfId="26860"/>
    <cellStyle name="표준 3 3 2 2 5_Sheet4" xfId="3665"/>
    <cellStyle name="표준 3 3 2 2 6" xfId="3666"/>
    <cellStyle name="표준 3 3 2 2 6 2" xfId="3667"/>
    <cellStyle name="표준 3 3 2 2 6 2 2" xfId="3668"/>
    <cellStyle name="표준 3 3 2 2 6 2 2 2" xfId="3669"/>
    <cellStyle name="표준 3 3 2 2 6 2 2 2 2" xfId="11894"/>
    <cellStyle name="표준 3 3 2 2 6 2 2 2 2 2" xfId="34361"/>
    <cellStyle name="표준 3 3 2 2 6 2 2 2 3" xfId="19378"/>
    <cellStyle name="표준 3 3 2 2 6 2 2 2 3 2" xfId="41843"/>
    <cellStyle name="표준 3 3 2 2 6 2 2 2 4" xfId="26879"/>
    <cellStyle name="표준 3 3 2 2 6 2 2 3" xfId="11893"/>
    <cellStyle name="표준 3 3 2 2 6 2 2 3 2" xfId="34360"/>
    <cellStyle name="표준 3 3 2 2 6 2 2 4" xfId="19377"/>
    <cellStyle name="표준 3 3 2 2 6 2 2 4 2" xfId="41842"/>
    <cellStyle name="표준 3 3 2 2 6 2 2 5" xfId="26878"/>
    <cellStyle name="표준 3 3 2 2 6 2 2_Sheet4" xfId="3670"/>
    <cellStyle name="표준 3 3 2 2 6 2 3" xfId="3671"/>
    <cellStyle name="표준 3 3 2 2 6 2 3 2" xfId="11895"/>
    <cellStyle name="표준 3 3 2 2 6 2 3 2 2" xfId="34362"/>
    <cellStyle name="표준 3 3 2 2 6 2 3 3" xfId="19379"/>
    <cellStyle name="표준 3 3 2 2 6 2 3 3 2" xfId="41844"/>
    <cellStyle name="표준 3 3 2 2 6 2 3 4" xfId="26880"/>
    <cellStyle name="표준 3 3 2 2 6 2 4" xfId="11892"/>
    <cellStyle name="표준 3 3 2 2 6 2 4 2" xfId="34359"/>
    <cellStyle name="표준 3 3 2 2 6 2 5" xfId="19376"/>
    <cellStyle name="표준 3 3 2 2 6 2 5 2" xfId="41841"/>
    <cellStyle name="표준 3 3 2 2 6 2 6" xfId="26877"/>
    <cellStyle name="표준 3 3 2 2 6 2_Sheet4" xfId="3672"/>
    <cellStyle name="표준 3 3 2 2 6 3" xfId="3673"/>
    <cellStyle name="표준 3 3 2 2 6 3 2" xfId="3674"/>
    <cellStyle name="표준 3 3 2 2 6 3 2 2" xfId="11897"/>
    <cellStyle name="표준 3 3 2 2 6 3 2 2 2" xfId="34364"/>
    <cellStyle name="표준 3 3 2 2 6 3 2 3" xfId="19381"/>
    <cellStyle name="표준 3 3 2 2 6 3 2 3 2" xfId="41846"/>
    <cellStyle name="표준 3 3 2 2 6 3 2 4" xfId="26882"/>
    <cellStyle name="표준 3 3 2 2 6 3 3" xfId="11896"/>
    <cellStyle name="표준 3 3 2 2 6 3 3 2" xfId="34363"/>
    <cellStyle name="표준 3 3 2 2 6 3 4" xfId="19380"/>
    <cellStyle name="표준 3 3 2 2 6 3 4 2" xfId="41845"/>
    <cellStyle name="표준 3 3 2 2 6 3 5" xfId="26881"/>
    <cellStyle name="표준 3 3 2 2 6 3_Sheet4" xfId="3675"/>
    <cellStyle name="표준 3 3 2 2 6 4" xfId="3676"/>
    <cellStyle name="표준 3 3 2 2 6 4 2" xfId="11898"/>
    <cellStyle name="표준 3 3 2 2 6 4 2 2" xfId="34365"/>
    <cellStyle name="표준 3 3 2 2 6 4 3" xfId="19382"/>
    <cellStyle name="표준 3 3 2 2 6 4 3 2" xfId="41847"/>
    <cellStyle name="표준 3 3 2 2 6 4 4" xfId="26883"/>
    <cellStyle name="표준 3 3 2 2 6 5" xfId="11891"/>
    <cellStyle name="표준 3 3 2 2 6 5 2" xfId="34358"/>
    <cellStyle name="표준 3 3 2 2 6 6" xfId="19375"/>
    <cellStyle name="표준 3 3 2 2 6 6 2" xfId="41840"/>
    <cellStyle name="표준 3 3 2 2 6 7" xfId="26876"/>
    <cellStyle name="표준 3 3 2 2 6_Sheet4" xfId="3677"/>
    <cellStyle name="표준 3 3 2 2 7" xfId="3678"/>
    <cellStyle name="표준 3 3 2 2 7 2" xfId="3679"/>
    <cellStyle name="표준 3 3 2 2 7 2 2" xfId="3680"/>
    <cellStyle name="표준 3 3 2 2 7 2 2 2" xfId="3681"/>
    <cellStyle name="표준 3 3 2 2 7 2 2 2 2" xfId="11902"/>
    <cellStyle name="표준 3 3 2 2 7 2 2 2 2 2" xfId="34369"/>
    <cellStyle name="표준 3 3 2 2 7 2 2 2 3" xfId="19386"/>
    <cellStyle name="표준 3 3 2 2 7 2 2 2 3 2" xfId="41851"/>
    <cellStyle name="표준 3 3 2 2 7 2 2 2 4" xfId="26887"/>
    <cellStyle name="표준 3 3 2 2 7 2 2 3" xfId="11901"/>
    <cellStyle name="표준 3 3 2 2 7 2 2 3 2" xfId="34368"/>
    <cellStyle name="표준 3 3 2 2 7 2 2 4" xfId="19385"/>
    <cellStyle name="표준 3 3 2 2 7 2 2 4 2" xfId="41850"/>
    <cellStyle name="표준 3 3 2 2 7 2 2 5" xfId="26886"/>
    <cellStyle name="표준 3 3 2 2 7 2 2_Sheet4" xfId="3682"/>
    <cellStyle name="표준 3 3 2 2 7 2 3" xfId="3683"/>
    <cellStyle name="표준 3 3 2 2 7 2 3 2" xfId="11903"/>
    <cellStyle name="표준 3 3 2 2 7 2 3 2 2" xfId="34370"/>
    <cellStyle name="표준 3 3 2 2 7 2 3 3" xfId="19387"/>
    <cellStyle name="표준 3 3 2 2 7 2 3 3 2" xfId="41852"/>
    <cellStyle name="표준 3 3 2 2 7 2 3 4" xfId="26888"/>
    <cellStyle name="표준 3 3 2 2 7 2 4" xfId="11900"/>
    <cellStyle name="표준 3 3 2 2 7 2 4 2" xfId="34367"/>
    <cellStyle name="표준 3 3 2 2 7 2 5" xfId="19384"/>
    <cellStyle name="표준 3 3 2 2 7 2 5 2" xfId="41849"/>
    <cellStyle name="표준 3 3 2 2 7 2 6" xfId="26885"/>
    <cellStyle name="표준 3 3 2 2 7 2_Sheet4" xfId="3684"/>
    <cellStyle name="표준 3 3 2 2 7 3" xfId="3685"/>
    <cellStyle name="표준 3 3 2 2 7 3 2" xfId="3686"/>
    <cellStyle name="표준 3 3 2 2 7 3 2 2" xfId="11905"/>
    <cellStyle name="표준 3 3 2 2 7 3 2 2 2" xfId="34372"/>
    <cellStyle name="표준 3 3 2 2 7 3 2 3" xfId="19389"/>
    <cellStyle name="표준 3 3 2 2 7 3 2 3 2" xfId="41854"/>
    <cellStyle name="표준 3 3 2 2 7 3 2 4" xfId="26890"/>
    <cellStyle name="표준 3 3 2 2 7 3 3" xfId="11904"/>
    <cellStyle name="표준 3 3 2 2 7 3 3 2" xfId="34371"/>
    <cellStyle name="표준 3 3 2 2 7 3 4" xfId="19388"/>
    <cellStyle name="표준 3 3 2 2 7 3 4 2" xfId="41853"/>
    <cellStyle name="표준 3 3 2 2 7 3 5" xfId="26889"/>
    <cellStyle name="표준 3 3 2 2 7 3_Sheet4" xfId="3687"/>
    <cellStyle name="표준 3 3 2 2 7 4" xfId="3688"/>
    <cellStyle name="표준 3 3 2 2 7 4 2" xfId="11906"/>
    <cellStyle name="표준 3 3 2 2 7 4 2 2" xfId="34373"/>
    <cellStyle name="표준 3 3 2 2 7 4 3" xfId="19390"/>
    <cellStyle name="표준 3 3 2 2 7 4 3 2" xfId="41855"/>
    <cellStyle name="표준 3 3 2 2 7 4 4" xfId="26891"/>
    <cellStyle name="표준 3 3 2 2 7 5" xfId="11899"/>
    <cellStyle name="표준 3 3 2 2 7 5 2" xfId="34366"/>
    <cellStyle name="표준 3 3 2 2 7 6" xfId="19383"/>
    <cellStyle name="표준 3 3 2 2 7 6 2" xfId="41848"/>
    <cellStyle name="표준 3 3 2 2 7 7" xfId="26884"/>
    <cellStyle name="표준 3 3 2 2 7_Sheet4" xfId="3689"/>
    <cellStyle name="표준 3 3 2 2 8" xfId="3690"/>
    <cellStyle name="표준 3 3 2 2 8 2" xfId="3691"/>
    <cellStyle name="표준 3 3 2 2 8 2 2" xfId="3692"/>
    <cellStyle name="표준 3 3 2 2 8 2 2 2" xfId="3693"/>
    <cellStyle name="표준 3 3 2 2 8 2 2 2 2" xfId="11910"/>
    <cellStyle name="표준 3 3 2 2 8 2 2 2 2 2" xfId="34377"/>
    <cellStyle name="표준 3 3 2 2 8 2 2 2 3" xfId="19394"/>
    <cellStyle name="표준 3 3 2 2 8 2 2 2 3 2" xfId="41859"/>
    <cellStyle name="표준 3 3 2 2 8 2 2 2 4" xfId="26895"/>
    <cellStyle name="표준 3 3 2 2 8 2 2 3" xfId="11909"/>
    <cellStyle name="표준 3 3 2 2 8 2 2 3 2" xfId="34376"/>
    <cellStyle name="표준 3 3 2 2 8 2 2 4" xfId="19393"/>
    <cellStyle name="표준 3 3 2 2 8 2 2 4 2" xfId="41858"/>
    <cellStyle name="표준 3 3 2 2 8 2 2 5" xfId="26894"/>
    <cellStyle name="표준 3 3 2 2 8 2 2_Sheet4" xfId="3694"/>
    <cellStyle name="표준 3 3 2 2 8 2 3" xfId="3695"/>
    <cellStyle name="표준 3 3 2 2 8 2 3 2" xfId="11911"/>
    <cellStyle name="표준 3 3 2 2 8 2 3 2 2" xfId="34378"/>
    <cellStyle name="표준 3 3 2 2 8 2 3 3" xfId="19395"/>
    <cellStyle name="표준 3 3 2 2 8 2 3 3 2" xfId="41860"/>
    <cellStyle name="표준 3 3 2 2 8 2 3 4" xfId="26896"/>
    <cellStyle name="표준 3 3 2 2 8 2 4" xfId="11908"/>
    <cellStyle name="표준 3 3 2 2 8 2 4 2" xfId="34375"/>
    <cellStyle name="표준 3 3 2 2 8 2 5" xfId="19392"/>
    <cellStyle name="표준 3 3 2 2 8 2 5 2" xfId="41857"/>
    <cellStyle name="표준 3 3 2 2 8 2 6" xfId="26893"/>
    <cellStyle name="표준 3 3 2 2 8 2_Sheet4" xfId="3696"/>
    <cellStyle name="표준 3 3 2 2 8 3" xfId="3697"/>
    <cellStyle name="표준 3 3 2 2 8 3 2" xfId="3698"/>
    <cellStyle name="표준 3 3 2 2 8 3 2 2" xfId="11913"/>
    <cellStyle name="표준 3 3 2 2 8 3 2 2 2" xfId="34380"/>
    <cellStyle name="표준 3 3 2 2 8 3 2 3" xfId="19397"/>
    <cellStyle name="표준 3 3 2 2 8 3 2 3 2" xfId="41862"/>
    <cellStyle name="표준 3 3 2 2 8 3 2 4" xfId="26898"/>
    <cellStyle name="표준 3 3 2 2 8 3 3" xfId="11912"/>
    <cellStyle name="표준 3 3 2 2 8 3 3 2" xfId="34379"/>
    <cellStyle name="표준 3 3 2 2 8 3 4" xfId="19396"/>
    <cellStyle name="표준 3 3 2 2 8 3 4 2" xfId="41861"/>
    <cellStyle name="표준 3 3 2 2 8 3 5" xfId="26897"/>
    <cellStyle name="표준 3 3 2 2 8 3_Sheet4" xfId="3699"/>
    <cellStyle name="표준 3 3 2 2 8 4" xfId="3700"/>
    <cellStyle name="표준 3 3 2 2 8 4 2" xfId="11914"/>
    <cellStyle name="표준 3 3 2 2 8 4 2 2" xfId="34381"/>
    <cellStyle name="표준 3 3 2 2 8 4 3" xfId="19398"/>
    <cellStyle name="표준 3 3 2 2 8 4 3 2" xfId="41863"/>
    <cellStyle name="표준 3 3 2 2 8 4 4" xfId="26899"/>
    <cellStyle name="표준 3 3 2 2 8 5" xfId="11907"/>
    <cellStyle name="표준 3 3 2 2 8 5 2" xfId="34374"/>
    <cellStyle name="표준 3 3 2 2 8 6" xfId="19391"/>
    <cellStyle name="표준 3 3 2 2 8 6 2" xfId="41856"/>
    <cellStyle name="표준 3 3 2 2 8 7" xfId="26892"/>
    <cellStyle name="표준 3 3 2 2 8_Sheet4" xfId="3701"/>
    <cellStyle name="표준 3 3 2 2 9" xfId="3702"/>
    <cellStyle name="표준 3 3 2 2 9 2" xfId="3703"/>
    <cellStyle name="표준 3 3 2 2 9 2 2" xfId="3704"/>
    <cellStyle name="표준 3 3 2 2 9 2 2 2" xfId="11917"/>
    <cellStyle name="표준 3 3 2 2 9 2 2 2 2" xfId="34384"/>
    <cellStyle name="표준 3 3 2 2 9 2 2 3" xfId="19401"/>
    <cellStyle name="표준 3 3 2 2 9 2 2 3 2" xfId="41866"/>
    <cellStyle name="표준 3 3 2 2 9 2 2 4" xfId="26902"/>
    <cellStyle name="표준 3 3 2 2 9 2 3" xfId="11916"/>
    <cellStyle name="표준 3 3 2 2 9 2 3 2" xfId="34383"/>
    <cellStyle name="표준 3 3 2 2 9 2 4" xfId="19400"/>
    <cellStyle name="표준 3 3 2 2 9 2 4 2" xfId="41865"/>
    <cellStyle name="표준 3 3 2 2 9 2 5" xfId="26901"/>
    <cellStyle name="표준 3 3 2 2 9 2_Sheet4" xfId="3705"/>
    <cellStyle name="표준 3 3 2 2 9 3" xfId="3706"/>
    <cellStyle name="표준 3 3 2 2 9 3 2" xfId="11918"/>
    <cellStyle name="표준 3 3 2 2 9 3 2 2" xfId="34385"/>
    <cellStyle name="표준 3 3 2 2 9 3 3" xfId="19402"/>
    <cellStyle name="표준 3 3 2 2 9 3 3 2" xfId="41867"/>
    <cellStyle name="표준 3 3 2 2 9 3 4" xfId="26903"/>
    <cellStyle name="표준 3 3 2 2 9 4" xfId="11915"/>
    <cellStyle name="표준 3 3 2 2 9 4 2" xfId="34382"/>
    <cellStyle name="표준 3 3 2 2 9 5" xfId="19399"/>
    <cellStyle name="표준 3 3 2 2 9 5 2" xfId="41864"/>
    <cellStyle name="표준 3 3 2 2 9 6" xfId="26900"/>
    <cellStyle name="표준 3 3 2 2 9_Sheet4" xfId="3707"/>
    <cellStyle name="표준 3 3 2 2_Sheet4" xfId="3708"/>
    <cellStyle name="표준 3 3 2 20" xfId="26651"/>
    <cellStyle name="표준 3 3 2 3" xfId="3709"/>
    <cellStyle name="표준 3 3 2 3 10" xfId="11919"/>
    <cellStyle name="표준 3 3 2 3 10 2" xfId="34386"/>
    <cellStyle name="표준 3 3 2 3 11" xfId="19403"/>
    <cellStyle name="표준 3 3 2 3 11 2" xfId="41868"/>
    <cellStyle name="표준 3 3 2 3 12" xfId="26904"/>
    <cellStyle name="표준 3 3 2 3 2" xfId="3710"/>
    <cellStyle name="표준 3 3 2 3 2 10" xfId="26905"/>
    <cellStyle name="표준 3 3 2 3 2 2" xfId="3711"/>
    <cellStyle name="표준 3 3 2 3 2 2 2" xfId="3712"/>
    <cellStyle name="표준 3 3 2 3 2 2 2 2" xfId="3713"/>
    <cellStyle name="표준 3 3 2 3 2 2 2 2 2" xfId="3714"/>
    <cellStyle name="표준 3 3 2 3 2 2 2 2 2 2" xfId="3715"/>
    <cellStyle name="표준 3 3 2 3 2 2 2 2 2 2 2" xfId="11925"/>
    <cellStyle name="표준 3 3 2 3 2 2 2 2 2 2 2 2" xfId="34392"/>
    <cellStyle name="표준 3 3 2 3 2 2 2 2 2 2 3" xfId="19409"/>
    <cellStyle name="표준 3 3 2 3 2 2 2 2 2 2 3 2" xfId="41874"/>
    <cellStyle name="표준 3 3 2 3 2 2 2 2 2 2 4" xfId="26910"/>
    <cellStyle name="표준 3 3 2 3 2 2 2 2 2 3" xfId="11924"/>
    <cellStyle name="표준 3 3 2 3 2 2 2 2 2 3 2" xfId="34391"/>
    <cellStyle name="표준 3 3 2 3 2 2 2 2 2 4" xfId="19408"/>
    <cellStyle name="표준 3 3 2 3 2 2 2 2 2 4 2" xfId="41873"/>
    <cellStyle name="표준 3 3 2 3 2 2 2 2 2 5" xfId="26909"/>
    <cellStyle name="표준 3 3 2 3 2 2 2 2 2_Sheet4" xfId="3716"/>
    <cellStyle name="표준 3 3 2 3 2 2 2 2 3" xfId="3717"/>
    <cellStyle name="표준 3 3 2 3 2 2 2 2 3 2" xfId="11926"/>
    <cellStyle name="표준 3 3 2 3 2 2 2 2 3 2 2" xfId="34393"/>
    <cellStyle name="표준 3 3 2 3 2 2 2 2 3 3" xfId="19410"/>
    <cellStyle name="표준 3 3 2 3 2 2 2 2 3 3 2" xfId="41875"/>
    <cellStyle name="표준 3 3 2 3 2 2 2 2 3 4" xfId="26911"/>
    <cellStyle name="표준 3 3 2 3 2 2 2 2 4" xfId="11923"/>
    <cellStyle name="표준 3 3 2 3 2 2 2 2 4 2" xfId="34390"/>
    <cellStyle name="표준 3 3 2 3 2 2 2 2 5" xfId="19407"/>
    <cellStyle name="표준 3 3 2 3 2 2 2 2 5 2" xfId="41872"/>
    <cellStyle name="표준 3 3 2 3 2 2 2 2 6" xfId="26908"/>
    <cellStyle name="표준 3 3 2 3 2 2 2 2_Sheet4" xfId="3718"/>
    <cellStyle name="표준 3 3 2 3 2 2 2 3" xfId="3719"/>
    <cellStyle name="표준 3 3 2 3 2 2 2 3 2" xfId="3720"/>
    <cellStyle name="표준 3 3 2 3 2 2 2 3 2 2" xfId="11928"/>
    <cellStyle name="표준 3 3 2 3 2 2 2 3 2 2 2" xfId="34395"/>
    <cellStyle name="표준 3 3 2 3 2 2 2 3 2 3" xfId="19412"/>
    <cellStyle name="표준 3 3 2 3 2 2 2 3 2 3 2" xfId="41877"/>
    <cellStyle name="표준 3 3 2 3 2 2 2 3 2 4" xfId="26913"/>
    <cellStyle name="표준 3 3 2 3 2 2 2 3 3" xfId="11927"/>
    <cellStyle name="표준 3 3 2 3 2 2 2 3 3 2" xfId="34394"/>
    <cellStyle name="표준 3 3 2 3 2 2 2 3 4" xfId="19411"/>
    <cellStyle name="표준 3 3 2 3 2 2 2 3 4 2" xfId="41876"/>
    <cellStyle name="표준 3 3 2 3 2 2 2 3 5" xfId="26912"/>
    <cellStyle name="표준 3 3 2 3 2 2 2 3_Sheet4" xfId="3721"/>
    <cellStyle name="표준 3 3 2 3 2 2 2 4" xfId="3722"/>
    <cellStyle name="표준 3 3 2 3 2 2 2 4 2" xfId="11929"/>
    <cellStyle name="표준 3 3 2 3 2 2 2 4 2 2" xfId="34396"/>
    <cellStyle name="표준 3 3 2 3 2 2 2 4 3" xfId="19413"/>
    <cellStyle name="표준 3 3 2 3 2 2 2 4 3 2" xfId="41878"/>
    <cellStyle name="표준 3 3 2 3 2 2 2 4 4" xfId="26914"/>
    <cellStyle name="표준 3 3 2 3 2 2 2 5" xfId="11922"/>
    <cellStyle name="표준 3 3 2 3 2 2 2 5 2" xfId="34389"/>
    <cellStyle name="표준 3 3 2 3 2 2 2 6" xfId="19406"/>
    <cellStyle name="표준 3 3 2 3 2 2 2 6 2" xfId="41871"/>
    <cellStyle name="표준 3 3 2 3 2 2 2 7" xfId="26907"/>
    <cellStyle name="표준 3 3 2 3 2 2 2_Sheet4" xfId="3723"/>
    <cellStyle name="표준 3 3 2 3 2 2 3" xfId="3724"/>
    <cellStyle name="표준 3 3 2 3 2 2 3 2" xfId="3725"/>
    <cellStyle name="표준 3 3 2 3 2 2 3 2 2" xfId="3726"/>
    <cellStyle name="표준 3 3 2 3 2 2 3 2 2 2" xfId="11932"/>
    <cellStyle name="표준 3 3 2 3 2 2 3 2 2 2 2" xfId="34399"/>
    <cellStyle name="표준 3 3 2 3 2 2 3 2 2 3" xfId="19416"/>
    <cellStyle name="표준 3 3 2 3 2 2 3 2 2 3 2" xfId="41881"/>
    <cellStyle name="표준 3 3 2 3 2 2 3 2 2 4" xfId="26917"/>
    <cellStyle name="표준 3 3 2 3 2 2 3 2 3" xfId="11931"/>
    <cellStyle name="표준 3 3 2 3 2 2 3 2 3 2" xfId="34398"/>
    <cellStyle name="표준 3 3 2 3 2 2 3 2 4" xfId="19415"/>
    <cellStyle name="표준 3 3 2 3 2 2 3 2 4 2" xfId="41880"/>
    <cellStyle name="표준 3 3 2 3 2 2 3 2 5" xfId="26916"/>
    <cellStyle name="표준 3 3 2 3 2 2 3 2_Sheet4" xfId="3727"/>
    <cellStyle name="표준 3 3 2 3 2 2 3 3" xfId="3728"/>
    <cellStyle name="표준 3 3 2 3 2 2 3 3 2" xfId="11933"/>
    <cellStyle name="표준 3 3 2 3 2 2 3 3 2 2" xfId="34400"/>
    <cellStyle name="표준 3 3 2 3 2 2 3 3 3" xfId="19417"/>
    <cellStyle name="표준 3 3 2 3 2 2 3 3 3 2" xfId="41882"/>
    <cellStyle name="표준 3 3 2 3 2 2 3 3 4" xfId="26918"/>
    <cellStyle name="표준 3 3 2 3 2 2 3 4" xfId="11930"/>
    <cellStyle name="표준 3 3 2 3 2 2 3 4 2" xfId="34397"/>
    <cellStyle name="표준 3 3 2 3 2 2 3 5" xfId="19414"/>
    <cellStyle name="표준 3 3 2 3 2 2 3 5 2" xfId="41879"/>
    <cellStyle name="표준 3 3 2 3 2 2 3 6" xfId="26915"/>
    <cellStyle name="표준 3 3 2 3 2 2 3_Sheet4" xfId="3729"/>
    <cellStyle name="표준 3 3 2 3 2 2 4" xfId="3730"/>
    <cellStyle name="표준 3 3 2 3 2 2 4 2" xfId="3731"/>
    <cellStyle name="표준 3 3 2 3 2 2 4 2 2" xfId="11935"/>
    <cellStyle name="표준 3 3 2 3 2 2 4 2 2 2" xfId="34402"/>
    <cellStyle name="표준 3 3 2 3 2 2 4 2 3" xfId="19419"/>
    <cellStyle name="표준 3 3 2 3 2 2 4 2 3 2" xfId="41884"/>
    <cellStyle name="표준 3 3 2 3 2 2 4 2 4" xfId="26920"/>
    <cellStyle name="표준 3 3 2 3 2 2 4 3" xfId="11934"/>
    <cellStyle name="표준 3 3 2 3 2 2 4 3 2" xfId="34401"/>
    <cellStyle name="표준 3 3 2 3 2 2 4 4" xfId="19418"/>
    <cellStyle name="표준 3 3 2 3 2 2 4 4 2" xfId="41883"/>
    <cellStyle name="표준 3 3 2 3 2 2 4 5" xfId="26919"/>
    <cellStyle name="표준 3 3 2 3 2 2 4_Sheet4" xfId="3732"/>
    <cellStyle name="표준 3 3 2 3 2 2 5" xfId="3733"/>
    <cellStyle name="표준 3 3 2 3 2 2 5 2" xfId="11936"/>
    <cellStyle name="표준 3 3 2 3 2 2 5 2 2" xfId="34403"/>
    <cellStyle name="표준 3 3 2 3 2 2 5 3" xfId="19420"/>
    <cellStyle name="표준 3 3 2 3 2 2 5 3 2" xfId="41885"/>
    <cellStyle name="표준 3 3 2 3 2 2 5 4" xfId="26921"/>
    <cellStyle name="표준 3 3 2 3 2 2 6" xfId="11921"/>
    <cellStyle name="표준 3 3 2 3 2 2 6 2" xfId="34388"/>
    <cellStyle name="표준 3 3 2 3 2 2 7" xfId="19405"/>
    <cellStyle name="표준 3 3 2 3 2 2 7 2" xfId="41870"/>
    <cellStyle name="표준 3 3 2 3 2 2 8" xfId="26906"/>
    <cellStyle name="표준 3 3 2 3 2 2_Sheet4" xfId="3734"/>
    <cellStyle name="표준 3 3 2 3 2 3" xfId="3735"/>
    <cellStyle name="표준 3 3 2 3 2 3 2" xfId="3736"/>
    <cellStyle name="표준 3 3 2 3 2 3 2 2" xfId="3737"/>
    <cellStyle name="표준 3 3 2 3 2 3 2 2 2" xfId="3738"/>
    <cellStyle name="표준 3 3 2 3 2 3 2 2 2 2" xfId="3739"/>
    <cellStyle name="표준 3 3 2 3 2 3 2 2 2 2 2" xfId="11941"/>
    <cellStyle name="표준 3 3 2 3 2 3 2 2 2 2 2 2" xfId="34408"/>
    <cellStyle name="표준 3 3 2 3 2 3 2 2 2 2 3" xfId="19425"/>
    <cellStyle name="표준 3 3 2 3 2 3 2 2 2 2 3 2" xfId="41890"/>
    <cellStyle name="표준 3 3 2 3 2 3 2 2 2 2 4" xfId="26926"/>
    <cellStyle name="표준 3 3 2 3 2 3 2 2 2 3" xfId="11940"/>
    <cellStyle name="표준 3 3 2 3 2 3 2 2 2 3 2" xfId="34407"/>
    <cellStyle name="표준 3 3 2 3 2 3 2 2 2 4" xfId="19424"/>
    <cellStyle name="표준 3 3 2 3 2 3 2 2 2 4 2" xfId="41889"/>
    <cellStyle name="표준 3 3 2 3 2 3 2 2 2 5" xfId="26925"/>
    <cellStyle name="표준 3 3 2 3 2 3 2 2 2_Sheet4" xfId="3740"/>
    <cellStyle name="표준 3 3 2 3 2 3 2 2 3" xfId="3741"/>
    <cellStyle name="표준 3 3 2 3 2 3 2 2 3 2" xfId="11942"/>
    <cellStyle name="표준 3 3 2 3 2 3 2 2 3 2 2" xfId="34409"/>
    <cellStyle name="표준 3 3 2 3 2 3 2 2 3 3" xfId="19426"/>
    <cellStyle name="표준 3 3 2 3 2 3 2 2 3 3 2" xfId="41891"/>
    <cellStyle name="표준 3 3 2 3 2 3 2 2 3 4" xfId="26927"/>
    <cellStyle name="표준 3 3 2 3 2 3 2 2 4" xfId="11939"/>
    <cellStyle name="표준 3 3 2 3 2 3 2 2 4 2" xfId="34406"/>
    <cellStyle name="표준 3 3 2 3 2 3 2 2 5" xfId="19423"/>
    <cellStyle name="표준 3 3 2 3 2 3 2 2 5 2" xfId="41888"/>
    <cellStyle name="표준 3 3 2 3 2 3 2 2 6" xfId="26924"/>
    <cellStyle name="표준 3 3 2 3 2 3 2 2_Sheet4" xfId="3742"/>
    <cellStyle name="표준 3 3 2 3 2 3 2 3" xfId="3743"/>
    <cellStyle name="표준 3 3 2 3 2 3 2 3 2" xfId="3744"/>
    <cellStyle name="표준 3 3 2 3 2 3 2 3 2 2" xfId="11944"/>
    <cellStyle name="표준 3 3 2 3 2 3 2 3 2 2 2" xfId="34411"/>
    <cellStyle name="표준 3 3 2 3 2 3 2 3 2 3" xfId="19428"/>
    <cellStyle name="표준 3 3 2 3 2 3 2 3 2 3 2" xfId="41893"/>
    <cellStyle name="표준 3 3 2 3 2 3 2 3 2 4" xfId="26929"/>
    <cellStyle name="표준 3 3 2 3 2 3 2 3 3" xfId="11943"/>
    <cellStyle name="표준 3 3 2 3 2 3 2 3 3 2" xfId="34410"/>
    <cellStyle name="표준 3 3 2 3 2 3 2 3 4" xfId="19427"/>
    <cellStyle name="표준 3 3 2 3 2 3 2 3 4 2" xfId="41892"/>
    <cellStyle name="표준 3 3 2 3 2 3 2 3 5" xfId="26928"/>
    <cellStyle name="표준 3 3 2 3 2 3 2 3_Sheet4" xfId="3745"/>
    <cellStyle name="표준 3 3 2 3 2 3 2 4" xfId="3746"/>
    <cellStyle name="표준 3 3 2 3 2 3 2 4 2" xfId="11945"/>
    <cellStyle name="표준 3 3 2 3 2 3 2 4 2 2" xfId="34412"/>
    <cellStyle name="표준 3 3 2 3 2 3 2 4 3" xfId="19429"/>
    <cellStyle name="표준 3 3 2 3 2 3 2 4 3 2" xfId="41894"/>
    <cellStyle name="표준 3 3 2 3 2 3 2 4 4" xfId="26930"/>
    <cellStyle name="표준 3 3 2 3 2 3 2 5" xfId="11938"/>
    <cellStyle name="표준 3 3 2 3 2 3 2 5 2" xfId="34405"/>
    <cellStyle name="표준 3 3 2 3 2 3 2 6" xfId="19422"/>
    <cellStyle name="표준 3 3 2 3 2 3 2 6 2" xfId="41887"/>
    <cellStyle name="표준 3 3 2 3 2 3 2 7" xfId="26923"/>
    <cellStyle name="표준 3 3 2 3 2 3 2_Sheet4" xfId="3747"/>
    <cellStyle name="표준 3 3 2 3 2 3 3" xfId="3748"/>
    <cellStyle name="표준 3 3 2 3 2 3 3 2" xfId="3749"/>
    <cellStyle name="표준 3 3 2 3 2 3 3 2 2" xfId="3750"/>
    <cellStyle name="표준 3 3 2 3 2 3 3 2 2 2" xfId="11948"/>
    <cellStyle name="표준 3 3 2 3 2 3 3 2 2 2 2" xfId="34415"/>
    <cellStyle name="표준 3 3 2 3 2 3 3 2 2 3" xfId="19432"/>
    <cellStyle name="표준 3 3 2 3 2 3 3 2 2 3 2" xfId="41897"/>
    <cellStyle name="표준 3 3 2 3 2 3 3 2 2 4" xfId="26933"/>
    <cellStyle name="표준 3 3 2 3 2 3 3 2 3" xfId="11947"/>
    <cellStyle name="표준 3 3 2 3 2 3 3 2 3 2" xfId="34414"/>
    <cellStyle name="표준 3 3 2 3 2 3 3 2 4" xfId="19431"/>
    <cellStyle name="표준 3 3 2 3 2 3 3 2 4 2" xfId="41896"/>
    <cellStyle name="표준 3 3 2 3 2 3 3 2 5" xfId="26932"/>
    <cellStyle name="표준 3 3 2 3 2 3 3 2_Sheet4" xfId="3751"/>
    <cellStyle name="표준 3 3 2 3 2 3 3 3" xfId="3752"/>
    <cellStyle name="표준 3 3 2 3 2 3 3 3 2" xfId="11949"/>
    <cellStyle name="표준 3 3 2 3 2 3 3 3 2 2" xfId="34416"/>
    <cellStyle name="표준 3 3 2 3 2 3 3 3 3" xfId="19433"/>
    <cellStyle name="표준 3 3 2 3 2 3 3 3 3 2" xfId="41898"/>
    <cellStyle name="표준 3 3 2 3 2 3 3 3 4" xfId="26934"/>
    <cellStyle name="표준 3 3 2 3 2 3 3 4" xfId="11946"/>
    <cellStyle name="표준 3 3 2 3 2 3 3 4 2" xfId="34413"/>
    <cellStyle name="표준 3 3 2 3 2 3 3 5" xfId="19430"/>
    <cellStyle name="표준 3 3 2 3 2 3 3 5 2" xfId="41895"/>
    <cellStyle name="표준 3 3 2 3 2 3 3 6" xfId="26931"/>
    <cellStyle name="표준 3 3 2 3 2 3 3_Sheet4" xfId="3753"/>
    <cellStyle name="표준 3 3 2 3 2 3 4" xfId="3754"/>
    <cellStyle name="표준 3 3 2 3 2 3 4 2" xfId="3755"/>
    <cellStyle name="표준 3 3 2 3 2 3 4 2 2" xfId="11951"/>
    <cellStyle name="표준 3 3 2 3 2 3 4 2 2 2" xfId="34418"/>
    <cellStyle name="표준 3 3 2 3 2 3 4 2 3" xfId="19435"/>
    <cellStyle name="표준 3 3 2 3 2 3 4 2 3 2" xfId="41900"/>
    <cellStyle name="표준 3 3 2 3 2 3 4 2 4" xfId="26936"/>
    <cellStyle name="표준 3 3 2 3 2 3 4 3" xfId="11950"/>
    <cellStyle name="표준 3 3 2 3 2 3 4 3 2" xfId="34417"/>
    <cellStyle name="표준 3 3 2 3 2 3 4 4" xfId="19434"/>
    <cellStyle name="표준 3 3 2 3 2 3 4 4 2" xfId="41899"/>
    <cellStyle name="표준 3 3 2 3 2 3 4 5" xfId="26935"/>
    <cellStyle name="표준 3 3 2 3 2 3 4_Sheet4" xfId="3756"/>
    <cellStyle name="표준 3 3 2 3 2 3 5" xfId="3757"/>
    <cellStyle name="표준 3 3 2 3 2 3 5 2" xfId="11952"/>
    <cellStyle name="표준 3 3 2 3 2 3 5 2 2" xfId="34419"/>
    <cellStyle name="표준 3 3 2 3 2 3 5 3" xfId="19436"/>
    <cellStyle name="표준 3 3 2 3 2 3 5 3 2" xfId="41901"/>
    <cellStyle name="표준 3 3 2 3 2 3 5 4" xfId="26937"/>
    <cellStyle name="표준 3 3 2 3 2 3 6" xfId="11937"/>
    <cellStyle name="표준 3 3 2 3 2 3 6 2" xfId="34404"/>
    <cellStyle name="표준 3 3 2 3 2 3 7" xfId="19421"/>
    <cellStyle name="표준 3 3 2 3 2 3 7 2" xfId="41886"/>
    <cellStyle name="표준 3 3 2 3 2 3 8" xfId="26922"/>
    <cellStyle name="표준 3 3 2 3 2 3_Sheet4" xfId="3758"/>
    <cellStyle name="표준 3 3 2 3 2 4" xfId="3759"/>
    <cellStyle name="표준 3 3 2 3 2 4 2" xfId="3760"/>
    <cellStyle name="표준 3 3 2 3 2 4 2 2" xfId="3761"/>
    <cellStyle name="표준 3 3 2 3 2 4 2 2 2" xfId="3762"/>
    <cellStyle name="표준 3 3 2 3 2 4 2 2 2 2" xfId="11956"/>
    <cellStyle name="표준 3 3 2 3 2 4 2 2 2 2 2" xfId="34423"/>
    <cellStyle name="표준 3 3 2 3 2 4 2 2 2 3" xfId="19440"/>
    <cellStyle name="표준 3 3 2 3 2 4 2 2 2 3 2" xfId="41905"/>
    <cellStyle name="표준 3 3 2 3 2 4 2 2 2 4" xfId="26941"/>
    <cellStyle name="표준 3 3 2 3 2 4 2 2 3" xfId="11955"/>
    <cellStyle name="표준 3 3 2 3 2 4 2 2 3 2" xfId="34422"/>
    <cellStyle name="표준 3 3 2 3 2 4 2 2 4" xfId="19439"/>
    <cellStyle name="표준 3 3 2 3 2 4 2 2 4 2" xfId="41904"/>
    <cellStyle name="표준 3 3 2 3 2 4 2 2 5" xfId="26940"/>
    <cellStyle name="표준 3 3 2 3 2 4 2 2_Sheet4" xfId="3763"/>
    <cellStyle name="표준 3 3 2 3 2 4 2 3" xfId="3764"/>
    <cellStyle name="표준 3 3 2 3 2 4 2 3 2" xfId="11957"/>
    <cellStyle name="표준 3 3 2 3 2 4 2 3 2 2" xfId="34424"/>
    <cellStyle name="표준 3 3 2 3 2 4 2 3 3" xfId="19441"/>
    <cellStyle name="표준 3 3 2 3 2 4 2 3 3 2" xfId="41906"/>
    <cellStyle name="표준 3 3 2 3 2 4 2 3 4" xfId="26942"/>
    <cellStyle name="표준 3 3 2 3 2 4 2 4" xfId="11954"/>
    <cellStyle name="표준 3 3 2 3 2 4 2 4 2" xfId="34421"/>
    <cellStyle name="표준 3 3 2 3 2 4 2 5" xfId="19438"/>
    <cellStyle name="표준 3 3 2 3 2 4 2 5 2" xfId="41903"/>
    <cellStyle name="표준 3 3 2 3 2 4 2 6" xfId="26939"/>
    <cellStyle name="표준 3 3 2 3 2 4 2_Sheet4" xfId="3765"/>
    <cellStyle name="표준 3 3 2 3 2 4 3" xfId="3766"/>
    <cellStyle name="표준 3 3 2 3 2 4 3 2" xfId="3767"/>
    <cellStyle name="표준 3 3 2 3 2 4 3 2 2" xfId="11959"/>
    <cellStyle name="표준 3 3 2 3 2 4 3 2 2 2" xfId="34426"/>
    <cellStyle name="표준 3 3 2 3 2 4 3 2 3" xfId="19443"/>
    <cellStyle name="표준 3 3 2 3 2 4 3 2 3 2" xfId="41908"/>
    <cellStyle name="표준 3 3 2 3 2 4 3 2 4" xfId="26944"/>
    <cellStyle name="표준 3 3 2 3 2 4 3 3" xfId="11958"/>
    <cellStyle name="표준 3 3 2 3 2 4 3 3 2" xfId="34425"/>
    <cellStyle name="표준 3 3 2 3 2 4 3 4" xfId="19442"/>
    <cellStyle name="표준 3 3 2 3 2 4 3 4 2" xfId="41907"/>
    <cellStyle name="표준 3 3 2 3 2 4 3 5" xfId="26943"/>
    <cellStyle name="표준 3 3 2 3 2 4 3_Sheet4" xfId="3768"/>
    <cellStyle name="표준 3 3 2 3 2 4 4" xfId="3769"/>
    <cellStyle name="표준 3 3 2 3 2 4 4 2" xfId="11960"/>
    <cellStyle name="표준 3 3 2 3 2 4 4 2 2" xfId="34427"/>
    <cellStyle name="표준 3 3 2 3 2 4 4 3" xfId="19444"/>
    <cellStyle name="표준 3 3 2 3 2 4 4 3 2" xfId="41909"/>
    <cellStyle name="표준 3 3 2 3 2 4 4 4" xfId="26945"/>
    <cellStyle name="표준 3 3 2 3 2 4 5" xfId="11953"/>
    <cellStyle name="표준 3 3 2 3 2 4 5 2" xfId="34420"/>
    <cellStyle name="표준 3 3 2 3 2 4 6" xfId="19437"/>
    <cellStyle name="표준 3 3 2 3 2 4 6 2" xfId="41902"/>
    <cellStyle name="표준 3 3 2 3 2 4 7" xfId="26938"/>
    <cellStyle name="표준 3 3 2 3 2 4_Sheet4" xfId="3770"/>
    <cellStyle name="표준 3 3 2 3 2 5" xfId="3771"/>
    <cellStyle name="표준 3 3 2 3 2 5 2" xfId="3772"/>
    <cellStyle name="표준 3 3 2 3 2 5 2 2" xfId="3773"/>
    <cellStyle name="표준 3 3 2 3 2 5 2 2 2" xfId="11963"/>
    <cellStyle name="표준 3 3 2 3 2 5 2 2 2 2" xfId="34430"/>
    <cellStyle name="표준 3 3 2 3 2 5 2 2 3" xfId="19447"/>
    <cellStyle name="표준 3 3 2 3 2 5 2 2 3 2" xfId="41912"/>
    <cellStyle name="표준 3 3 2 3 2 5 2 2 4" xfId="26948"/>
    <cellStyle name="표준 3 3 2 3 2 5 2 3" xfId="11962"/>
    <cellStyle name="표준 3 3 2 3 2 5 2 3 2" xfId="34429"/>
    <cellStyle name="표준 3 3 2 3 2 5 2 4" xfId="19446"/>
    <cellStyle name="표준 3 3 2 3 2 5 2 4 2" xfId="41911"/>
    <cellStyle name="표준 3 3 2 3 2 5 2 5" xfId="26947"/>
    <cellStyle name="표준 3 3 2 3 2 5 2_Sheet4" xfId="3774"/>
    <cellStyle name="표준 3 3 2 3 2 5 3" xfId="3775"/>
    <cellStyle name="표준 3 3 2 3 2 5 3 2" xfId="11964"/>
    <cellStyle name="표준 3 3 2 3 2 5 3 2 2" xfId="34431"/>
    <cellStyle name="표준 3 3 2 3 2 5 3 3" xfId="19448"/>
    <cellStyle name="표준 3 3 2 3 2 5 3 3 2" xfId="41913"/>
    <cellStyle name="표준 3 3 2 3 2 5 3 4" xfId="26949"/>
    <cellStyle name="표준 3 3 2 3 2 5 4" xfId="11961"/>
    <cellStyle name="표준 3 3 2 3 2 5 4 2" xfId="34428"/>
    <cellStyle name="표준 3 3 2 3 2 5 5" xfId="19445"/>
    <cellStyle name="표준 3 3 2 3 2 5 5 2" xfId="41910"/>
    <cellStyle name="표준 3 3 2 3 2 5 6" xfId="26946"/>
    <cellStyle name="표준 3 3 2 3 2 5_Sheet4" xfId="3776"/>
    <cellStyle name="표준 3 3 2 3 2 6" xfId="3777"/>
    <cellStyle name="표준 3 3 2 3 2 6 2" xfId="3778"/>
    <cellStyle name="표준 3 3 2 3 2 6 2 2" xfId="11966"/>
    <cellStyle name="표준 3 3 2 3 2 6 2 2 2" xfId="34433"/>
    <cellStyle name="표준 3 3 2 3 2 6 2 3" xfId="19450"/>
    <cellStyle name="표준 3 3 2 3 2 6 2 3 2" xfId="41915"/>
    <cellStyle name="표준 3 3 2 3 2 6 2 4" xfId="26951"/>
    <cellStyle name="표준 3 3 2 3 2 6 3" xfId="11965"/>
    <cellStyle name="표준 3 3 2 3 2 6 3 2" xfId="34432"/>
    <cellStyle name="표준 3 3 2 3 2 6 4" xfId="19449"/>
    <cellStyle name="표준 3 3 2 3 2 6 4 2" xfId="41914"/>
    <cellStyle name="표준 3 3 2 3 2 6 5" xfId="26950"/>
    <cellStyle name="표준 3 3 2 3 2 6_Sheet4" xfId="3779"/>
    <cellStyle name="표준 3 3 2 3 2 7" xfId="3780"/>
    <cellStyle name="표준 3 3 2 3 2 7 2" xfId="11967"/>
    <cellStyle name="표준 3 3 2 3 2 7 2 2" xfId="34434"/>
    <cellStyle name="표준 3 3 2 3 2 7 3" xfId="19451"/>
    <cellStyle name="표준 3 3 2 3 2 7 3 2" xfId="41916"/>
    <cellStyle name="표준 3 3 2 3 2 7 4" xfId="26952"/>
    <cellStyle name="표준 3 3 2 3 2 8" xfId="11920"/>
    <cellStyle name="표준 3 3 2 3 2 8 2" xfId="34387"/>
    <cellStyle name="표준 3 3 2 3 2 9" xfId="19404"/>
    <cellStyle name="표준 3 3 2 3 2 9 2" xfId="41869"/>
    <cellStyle name="표준 3 3 2 3 2_Sheet4" xfId="3781"/>
    <cellStyle name="표준 3 3 2 3 3" xfId="3782"/>
    <cellStyle name="표준 3 3 2 3 3 2" xfId="3783"/>
    <cellStyle name="표준 3 3 2 3 3 2 2" xfId="3784"/>
    <cellStyle name="표준 3 3 2 3 3 2 2 2" xfId="3785"/>
    <cellStyle name="표준 3 3 2 3 3 2 2 2 2" xfId="3786"/>
    <cellStyle name="표준 3 3 2 3 3 2 2 2 2 2" xfId="11972"/>
    <cellStyle name="표준 3 3 2 3 3 2 2 2 2 2 2" xfId="34439"/>
    <cellStyle name="표준 3 3 2 3 3 2 2 2 2 3" xfId="19456"/>
    <cellStyle name="표준 3 3 2 3 3 2 2 2 2 3 2" xfId="41921"/>
    <cellStyle name="표준 3 3 2 3 3 2 2 2 2 4" xfId="26957"/>
    <cellStyle name="표준 3 3 2 3 3 2 2 2 3" xfId="11971"/>
    <cellStyle name="표준 3 3 2 3 3 2 2 2 3 2" xfId="34438"/>
    <cellStyle name="표준 3 3 2 3 3 2 2 2 4" xfId="19455"/>
    <cellStyle name="표준 3 3 2 3 3 2 2 2 4 2" xfId="41920"/>
    <cellStyle name="표준 3 3 2 3 3 2 2 2 5" xfId="26956"/>
    <cellStyle name="표준 3 3 2 3 3 2 2 2_Sheet4" xfId="3787"/>
    <cellStyle name="표준 3 3 2 3 3 2 2 3" xfId="3788"/>
    <cellStyle name="표준 3 3 2 3 3 2 2 3 2" xfId="11973"/>
    <cellStyle name="표준 3 3 2 3 3 2 2 3 2 2" xfId="34440"/>
    <cellStyle name="표준 3 3 2 3 3 2 2 3 3" xfId="19457"/>
    <cellStyle name="표준 3 3 2 3 3 2 2 3 3 2" xfId="41922"/>
    <cellStyle name="표준 3 3 2 3 3 2 2 3 4" xfId="26958"/>
    <cellStyle name="표준 3 3 2 3 3 2 2 4" xfId="11970"/>
    <cellStyle name="표준 3 3 2 3 3 2 2 4 2" xfId="34437"/>
    <cellStyle name="표준 3 3 2 3 3 2 2 5" xfId="19454"/>
    <cellStyle name="표준 3 3 2 3 3 2 2 5 2" xfId="41919"/>
    <cellStyle name="표준 3 3 2 3 3 2 2 6" xfId="26955"/>
    <cellStyle name="표준 3 3 2 3 3 2 2_Sheet4" xfId="3789"/>
    <cellStyle name="표준 3 3 2 3 3 2 3" xfId="3790"/>
    <cellStyle name="표준 3 3 2 3 3 2 3 2" xfId="3791"/>
    <cellStyle name="표준 3 3 2 3 3 2 3 2 2" xfId="11975"/>
    <cellStyle name="표준 3 3 2 3 3 2 3 2 2 2" xfId="34442"/>
    <cellStyle name="표준 3 3 2 3 3 2 3 2 3" xfId="19459"/>
    <cellStyle name="표준 3 3 2 3 3 2 3 2 3 2" xfId="41924"/>
    <cellStyle name="표준 3 3 2 3 3 2 3 2 4" xfId="26960"/>
    <cellStyle name="표준 3 3 2 3 3 2 3 3" xfId="11974"/>
    <cellStyle name="표준 3 3 2 3 3 2 3 3 2" xfId="34441"/>
    <cellStyle name="표준 3 3 2 3 3 2 3 4" xfId="19458"/>
    <cellStyle name="표준 3 3 2 3 3 2 3 4 2" xfId="41923"/>
    <cellStyle name="표준 3 3 2 3 3 2 3 5" xfId="26959"/>
    <cellStyle name="표준 3 3 2 3 3 2 3_Sheet4" xfId="3792"/>
    <cellStyle name="표준 3 3 2 3 3 2 4" xfId="3793"/>
    <cellStyle name="표준 3 3 2 3 3 2 4 2" xfId="11976"/>
    <cellStyle name="표준 3 3 2 3 3 2 4 2 2" xfId="34443"/>
    <cellStyle name="표준 3 3 2 3 3 2 4 3" xfId="19460"/>
    <cellStyle name="표준 3 3 2 3 3 2 4 3 2" xfId="41925"/>
    <cellStyle name="표준 3 3 2 3 3 2 4 4" xfId="26961"/>
    <cellStyle name="표준 3 3 2 3 3 2 5" xfId="11969"/>
    <cellStyle name="표준 3 3 2 3 3 2 5 2" xfId="34436"/>
    <cellStyle name="표준 3 3 2 3 3 2 6" xfId="19453"/>
    <cellStyle name="표준 3 3 2 3 3 2 6 2" xfId="41918"/>
    <cellStyle name="표준 3 3 2 3 3 2 7" xfId="26954"/>
    <cellStyle name="표준 3 3 2 3 3 2_Sheet4" xfId="3794"/>
    <cellStyle name="표준 3 3 2 3 3 3" xfId="3795"/>
    <cellStyle name="표준 3 3 2 3 3 3 2" xfId="3796"/>
    <cellStyle name="표준 3 3 2 3 3 3 2 2" xfId="3797"/>
    <cellStyle name="표준 3 3 2 3 3 3 2 2 2" xfId="11979"/>
    <cellStyle name="표준 3 3 2 3 3 3 2 2 2 2" xfId="34446"/>
    <cellStyle name="표준 3 3 2 3 3 3 2 2 3" xfId="19463"/>
    <cellStyle name="표준 3 3 2 3 3 3 2 2 3 2" xfId="41928"/>
    <cellStyle name="표준 3 3 2 3 3 3 2 2 4" xfId="26964"/>
    <cellStyle name="표준 3 3 2 3 3 3 2 3" xfId="11978"/>
    <cellStyle name="표준 3 3 2 3 3 3 2 3 2" xfId="34445"/>
    <cellStyle name="표준 3 3 2 3 3 3 2 4" xfId="19462"/>
    <cellStyle name="표준 3 3 2 3 3 3 2 4 2" xfId="41927"/>
    <cellStyle name="표준 3 3 2 3 3 3 2 5" xfId="26963"/>
    <cellStyle name="표준 3 3 2 3 3 3 2_Sheet4" xfId="3798"/>
    <cellStyle name="표준 3 3 2 3 3 3 3" xfId="3799"/>
    <cellStyle name="표준 3 3 2 3 3 3 3 2" xfId="11980"/>
    <cellStyle name="표준 3 3 2 3 3 3 3 2 2" xfId="34447"/>
    <cellStyle name="표준 3 3 2 3 3 3 3 3" xfId="19464"/>
    <cellStyle name="표준 3 3 2 3 3 3 3 3 2" xfId="41929"/>
    <cellStyle name="표준 3 3 2 3 3 3 3 4" xfId="26965"/>
    <cellStyle name="표준 3 3 2 3 3 3 4" xfId="11977"/>
    <cellStyle name="표준 3 3 2 3 3 3 4 2" xfId="34444"/>
    <cellStyle name="표준 3 3 2 3 3 3 5" xfId="19461"/>
    <cellStyle name="표준 3 3 2 3 3 3 5 2" xfId="41926"/>
    <cellStyle name="표준 3 3 2 3 3 3 6" xfId="26962"/>
    <cellStyle name="표준 3 3 2 3 3 3_Sheet4" xfId="3800"/>
    <cellStyle name="표준 3 3 2 3 3 4" xfId="3801"/>
    <cellStyle name="표준 3 3 2 3 3 4 2" xfId="3802"/>
    <cellStyle name="표준 3 3 2 3 3 4 2 2" xfId="11982"/>
    <cellStyle name="표준 3 3 2 3 3 4 2 2 2" xfId="34449"/>
    <cellStyle name="표준 3 3 2 3 3 4 2 3" xfId="19466"/>
    <cellStyle name="표준 3 3 2 3 3 4 2 3 2" xfId="41931"/>
    <cellStyle name="표준 3 3 2 3 3 4 2 4" xfId="26967"/>
    <cellStyle name="표준 3 3 2 3 3 4 3" xfId="11981"/>
    <cellStyle name="표준 3 3 2 3 3 4 3 2" xfId="34448"/>
    <cellStyle name="표준 3 3 2 3 3 4 4" xfId="19465"/>
    <cellStyle name="표준 3 3 2 3 3 4 4 2" xfId="41930"/>
    <cellStyle name="표준 3 3 2 3 3 4 5" xfId="26966"/>
    <cellStyle name="표준 3 3 2 3 3 4_Sheet4" xfId="3803"/>
    <cellStyle name="표준 3 3 2 3 3 5" xfId="3804"/>
    <cellStyle name="표준 3 3 2 3 3 5 2" xfId="11983"/>
    <cellStyle name="표준 3 3 2 3 3 5 2 2" xfId="34450"/>
    <cellStyle name="표준 3 3 2 3 3 5 3" xfId="19467"/>
    <cellStyle name="표준 3 3 2 3 3 5 3 2" xfId="41932"/>
    <cellStyle name="표준 3 3 2 3 3 5 4" xfId="26968"/>
    <cellStyle name="표준 3 3 2 3 3 6" xfId="11968"/>
    <cellStyle name="표준 3 3 2 3 3 6 2" xfId="34435"/>
    <cellStyle name="표준 3 3 2 3 3 7" xfId="19452"/>
    <cellStyle name="표준 3 3 2 3 3 7 2" xfId="41917"/>
    <cellStyle name="표준 3 3 2 3 3 8" xfId="26953"/>
    <cellStyle name="표준 3 3 2 3 3_Sheet4" xfId="3805"/>
    <cellStyle name="표준 3 3 2 3 4" xfId="3806"/>
    <cellStyle name="표준 3 3 2 3 4 2" xfId="3807"/>
    <cellStyle name="표준 3 3 2 3 4 2 2" xfId="3808"/>
    <cellStyle name="표준 3 3 2 3 4 2 2 2" xfId="3809"/>
    <cellStyle name="표준 3 3 2 3 4 2 2 2 2" xfId="3810"/>
    <cellStyle name="표준 3 3 2 3 4 2 2 2 2 2" xfId="11988"/>
    <cellStyle name="표준 3 3 2 3 4 2 2 2 2 2 2" xfId="34455"/>
    <cellStyle name="표준 3 3 2 3 4 2 2 2 2 3" xfId="19472"/>
    <cellStyle name="표준 3 3 2 3 4 2 2 2 2 3 2" xfId="41937"/>
    <cellStyle name="표준 3 3 2 3 4 2 2 2 2 4" xfId="26973"/>
    <cellStyle name="표준 3 3 2 3 4 2 2 2 3" xfId="11987"/>
    <cellStyle name="표준 3 3 2 3 4 2 2 2 3 2" xfId="34454"/>
    <cellStyle name="표준 3 3 2 3 4 2 2 2 4" xfId="19471"/>
    <cellStyle name="표준 3 3 2 3 4 2 2 2 4 2" xfId="41936"/>
    <cellStyle name="표준 3 3 2 3 4 2 2 2 5" xfId="26972"/>
    <cellStyle name="표준 3 3 2 3 4 2 2 2_Sheet4" xfId="3811"/>
    <cellStyle name="표준 3 3 2 3 4 2 2 3" xfId="3812"/>
    <cellStyle name="표준 3 3 2 3 4 2 2 3 2" xfId="11989"/>
    <cellStyle name="표준 3 3 2 3 4 2 2 3 2 2" xfId="34456"/>
    <cellStyle name="표준 3 3 2 3 4 2 2 3 3" xfId="19473"/>
    <cellStyle name="표준 3 3 2 3 4 2 2 3 3 2" xfId="41938"/>
    <cellStyle name="표준 3 3 2 3 4 2 2 3 4" xfId="26974"/>
    <cellStyle name="표준 3 3 2 3 4 2 2 4" xfId="11986"/>
    <cellStyle name="표준 3 3 2 3 4 2 2 4 2" xfId="34453"/>
    <cellStyle name="표준 3 3 2 3 4 2 2 5" xfId="19470"/>
    <cellStyle name="표준 3 3 2 3 4 2 2 5 2" xfId="41935"/>
    <cellStyle name="표준 3 3 2 3 4 2 2 6" xfId="26971"/>
    <cellStyle name="표준 3 3 2 3 4 2 2_Sheet4" xfId="3813"/>
    <cellStyle name="표준 3 3 2 3 4 2 3" xfId="3814"/>
    <cellStyle name="표준 3 3 2 3 4 2 3 2" xfId="3815"/>
    <cellStyle name="표준 3 3 2 3 4 2 3 2 2" xfId="11991"/>
    <cellStyle name="표준 3 3 2 3 4 2 3 2 2 2" xfId="34458"/>
    <cellStyle name="표준 3 3 2 3 4 2 3 2 3" xfId="19475"/>
    <cellStyle name="표준 3 3 2 3 4 2 3 2 3 2" xfId="41940"/>
    <cellStyle name="표준 3 3 2 3 4 2 3 2 4" xfId="26976"/>
    <cellStyle name="표준 3 3 2 3 4 2 3 3" xfId="11990"/>
    <cellStyle name="표준 3 3 2 3 4 2 3 3 2" xfId="34457"/>
    <cellStyle name="표준 3 3 2 3 4 2 3 4" xfId="19474"/>
    <cellStyle name="표준 3 3 2 3 4 2 3 4 2" xfId="41939"/>
    <cellStyle name="표준 3 3 2 3 4 2 3 5" xfId="26975"/>
    <cellStyle name="표준 3 3 2 3 4 2 3_Sheet4" xfId="3816"/>
    <cellStyle name="표준 3 3 2 3 4 2 4" xfId="3817"/>
    <cellStyle name="표준 3 3 2 3 4 2 4 2" xfId="11992"/>
    <cellStyle name="표준 3 3 2 3 4 2 4 2 2" xfId="34459"/>
    <cellStyle name="표준 3 3 2 3 4 2 4 3" xfId="19476"/>
    <cellStyle name="표준 3 3 2 3 4 2 4 3 2" xfId="41941"/>
    <cellStyle name="표준 3 3 2 3 4 2 4 4" xfId="26977"/>
    <cellStyle name="표준 3 3 2 3 4 2 5" xfId="11985"/>
    <cellStyle name="표준 3 3 2 3 4 2 5 2" xfId="34452"/>
    <cellStyle name="표준 3 3 2 3 4 2 6" xfId="19469"/>
    <cellStyle name="표준 3 3 2 3 4 2 6 2" xfId="41934"/>
    <cellStyle name="표준 3 3 2 3 4 2 7" xfId="26970"/>
    <cellStyle name="표준 3 3 2 3 4 2_Sheet4" xfId="3818"/>
    <cellStyle name="표준 3 3 2 3 4 3" xfId="3819"/>
    <cellStyle name="표준 3 3 2 3 4 3 2" xfId="3820"/>
    <cellStyle name="표준 3 3 2 3 4 3 2 2" xfId="3821"/>
    <cellStyle name="표준 3 3 2 3 4 3 2 2 2" xfId="11995"/>
    <cellStyle name="표준 3 3 2 3 4 3 2 2 2 2" xfId="34462"/>
    <cellStyle name="표준 3 3 2 3 4 3 2 2 3" xfId="19479"/>
    <cellStyle name="표준 3 3 2 3 4 3 2 2 3 2" xfId="41944"/>
    <cellStyle name="표준 3 3 2 3 4 3 2 2 4" xfId="26980"/>
    <cellStyle name="표준 3 3 2 3 4 3 2 3" xfId="11994"/>
    <cellStyle name="표준 3 3 2 3 4 3 2 3 2" xfId="34461"/>
    <cellStyle name="표준 3 3 2 3 4 3 2 4" xfId="19478"/>
    <cellStyle name="표준 3 3 2 3 4 3 2 4 2" xfId="41943"/>
    <cellStyle name="표준 3 3 2 3 4 3 2 5" xfId="26979"/>
    <cellStyle name="표준 3 3 2 3 4 3 2_Sheet4" xfId="3822"/>
    <cellStyle name="표준 3 3 2 3 4 3 3" xfId="3823"/>
    <cellStyle name="표준 3 3 2 3 4 3 3 2" xfId="11996"/>
    <cellStyle name="표준 3 3 2 3 4 3 3 2 2" xfId="34463"/>
    <cellStyle name="표준 3 3 2 3 4 3 3 3" xfId="19480"/>
    <cellStyle name="표준 3 3 2 3 4 3 3 3 2" xfId="41945"/>
    <cellStyle name="표준 3 3 2 3 4 3 3 4" xfId="26981"/>
    <cellStyle name="표준 3 3 2 3 4 3 4" xfId="11993"/>
    <cellStyle name="표준 3 3 2 3 4 3 4 2" xfId="34460"/>
    <cellStyle name="표준 3 3 2 3 4 3 5" xfId="19477"/>
    <cellStyle name="표준 3 3 2 3 4 3 5 2" xfId="41942"/>
    <cellStyle name="표준 3 3 2 3 4 3 6" xfId="26978"/>
    <cellStyle name="표준 3 3 2 3 4 3_Sheet4" xfId="3824"/>
    <cellStyle name="표준 3 3 2 3 4 4" xfId="3825"/>
    <cellStyle name="표준 3 3 2 3 4 4 2" xfId="3826"/>
    <cellStyle name="표준 3 3 2 3 4 4 2 2" xfId="11998"/>
    <cellStyle name="표준 3 3 2 3 4 4 2 2 2" xfId="34465"/>
    <cellStyle name="표준 3 3 2 3 4 4 2 3" xfId="19482"/>
    <cellStyle name="표준 3 3 2 3 4 4 2 3 2" xfId="41947"/>
    <cellStyle name="표준 3 3 2 3 4 4 2 4" xfId="26983"/>
    <cellStyle name="표준 3 3 2 3 4 4 3" xfId="11997"/>
    <cellStyle name="표준 3 3 2 3 4 4 3 2" xfId="34464"/>
    <cellStyle name="표준 3 3 2 3 4 4 4" xfId="19481"/>
    <cellStyle name="표준 3 3 2 3 4 4 4 2" xfId="41946"/>
    <cellStyle name="표준 3 3 2 3 4 4 5" xfId="26982"/>
    <cellStyle name="표준 3 3 2 3 4 4_Sheet4" xfId="3827"/>
    <cellStyle name="표준 3 3 2 3 4 5" xfId="3828"/>
    <cellStyle name="표준 3 3 2 3 4 5 2" xfId="11999"/>
    <cellStyle name="표준 3 3 2 3 4 5 2 2" xfId="34466"/>
    <cellStyle name="표준 3 3 2 3 4 5 3" xfId="19483"/>
    <cellStyle name="표준 3 3 2 3 4 5 3 2" xfId="41948"/>
    <cellStyle name="표준 3 3 2 3 4 5 4" xfId="26984"/>
    <cellStyle name="표준 3 3 2 3 4 6" xfId="11984"/>
    <cellStyle name="표준 3 3 2 3 4 6 2" xfId="34451"/>
    <cellStyle name="표준 3 3 2 3 4 7" xfId="19468"/>
    <cellStyle name="표준 3 3 2 3 4 7 2" xfId="41933"/>
    <cellStyle name="표준 3 3 2 3 4 8" xfId="26969"/>
    <cellStyle name="표준 3 3 2 3 4_Sheet4" xfId="3829"/>
    <cellStyle name="표준 3 3 2 3 5" xfId="3830"/>
    <cellStyle name="표준 3 3 2 3 5 2" xfId="3831"/>
    <cellStyle name="표준 3 3 2 3 5 2 2" xfId="3832"/>
    <cellStyle name="표준 3 3 2 3 5 2 2 2" xfId="3833"/>
    <cellStyle name="표준 3 3 2 3 5 2 2 2 2" xfId="12003"/>
    <cellStyle name="표준 3 3 2 3 5 2 2 2 2 2" xfId="34470"/>
    <cellStyle name="표준 3 3 2 3 5 2 2 2 3" xfId="19487"/>
    <cellStyle name="표준 3 3 2 3 5 2 2 2 3 2" xfId="41952"/>
    <cellStyle name="표준 3 3 2 3 5 2 2 2 4" xfId="26988"/>
    <cellStyle name="표준 3 3 2 3 5 2 2 3" xfId="12002"/>
    <cellStyle name="표준 3 3 2 3 5 2 2 3 2" xfId="34469"/>
    <cellStyle name="표준 3 3 2 3 5 2 2 4" xfId="19486"/>
    <cellStyle name="표준 3 3 2 3 5 2 2 4 2" xfId="41951"/>
    <cellStyle name="표준 3 3 2 3 5 2 2 5" xfId="26987"/>
    <cellStyle name="표준 3 3 2 3 5 2 2_Sheet4" xfId="3834"/>
    <cellStyle name="표준 3 3 2 3 5 2 3" xfId="3835"/>
    <cellStyle name="표준 3 3 2 3 5 2 3 2" xfId="12004"/>
    <cellStyle name="표준 3 3 2 3 5 2 3 2 2" xfId="34471"/>
    <cellStyle name="표준 3 3 2 3 5 2 3 3" xfId="19488"/>
    <cellStyle name="표준 3 3 2 3 5 2 3 3 2" xfId="41953"/>
    <cellStyle name="표준 3 3 2 3 5 2 3 4" xfId="26989"/>
    <cellStyle name="표준 3 3 2 3 5 2 4" xfId="12001"/>
    <cellStyle name="표준 3 3 2 3 5 2 4 2" xfId="34468"/>
    <cellStyle name="표준 3 3 2 3 5 2 5" xfId="19485"/>
    <cellStyle name="표준 3 3 2 3 5 2 5 2" xfId="41950"/>
    <cellStyle name="표준 3 3 2 3 5 2 6" xfId="26986"/>
    <cellStyle name="표준 3 3 2 3 5 2_Sheet4" xfId="3836"/>
    <cellStyle name="표준 3 3 2 3 5 3" xfId="3837"/>
    <cellStyle name="표준 3 3 2 3 5 3 2" xfId="3838"/>
    <cellStyle name="표준 3 3 2 3 5 3 2 2" xfId="12006"/>
    <cellStyle name="표준 3 3 2 3 5 3 2 2 2" xfId="34473"/>
    <cellStyle name="표준 3 3 2 3 5 3 2 3" xfId="19490"/>
    <cellStyle name="표준 3 3 2 3 5 3 2 3 2" xfId="41955"/>
    <cellStyle name="표준 3 3 2 3 5 3 2 4" xfId="26991"/>
    <cellStyle name="표준 3 3 2 3 5 3 3" xfId="12005"/>
    <cellStyle name="표준 3 3 2 3 5 3 3 2" xfId="34472"/>
    <cellStyle name="표준 3 3 2 3 5 3 4" xfId="19489"/>
    <cellStyle name="표준 3 3 2 3 5 3 4 2" xfId="41954"/>
    <cellStyle name="표준 3 3 2 3 5 3 5" xfId="26990"/>
    <cellStyle name="표준 3 3 2 3 5 3_Sheet4" xfId="3839"/>
    <cellStyle name="표준 3 3 2 3 5 4" xfId="3840"/>
    <cellStyle name="표준 3 3 2 3 5 4 2" xfId="12007"/>
    <cellStyle name="표준 3 3 2 3 5 4 2 2" xfId="34474"/>
    <cellStyle name="표준 3 3 2 3 5 4 3" xfId="19491"/>
    <cellStyle name="표준 3 3 2 3 5 4 3 2" xfId="41956"/>
    <cellStyle name="표준 3 3 2 3 5 4 4" xfId="26992"/>
    <cellStyle name="표준 3 3 2 3 5 5" xfId="12000"/>
    <cellStyle name="표준 3 3 2 3 5 5 2" xfId="34467"/>
    <cellStyle name="표준 3 3 2 3 5 6" xfId="19484"/>
    <cellStyle name="표준 3 3 2 3 5 6 2" xfId="41949"/>
    <cellStyle name="표준 3 3 2 3 5 7" xfId="26985"/>
    <cellStyle name="표준 3 3 2 3 5_Sheet4" xfId="3841"/>
    <cellStyle name="표준 3 3 2 3 6" xfId="3842"/>
    <cellStyle name="표준 3 3 2 3 6 2" xfId="3843"/>
    <cellStyle name="표준 3 3 2 3 6 2 2" xfId="3844"/>
    <cellStyle name="표준 3 3 2 3 6 2 2 2" xfId="12010"/>
    <cellStyle name="표준 3 3 2 3 6 2 2 2 2" xfId="34477"/>
    <cellStyle name="표준 3 3 2 3 6 2 2 3" xfId="19494"/>
    <cellStyle name="표준 3 3 2 3 6 2 2 3 2" xfId="41959"/>
    <cellStyle name="표준 3 3 2 3 6 2 2 4" xfId="26995"/>
    <cellStyle name="표준 3 3 2 3 6 2 3" xfId="12009"/>
    <cellStyle name="표준 3 3 2 3 6 2 3 2" xfId="34476"/>
    <cellStyle name="표준 3 3 2 3 6 2 4" xfId="19493"/>
    <cellStyle name="표준 3 3 2 3 6 2 4 2" xfId="41958"/>
    <cellStyle name="표준 3 3 2 3 6 2 5" xfId="26994"/>
    <cellStyle name="표준 3 3 2 3 6 2_Sheet4" xfId="3845"/>
    <cellStyle name="표준 3 3 2 3 6 3" xfId="3846"/>
    <cellStyle name="표준 3 3 2 3 6 3 2" xfId="12011"/>
    <cellStyle name="표준 3 3 2 3 6 3 2 2" xfId="34478"/>
    <cellStyle name="표준 3 3 2 3 6 3 3" xfId="19495"/>
    <cellStyle name="표준 3 3 2 3 6 3 3 2" xfId="41960"/>
    <cellStyle name="표준 3 3 2 3 6 3 4" xfId="26996"/>
    <cellStyle name="표준 3 3 2 3 6 4" xfId="12008"/>
    <cellStyle name="표준 3 3 2 3 6 4 2" xfId="34475"/>
    <cellStyle name="표준 3 3 2 3 6 5" xfId="19492"/>
    <cellStyle name="표준 3 3 2 3 6 5 2" xfId="41957"/>
    <cellStyle name="표준 3 3 2 3 6 6" xfId="26993"/>
    <cellStyle name="표준 3 3 2 3 6_Sheet4" xfId="3847"/>
    <cellStyle name="표준 3 3 2 3 7" xfId="3848"/>
    <cellStyle name="표준 3 3 2 3 7 2" xfId="3849"/>
    <cellStyle name="표준 3 3 2 3 7 2 2" xfId="3850"/>
    <cellStyle name="표준 3 3 2 3 7 2 2 2" xfId="12014"/>
    <cellStyle name="표준 3 3 2 3 7 2 2 2 2" xfId="34481"/>
    <cellStyle name="표준 3 3 2 3 7 2 2 3" xfId="19498"/>
    <cellStyle name="표준 3 3 2 3 7 2 2 3 2" xfId="41963"/>
    <cellStyle name="표준 3 3 2 3 7 2 2 4" xfId="26999"/>
    <cellStyle name="표준 3 3 2 3 7 2 3" xfId="12013"/>
    <cellStyle name="표준 3 3 2 3 7 2 3 2" xfId="34480"/>
    <cellStyle name="표준 3 3 2 3 7 2 4" xfId="19497"/>
    <cellStyle name="표준 3 3 2 3 7 2 4 2" xfId="41962"/>
    <cellStyle name="표준 3 3 2 3 7 2 5" xfId="26998"/>
    <cellStyle name="표준 3 3 2 3 7 2_Sheet4" xfId="3851"/>
    <cellStyle name="표준 3 3 2 3 7 3" xfId="3852"/>
    <cellStyle name="표준 3 3 2 3 7 3 2" xfId="12015"/>
    <cellStyle name="표준 3 3 2 3 7 3 2 2" xfId="34482"/>
    <cellStyle name="표준 3 3 2 3 7 3 3" xfId="19499"/>
    <cellStyle name="표준 3 3 2 3 7 3 3 2" xfId="41964"/>
    <cellStyle name="표준 3 3 2 3 7 3 4" xfId="27000"/>
    <cellStyle name="표준 3 3 2 3 7 4" xfId="12012"/>
    <cellStyle name="표준 3 3 2 3 7 4 2" xfId="34479"/>
    <cellStyle name="표준 3 3 2 3 7 5" xfId="19496"/>
    <cellStyle name="표준 3 3 2 3 7 5 2" xfId="41961"/>
    <cellStyle name="표준 3 3 2 3 7 6" xfId="26997"/>
    <cellStyle name="표준 3 3 2 3 7_Sheet4" xfId="3853"/>
    <cellStyle name="표준 3 3 2 3 8" xfId="3854"/>
    <cellStyle name="표준 3 3 2 3 8 2" xfId="3855"/>
    <cellStyle name="표준 3 3 2 3 8 2 2" xfId="12017"/>
    <cellStyle name="표준 3 3 2 3 8 2 2 2" xfId="34484"/>
    <cellStyle name="표준 3 3 2 3 8 2 3" xfId="19501"/>
    <cellStyle name="표준 3 3 2 3 8 2 3 2" xfId="41966"/>
    <cellStyle name="표준 3 3 2 3 8 2 4" xfId="27002"/>
    <cellStyle name="표준 3 3 2 3 8 3" xfId="12016"/>
    <cellStyle name="표준 3 3 2 3 8 3 2" xfId="34483"/>
    <cellStyle name="표준 3 3 2 3 8 4" xfId="19500"/>
    <cellStyle name="표준 3 3 2 3 8 4 2" xfId="41965"/>
    <cellStyle name="표준 3 3 2 3 8 5" xfId="27001"/>
    <cellStyle name="표준 3 3 2 3 8_Sheet4" xfId="3856"/>
    <cellStyle name="표준 3 3 2 3 9" xfId="3857"/>
    <cellStyle name="표준 3 3 2 3 9 2" xfId="12018"/>
    <cellStyle name="표준 3 3 2 3 9 2 2" xfId="34485"/>
    <cellStyle name="표준 3 3 2 3 9 3" xfId="19502"/>
    <cellStyle name="표준 3 3 2 3 9 3 2" xfId="41967"/>
    <cellStyle name="표준 3 3 2 3 9 4" xfId="27003"/>
    <cellStyle name="표준 3 3 2 3_Sheet4" xfId="3858"/>
    <cellStyle name="표준 3 3 2 4" xfId="3859"/>
    <cellStyle name="표준 3 3 2 4 10" xfId="19503"/>
    <cellStyle name="표준 3 3 2 4 10 2" xfId="41968"/>
    <cellStyle name="표준 3 3 2 4 11" xfId="27004"/>
    <cellStyle name="표준 3 3 2 4 2" xfId="3860"/>
    <cellStyle name="표준 3 3 2 4 2 10" xfId="27005"/>
    <cellStyle name="표준 3 3 2 4 2 2" xfId="3861"/>
    <cellStyle name="표준 3 3 2 4 2 2 2" xfId="3862"/>
    <cellStyle name="표준 3 3 2 4 2 2 2 2" xfId="3863"/>
    <cellStyle name="표준 3 3 2 4 2 2 2 2 2" xfId="3864"/>
    <cellStyle name="표준 3 3 2 4 2 2 2 2 2 2" xfId="3865"/>
    <cellStyle name="표준 3 3 2 4 2 2 2 2 2 2 2" xfId="12025"/>
    <cellStyle name="표준 3 3 2 4 2 2 2 2 2 2 2 2" xfId="34492"/>
    <cellStyle name="표준 3 3 2 4 2 2 2 2 2 2 3" xfId="19509"/>
    <cellStyle name="표준 3 3 2 4 2 2 2 2 2 2 3 2" xfId="41974"/>
    <cellStyle name="표준 3 3 2 4 2 2 2 2 2 2 4" xfId="27010"/>
    <cellStyle name="표준 3 3 2 4 2 2 2 2 2 3" xfId="12024"/>
    <cellStyle name="표준 3 3 2 4 2 2 2 2 2 3 2" xfId="34491"/>
    <cellStyle name="표준 3 3 2 4 2 2 2 2 2 4" xfId="19508"/>
    <cellStyle name="표준 3 3 2 4 2 2 2 2 2 4 2" xfId="41973"/>
    <cellStyle name="표준 3 3 2 4 2 2 2 2 2 5" xfId="27009"/>
    <cellStyle name="표준 3 3 2 4 2 2 2 2 2_Sheet4" xfId="3866"/>
    <cellStyle name="표준 3 3 2 4 2 2 2 2 3" xfId="3867"/>
    <cellStyle name="표준 3 3 2 4 2 2 2 2 3 2" xfId="12026"/>
    <cellStyle name="표준 3 3 2 4 2 2 2 2 3 2 2" xfId="34493"/>
    <cellStyle name="표준 3 3 2 4 2 2 2 2 3 3" xfId="19510"/>
    <cellStyle name="표준 3 3 2 4 2 2 2 2 3 3 2" xfId="41975"/>
    <cellStyle name="표준 3 3 2 4 2 2 2 2 3 4" xfId="27011"/>
    <cellStyle name="표준 3 3 2 4 2 2 2 2 4" xfId="12023"/>
    <cellStyle name="표준 3 3 2 4 2 2 2 2 4 2" xfId="34490"/>
    <cellStyle name="표준 3 3 2 4 2 2 2 2 5" xfId="19507"/>
    <cellStyle name="표준 3 3 2 4 2 2 2 2 5 2" xfId="41972"/>
    <cellStyle name="표준 3 3 2 4 2 2 2 2 6" xfId="27008"/>
    <cellStyle name="표준 3 3 2 4 2 2 2 2_Sheet4" xfId="3868"/>
    <cellStyle name="표준 3 3 2 4 2 2 2 3" xfId="3869"/>
    <cellStyle name="표준 3 3 2 4 2 2 2 3 2" xfId="3870"/>
    <cellStyle name="표준 3 3 2 4 2 2 2 3 2 2" xfId="12028"/>
    <cellStyle name="표준 3 3 2 4 2 2 2 3 2 2 2" xfId="34495"/>
    <cellStyle name="표준 3 3 2 4 2 2 2 3 2 3" xfId="19512"/>
    <cellStyle name="표준 3 3 2 4 2 2 2 3 2 3 2" xfId="41977"/>
    <cellStyle name="표준 3 3 2 4 2 2 2 3 2 4" xfId="27013"/>
    <cellStyle name="표준 3 3 2 4 2 2 2 3 3" xfId="12027"/>
    <cellStyle name="표준 3 3 2 4 2 2 2 3 3 2" xfId="34494"/>
    <cellStyle name="표준 3 3 2 4 2 2 2 3 4" xfId="19511"/>
    <cellStyle name="표준 3 3 2 4 2 2 2 3 4 2" xfId="41976"/>
    <cellStyle name="표준 3 3 2 4 2 2 2 3 5" xfId="27012"/>
    <cellStyle name="표준 3 3 2 4 2 2 2 3_Sheet4" xfId="3871"/>
    <cellStyle name="표준 3 3 2 4 2 2 2 4" xfId="3872"/>
    <cellStyle name="표준 3 3 2 4 2 2 2 4 2" xfId="12029"/>
    <cellStyle name="표준 3 3 2 4 2 2 2 4 2 2" xfId="34496"/>
    <cellStyle name="표준 3 3 2 4 2 2 2 4 3" xfId="19513"/>
    <cellStyle name="표준 3 3 2 4 2 2 2 4 3 2" xfId="41978"/>
    <cellStyle name="표준 3 3 2 4 2 2 2 4 4" xfId="27014"/>
    <cellStyle name="표준 3 3 2 4 2 2 2 5" xfId="12022"/>
    <cellStyle name="표준 3 3 2 4 2 2 2 5 2" xfId="34489"/>
    <cellStyle name="표준 3 3 2 4 2 2 2 6" xfId="19506"/>
    <cellStyle name="표준 3 3 2 4 2 2 2 6 2" xfId="41971"/>
    <cellStyle name="표준 3 3 2 4 2 2 2 7" xfId="27007"/>
    <cellStyle name="표준 3 3 2 4 2 2 2_Sheet4" xfId="3873"/>
    <cellStyle name="표준 3 3 2 4 2 2 3" xfId="3874"/>
    <cellStyle name="표준 3 3 2 4 2 2 3 2" xfId="3875"/>
    <cellStyle name="표준 3 3 2 4 2 2 3 2 2" xfId="3876"/>
    <cellStyle name="표준 3 3 2 4 2 2 3 2 2 2" xfId="12032"/>
    <cellStyle name="표준 3 3 2 4 2 2 3 2 2 2 2" xfId="34499"/>
    <cellStyle name="표준 3 3 2 4 2 2 3 2 2 3" xfId="19516"/>
    <cellStyle name="표준 3 3 2 4 2 2 3 2 2 3 2" xfId="41981"/>
    <cellStyle name="표준 3 3 2 4 2 2 3 2 2 4" xfId="27017"/>
    <cellStyle name="표준 3 3 2 4 2 2 3 2 3" xfId="12031"/>
    <cellStyle name="표준 3 3 2 4 2 2 3 2 3 2" xfId="34498"/>
    <cellStyle name="표준 3 3 2 4 2 2 3 2 4" xfId="19515"/>
    <cellStyle name="표준 3 3 2 4 2 2 3 2 4 2" xfId="41980"/>
    <cellStyle name="표준 3 3 2 4 2 2 3 2 5" xfId="27016"/>
    <cellStyle name="표준 3 3 2 4 2 2 3 2_Sheet4" xfId="3877"/>
    <cellStyle name="표준 3 3 2 4 2 2 3 3" xfId="3878"/>
    <cellStyle name="표준 3 3 2 4 2 2 3 3 2" xfId="12033"/>
    <cellStyle name="표준 3 3 2 4 2 2 3 3 2 2" xfId="34500"/>
    <cellStyle name="표준 3 3 2 4 2 2 3 3 3" xfId="19517"/>
    <cellStyle name="표준 3 3 2 4 2 2 3 3 3 2" xfId="41982"/>
    <cellStyle name="표준 3 3 2 4 2 2 3 3 4" xfId="27018"/>
    <cellStyle name="표준 3 3 2 4 2 2 3 4" xfId="12030"/>
    <cellStyle name="표준 3 3 2 4 2 2 3 4 2" xfId="34497"/>
    <cellStyle name="표준 3 3 2 4 2 2 3 5" xfId="19514"/>
    <cellStyle name="표준 3 3 2 4 2 2 3 5 2" xfId="41979"/>
    <cellStyle name="표준 3 3 2 4 2 2 3 6" xfId="27015"/>
    <cellStyle name="표준 3 3 2 4 2 2 3_Sheet4" xfId="3879"/>
    <cellStyle name="표준 3 3 2 4 2 2 4" xfId="3880"/>
    <cellStyle name="표준 3 3 2 4 2 2 4 2" xfId="3881"/>
    <cellStyle name="표준 3 3 2 4 2 2 4 2 2" xfId="12035"/>
    <cellStyle name="표준 3 3 2 4 2 2 4 2 2 2" xfId="34502"/>
    <cellStyle name="표준 3 3 2 4 2 2 4 2 3" xfId="19519"/>
    <cellStyle name="표준 3 3 2 4 2 2 4 2 3 2" xfId="41984"/>
    <cellStyle name="표준 3 3 2 4 2 2 4 2 4" xfId="27020"/>
    <cellStyle name="표준 3 3 2 4 2 2 4 3" xfId="12034"/>
    <cellStyle name="표준 3 3 2 4 2 2 4 3 2" xfId="34501"/>
    <cellStyle name="표준 3 3 2 4 2 2 4 4" xfId="19518"/>
    <cellStyle name="표준 3 3 2 4 2 2 4 4 2" xfId="41983"/>
    <cellStyle name="표준 3 3 2 4 2 2 4 5" xfId="27019"/>
    <cellStyle name="표준 3 3 2 4 2 2 4_Sheet4" xfId="3882"/>
    <cellStyle name="표준 3 3 2 4 2 2 5" xfId="3883"/>
    <cellStyle name="표준 3 3 2 4 2 2 5 2" xfId="12036"/>
    <cellStyle name="표준 3 3 2 4 2 2 5 2 2" xfId="34503"/>
    <cellStyle name="표준 3 3 2 4 2 2 5 3" xfId="19520"/>
    <cellStyle name="표준 3 3 2 4 2 2 5 3 2" xfId="41985"/>
    <cellStyle name="표준 3 3 2 4 2 2 5 4" xfId="27021"/>
    <cellStyle name="표준 3 3 2 4 2 2 6" xfId="12021"/>
    <cellStyle name="표준 3 3 2 4 2 2 6 2" xfId="34488"/>
    <cellStyle name="표준 3 3 2 4 2 2 7" xfId="19505"/>
    <cellStyle name="표준 3 3 2 4 2 2 7 2" xfId="41970"/>
    <cellStyle name="표준 3 3 2 4 2 2 8" xfId="27006"/>
    <cellStyle name="표준 3 3 2 4 2 2_Sheet4" xfId="3884"/>
    <cellStyle name="표준 3 3 2 4 2 3" xfId="3885"/>
    <cellStyle name="표준 3 3 2 4 2 3 2" xfId="3886"/>
    <cellStyle name="표준 3 3 2 4 2 3 2 2" xfId="3887"/>
    <cellStyle name="표준 3 3 2 4 2 3 2 2 2" xfId="3888"/>
    <cellStyle name="표준 3 3 2 4 2 3 2 2 2 2" xfId="3889"/>
    <cellStyle name="표준 3 3 2 4 2 3 2 2 2 2 2" xfId="12041"/>
    <cellStyle name="표준 3 3 2 4 2 3 2 2 2 2 2 2" xfId="34508"/>
    <cellStyle name="표준 3 3 2 4 2 3 2 2 2 2 3" xfId="19525"/>
    <cellStyle name="표준 3 3 2 4 2 3 2 2 2 2 3 2" xfId="41990"/>
    <cellStyle name="표준 3 3 2 4 2 3 2 2 2 2 4" xfId="27026"/>
    <cellStyle name="표준 3 3 2 4 2 3 2 2 2 3" xfId="12040"/>
    <cellStyle name="표준 3 3 2 4 2 3 2 2 2 3 2" xfId="34507"/>
    <cellStyle name="표준 3 3 2 4 2 3 2 2 2 4" xfId="19524"/>
    <cellStyle name="표준 3 3 2 4 2 3 2 2 2 4 2" xfId="41989"/>
    <cellStyle name="표준 3 3 2 4 2 3 2 2 2 5" xfId="27025"/>
    <cellStyle name="표준 3 3 2 4 2 3 2 2 2_Sheet4" xfId="3890"/>
    <cellStyle name="표준 3 3 2 4 2 3 2 2 3" xfId="3891"/>
    <cellStyle name="표준 3 3 2 4 2 3 2 2 3 2" xfId="12042"/>
    <cellStyle name="표준 3 3 2 4 2 3 2 2 3 2 2" xfId="34509"/>
    <cellStyle name="표준 3 3 2 4 2 3 2 2 3 3" xfId="19526"/>
    <cellStyle name="표준 3 3 2 4 2 3 2 2 3 3 2" xfId="41991"/>
    <cellStyle name="표준 3 3 2 4 2 3 2 2 3 4" xfId="27027"/>
    <cellStyle name="표준 3 3 2 4 2 3 2 2 4" xfId="12039"/>
    <cellStyle name="표준 3 3 2 4 2 3 2 2 4 2" xfId="34506"/>
    <cellStyle name="표준 3 3 2 4 2 3 2 2 5" xfId="19523"/>
    <cellStyle name="표준 3 3 2 4 2 3 2 2 5 2" xfId="41988"/>
    <cellStyle name="표준 3 3 2 4 2 3 2 2 6" xfId="27024"/>
    <cellStyle name="표준 3 3 2 4 2 3 2 2_Sheet4" xfId="3892"/>
    <cellStyle name="표준 3 3 2 4 2 3 2 3" xfId="3893"/>
    <cellStyle name="표준 3 3 2 4 2 3 2 3 2" xfId="3894"/>
    <cellStyle name="표준 3 3 2 4 2 3 2 3 2 2" xfId="12044"/>
    <cellStyle name="표준 3 3 2 4 2 3 2 3 2 2 2" xfId="34511"/>
    <cellStyle name="표준 3 3 2 4 2 3 2 3 2 3" xfId="19528"/>
    <cellStyle name="표준 3 3 2 4 2 3 2 3 2 3 2" xfId="41993"/>
    <cellStyle name="표준 3 3 2 4 2 3 2 3 2 4" xfId="27029"/>
    <cellStyle name="표준 3 3 2 4 2 3 2 3 3" xfId="12043"/>
    <cellStyle name="표준 3 3 2 4 2 3 2 3 3 2" xfId="34510"/>
    <cellStyle name="표준 3 3 2 4 2 3 2 3 4" xfId="19527"/>
    <cellStyle name="표준 3 3 2 4 2 3 2 3 4 2" xfId="41992"/>
    <cellStyle name="표준 3 3 2 4 2 3 2 3 5" xfId="27028"/>
    <cellStyle name="표준 3 3 2 4 2 3 2 3_Sheet4" xfId="3895"/>
    <cellStyle name="표준 3 3 2 4 2 3 2 4" xfId="3896"/>
    <cellStyle name="표준 3 3 2 4 2 3 2 4 2" xfId="12045"/>
    <cellStyle name="표준 3 3 2 4 2 3 2 4 2 2" xfId="34512"/>
    <cellStyle name="표준 3 3 2 4 2 3 2 4 3" xfId="19529"/>
    <cellStyle name="표준 3 3 2 4 2 3 2 4 3 2" xfId="41994"/>
    <cellStyle name="표준 3 3 2 4 2 3 2 4 4" xfId="27030"/>
    <cellStyle name="표준 3 3 2 4 2 3 2 5" xfId="12038"/>
    <cellStyle name="표준 3 3 2 4 2 3 2 5 2" xfId="34505"/>
    <cellStyle name="표준 3 3 2 4 2 3 2 6" xfId="19522"/>
    <cellStyle name="표준 3 3 2 4 2 3 2 6 2" xfId="41987"/>
    <cellStyle name="표준 3 3 2 4 2 3 2 7" xfId="27023"/>
    <cellStyle name="표준 3 3 2 4 2 3 2_Sheet4" xfId="3897"/>
    <cellStyle name="표준 3 3 2 4 2 3 3" xfId="3898"/>
    <cellStyle name="표준 3 3 2 4 2 3 3 2" xfId="3899"/>
    <cellStyle name="표준 3 3 2 4 2 3 3 2 2" xfId="3900"/>
    <cellStyle name="표준 3 3 2 4 2 3 3 2 2 2" xfId="12048"/>
    <cellStyle name="표준 3 3 2 4 2 3 3 2 2 2 2" xfId="34515"/>
    <cellStyle name="표준 3 3 2 4 2 3 3 2 2 3" xfId="19532"/>
    <cellStyle name="표준 3 3 2 4 2 3 3 2 2 3 2" xfId="41997"/>
    <cellStyle name="표준 3 3 2 4 2 3 3 2 2 4" xfId="27033"/>
    <cellStyle name="표준 3 3 2 4 2 3 3 2 3" xfId="12047"/>
    <cellStyle name="표준 3 3 2 4 2 3 3 2 3 2" xfId="34514"/>
    <cellStyle name="표준 3 3 2 4 2 3 3 2 4" xfId="19531"/>
    <cellStyle name="표준 3 3 2 4 2 3 3 2 4 2" xfId="41996"/>
    <cellStyle name="표준 3 3 2 4 2 3 3 2 5" xfId="27032"/>
    <cellStyle name="표준 3 3 2 4 2 3 3 2_Sheet4" xfId="3901"/>
    <cellStyle name="표준 3 3 2 4 2 3 3 3" xfId="3902"/>
    <cellStyle name="표준 3 3 2 4 2 3 3 3 2" xfId="12049"/>
    <cellStyle name="표준 3 3 2 4 2 3 3 3 2 2" xfId="34516"/>
    <cellStyle name="표준 3 3 2 4 2 3 3 3 3" xfId="19533"/>
    <cellStyle name="표준 3 3 2 4 2 3 3 3 3 2" xfId="41998"/>
    <cellStyle name="표준 3 3 2 4 2 3 3 3 4" xfId="27034"/>
    <cellStyle name="표준 3 3 2 4 2 3 3 4" xfId="12046"/>
    <cellStyle name="표준 3 3 2 4 2 3 3 4 2" xfId="34513"/>
    <cellStyle name="표준 3 3 2 4 2 3 3 5" xfId="19530"/>
    <cellStyle name="표준 3 3 2 4 2 3 3 5 2" xfId="41995"/>
    <cellStyle name="표준 3 3 2 4 2 3 3 6" xfId="27031"/>
    <cellStyle name="표준 3 3 2 4 2 3 3_Sheet4" xfId="3903"/>
    <cellStyle name="표준 3 3 2 4 2 3 4" xfId="3904"/>
    <cellStyle name="표준 3 3 2 4 2 3 4 2" xfId="3905"/>
    <cellStyle name="표준 3 3 2 4 2 3 4 2 2" xfId="12051"/>
    <cellStyle name="표준 3 3 2 4 2 3 4 2 2 2" xfId="34518"/>
    <cellStyle name="표준 3 3 2 4 2 3 4 2 3" xfId="19535"/>
    <cellStyle name="표준 3 3 2 4 2 3 4 2 3 2" xfId="42000"/>
    <cellStyle name="표준 3 3 2 4 2 3 4 2 4" xfId="27036"/>
    <cellStyle name="표준 3 3 2 4 2 3 4 3" xfId="12050"/>
    <cellStyle name="표준 3 3 2 4 2 3 4 3 2" xfId="34517"/>
    <cellStyle name="표준 3 3 2 4 2 3 4 4" xfId="19534"/>
    <cellStyle name="표준 3 3 2 4 2 3 4 4 2" xfId="41999"/>
    <cellStyle name="표준 3 3 2 4 2 3 4 5" xfId="27035"/>
    <cellStyle name="표준 3 3 2 4 2 3 4_Sheet4" xfId="3906"/>
    <cellStyle name="표준 3 3 2 4 2 3 5" xfId="3907"/>
    <cellStyle name="표준 3 3 2 4 2 3 5 2" xfId="12052"/>
    <cellStyle name="표준 3 3 2 4 2 3 5 2 2" xfId="34519"/>
    <cellStyle name="표준 3 3 2 4 2 3 5 3" xfId="19536"/>
    <cellStyle name="표준 3 3 2 4 2 3 5 3 2" xfId="42001"/>
    <cellStyle name="표준 3 3 2 4 2 3 5 4" xfId="27037"/>
    <cellStyle name="표준 3 3 2 4 2 3 6" xfId="12037"/>
    <cellStyle name="표준 3 3 2 4 2 3 6 2" xfId="34504"/>
    <cellStyle name="표준 3 3 2 4 2 3 7" xfId="19521"/>
    <cellStyle name="표준 3 3 2 4 2 3 7 2" xfId="41986"/>
    <cellStyle name="표준 3 3 2 4 2 3 8" xfId="27022"/>
    <cellStyle name="표준 3 3 2 4 2 3_Sheet4" xfId="3908"/>
    <cellStyle name="표준 3 3 2 4 2 4" xfId="3909"/>
    <cellStyle name="표준 3 3 2 4 2 4 2" xfId="3910"/>
    <cellStyle name="표준 3 3 2 4 2 4 2 2" xfId="3911"/>
    <cellStyle name="표준 3 3 2 4 2 4 2 2 2" xfId="3912"/>
    <cellStyle name="표준 3 3 2 4 2 4 2 2 2 2" xfId="12056"/>
    <cellStyle name="표준 3 3 2 4 2 4 2 2 2 2 2" xfId="34523"/>
    <cellStyle name="표준 3 3 2 4 2 4 2 2 2 3" xfId="19540"/>
    <cellStyle name="표준 3 3 2 4 2 4 2 2 2 3 2" xfId="42005"/>
    <cellStyle name="표준 3 3 2 4 2 4 2 2 2 4" xfId="27041"/>
    <cellStyle name="표준 3 3 2 4 2 4 2 2 3" xfId="12055"/>
    <cellStyle name="표준 3 3 2 4 2 4 2 2 3 2" xfId="34522"/>
    <cellStyle name="표준 3 3 2 4 2 4 2 2 4" xfId="19539"/>
    <cellStyle name="표준 3 3 2 4 2 4 2 2 4 2" xfId="42004"/>
    <cellStyle name="표준 3 3 2 4 2 4 2 2 5" xfId="27040"/>
    <cellStyle name="표준 3 3 2 4 2 4 2 2_Sheet4" xfId="3913"/>
    <cellStyle name="표준 3 3 2 4 2 4 2 3" xfId="3914"/>
    <cellStyle name="표준 3 3 2 4 2 4 2 3 2" xfId="12057"/>
    <cellStyle name="표준 3 3 2 4 2 4 2 3 2 2" xfId="34524"/>
    <cellStyle name="표준 3 3 2 4 2 4 2 3 3" xfId="19541"/>
    <cellStyle name="표준 3 3 2 4 2 4 2 3 3 2" xfId="42006"/>
    <cellStyle name="표준 3 3 2 4 2 4 2 3 4" xfId="27042"/>
    <cellStyle name="표준 3 3 2 4 2 4 2 4" xfId="12054"/>
    <cellStyle name="표준 3 3 2 4 2 4 2 4 2" xfId="34521"/>
    <cellStyle name="표준 3 3 2 4 2 4 2 5" xfId="19538"/>
    <cellStyle name="표준 3 3 2 4 2 4 2 5 2" xfId="42003"/>
    <cellStyle name="표준 3 3 2 4 2 4 2 6" xfId="27039"/>
    <cellStyle name="표준 3 3 2 4 2 4 2_Sheet4" xfId="3915"/>
    <cellStyle name="표준 3 3 2 4 2 4 3" xfId="3916"/>
    <cellStyle name="표준 3 3 2 4 2 4 3 2" xfId="3917"/>
    <cellStyle name="표준 3 3 2 4 2 4 3 2 2" xfId="12059"/>
    <cellStyle name="표준 3 3 2 4 2 4 3 2 2 2" xfId="34526"/>
    <cellStyle name="표준 3 3 2 4 2 4 3 2 3" xfId="19543"/>
    <cellStyle name="표준 3 3 2 4 2 4 3 2 3 2" xfId="42008"/>
    <cellStyle name="표준 3 3 2 4 2 4 3 2 4" xfId="27044"/>
    <cellStyle name="표준 3 3 2 4 2 4 3 3" xfId="12058"/>
    <cellStyle name="표준 3 3 2 4 2 4 3 3 2" xfId="34525"/>
    <cellStyle name="표준 3 3 2 4 2 4 3 4" xfId="19542"/>
    <cellStyle name="표준 3 3 2 4 2 4 3 4 2" xfId="42007"/>
    <cellStyle name="표준 3 3 2 4 2 4 3 5" xfId="27043"/>
    <cellStyle name="표준 3 3 2 4 2 4 3_Sheet4" xfId="3918"/>
    <cellStyle name="표준 3 3 2 4 2 4 4" xfId="3919"/>
    <cellStyle name="표준 3 3 2 4 2 4 4 2" xfId="12060"/>
    <cellStyle name="표준 3 3 2 4 2 4 4 2 2" xfId="34527"/>
    <cellStyle name="표준 3 3 2 4 2 4 4 3" xfId="19544"/>
    <cellStyle name="표준 3 3 2 4 2 4 4 3 2" xfId="42009"/>
    <cellStyle name="표준 3 3 2 4 2 4 4 4" xfId="27045"/>
    <cellStyle name="표준 3 3 2 4 2 4 5" xfId="12053"/>
    <cellStyle name="표준 3 3 2 4 2 4 5 2" xfId="34520"/>
    <cellStyle name="표준 3 3 2 4 2 4 6" xfId="19537"/>
    <cellStyle name="표준 3 3 2 4 2 4 6 2" xfId="42002"/>
    <cellStyle name="표준 3 3 2 4 2 4 7" xfId="27038"/>
    <cellStyle name="표준 3 3 2 4 2 4_Sheet4" xfId="3920"/>
    <cellStyle name="표준 3 3 2 4 2 5" xfId="3921"/>
    <cellStyle name="표준 3 3 2 4 2 5 2" xfId="3922"/>
    <cellStyle name="표준 3 3 2 4 2 5 2 2" xfId="3923"/>
    <cellStyle name="표준 3 3 2 4 2 5 2 2 2" xfId="12063"/>
    <cellStyle name="표준 3 3 2 4 2 5 2 2 2 2" xfId="34530"/>
    <cellStyle name="표준 3 3 2 4 2 5 2 2 3" xfId="19547"/>
    <cellStyle name="표준 3 3 2 4 2 5 2 2 3 2" xfId="42012"/>
    <cellStyle name="표준 3 3 2 4 2 5 2 2 4" xfId="27048"/>
    <cellStyle name="표준 3 3 2 4 2 5 2 3" xfId="12062"/>
    <cellStyle name="표준 3 3 2 4 2 5 2 3 2" xfId="34529"/>
    <cellStyle name="표준 3 3 2 4 2 5 2 4" xfId="19546"/>
    <cellStyle name="표준 3 3 2 4 2 5 2 4 2" xfId="42011"/>
    <cellStyle name="표준 3 3 2 4 2 5 2 5" xfId="27047"/>
    <cellStyle name="표준 3 3 2 4 2 5 2_Sheet4" xfId="3924"/>
    <cellStyle name="표준 3 3 2 4 2 5 3" xfId="3925"/>
    <cellStyle name="표준 3 3 2 4 2 5 3 2" xfId="12064"/>
    <cellStyle name="표준 3 3 2 4 2 5 3 2 2" xfId="34531"/>
    <cellStyle name="표준 3 3 2 4 2 5 3 3" xfId="19548"/>
    <cellStyle name="표준 3 3 2 4 2 5 3 3 2" xfId="42013"/>
    <cellStyle name="표준 3 3 2 4 2 5 3 4" xfId="27049"/>
    <cellStyle name="표준 3 3 2 4 2 5 4" xfId="12061"/>
    <cellStyle name="표준 3 3 2 4 2 5 4 2" xfId="34528"/>
    <cellStyle name="표준 3 3 2 4 2 5 5" xfId="19545"/>
    <cellStyle name="표준 3 3 2 4 2 5 5 2" xfId="42010"/>
    <cellStyle name="표준 3 3 2 4 2 5 6" xfId="27046"/>
    <cellStyle name="표준 3 3 2 4 2 5_Sheet4" xfId="3926"/>
    <cellStyle name="표준 3 3 2 4 2 6" xfId="3927"/>
    <cellStyle name="표준 3 3 2 4 2 6 2" xfId="3928"/>
    <cellStyle name="표준 3 3 2 4 2 6 2 2" xfId="12066"/>
    <cellStyle name="표준 3 3 2 4 2 6 2 2 2" xfId="34533"/>
    <cellStyle name="표준 3 3 2 4 2 6 2 3" xfId="19550"/>
    <cellStyle name="표준 3 3 2 4 2 6 2 3 2" xfId="42015"/>
    <cellStyle name="표준 3 3 2 4 2 6 2 4" xfId="27051"/>
    <cellStyle name="표준 3 3 2 4 2 6 3" xfId="12065"/>
    <cellStyle name="표준 3 3 2 4 2 6 3 2" xfId="34532"/>
    <cellStyle name="표준 3 3 2 4 2 6 4" xfId="19549"/>
    <cellStyle name="표준 3 3 2 4 2 6 4 2" xfId="42014"/>
    <cellStyle name="표준 3 3 2 4 2 6 5" xfId="27050"/>
    <cellStyle name="표준 3 3 2 4 2 6_Sheet4" xfId="3929"/>
    <cellStyle name="표준 3 3 2 4 2 7" xfId="3930"/>
    <cellStyle name="표준 3 3 2 4 2 7 2" xfId="12067"/>
    <cellStyle name="표준 3 3 2 4 2 7 2 2" xfId="34534"/>
    <cellStyle name="표준 3 3 2 4 2 7 3" xfId="19551"/>
    <cellStyle name="표준 3 3 2 4 2 7 3 2" xfId="42016"/>
    <cellStyle name="표준 3 3 2 4 2 7 4" xfId="27052"/>
    <cellStyle name="표준 3 3 2 4 2 8" xfId="12020"/>
    <cellStyle name="표준 3 3 2 4 2 8 2" xfId="34487"/>
    <cellStyle name="표준 3 3 2 4 2 9" xfId="19504"/>
    <cellStyle name="표준 3 3 2 4 2 9 2" xfId="41969"/>
    <cellStyle name="표준 3 3 2 4 2_Sheet4" xfId="3931"/>
    <cellStyle name="표준 3 3 2 4 3" xfId="3932"/>
    <cellStyle name="표준 3 3 2 4 3 2" xfId="3933"/>
    <cellStyle name="표준 3 3 2 4 3 2 2" xfId="3934"/>
    <cellStyle name="표준 3 3 2 4 3 2 2 2" xfId="3935"/>
    <cellStyle name="표준 3 3 2 4 3 2 2 2 2" xfId="3936"/>
    <cellStyle name="표준 3 3 2 4 3 2 2 2 2 2" xfId="12072"/>
    <cellStyle name="표준 3 3 2 4 3 2 2 2 2 2 2" xfId="34539"/>
    <cellStyle name="표준 3 3 2 4 3 2 2 2 2 3" xfId="19556"/>
    <cellStyle name="표준 3 3 2 4 3 2 2 2 2 3 2" xfId="42021"/>
    <cellStyle name="표준 3 3 2 4 3 2 2 2 2 4" xfId="27057"/>
    <cellStyle name="표준 3 3 2 4 3 2 2 2 3" xfId="12071"/>
    <cellStyle name="표준 3 3 2 4 3 2 2 2 3 2" xfId="34538"/>
    <cellStyle name="표준 3 3 2 4 3 2 2 2 4" xfId="19555"/>
    <cellStyle name="표준 3 3 2 4 3 2 2 2 4 2" xfId="42020"/>
    <cellStyle name="표준 3 3 2 4 3 2 2 2 5" xfId="27056"/>
    <cellStyle name="표준 3 3 2 4 3 2 2 2_Sheet4" xfId="3937"/>
    <cellStyle name="표준 3 3 2 4 3 2 2 3" xfId="3938"/>
    <cellStyle name="표준 3 3 2 4 3 2 2 3 2" xfId="12073"/>
    <cellStyle name="표준 3 3 2 4 3 2 2 3 2 2" xfId="34540"/>
    <cellStyle name="표준 3 3 2 4 3 2 2 3 3" xfId="19557"/>
    <cellStyle name="표준 3 3 2 4 3 2 2 3 3 2" xfId="42022"/>
    <cellStyle name="표준 3 3 2 4 3 2 2 3 4" xfId="27058"/>
    <cellStyle name="표준 3 3 2 4 3 2 2 4" xfId="12070"/>
    <cellStyle name="표준 3 3 2 4 3 2 2 4 2" xfId="34537"/>
    <cellStyle name="표준 3 3 2 4 3 2 2 5" xfId="19554"/>
    <cellStyle name="표준 3 3 2 4 3 2 2 5 2" xfId="42019"/>
    <cellStyle name="표준 3 3 2 4 3 2 2 6" xfId="27055"/>
    <cellStyle name="표준 3 3 2 4 3 2 2_Sheet4" xfId="3939"/>
    <cellStyle name="표준 3 3 2 4 3 2 3" xfId="3940"/>
    <cellStyle name="표준 3 3 2 4 3 2 3 2" xfId="3941"/>
    <cellStyle name="표준 3 3 2 4 3 2 3 2 2" xfId="12075"/>
    <cellStyle name="표준 3 3 2 4 3 2 3 2 2 2" xfId="34542"/>
    <cellStyle name="표준 3 3 2 4 3 2 3 2 3" xfId="19559"/>
    <cellStyle name="표준 3 3 2 4 3 2 3 2 3 2" xfId="42024"/>
    <cellStyle name="표준 3 3 2 4 3 2 3 2 4" xfId="27060"/>
    <cellStyle name="표준 3 3 2 4 3 2 3 3" xfId="12074"/>
    <cellStyle name="표준 3 3 2 4 3 2 3 3 2" xfId="34541"/>
    <cellStyle name="표준 3 3 2 4 3 2 3 4" xfId="19558"/>
    <cellStyle name="표준 3 3 2 4 3 2 3 4 2" xfId="42023"/>
    <cellStyle name="표준 3 3 2 4 3 2 3 5" xfId="27059"/>
    <cellStyle name="표준 3 3 2 4 3 2 3_Sheet4" xfId="3942"/>
    <cellStyle name="표준 3 3 2 4 3 2 4" xfId="3943"/>
    <cellStyle name="표준 3 3 2 4 3 2 4 2" xfId="12076"/>
    <cellStyle name="표준 3 3 2 4 3 2 4 2 2" xfId="34543"/>
    <cellStyle name="표준 3 3 2 4 3 2 4 3" xfId="19560"/>
    <cellStyle name="표준 3 3 2 4 3 2 4 3 2" xfId="42025"/>
    <cellStyle name="표준 3 3 2 4 3 2 4 4" xfId="27061"/>
    <cellStyle name="표준 3 3 2 4 3 2 5" xfId="12069"/>
    <cellStyle name="표준 3 3 2 4 3 2 5 2" xfId="34536"/>
    <cellStyle name="표준 3 3 2 4 3 2 6" xfId="19553"/>
    <cellStyle name="표준 3 3 2 4 3 2 6 2" xfId="42018"/>
    <cellStyle name="표준 3 3 2 4 3 2 7" xfId="27054"/>
    <cellStyle name="표준 3 3 2 4 3 2_Sheet4" xfId="3944"/>
    <cellStyle name="표준 3 3 2 4 3 3" xfId="3945"/>
    <cellStyle name="표준 3 3 2 4 3 3 2" xfId="3946"/>
    <cellStyle name="표준 3 3 2 4 3 3 2 2" xfId="3947"/>
    <cellStyle name="표준 3 3 2 4 3 3 2 2 2" xfId="12079"/>
    <cellStyle name="표준 3 3 2 4 3 3 2 2 2 2" xfId="34546"/>
    <cellStyle name="표준 3 3 2 4 3 3 2 2 3" xfId="19563"/>
    <cellStyle name="표준 3 3 2 4 3 3 2 2 3 2" xfId="42028"/>
    <cellStyle name="표준 3 3 2 4 3 3 2 2 4" xfId="27064"/>
    <cellStyle name="표준 3 3 2 4 3 3 2 3" xfId="12078"/>
    <cellStyle name="표준 3 3 2 4 3 3 2 3 2" xfId="34545"/>
    <cellStyle name="표준 3 3 2 4 3 3 2 4" xfId="19562"/>
    <cellStyle name="표준 3 3 2 4 3 3 2 4 2" xfId="42027"/>
    <cellStyle name="표준 3 3 2 4 3 3 2 5" xfId="27063"/>
    <cellStyle name="표준 3 3 2 4 3 3 2_Sheet4" xfId="3948"/>
    <cellStyle name="표준 3 3 2 4 3 3 3" xfId="3949"/>
    <cellStyle name="표준 3 3 2 4 3 3 3 2" xfId="12080"/>
    <cellStyle name="표준 3 3 2 4 3 3 3 2 2" xfId="34547"/>
    <cellStyle name="표준 3 3 2 4 3 3 3 3" xfId="19564"/>
    <cellStyle name="표준 3 3 2 4 3 3 3 3 2" xfId="42029"/>
    <cellStyle name="표준 3 3 2 4 3 3 3 4" xfId="27065"/>
    <cellStyle name="표준 3 3 2 4 3 3 4" xfId="12077"/>
    <cellStyle name="표준 3 3 2 4 3 3 4 2" xfId="34544"/>
    <cellStyle name="표준 3 3 2 4 3 3 5" xfId="19561"/>
    <cellStyle name="표준 3 3 2 4 3 3 5 2" xfId="42026"/>
    <cellStyle name="표준 3 3 2 4 3 3 6" xfId="27062"/>
    <cellStyle name="표준 3 3 2 4 3 3_Sheet4" xfId="3950"/>
    <cellStyle name="표준 3 3 2 4 3 4" xfId="3951"/>
    <cellStyle name="표준 3 3 2 4 3 4 2" xfId="3952"/>
    <cellStyle name="표준 3 3 2 4 3 4 2 2" xfId="12082"/>
    <cellStyle name="표준 3 3 2 4 3 4 2 2 2" xfId="34549"/>
    <cellStyle name="표준 3 3 2 4 3 4 2 3" xfId="19566"/>
    <cellStyle name="표준 3 3 2 4 3 4 2 3 2" xfId="42031"/>
    <cellStyle name="표준 3 3 2 4 3 4 2 4" xfId="27067"/>
    <cellStyle name="표준 3 3 2 4 3 4 3" xfId="12081"/>
    <cellStyle name="표준 3 3 2 4 3 4 3 2" xfId="34548"/>
    <cellStyle name="표준 3 3 2 4 3 4 4" xfId="19565"/>
    <cellStyle name="표준 3 3 2 4 3 4 4 2" xfId="42030"/>
    <cellStyle name="표준 3 3 2 4 3 4 5" xfId="27066"/>
    <cellStyle name="표준 3 3 2 4 3 4_Sheet4" xfId="3953"/>
    <cellStyle name="표준 3 3 2 4 3 5" xfId="3954"/>
    <cellStyle name="표준 3 3 2 4 3 5 2" xfId="12083"/>
    <cellStyle name="표준 3 3 2 4 3 5 2 2" xfId="34550"/>
    <cellStyle name="표준 3 3 2 4 3 5 3" xfId="19567"/>
    <cellStyle name="표준 3 3 2 4 3 5 3 2" xfId="42032"/>
    <cellStyle name="표준 3 3 2 4 3 5 4" xfId="27068"/>
    <cellStyle name="표준 3 3 2 4 3 6" xfId="12068"/>
    <cellStyle name="표준 3 3 2 4 3 6 2" xfId="34535"/>
    <cellStyle name="표준 3 3 2 4 3 7" xfId="19552"/>
    <cellStyle name="표준 3 3 2 4 3 7 2" xfId="42017"/>
    <cellStyle name="표준 3 3 2 4 3 8" xfId="27053"/>
    <cellStyle name="표준 3 3 2 4 3_Sheet4" xfId="3955"/>
    <cellStyle name="표준 3 3 2 4 4" xfId="3956"/>
    <cellStyle name="표준 3 3 2 4 4 2" xfId="3957"/>
    <cellStyle name="표준 3 3 2 4 4 2 2" xfId="3958"/>
    <cellStyle name="표준 3 3 2 4 4 2 2 2" xfId="3959"/>
    <cellStyle name="표준 3 3 2 4 4 2 2 2 2" xfId="3960"/>
    <cellStyle name="표준 3 3 2 4 4 2 2 2 2 2" xfId="12088"/>
    <cellStyle name="표준 3 3 2 4 4 2 2 2 2 2 2" xfId="34555"/>
    <cellStyle name="표준 3 3 2 4 4 2 2 2 2 3" xfId="19572"/>
    <cellStyle name="표준 3 3 2 4 4 2 2 2 2 3 2" xfId="42037"/>
    <cellStyle name="표준 3 3 2 4 4 2 2 2 2 4" xfId="27073"/>
    <cellStyle name="표준 3 3 2 4 4 2 2 2 3" xfId="12087"/>
    <cellStyle name="표준 3 3 2 4 4 2 2 2 3 2" xfId="34554"/>
    <cellStyle name="표준 3 3 2 4 4 2 2 2 4" xfId="19571"/>
    <cellStyle name="표준 3 3 2 4 4 2 2 2 4 2" xfId="42036"/>
    <cellStyle name="표준 3 3 2 4 4 2 2 2 5" xfId="27072"/>
    <cellStyle name="표준 3 3 2 4 4 2 2 2_Sheet4" xfId="3961"/>
    <cellStyle name="표준 3 3 2 4 4 2 2 3" xfId="3962"/>
    <cellStyle name="표준 3 3 2 4 4 2 2 3 2" xfId="12089"/>
    <cellStyle name="표준 3 3 2 4 4 2 2 3 2 2" xfId="34556"/>
    <cellStyle name="표준 3 3 2 4 4 2 2 3 3" xfId="19573"/>
    <cellStyle name="표준 3 3 2 4 4 2 2 3 3 2" xfId="42038"/>
    <cellStyle name="표준 3 3 2 4 4 2 2 3 4" xfId="27074"/>
    <cellStyle name="표준 3 3 2 4 4 2 2 4" xfId="12086"/>
    <cellStyle name="표준 3 3 2 4 4 2 2 4 2" xfId="34553"/>
    <cellStyle name="표준 3 3 2 4 4 2 2 5" xfId="19570"/>
    <cellStyle name="표준 3 3 2 4 4 2 2 5 2" xfId="42035"/>
    <cellStyle name="표준 3 3 2 4 4 2 2 6" xfId="27071"/>
    <cellStyle name="표준 3 3 2 4 4 2 2_Sheet4" xfId="3963"/>
    <cellStyle name="표준 3 3 2 4 4 2 3" xfId="3964"/>
    <cellStyle name="표준 3 3 2 4 4 2 3 2" xfId="3965"/>
    <cellStyle name="표준 3 3 2 4 4 2 3 2 2" xfId="12091"/>
    <cellStyle name="표준 3 3 2 4 4 2 3 2 2 2" xfId="34558"/>
    <cellStyle name="표준 3 3 2 4 4 2 3 2 3" xfId="19575"/>
    <cellStyle name="표준 3 3 2 4 4 2 3 2 3 2" xfId="42040"/>
    <cellStyle name="표준 3 3 2 4 4 2 3 2 4" xfId="27076"/>
    <cellStyle name="표준 3 3 2 4 4 2 3 3" xfId="12090"/>
    <cellStyle name="표준 3 3 2 4 4 2 3 3 2" xfId="34557"/>
    <cellStyle name="표준 3 3 2 4 4 2 3 4" xfId="19574"/>
    <cellStyle name="표준 3 3 2 4 4 2 3 4 2" xfId="42039"/>
    <cellStyle name="표준 3 3 2 4 4 2 3 5" xfId="27075"/>
    <cellStyle name="표준 3 3 2 4 4 2 3_Sheet4" xfId="3966"/>
    <cellStyle name="표준 3 3 2 4 4 2 4" xfId="3967"/>
    <cellStyle name="표준 3 3 2 4 4 2 4 2" xfId="12092"/>
    <cellStyle name="표준 3 3 2 4 4 2 4 2 2" xfId="34559"/>
    <cellStyle name="표준 3 3 2 4 4 2 4 3" xfId="19576"/>
    <cellStyle name="표준 3 3 2 4 4 2 4 3 2" xfId="42041"/>
    <cellStyle name="표준 3 3 2 4 4 2 4 4" xfId="27077"/>
    <cellStyle name="표준 3 3 2 4 4 2 5" xfId="12085"/>
    <cellStyle name="표준 3 3 2 4 4 2 5 2" xfId="34552"/>
    <cellStyle name="표준 3 3 2 4 4 2 6" xfId="19569"/>
    <cellStyle name="표준 3 3 2 4 4 2 6 2" xfId="42034"/>
    <cellStyle name="표준 3 3 2 4 4 2 7" xfId="27070"/>
    <cellStyle name="표준 3 3 2 4 4 2_Sheet4" xfId="3968"/>
    <cellStyle name="표준 3 3 2 4 4 3" xfId="3969"/>
    <cellStyle name="표준 3 3 2 4 4 3 2" xfId="3970"/>
    <cellStyle name="표준 3 3 2 4 4 3 2 2" xfId="3971"/>
    <cellStyle name="표준 3 3 2 4 4 3 2 2 2" xfId="12095"/>
    <cellStyle name="표준 3 3 2 4 4 3 2 2 2 2" xfId="34562"/>
    <cellStyle name="표준 3 3 2 4 4 3 2 2 3" xfId="19579"/>
    <cellStyle name="표준 3 3 2 4 4 3 2 2 3 2" xfId="42044"/>
    <cellStyle name="표준 3 3 2 4 4 3 2 2 4" xfId="27080"/>
    <cellStyle name="표준 3 3 2 4 4 3 2 3" xfId="12094"/>
    <cellStyle name="표준 3 3 2 4 4 3 2 3 2" xfId="34561"/>
    <cellStyle name="표준 3 3 2 4 4 3 2 4" xfId="19578"/>
    <cellStyle name="표준 3 3 2 4 4 3 2 4 2" xfId="42043"/>
    <cellStyle name="표준 3 3 2 4 4 3 2 5" xfId="27079"/>
    <cellStyle name="표준 3 3 2 4 4 3 2_Sheet4" xfId="3972"/>
    <cellStyle name="표준 3 3 2 4 4 3 3" xfId="3973"/>
    <cellStyle name="표준 3 3 2 4 4 3 3 2" xfId="12096"/>
    <cellStyle name="표준 3 3 2 4 4 3 3 2 2" xfId="34563"/>
    <cellStyle name="표준 3 3 2 4 4 3 3 3" xfId="19580"/>
    <cellStyle name="표준 3 3 2 4 4 3 3 3 2" xfId="42045"/>
    <cellStyle name="표준 3 3 2 4 4 3 3 4" xfId="27081"/>
    <cellStyle name="표준 3 3 2 4 4 3 4" xfId="12093"/>
    <cellStyle name="표준 3 3 2 4 4 3 4 2" xfId="34560"/>
    <cellStyle name="표준 3 3 2 4 4 3 5" xfId="19577"/>
    <cellStyle name="표준 3 3 2 4 4 3 5 2" xfId="42042"/>
    <cellStyle name="표준 3 3 2 4 4 3 6" xfId="27078"/>
    <cellStyle name="표준 3 3 2 4 4 3_Sheet4" xfId="3974"/>
    <cellStyle name="표준 3 3 2 4 4 4" xfId="3975"/>
    <cellStyle name="표준 3 3 2 4 4 4 2" xfId="3976"/>
    <cellStyle name="표준 3 3 2 4 4 4 2 2" xfId="12098"/>
    <cellStyle name="표준 3 3 2 4 4 4 2 2 2" xfId="34565"/>
    <cellStyle name="표준 3 3 2 4 4 4 2 3" xfId="19582"/>
    <cellStyle name="표준 3 3 2 4 4 4 2 3 2" xfId="42047"/>
    <cellStyle name="표준 3 3 2 4 4 4 2 4" xfId="27083"/>
    <cellStyle name="표준 3 3 2 4 4 4 3" xfId="12097"/>
    <cellStyle name="표준 3 3 2 4 4 4 3 2" xfId="34564"/>
    <cellStyle name="표준 3 3 2 4 4 4 4" xfId="19581"/>
    <cellStyle name="표준 3 3 2 4 4 4 4 2" xfId="42046"/>
    <cellStyle name="표준 3 3 2 4 4 4 5" xfId="27082"/>
    <cellStyle name="표준 3 3 2 4 4 4_Sheet4" xfId="3977"/>
    <cellStyle name="표준 3 3 2 4 4 5" xfId="3978"/>
    <cellStyle name="표준 3 3 2 4 4 5 2" xfId="12099"/>
    <cellStyle name="표준 3 3 2 4 4 5 2 2" xfId="34566"/>
    <cellStyle name="표준 3 3 2 4 4 5 3" xfId="19583"/>
    <cellStyle name="표준 3 3 2 4 4 5 3 2" xfId="42048"/>
    <cellStyle name="표준 3 3 2 4 4 5 4" xfId="27084"/>
    <cellStyle name="표준 3 3 2 4 4 6" xfId="12084"/>
    <cellStyle name="표준 3 3 2 4 4 6 2" xfId="34551"/>
    <cellStyle name="표준 3 3 2 4 4 7" xfId="19568"/>
    <cellStyle name="표준 3 3 2 4 4 7 2" xfId="42033"/>
    <cellStyle name="표준 3 3 2 4 4 8" xfId="27069"/>
    <cellStyle name="표준 3 3 2 4 4_Sheet4" xfId="3979"/>
    <cellStyle name="표준 3 3 2 4 5" xfId="3980"/>
    <cellStyle name="표준 3 3 2 4 5 2" xfId="3981"/>
    <cellStyle name="표준 3 3 2 4 5 2 2" xfId="3982"/>
    <cellStyle name="표준 3 3 2 4 5 2 2 2" xfId="3983"/>
    <cellStyle name="표준 3 3 2 4 5 2 2 2 2" xfId="12103"/>
    <cellStyle name="표준 3 3 2 4 5 2 2 2 2 2" xfId="34570"/>
    <cellStyle name="표준 3 3 2 4 5 2 2 2 3" xfId="19587"/>
    <cellStyle name="표준 3 3 2 4 5 2 2 2 3 2" xfId="42052"/>
    <cellStyle name="표준 3 3 2 4 5 2 2 2 4" xfId="27088"/>
    <cellStyle name="표준 3 3 2 4 5 2 2 3" xfId="12102"/>
    <cellStyle name="표준 3 3 2 4 5 2 2 3 2" xfId="34569"/>
    <cellStyle name="표준 3 3 2 4 5 2 2 4" xfId="19586"/>
    <cellStyle name="표준 3 3 2 4 5 2 2 4 2" xfId="42051"/>
    <cellStyle name="표준 3 3 2 4 5 2 2 5" xfId="27087"/>
    <cellStyle name="표준 3 3 2 4 5 2 2_Sheet4" xfId="3984"/>
    <cellStyle name="표준 3 3 2 4 5 2 3" xfId="3985"/>
    <cellStyle name="표준 3 3 2 4 5 2 3 2" xfId="12104"/>
    <cellStyle name="표준 3 3 2 4 5 2 3 2 2" xfId="34571"/>
    <cellStyle name="표준 3 3 2 4 5 2 3 3" xfId="19588"/>
    <cellStyle name="표준 3 3 2 4 5 2 3 3 2" xfId="42053"/>
    <cellStyle name="표준 3 3 2 4 5 2 3 4" xfId="27089"/>
    <cellStyle name="표준 3 3 2 4 5 2 4" xfId="12101"/>
    <cellStyle name="표준 3 3 2 4 5 2 4 2" xfId="34568"/>
    <cellStyle name="표준 3 3 2 4 5 2 5" xfId="19585"/>
    <cellStyle name="표준 3 3 2 4 5 2 5 2" xfId="42050"/>
    <cellStyle name="표준 3 3 2 4 5 2 6" xfId="27086"/>
    <cellStyle name="표준 3 3 2 4 5 2_Sheet4" xfId="3986"/>
    <cellStyle name="표준 3 3 2 4 5 3" xfId="3987"/>
    <cellStyle name="표준 3 3 2 4 5 3 2" xfId="3988"/>
    <cellStyle name="표준 3 3 2 4 5 3 2 2" xfId="12106"/>
    <cellStyle name="표준 3 3 2 4 5 3 2 2 2" xfId="34573"/>
    <cellStyle name="표준 3 3 2 4 5 3 2 3" xfId="19590"/>
    <cellStyle name="표준 3 3 2 4 5 3 2 3 2" xfId="42055"/>
    <cellStyle name="표준 3 3 2 4 5 3 2 4" xfId="27091"/>
    <cellStyle name="표준 3 3 2 4 5 3 3" xfId="12105"/>
    <cellStyle name="표준 3 3 2 4 5 3 3 2" xfId="34572"/>
    <cellStyle name="표준 3 3 2 4 5 3 4" xfId="19589"/>
    <cellStyle name="표준 3 3 2 4 5 3 4 2" xfId="42054"/>
    <cellStyle name="표준 3 3 2 4 5 3 5" xfId="27090"/>
    <cellStyle name="표준 3 3 2 4 5 3_Sheet4" xfId="3989"/>
    <cellStyle name="표준 3 3 2 4 5 4" xfId="3990"/>
    <cellStyle name="표준 3 3 2 4 5 4 2" xfId="12107"/>
    <cellStyle name="표준 3 3 2 4 5 4 2 2" xfId="34574"/>
    <cellStyle name="표준 3 3 2 4 5 4 3" xfId="19591"/>
    <cellStyle name="표준 3 3 2 4 5 4 3 2" xfId="42056"/>
    <cellStyle name="표준 3 3 2 4 5 4 4" xfId="27092"/>
    <cellStyle name="표준 3 3 2 4 5 5" xfId="12100"/>
    <cellStyle name="표준 3 3 2 4 5 5 2" xfId="34567"/>
    <cellStyle name="표준 3 3 2 4 5 6" xfId="19584"/>
    <cellStyle name="표준 3 3 2 4 5 6 2" xfId="42049"/>
    <cellStyle name="표준 3 3 2 4 5 7" xfId="27085"/>
    <cellStyle name="표준 3 3 2 4 5_Sheet4" xfId="3991"/>
    <cellStyle name="표준 3 3 2 4 6" xfId="3992"/>
    <cellStyle name="표준 3 3 2 4 6 2" xfId="3993"/>
    <cellStyle name="표준 3 3 2 4 6 2 2" xfId="3994"/>
    <cellStyle name="표준 3 3 2 4 6 2 2 2" xfId="12110"/>
    <cellStyle name="표준 3 3 2 4 6 2 2 2 2" xfId="34577"/>
    <cellStyle name="표준 3 3 2 4 6 2 2 3" xfId="19594"/>
    <cellStyle name="표준 3 3 2 4 6 2 2 3 2" xfId="42059"/>
    <cellStyle name="표준 3 3 2 4 6 2 2 4" xfId="27095"/>
    <cellStyle name="표준 3 3 2 4 6 2 3" xfId="12109"/>
    <cellStyle name="표준 3 3 2 4 6 2 3 2" xfId="34576"/>
    <cellStyle name="표준 3 3 2 4 6 2 4" xfId="19593"/>
    <cellStyle name="표준 3 3 2 4 6 2 4 2" xfId="42058"/>
    <cellStyle name="표준 3 3 2 4 6 2 5" xfId="27094"/>
    <cellStyle name="표준 3 3 2 4 6 2_Sheet4" xfId="3995"/>
    <cellStyle name="표준 3 3 2 4 6 3" xfId="3996"/>
    <cellStyle name="표준 3 3 2 4 6 3 2" xfId="12111"/>
    <cellStyle name="표준 3 3 2 4 6 3 2 2" xfId="34578"/>
    <cellStyle name="표준 3 3 2 4 6 3 3" xfId="19595"/>
    <cellStyle name="표준 3 3 2 4 6 3 3 2" xfId="42060"/>
    <cellStyle name="표준 3 3 2 4 6 3 4" xfId="27096"/>
    <cellStyle name="표준 3 3 2 4 6 4" xfId="12108"/>
    <cellStyle name="표준 3 3 2 4 6 4 2" xfId="34575"/>
    <cellStyle name="표준 3 3 2 4 6 5" xfId="19592"/>
    <cellStyle name="표준 3 3 2 4 6 5 2" xfId="42057"/>
    <cellStyle name="표준 3 3 2 4 6 6" xfId="27093"/>
    <cellStyle name="표준 3 3 2 4 6_Sheet4" xfId="3997"/>
    <cellStyle name="표준 3 3 2 4 7" xfId="3998"/>
    <cellStyle name="표준 3 3 2 4 7 2" xfId="3999"/>
    <cellStyle name="표준 3 3 2 4 7 2 2" xfId="12113"/>
    <cellStyle name="표준 3 3 2 4 7 2 2 2" xfId="34580"/>
    <cellStyle name="표준 3 3 2 4 7 2 3" xfId="19597"/>
    <cellStyle name="표준 3 3 2 4 7 2 3 2" xfId="42062"/>
    <cellStyle name="표준 3 3 2 4 7 2 4" xfId="27098"/>
    <cellStyle name="표준 3 3 2 4 7 3" xfId="12112"/>
    <cellStyle name="표준 3 3 2 4 7 3 2" xfId="34579"/>
    <cellStyle name="표준 3 3 2 4 7 4" xfId="19596"/>
    <cellStyle name="표준 3 3 2 4 7 4 2" xfId="42061"/>
    <cellStyle name="표준 3 3 2 4 7 5" xfId="27097"/>
    <cellStyle name="표준 3 3 2 4 7_Sheet4" xfId="4000"/>
    <cellStyle name="표준 3 3 2 4 8" xfId="4001"/>
    <cellStyle name="표준 3 3 2 4 8 2" xfId="12114"/>
    <cellStyle name="표준 3 3 2 4 8 2 2" xfId="34581"/>
    <cellStyle name="표준 3 3 2 4 8 3" xfId="19598"/>
    <cellStyle name="표준 3 3 2 4 8 3 2" xfId="42063"/>
    <cellStyle name="표준 3 3 2 4 8 4" xfId="27099"/>
    <cellStyle name="표준 3 3 2 4 9" xfId="12019"/>
    <cellStyle name="표준 3 3 2 4 9 2" xfId="34486"/>
    <cellStyle name="표준 3 3 2 4_Sheet4" xfId="4002"/>
    <cellStyle name="표준 3 3 2 5" xfId="4003"/>
    <cellStyle name="표준 3 3 2 5 10" xfId="27100"/>
    <cellStyle name="표준 3 3 2 5 2" xfId="4004"/>
    <cellStyle name="표준 3 3 2 5 2 2" xfId="4005"/>
    <cellStyle name="표준 3 3 2 5 2 2 2" xfId="4006"/>
    <cellStyle name="표준 3 3 2 5 2 2 2 2" xfId="4007"/>
    <cellStyle name="표준 3 3 2 5 2 2 2 2 2" xfId="4008"/>
    <cellStyle name="표준 3 3 2 5 2 2 2 2 2 2" xfId="12120"/>
    <cellStyle name="표준 3 3 2 5 2 2 2 2 2 2 2" xfId="34587"/>
    <cellStyle name="표준 3 3 2 5 2 2 2 2 2 3" xfId="19604"/>
    <cellStyle name="표준 3 3 2 5 2 2 2 2 2 3 2" xfId="42069"/>
    <cellStyle name="표준 3 3 2 5 2 2 2 2 2 4" xfId="27105"/>
    <cellStyle name="표준 3 3 2 5 2 2 2 2 3" xfId="12119"/>
    <cellStyle name="표준 3 3 2 5 2 2 2 2 3 2" xfId="34586"/>
    <cellStyle name="표준 3 3 2 5 2 2 2 2 4" xfId="19603"/>
    <cellStyle name="표준 3 3 2 5 2 2 2 2 4 2" xfId="42068"/>
    <cellStyle name="표준 3 3 2 5 2 2 2 2 5" xfId="27104"/>
    <cellStyle name="표준 3 3 2 5 2 2 2 2_Sheet4" xfId="4009"/>
    <cellStyle name="표준 3 3 2 5 2 2 2 3" xfId="4010"/>
    <cellStyle name="표준 3 3 2 5 2 2 2 3 2" xfId="12121"/>
    <cellStyle name="표준 3 3 2 5 2 2 2 3 2 2" xfId="34588"/>
    <cellStyle name="표준 3 3 2 5 2 2 2 3 3" xfId="19605"/>
    <cellStyle name="표준 3 3 2 5 2 2 2 3 3 2" xfId="42070"/>
    <cellStyle name="표준 3 3 2 5 2 2 2 3 4" xfId="27106"/>
    <cellStyle name="표준 3 3 2 5 2 2 2 4" xfId="12118"/>
    <cellStyle name="표준 3 3 2 5 2 2 2 4 2" xfId="34585"/>
    <cellStyle name="표준 3 3 2 5 2 2 2 5" xfId="19602"/>
    <cellStyle name="표준 3 3 2 5 2 2 2 5 2" xfId="42067"/>
    <cellStyle name="표준 3 3 2 5 2 2 2 6" xfId="27103"/>
    <cellStyle name="표준 3 3 2 5 2 2 2_Sheet4" xfId="4011"/>
    <cellStyle name="표준 3 3 2 5 2 2 3" xfId="4012"/>
    <cellStyle name="표준 3 3 2 5 2 2 3 2" xfId="4013"/>
    <cellStyle name="표준 3 3 2 5 2 2 3 2 2" xfId="12123"/>
    <cellStyle name="표준 3 3 2 5 2 2 3 2 2 2" xfId="34590"/>
    <cellStyle name="표준 3 3 2 5 2 2 3 2 3" xfId="19607"/>
    <cellStyle name="표준 3 3 2 5 2 2 3 2 3 2" xfId="42072"/>
    <cellStyle name="표준 3 3 2 5 2 2 3 2 4" xfId="27108"/>
    <cellStyle name="표준 3 3 2 5 2 2 3 3" xfId="12122"/>
    <cellStyle name="표준 3 3 2 5 2 2 3 3 2" xfId="34589"/>
    <cellStyle name="표준 3 3 2 5 2 2 3 4" xfId="19606"/>
    <cellStyle name="표준 3 3 2 5 2 2 3 4 2" xfId="42071"/>
    <cellStyle name="표준 3 3 2 5 2 2 3 5" xfId="27107"/>
    <cellStyle name="표준 3 3 2 5 2 2 3_Sheet4" xfId="4014"/>
    <cellStyle name="표준 3 3 2 5 2 2 4" xfId="4015"/>
    <cellStyle name="표준 3 3 2 5 2 2 4 2" xfId="12124"/>
    <cellStyle name="표준 3 3 2 5 2 2 4 2 2" xfId="34591"/>
    <cellStyle name="표준 3 3 2 5 2 2 4 3" xfId="19608"/>
    <cellStyle name="표준 3 3 2 5 2 2 4 3 2" xfId="42073"/>
    <cellStyle name="표준 3 3 2 5 2 2 4 4" xfId="27109"/>
    <cellStyle name="표준 3 3 2 5 2 2 5" xfId="12117"/>
    <cellStyle name="표준 3 3 2 5 2 2 5 2" xfId="34584"/>
    <cellStyle name="표준 3 3 2 5 2 2 6" xfId="19601"/>
    <cellStyle name="표준 3 3 2 5 2 2 6 2" xfId="42066"/>
    <cellStyle name="표준 3 3 2 5 2 2 7" xfId="27102"/>
    <cellStyle name="표준 3 3 2 5 2 2_Sheet4" xfId="4016"/>
    <cellStyle name="표준 3 3 2 5 2 3" xfId="4017"/>
    <cellStyle name="표준 3 3 2 5 2 3 2" xfId="4018"/>
    <cellStyle name="표준 3 3 2 5 2 3 2 2" xfId="4019"/>
    <cellStyle name="표준 3 3 2 5 2 3 2 2 2" xfId="12127"/>
    <cellStyle name="표준 3 3 2 5 2 3 2 2 2 2" xfId="34594"/>
    <cellStyle name="표준 3 3 2 5 2 3 2 2 3" xfId="19611"/>
    <cellStyle name="표준 3 3 2 5 2 3 2 2 3 2" xfId="42076"/>
    <cellStyle name="표준 3 3 2 5 2 3 2 2 4" xfId="27112"/>
    <cellStyle name="표준 3 3 2 5 2 3 2 3" xfId="12126"/>
    <cellStyle name="표준 3 3 2 5 2 3 2 3 2" xfId="34593"/>
    <cellStyle name="표준 3 3 2 5 2 3 2 4" xfId="19610"/>
    <cellStyle name="표준 3 3 2 5 2 3 2 4 2" xfId="42075"/>
    <cellStyle name="표준 3 3 2 5 2 3 2 5" xfId="27111"/>
    <cellStyle name="표준 3 3 2 5 2 3 2_Sheet4" xfId="4020"/>
    <cellStyle name="표준 3 3 2 5 2 3 3" xfId="4021"/>
    <cellStyle name="표준 3 3 2 5 2 3 3 2" xfId="12128"/>
    <cellStyle name="표준 3 3 2 5 2 3 3 2 2" xfId="34595"/>
    <cellStyle name="표준 3 3 2 5 2 3 3 3" xfId="19612"/>
    <cellStyle name="표준 3 3 2 5 2 3 3 3 2" xfId="42077"/>
    <cellStyle name="표준 3 3 2 5 2 3 3 4" xfId="27113"/>
    <cellStyle name="표준 3 3 2 5 2 3 4" xfId="12125"/>
    <cellStyle name="표준 3 3 2 5 2 3 4 2" xfId="34592"/>
    <cellStyle name="표준 3 3 2 5 2 3 5" xfId="19609"/>
    <cellStyle name="표준 3 3 2 5 2 3 5 2" xfId="42074"/>
    <cellStyle name="표준 3 3 2 5 2 3 6" xfId="27110"/>
    <cellStyle name="표준 3 3 2 5 2 3_Sheet4" xfId="4022"/>
    <cellStyle name="표준 3 3 2 5 2 4" xfId="4023"/>
    <cellStyle name="표준 3 3 2 5 2 4 2" xfId="4024"/>
    <cellStyle name="표준 3 3 2 5 2 4 2 2" xfId="12130"/>
    <cellStyle name="표준 3 3 2 5 2 4 2 2 2" xfId="34597"/>
    <cellStyle name="표준 3 3 2 5 2 4 2 3" xfId="19614"/>
    <cellStyle name="표준 3 3 2 5 2 4 2 3 2" xfId="42079"/>
    <cellStyle name="표준 3 3 2 5 2 4 2 4" xfId="27115"/>
    <cellStyle name="표준 3 3 2 5 2 4 3" xfId="12129"/>
    <cellStyle name="표준 3 3 2 5 2 4 3 2" xfId="34596"/>
    <cellStyle name="표준 3 3 2 5 2 4 4" xfId="19613"/>
    <cellStyle name="표준 3 3 2 5 2 4 4 2" xfId="42078"/>
    <cellStyle name="표준 3 3 2 5 2 4 5" xfId="27114"/>
    <cellStyle name="표준 3 3 2 5 2 4_Sheet4" xfId="4025"/>
    <cellStyle name="표준 3 3 2 5 2 5" xfId="4026"/>
    <cellStyle name="표준 3 3 2 5 2 5 2" xfId="12131"/>
    <cellStyle name="표준 3 3 2 5 2 5 2 2" xfId="34598"/>
    <cellStyle name="표준 3 3 2 5 2 5 3" xfId="19615"/>
    <cellStyle name="표준 3 3 2 5 2 5 3 2" xfId="42080"/>
    <cellStyle name="표준 3 3 2 5 2 5 4" xfId="27116"/>
    <cellStyle name="표준 3 3 2 5 2 6" xfId="12116"/>
    <cellStyle name="표준 3 3 2 5 2 6 2" xfId="34583"/>
    <cellStyle name="표준 3 3 2 5 2 7" xfId="19600"/>
    <cellStyle name="표준 3 3 2 5 2 7 2" xfId="42065"/>
    <cellStyle name="표준 3 3 2 5 2 8" xfId="27101"/>
    <cellStyle name="표준 3 3 2 5 2_Sheet4" xfId="4027"/>
    <cellStyle name="표준 3 3 2 5 3" xfId="4028"/>
    <cellStyle name="표준 3 3 2 5 3 2" xfId="4029"/>
    <cellStyle name="표준 3 3 2 5 3 2 2" xfId="4030"/>
    <cellStyle name="표준 3 3 2 5 3 2 2 2" xfId="4031"/>
    <cellStyle name="표준 3 3 2 5 3 2 2 2 2" xfId="4032"/>
    <cellStyle name="표준 3 3 2 5 3 2 2 2 2 2" xfId="12136"/>
    <cellStyle name="표준 3 3 2 5 3 2 2 2 2 2 2" xfId="34603"/>
    <cellStyle name="표준 3 3 2 5 3 2 2 2 2 3" xfId="19620"/>
    <cellStyle name="표준 3 3 2 5 3 2 2 2 2 3 2" xfId="42085"/>
    <cellStyle name="표준 3 3 2 5 3 2 2 2 2 4" xfId="27121"/>
    <cellStyle name="표준 3 3 2 5 3 2 2 2 3" xfId="12135"/>
    <cellStyle name="표준 3 3 2 5 3 2 2 2 3 2" xfId="34602"/>
    <cellStyle name="표준 3 3 2 5 3 2 2 2 4" xfId="19619"/>
    <cellStyle name="표준 3 3 2 5 3 2 2 2 4 2" xfId="42084"/>
    <cellStyle name="표준 3 3 2 5 3 2 2 2 5" xfId="27120"/>
    <cellStyle name="표준 3 3 2 5 3 2 2 2_Sheet4" xfId="4033"/>
    <cellStyle name="표준 3 3 2 5 3 2 2 3" xfId="4034"/>
    <cellStyle name="표준 3 3 2 5 3 2 2 3 2" xfId="12137"/>
    <cellStyle name="표준 3 3 2 5 3 2 2 3 2 2" xfId="34604"/>
    <cellStyle name="표준 3 3 2 5 3 2 2 3 3" xfId="19621"/>
    <cellStyle name="표준 3 3 2 5 3 2 2 3 3 2" xfId="42086"/>
    <cellStyle name="표준 3 3 2 5 3 2 2 3 4" xfId="27122"/>
    <cellStyle name="표준 3 3 2 5 3 2 2 4" xfId="12134"/>
    <cellStyle name="표준 3 3 2 5 3 2 2 4 2" xfId="34601"/>
    <cellStyle name="표준 3 3 2 5 3 2 2 5" xfId="19618"/>
    <cellStyle name="표준 3 3 2 5 3 2 2 5 2" xfId="42083"/>
    <cellStyle name="표준 3 3 2 5 3 2 2 6" xfId="27119"/>
    <cellStyle name="표준 3 3 2 5 3 2 2_Sheet4" xfId="4035"/>
    <cellStyle name="표준 3 3 2 5 3 2 3" xfId="4036"/>
    <cellStyle name="표준 3 3 2 5 3 2 3 2" xfId="4037"/>
    <cellStyle name="표준 3 3 2 5 3 2 3 2 2" xfId="12139"/>
    <cellStyle name="표준 3 3 2 5 3 2 3 2 2 2" xfId="34606"/>
    <cellStyle name="표준 3 3 2 5 3 2 3 2 3" xfId="19623"/>
    <cellStyle name="표준 3 3 2 5 3 2 3 2 3 2" xfId="42088"/>
    <cellStyle name="표준 3 3 2 5 3 2 3 2 4" xfId="27124"/>
    <cellStyle name="표준 3 3 2 5 3 2 3 3" xfId="12138"/>
    <cellStyle name="표준 3 3 2 5 3 2 3 3 2" xfId="34605"/>
    <cellStyle name="표준 3 3 2 5 3 2 3 4" xfId="19622"/>
    <cellStyle name="표준 3 3 2 5 3 2 3 4 2" xfId="42087"/>
    <cellStyle name="표준 3 3 2 5 3 2 3 5" xfId="27123"/>
    <cellStyle name="표준 3 3 2 5 3 2 3_Sheet4" xfId="4038"/>
    <cellStyle name="표준 3 3 2 5 3 2 4" xfId="4039"/>
    <cellStyle name="표준 3 3 2 5 3 2 4 2" xfId="12140"/>
    <cellStyle name="표준 3 3 2 5 3 2 4 2 2" xfId="34607"/>
    <cellStyle name="표준 3 3 2 5 3 2 4 3" xfId="19624"/>
    <cellStyle name="표준 3 3 2 5 3 2 4 3 2" xfId="42089"/>
    <cellStyle name="표준 3 3 2 5 3 2 4 4" xfId="27125"/>
    <cellStyle name="표준 3 3 2 5 3 2 5" xfId="12133"/>
    <cellStyle name="표준 3 3 2 5 3 2 5 2" xfId="34600"/>
    <cellStyle name="표준 3 3 2 5 3 2 6" xfId="19617"/>
    <cellStyle name="표준 3 3 2 5 3 2 6 2" xfId="42082"/>
    <cellStyle name="표준 3 3 2 5 3 2 7" xfId="27118"/>
    <cellStyle name="표준 3 3 2 5 3 2_Sheet4" xfId="4040"/>
    <cellStyle name="표준 3 3 2 5 3 3" xfId="4041"/>
    <cellStyle name="표준 3 3 2 5 3 3 2" xfId="4042"/>
    <cellStyle name="표준 3 3 2 5 3 3 2 2" xfId="4043"/>
    <cellStyle name="표준 3 3 2 5 3 3 2 2 2" xfId="12143"/>
    <cellStyle name="표준 3 3 2 5 3 3 2 2 2 2" xfId="34610"/>
    <cellStyle name="표준 3 3 2 5 3 3 2 2 3" xfId="19627"/>
    <cellStyle name="표준 3 3 2 5 3 3 2 2 3 2" xfId="42092"/>
    <cellStyle name="표준 3 3 2 5 3 3 2 2 4" xfId="27128"/>
    <cellStyle name="표준 3 3 2 5 3 3 2 3" xfId="12142"/>
    <cellStyle name="표준 3 3 2 5 3 3 2 3 2" xfId="34609"/>
    <cellStyle name="표준 3 3 2 5 3 3 2 4" xfId="19626"/>
    <cellStyle name="표준 3 3 2 5 3 3 2 4 2" xfId="42091"/>
    <cellStyle name="표준 3 3 2 5 3 3 2 5" xfId="27127"/>
    <cellStyle name="표준 3 3 2 5 3 3 2_Sheet4" xfId="4044"/>
    <cellStyle name="표준 3 3 2 5 3 3 3" xfId="4045"/>
    <cellStyle name="표준 3 3 2 5 3 3 3 2" xfId="12144"/>
    <cellStyle name="표준 3 3 2 5 3 3 3 2 2" xfId="34611"/>
    <cellStyle name="표준 3 3 2 5 3 3 3 3" xfId="19628"/>
    <cellStyle name="표준 3 3 2 5 3 3 3 3 2" xfId="42093"/>
    <cellStyle name="표준 3 3 2 5 3 3 3 4" xfId="27129"/>
    <cellStyle name="표준 3 3 2 5 3 3 4" xfId="12141"/>
    <cellStyle name="표준 3 3 2 5 3 3 4 2" xfId="34608"/>
    <cellStyle name="표준 3 3 2 5 3 3 5" xfId="19625"/>
    <cellStyle name="표준 3 3 2 5 3 3 5 2" xfId="42090"/>
    <cellStyle name="표준 3 3 2 5 3 3 6" xfId="27126"/>
    <cellStyle name="표준 3 3 2 5 3 3_Sheet4" xfId="4046"/>
    <cellStyle name="표준 3 3 2 5 3 4" xfId="4047"/>
    <cellStyle name="표준 3 3 2 5 3 4 2" xfId="4048"/>
    <cellStyle name="표준 3 3 2 5 3 4 2 2" xfId="12146"/>
    <cellStyle name="표준 3 3 2 5 3 4 2 2 2" xfId="34613"/>
    <cellStyle name="표준 3 3 2 5 3 4 2 3" xfId="19630"/>
    <cellStyle name="표준 3 3 2 5 3 4 2 3 2" xfId="42095"/>
    <cellStyle name="표준 3 3 2 5 3 4 2 4" xfId="27131"/>
    <cellStyle name="표준 3 3 2 5 3 4 3" xfId="12145"/>
    <cellStyle name="표준 3 3 2 5 3 4 3 2" xfId="34612"/>
    <cellStyle name="표준 3 3 2 5 3 4 4" xfId="19629"/>
    <cellStyle name="표준 3 3 2 5 3 4 4 2" xfId="42094"/>
    <cellStyle name="표준 3 3 2 5 3 4 5" xfId="27130"/>
    <cellStyle name="표준 3 3 2 5 3 4_Sheet4" xfId="4049"/>
    <cellStyle name="표준 3 3 2 5 3 5" xfId="4050"/>
    <cellStyle name="표준 3 3 2 5 3 5 2" xfId="12147"/>
    <cellStyle name="표준 3 3 2 5 3 5 2 2" xfId="34614"/>
    <cellStyle name="표준 3 3 2 5 3 5 3" xfId="19631"/>
    <cellStyle name="표준 3 3 2 5 3 5 3 2" xfId="42096"/>
    <cellStyle name="표준 3 3 2 5 3 5 4" xfId="27132"/>
    <cellStyle name="표준 3 3 2 5 3 6" xfId="12132"/>
    <cellStyle name="표준 3 3 2 5 3 6 2" xfId="34599"/>
    <cellStyle name="표준 3 3 2 5 3 7" xfId="19616"/>
    <cellStyle name="표준 3 3 2 5 3 7 2" xfId="42081"/>
    <cellStyle name="표준 3 3 2 5 3 8" xfId="27117"/>
    <cellStyle name="표준 3 3 2 5 3_Sheet4" xfId="4051"/>
    <cellStyle name="표준 3 3 2 5 4" xfId="4052"/>
    <cellStyle name="표준 3 3 2 5 4 2" xfId="4053"/>
    <cellStyle name="표준 3 3 2 5 4 2 2" xfId="4054"/>
    <cellStyle name="표준 3 3 2 5 4 2 2 2" xfId="4055"/>
    <cellStyle name="표준 3 3 2 5 4 2 2 2 2" xfId="12151"/>
    <cellStyle name="표준 3 3 2 5 4 2 2 2 2 2" xfId="34618"/>
    <cellStyle name="표준 3 3 2 5 4 2 2 2 3" xfId="19635"/>
    <cellStyle name="표준 3 3 2 5 4 2 2 2 3 2" xfId="42100"/>
    <cellStyle name="표준 3 3 2 5 4 2 2 2 4" xfId="27136"/>
    <cellStyle name="표준 3 3 2 5 4 2 2 3" xfId="12150"/>
    <cellStyle name="표준 3 3 2 5 4 2 2 3 2" xfId="34617"/>
    <cellStyle name="표준 3 3 2 5 4 2 2 4" xfId="19634"/>
    <cellStyle name="표준 3 3 2 5 4 2 2 4 2" xfId="42099"/>
    <cellStyle name="표준 3 3 2 5 4 2 2 5" xfId="27135"/>
    <cellStyle name="표준 3 3 2 5 4 2 2_Sheet4" xfId="4056"/>
    <cellStyle name="표준 3 3 2 5 4 2 3" xfId="4057"/>
    <cellStyle name="표준 3 3 2 5 4 2 3 2" xfId="12152"/>
    <cellStyle name="표준 3 3 2 5 4 2 3 2 2" xfId="34619"/>
    <cellStyle name="표준 3 3 2 5 4 2 3 3" xfId="19636"/>
    <cellStyle name="표준 3 3 2 5 4 2 3 3 2" xfId="42101"/>
    <cellStyle name="표준 3 3 2 5 4 2 3 4" xfId="27137"/>
    <cellStyle name="표준 3 3 2 5 4 2 4" xfId="12149"/>
    <cellStyle name="표준 3 3 2 5 4 2 4 2" xfId="34616"/>
    <cellStyle name="표준 3 3 2 5 4 2 5" xfId="19633"/>
    <cellStyle name="표준 3 3 2 5 4 2 5 2" xfId="42098"/>
    <cellStyle name="표준 3 3 2 5 4 2 6" xfId="27134"/>
    <cellStyle name="표준 3 3 2 5 4 2_Sheet4" xfId="4058"/>
    <cellStyle name="표준 3 3 2 5 4 3" xfId="4059"/>
    <cellStyle name="표준 3 3 2 5 4 3 2" xfId="4060"/>
    <cellStyle name="표준 3 3 2 5 4 3 2 2" xfId="12154"/>
    <cellStyle name="표준 3 3 2 5 4 3 2 2 2" xfId="34621"/>
    <cellStyle name="표준 3 3 2 5 4 3 2 3" xfId="19638"/>
    <cellStyle name="표준 3 3 2 5 4 3 2 3 2" xfId="42103"/>
    <cellStyle name="표준 3 3 2 5 4 3 2 4" xfId="27139"/>
    <cellStyle name="표준 3 3 2 5 4 3 3" xfId="12153"/>
    <cellStyle name="표준 3 3 2 5 4 3 3 2" xfId="34620"/>
    <cellStyle name="표준 3 3 2 5 4 3 4" xfId="19637"/>
    <cellStyle name="표준 3 3 2 5 4 3 4 2" xfId="42102"/>
    <cellStyle name="표준 3 3 2 5 4 3 5" xfId="27138"/>
    <cellStyle name="표준 3 3 2 5 4 3_Sheet4" xfId="4061"/>
    <cellStyle name="표준 3 3 2 5 4 4" xfId="4062"/>
    <cellStyle name="표준 3 3 2 5 4 4 2" xfId="12155"/>
    <cellStyle name="표준 3 3 2 5 4 4 2 2" xfId="34622"/>
    <cellStyle name="표준 3 3 2 5 4 4 3" xfId="19639"/>
    <cellStyle name="표준 3 3 2 5 4 4 3 2" xfId="42104"/>
    <cellStyle name="표준 3 3 2 5 4 4 4" xfId="27140"/>
    <cellStyle name="표준 3 3 2 5 4 5" xfId="12148"/>
    <cellStyle name="표준 3 3 2 5 4 5 2" xfId="34615"/>
    <cellStyle name="표준 3 3 2 5 4 6" xfId="19632"/>
    <cellStyle name="표준 3 3 2 5 4 6 2" xfId="42097"/>
    <cellStyle name="표준 3 3 2 5 4 7" xfId="27133"/>
    <cellStyle name="표준 3 3 2 5 4_Sheet4" xfId="4063"/>
    <cellStyle name="표준 3 3 2 5 5" xfId="4064"/>
    <cellStyle name="표준 3 3 2 5 5 2" xfId="4065"/>
    <cellStyle name="표준 3 3 2 5 5 2 2" xfId="4066"/>
    <cellStyle name="표준 3 3 2 5 5 2 2 2" xfId="12158"/>
    <cellStyle name="표준 3 3 2 5 5 2 2 2 2" xfId="34625"/>
    <cellStyle name="표준 3 3 2 5 5 2 2 3" xfId="19642"/>
    <cellStyle name="표준 3 3 2 5 5 2 2 3 2" xfId="42107"/>
    <cellStyle name="표준 3 3 2 5 5 2 2 4" xfId="27143"/>
    <cellStyle name="표준 3 3 2 5 5 2 3" xfId="12157"/>
    <cellStyle name="표준 3 3 2 5 5 2 3 2" xfId="34624"/>
    <cellStyle name="표준 3 3 2 5 5 2 4" xfId="19641"/>
    <cellStyle name="표준 3 3 2 5 5 2 4 2" xfId="42106"/>
    <cellStyle name="표준 3 3 2 5 5 2 5" xfId="27142"/>
    <cellStyle name="표준 3 3 2 5 5 2_Sheet4" xfId="4067"/>
    <cellStyle name="표준 3 3 2 5 5 3" xfId="4068"/>
    <cellStyle name="표준 3 3 2 5 5 3 2" xfId="12159"/>
    <cellStyle name="표준 3 3 2 5 5 3 2 2" xfId="34626"/>
    <cellStyle name="표준 3 3 2 5 5 3 3" xfId="19643"/>
    <cellStyle name="표준 3 3 2 5 5 3 3 2" xfId="42108"/>
    <cellStyle name="표준 3 3 2 5 5 3 4" xfId="27144"/>
    <cellStyle name="표준 3 3 2 5 5 4" xfId="12156"/>
    <cellStyle name="표준 3 3 2 5 5 4 2" xfId="34623"/>
    <cellStyle name="표준 3 3 2 5 5 5" xfId="19640"/>
    <cellStyle name="표준 3 3 2 5 5 5 2" xfId="42105"/>
    <cellStyle name="표준 3 3 2 5 5 6" xfId="27141"/>
    <cellStyle name="표준 3 3 2 5 5_Sheet4" xfId="4069"/>
    <cellStyle name="표준 3 3 2 5 6" xfId="4070"/>
    <cellStyle name="표준 3 3 2 5 6 2" xfId="4071"/>
    <cellStyle name="표준 3 3 2 5 6 2 2" xfId="12161"/>
    <cellStyle name="표준 3 3 2 5 6 2 2 2" xfId="34628"/>
    <cellStyle name="표준 3 3 2 5 6 2 3" xfId="19645"/>
    <cellStyle name="표준 3 3 2 5 6 2 3 2" xfId="42110"/>
    <cellStyle name="표준 3 3 2 5 6 2 4" xfId="27146"/>
    <cellStyle name="표준 3 3 2 5 6 3" xfId="12160"/>
    <cellStyle name="표준 3 3 2 5 6 3 2" xfId="34627"/>
    <cellStyle name="표준 3 3 2 5 6 4" xfId="19644"/>
    <cellStyle name="표준 3 3 2 5 6 4 2" xfId="42109"/>
    <cellStyle name="표준 3 3 2 5 6 5" xfId="27145"/>
    <cellStyle name="표준 3 3 2 5 6_Sheet4" xfId="4072"/>
    <cellStyle name="표준 3 3 2 5 7" xfId="4073"/>
    <cellStyle name="표준 3 3 2 5 7 2" xfId="12162"/>
    <cellStyle name="표준 3 3 2 5 7 2 2" xfId="34629"/>
    <cellStyle name="표준 3 3 2 5 7 3" xfId="19646"/>
    <cellStyle name="표준 3 3 2 5 7 3 2" xfId="42111"/>
    <cellStyle name="표준 3 3 2 5 7 4" xfId="27147"/>
    <cellStyle name="표준 3 3 2 5 8" xfId="12115"/>
    <cellStyle name="표준 3 3 2 5 8 2" xfId="34582"/>
    <cellStyle name="표준 3 3 2 5 9" xfId="19599"/>
    <cellStyle name="표준 3 3 2 5 9 2" xfId="42064"/>
    <cellStyle name="표준 3 3 2 5_Sheet4" xfId="4074"/>
    <cellStyle name="표준 3 3 2 6" xfId="4075"/>
    <cellStyle name="표준 3 3 2 6 2" xfId="4076"/>
    <cellStyle name="표준 3 3 2 6 2 2" xfId="4077"/>
    <cellStyle name="표준 3 3 2 6 2 2 2" xfId="4078"/>
    <cellStyle name="표준 3 3 2 6 2 2 2 2" xfId="4079"/>
    <cellStyle name="표준 3 3 2 6 2 2 2 2 2" xfId="12167"/>
    <cellStyle name="표준 3 3 2 6 2 2 2 2 2 2" xfId="34634"/>
    <cellStyle name="표준 3 3 2 6 2 2 2 2 3" xfId="19651"/>
    <cellStyle name="표준 3 3 2 6 2 2 2 2 3 2" xfId="42116"/>
    <cellStyle name="표준 3 3 2 6 2 2 2 2 4" xfId="27152"/>
    <cellStyle name="표준 3 3 2 6 2 2 2 3" xfId="12166"/>
    <cellStyle name="표준 3 3 2 6 2 2 2 3 2" xfId="34633"/>
    <cellStyle name="표준 3 3 2 6 2 2 2 4" xfId="19650"/>
    <cellStyle name="표준 3 3 2 6 2 2 2 4 2" xfId="42115"/>
    <cellStyle name="표준 3 3 2 6 2 2 2 5" xfId="27151"/>
    <cellStyle name="표준 3 3 2 6 2 2 2_Sheet4" xfId="4080"/>
    <cellStyle name="표준 3 3 2 6 2 2 3" xfId="4081"/>
    <cellStyle name="표준 3 3 2 6 2 2 3 2" xfId="12168"/>
    <cellStyle name="표준 3 3 2 6 2 2 3 2 2" xfId="34635"/>
    <cellStyle name="표준 3 3 2 6 2 2 3 3" xfId="19652"/>
    <cellStyle name="표준 3 3 2 6 2 2 3 3 2" xfId="42117"/>
    <cellStyle name="표준 3 3 2 6 2 2 3 4" xfId="27153"/>
    <cellStyle name="표준 3 3 2 6 2 2 4" xfId="12165"/>
    <cellStyle name="표준 3 3 2 6 2 2 4 2" xfId="34632"/>
    <cellStyle name="표준 3 3 2 6 2 2 5" xfId="19649"/>
    <cellStyle name="표준 3 3 2 6 2 2 5 2" xfId="42114"/>
    <cellStyle name="표준 3 3 2 6 2 2 6" xfId="27150"/>
    <cellStyle name="표준 3 3 2 6 2 2_Sheet4" xfId="4082"/>
    <cellStyle name="표준 3 3 2 6 2 3" xfId="4083"/>
    <cellStyle name="표준 3 3 2 6 2 3 2" xfId="4084"/>
    <cellStyle name="표준 3 3 2 6 2 3 2 2" xfId="12170"/>
    <cellStyle name="표준 3 3 2 6 2 3 2 2 2" xfId="34637"/>
    <cellStyle name="표준 3 3 2 6 2 3 2 3" xfId="19654"/>
    <cellStyle name="표준 3 3 2 6 2 3 2 3 2" xfId="42119"/>
    <cellStyle name="표준 3 3 2 6 2 3 2 4" xfId="27155"/>
    <cellStyle name="표준 3 3 2 6 2 3 3" xfId="12169"/>
    <cellStyle name="표준 3 3 2 6 2 3 3 2" xfId="34636"/>
    <cellStyle name="표준 3 3 2 6 2 3 4" xfId="19653"/>
    <cellStyle name="표준 3 3 2 6 2 3 4 2" xfId="42118"/>
    <cellStyle name="표준 3 3 2 6 2 3 5" xfId="27154"/>
    <cellStyle name="표준 3 3 2 6 2 3_Sheet4" xfId="4085"/>
    <cellStyle name="표준 3 3 2 6 2 4" xfId="4086"/>
    <cellStyle name="표준 3 3 2 6 2 4 2" xfId="12171"/>
    <cellStyle name="표준 3 3 2 6 2 4 2 2" xfId="34638"/>
    <cellStyle name="표준 3 3 2 6 2 4 3" xfId="19655"/>
    <cellStyle name="표준 3 3 2 6 2 4 3 2" xfId="42120"/>
    <cellStyle name="표준 3 3 2 6 2 4 4" xfId="27156"/>
    <cellStyle name="표준 3 3 2 6 2 5" xfId="12164"/>
    <cellStyle name="표준 3 3 2 6 2 5 2" xfId="34631"/>
    <cellStyle name="표준 3 3 2 6 2 6" xfId="19648"/>
    <cellStyle name="표준 3 3 2 6 2 6 2" xfId="42113"/>
    <cellStyle name="표준 3 3 2 6 2 7" xfId="27149"/>
    <cellStyle name="표준 3 3 2 6 2_Sheet4" xfId="4087"/>
    <cellStyle name="표준 3 3 2 6 3" xfId="4088"/>
    <cellStyle name="표준 3 3 2 6 3 2" xfId="4089"/>
    <cellStyle name="표준 3 3 2 6 3 2 2" xfId="4090"/>
    <cellStyle name="표준 3 3 2 6 3 2 2 2" xfId="12174"/>
    <cellStyle name="표준 3 3 2 6 3 2 2 2 2" xfId="34641"/>
    <cellStyle name="표준 3 3 2 6 3 2 2 3" xfId="19658"/>
    <cellStyle name="표준 3 3 2 6 3 2 2 3 2" xfId="42123"/>
    <cellStyle name="표준 3 3 2 6 3 2 2 4" xfId="27159"/>
    <cellStyle name="표준 3 3 2 6 3 2 3" xfId="12173"/>
    <cellStyle name="표준 3 3 2 6 3 2 3 2" xfId="34640"/>
    <cellStyle name="표준 3 3 2 6 3 2 4" xfId="19657"/>
    <cellStyle name="표준 3 3 2 6 3 2 4 2" xfId="42122"/>
    <cellStyle name="표준 3 3 2 6 3 2 5" xfId="27158"/>
    <cellStyle name="표준 3 3 2 6 3 2_Sheet4" xfId="4091"/>
    <cellStyle name="표준 3 3 2 6 3 3" xfId="4092"/>
    <cellStyle name="표준 3 3 2 6 3 3 2" xfId="12175"/>
    <cellStyle name="표준 3 3 2 6 3 3 2 2" xfId="34642"/>
    <cellStyle name="표준 3 3 2 6 3 3 3" xfId="19659"/>
    <cellStyle name="표준 3 3 2 6 3 3 3 2" xfId="42124"/>
    <cellStyle name="표준 3 3 2 6 3 3 4" xfId="27160"/>
    <cellStyle name="표준 3 3 2 6 3 4" xfId="12172"/>
    <cellStyle name="표준 3 3 2 6 3 4 2" xfId="34639"/>
    <cellStyle name="표준 3 3 2 6 3 5" xfId="19656"/>
    <cellStyle name="표준 3 3 2 6 3 5 2" xfId="42121"/>
    <cellStyle name="표준 3 3 2 6 3 6" xfId="27157"/>
    <cellStyle name="표준 3 3 2 6 3_Sheet4" xfId="4093"/>
    <cellStyle name="표준 3 3 2 6 4" xfId="4094"/>
    <cellStyle name="표준 3 3 2 6 4 2" xfId="4095"/>
    <cellStyle name="표준 3 3 2 6 4 2 2" xfId="12177"/>
    <cellStyle name="표준 3 3 2 6 4 2 2 2" xfId="34644"/>
    <cellStyle name="표준 3 3 2 6 4 2 3" xfId="19661"/>
    <cellStyle name="표준 3 3 2 6 4 2 3 2" xfId="42126"/>
    <cellStyle name="표준 3 3 2 6 4 2 4" xfId="27162"/>
    <cellStyle name="표준 3 3 2 6 4 3" xfId="12176"/>
    <cellStyle name="표준 3 3 2 6 4 3 2" xfId="34643"/>
    <cellStyle name="표준 3 3 2 6 4 4" xfId="19660"/>
    <cellStyle name="표준 3 3 2 6 4 4 2" xfId="42125"/>
    <cellStyle name="표준 3 3 2 6 4 5" xfId="27161"/>
    <cellStyle name="표준 3 3 2 6 4_Sheet4" xfId="4096"/>
    <cellStyle name="표준 3 3 2 6 5" xfId="4097"/>
    <cellStyle name="표준 3 3 2 6 5 2" xfId="12178"/>
    <cellStyle name="표준 3 3 2 6 5 2 2" xfId="34645"/>
    <cellStyle name="표준 3 3 2 6 5 3" xfId="19662"/>
    <cellStyle name="표준 3 3 2 6 5 3 2" xfId="42127"/>
    <cellStyle name="표준 3 3 2 6 5 4" xfId="27163"/>
    <cellStyle name="표준 3 3 2 6 6" xfId="12163"/>
    <cellStyle name="표준 3 3 2 6 6 2" xfId="34630"/>
    <cellStyle name="표준 3 3 2 6 7" xfId="19647"/>
    <cellStyle name="표준 3 3 2 6 7 2" xfId="42112"/>
    <cellStyle name="표준 3 3 2 6 8" xfId="27148"/>
    <cellStyle name="표준 3 3 2 6_Sheet4" xfId="4098"/>
    <cellStyle name="표준 3 3 2 7" xfId="4099"/>
    <cellStyle name="표준 3 3 2 7 2" xfId="4100"/>
    <cellStyle name="표준 3 3 2 7 2 2" xfId="4101"/>
    <cellStyle name="표준 3 3 2 7 2 2 2" xfId="4102"/>
    <cellStyle name="표준 3 3 2 7 2 2 2 2" xfId="4103"/>
    <cellStyle name="표준 3 3 2 7 2 2 2 2 2" xfId="12183"/>
    <cellStyle name="표준 3 3 2 7 2 2 2 2 2 2" xfId="34650"/>
    <cellStyle name="표준 3 3 2 7 2 2 2 2 3" xfId="19667"/>
    <cellStyle name="표준 3 3 2 7 2 2 2 2 3 2" xfId="42132"/>
    <cellStyle name="표준 3 3 2 7 2 2 2 2 4" xfId="27168"/>
    <cellStyle name="표준 3 3 2 7 2 2 2 3" xfId="12182"/>
    <cellStyle name="표준 3 3 2 7 2 2 2 3 2" xfId="34649"/>
    <cellStyle name="표준 3 3 2 7 2 2 2 4" xfId="19666"/>
    <cellStyle name="표준 3 3 2 7 2 2 2 4 2" xfId="42131"/>
    <cellStyle name="표준 3 3 2 7 2 2 2 5" xfId="27167"/>
    <cellStyle name="표준 3 3 2 7 2 2 2_Sheet4" xfId="4104"/>
    <cellStyle name="표준 3 3 2 7 2 2 3" xfId="4105"/>
    <cellStyle name="표준 3 3 2 7 2 2 3 2" xfId="12184"/>
    <cellStyle name="표준 3 3 2 7 2 2 3 2 2" xfId="34651"/>
    <cellStyle name="표준 3 3 2 7 2 2 3 3" xfId="19668"/>
    <cellStyle name="표준 3 3 2 7 2 2 3 3 2" xfId="42133"/>
    <cellStyle name="표준 3 3 2 7 2 2 3 4" xfId="27169"/>
    <cellStyle name="표준 3 3 2 7 2 2 4" xfId="12181"/>
    <cellStyle name="표준 3 3 2 7 2 2 4 2" xfId="34648"/>
    <cellStyle name="표준 3 3 2 7 2 2 5" xfId="19665"/>
    <cellStyle name="표준 3 3 2 7 2 2 5 2" xfId="42130"/>
    <cellStyle name="표준 3 3 2 7 2 2 6" xfId="27166"/>
    <cellStyle name="표준 3 3 2 7 2 2_Sheet4" xfId="4106"/>
    <cellStyle name="표준 3 3 2 7 2 3" xfId="4107"/>
    <cellStyle name="표준 3 3 2 7 2 3 2" xfId="4108"/>
    <cellStyle name="표준 3 3 2 7 2 3 2 2" xfId="12186"/>
    <cellStyle name="표준 3 3 2 7 2 3 2 2 2" xfId="34653"/>
    <cellStyle name="표준 3 3 2 7 2 3 2 3" xfId="19670"/>
    <cellStyle name="표준 3 3 2 7 2 3 2 3 2" xfId="42135"/>
    <cellStyle name="표준 3 3 2 7 2 3 2 4" xfId="27171"/>
    <cellStyle name="표준 3 3 2 7 2 3 3" xfId="12185"/>
    <cellStyle name="표준 3 3 2 7 2 3 3 2" xfId="34652"/>
    <cellStyle name="표준 3 3 2 7 2 3 4" xfId="19669"/>
    <cellStyle name="표준 3 3 2 7 2 3 4 2" xfId="42134"/>
    <cellStyle name="표준 3 3 2 7 2 3 5" xfId="27170"/>
    <cellStyle name="표준 3 3 2 7 2 3_Sheet4" xfId="4109"/>
    <cellStyle name="표준 3 3 2 7 2 4" xfId="4110"/>
    <cellStyle name="표준 3 3 2 7 2 4 2" xfId="12187"/>
    <cellStyle name="표준 3 3 2 7 2 4 2 2" xfId="34654"/>
    <cellStyle name="표준 3 3 2 7 2 4 3" xfId="19671"/>
    <cellStyle name="표준 3 3 2 7 2 4 3 2" xfId="42136"/>
    <cellStyle name="표준 3 3 2 7 2 4 4" xfId="27172"/>
    <cellStyle name="표준 3 3 2 7 2 5" xfId="12180"/>
    <cellStyle name="표준 3 3 2 7 2 5 2" xfId="34647"/>
    <cellStyle name="표준 3 3 2 7 2 6" xfId="19664"/>
    <cellStyle name="표준 3 3 2 7 2 6 2" xfId="42129"/>
    <cellStyle name="표준 3 3 2 7 2 7" xfId="27165"/>
    <cellStyle name="표준 3 3 2 7 2_Sheet4" xfId="4111"/>
    <cellStyle name="표준 3 3 2 7 3" xfId="4112"/>
    <cellStyle name="표준 3 3 2 7 3 2" xfId="4113"/>
    <cellStyle name="표준 3 3 2 7 3 2 2" xfId="4114"/>
    <cellStyle name="표준 3 3 2 7 3 2 2 2" xfId="12190"/>
    <cellStyle name="표준 3 3 2 7 3 2 2 2 2" xfId="34657"/>
    <cellStyle name="표준 3 3 2 7 3 2 2 3" xfId="19674"/>
    <cellStyle name="표준 3 3 2 7 3 2 2 3 2" xfId="42139"/>
    <cellStyle name="표준 3 3 2 7 3 2 2 4" xfId="27175"/>
    <cellStyle name="표준 3 3 2 7 3 2 3" xfId="12189"/>
    <cellStyle name="표준 3 3 2 7 3 2 3 2" xfId="34656"/>
    <cellStyle name="표준 3 3 2 7 3 2 4" xfId="19673"/>
    <cellStyle name="표준 3 3 2 7 3 2 4 2" xfId="42138"/>
    <cellStyle name="표준 3 3 2 7 3 2 5" xfId="27174"/>
    <cellStyle name="표준 3 3 2 7 3 2_Sheet4" xfId="4115"/>
    <cellStyle name="표준 3 3 2 7 3 3" xfId="4116"/>
    <cellStyle name="표준 3 3 2 7 3 3 2" xfId="12191"/>
    <cellStyle name="표준 3 3 2 7 3 3 2 2" xfId="34658"/>
    <cellStyle name="표준 3 3 2 7 3 3 3" xfId="19675"/>
    <cellStyle name="표준 3 3 2 7 3 3 3 2" xfId="42140"/>
    <cellStyle name="표준 3 3 2 7 3 3 4" xfId="27176"/>
    <cellStyle name="표준 3 3 2 7 3 4" xfId="12188"/>
    <cellStyle name="표준 3 3 2 7 3 4 2" xfId="34655"/>
    <cellStyle name="표준 3 3 2 7 3 5" xfId="19672"/>
    <cellStyle name="표준 3 3 2 7 3 5 2" xfId="42137"/>
    <cellStyle name="표준 3 3 2 7 3 6" xfId="27173"/>
    <cellStyle name="표준 3 3 2 7 3_Sheet4" xfId="4117"/>
    <cellStyle name="표준 3 3 2 7 4" xfId="4118"/>
    <cellStyle name="표준 3 3 2 7 4 2" xfId="4119"/>
    <cellStyle name="표준 3 3 2 7 4 2 2" xfId="12193"/>
    <cellStyle name="표준 3 3 2 7 4 2 2 2" xfId="34660"/>
    <cellStyle name="표준 3 3 2 7 4 2 3" xfId="19677"/>
    <cellStyle name="표준 3 3 2 7 4 2 3 2" xfId="42142"/>
    <cellStyle name="표준 3 3 2 7 4 2 4" xfId="27178"/>
    <cellStyle name="표준 3 3 2 7 4 3" xfId="12192"/>
    <cellStyle name="표준 3 3 2 7 4 3 2" xfId="34659"/>
    <cellStyle name="표준 3 3 2 7 4 4" xfId="19676"/>
    <cellStyle name="표준 3 3 2 7 4 4 2" xfId="42141"/>
    <cellStyle name="표준 3 3 2 7 4 5" xfId="27177"/>
    <cellStyle name="표준 3 3 2 7 4_Sheet4" xfId="4120"/>
    <cellStyle name="표준 3 3 2 7 5" xfId="4121"/>
    <cellStyle name="표준 3 3 2 7 5 2" xfId="12194"/>
    <cellStyle name="표준 3 3 2 7 5 2 2" xfId="34661"/>
    <cellStyle name="표준 3 3 2 7 5 3" xfId="19678"/>
    <cellStyle name="표준 3 3 2 7 5 3 2" xfId="42143"/>
    <cellStyle name="표준 3 3 2 7 5 4" xfId="27179"/>
    <cellStyle name="표준 3 3 2 7 6" xfId="12179"/>
    <cellStyle name="표준 3 3 2 7 6 2" xfId="34646"/>
    <cellStyle name="표준 3 3 2 7 7" xfId="19663"/>
    <cellStyle name="표준 3 3 2 7 7 2" xfId="42128"/>
    <cellStyle name="표준 3 3 2 7 8" xfId="27164"/>
    <cellStyle name="표준 3 3 2 7_Sheet4" xfId="4122"/>
    <cellStyle name="표준 3 3 2 8" xfId="4123"/>
    <cellStyle name="표준 3 3 2 8 2" xfId="4124"/>
    <cellStyle name="표준 3 3 2 8 2 2" xfId="4125"/>
    <cellStyle name="표준 3 3 2 8 2 2 2" xfId="4126"/>
    <cellStyle name="표준 3 3 2 8 2 2 2 2" xfId="12198"/>
    <cellStyle name="표준 3 3 2 8 2 2 2 2 2" xfId="34665"/>
    <cellStyle name="표준 3 3 2 8 2 2 2 3" xfId="19682"/>
    <cellStyle name="표준 3 3 2 8 2 2 2 3 2" xfId="42147"/>
    <cellStyle name="표준 3 3 2 8 2 2 2 4" xfId="27183"/>
    <cellStyle name="표준 3 3 2 8 2 2 3" xfId="12197"/>
    <cellStyle name="표준 3 3 2 8 2 2 3 2" xfId="34664"/>
    <cellStyle name="표준 3 3 2 8 2 2 4" xfId="19681"/>
    <cellStyle name="표준 3 3 2 8 2 2 4 2" xfId="42146"/>
    <cellStyle name="표준 3 3 2 8 2 2 5" xfId="27182"/>
    <cellStyle name="표준 3 3 2 8 2 2_Sheet4" xfId="4127"/>
    <cellStyle name="표준 3 3 2 8 2 3" xfId="4128"/>
    <cellStyle name="표준 3 3 2 8 2 3 2" xfId="12199"/>
    <cellStyle name="표준 3 3 2 8 2 3 2 2" xfId="34666"/>
    <cellStyle name="표준 3 3 2 8 2 3 3" xfId="19683"/>
    <cellStyle name="표준 3 3 2 8 2 3 3 2" xfId="42148"/>
    <cellStyle name="표준 3 3 2 8 2 3 4" xfId="27184"/>
    <cellStyle name="표준 3 3 2 8 2 4" xfId="12196"/>
    <cellStyle name="표준 3 3 2 8 2 4 2" xfId="34663"/>
    <cellStyle name="표준 3 3 2 8 2 5" xfId="19680"/>
    <cellStyle name="표준 3 3 2 8 2 5 2" xfId="42145"/>
    <cellStyle name="표준 3 3 2 8 2 6" xfId="27181"/>
    <cellStyle name="표준 3 3 2 8 2_Sheet4" xfId="4129"/>
    <cellStyle name="표준 3 3 2 8 3" xfId="4130"/>
    <cellStyle name="표준 3 3 2 8 3 2" xfId="4131"/>
    <cellStyle name="표준 3 3 2 8 3 2 2" xfId="12201"/>
    <cellStyle name="표준 3 3 2 8 3 2 2 2" xfId="34668"/>
    <cellStyle name="표준 3 3 2 8 3 2 3" xfId="19685"/>
    <cellStyle name="표준 3 3 2 8 3 2 3 2" xfId="42150"/>
    <cellStyle name="표준 3 3 2 8 3 2 4" xfId="27186"/>
    <cellStyle name="표준 3 3 2 8 3 3" xfId="12200"/>
    <cellStyle name="표준 3 3 2 8 3 3 2" xfId="34667"/>
    <cellStyle name="표준 3 3 2 8 3 4" xfId="19684"/>
    <cellStyle name="표준 3 3 2 8 3 4 2" xfId="42149"/>
    <cellStyle name="표준 3 3 2 8 3 5" xfId="27185"/>
    <cellStyle name="표준 3 3 2 8 3_Sheet4" xfId="4132"/>
    <cellStyle name="표준 3 3 2 8 4" xfId="4133"/>
    <cellStyle name="표준 3 3 2 8 4 2" xfId="12202"/>
    <cellStyle name="표준 3 3 2 8 4 2 2" xfId="34669"/>
    <cellStyle name="표준 3 3 2 8 4 3" xfId="19686"/>
    <cellStyle name="표준 3 3 2 8 4 3 2" xfId="42151"/>
    <cellStyle name="표준 3 3 2 8 4 4" xfId="27187"/>
    <cellStyle name="표준 3 3 2 8 5" xfId="12195"/>
    <cellStyle name="표준 3 3 2 8 5 2" xfId="34662"/>
    <cellStyle name="표준 3 3 2 8 6" xfId="19679"/>
    <cellStyle name="표준 3 3 2 8 6 2" xfId="42144"/>
    <cellStyle name="표준 3 3 2 8 7" xfId="27180"/>
    <cellStyle name="표준 3 3 2 8_Sheet4" xfId="4134"/>
    <cellStyle name="표준 3 3 2 9" xfId="4135"/>
    <cellStyle name="표준 3 3 2 9 2" xfId="4136"/>
    <cellStyle name="표준 3 3 2 9 2 2" xfId="4137"/>
    <cellStyle name="표준 3 3 2 9 2 2 2" xfId="4138"/>
    <cellStyle name="표준 3 3 2 9 2 2 2 2" xfId="12206"/>
    <cellStyle name="표준 3 3 2 9 2 2 2 2 2" xfId="34673"/>
    <cellStyle name="표준 3 3 2 9 2 2 2 3" xfId="19690"/>
    <cellStyle name="표준 3 3 2 9 2 2 2 3 2" xfId="42155"/>
    <cellStyle name="표준 3 3 2 9 2 2 2 4" xfId="27191"/>
    <cellStyle name="표준 3 3 2 9 2 2 3" xfId="12205"/>
    <cellStyle name="표준 3 3 2 9 2 2 3 2" xfId="34672"/>
    <cellStyle name="표준 3 3 2 9 2 2 4" xfId="19689"/>
    <cellStyle name="표준 3 3 2 9 2 2 4 2" xfId="42154"/>
    <cellStyle name="표준 3 3 2 9 2 2 5" xfId="27190"/>
    <cellStyle name="표준 3 3 2 9 2 2_Sheet4" xfId="4139"/>
    <cellStyle name="표준 3 3 2 9 2 3" xfId="4140"/>
    <cellStyle name="표준 3 3 2 9 2 3 2" xfId="12207"/>
    <cellStyle name="표준 3 3 2 9 2 3 2 2" xfId="34674"/>
    <cellStyle name="표준 3 3 2 9 2 3 3" xfId="19691"/>
    <cellStyle name="표준 3 3 2 9 2 3 3 2" xfId="42156"/>
    <cellStyle name="표준 3 3 2 9 2 3 4" xfId="27192"/>
    <cellStyle name="표준 3 3 2 9 2 4" xfId="12204"/>
    <cellStyle name="표준 3 3 2 9 2 4 2" xfId="34671"/>
    <cellStyle name="표준 3 3 2 9 2 5" xfId="19688"/>
    <cellStyle name="표준 3 3 2 9 2 5 2" xfId="42153"/>
    <cellStyle name="표준 3 3 2 9 2 6" xfId="27189"/>
    <cellStyle name="표준 3 3 2 9 2_Sheet4" xfId="4141"/>
    <cellStyle name="표준 3 3 2 9 3" xfId="4142"/>
    <cellStyle name="표준 3 3 2 9 3 2" xfId="4143"/>
    <cellStyle name="표준 3 3 2 9 3 2 2" xfId="12209"/>
    <cellStyle name="표준 3 3 2 9 3 2 2 2" xfId="34676"/>
    <cellStyle name="표준 3 3 2 9 3 2 3" xfId="19693"/>
    <cellStyle name="표준 3 3 2 9 3 2 3 2" xfId="42158"/>
    <cellStyle name="표준 3 3 2 9 3 2 4" xfId="27194"/>
    <cellStyle name="표준 3 3 2 9 3 3" xfId="12208"/>
    <cellStyle name="표준 3 3 2 9 3 3 2" xfId="34675"/>
    <cellStyle name="표준 3 3 2 9 3 4" xfId="19692"/>
    <cellStyle name="표준 3 3 2 9 3 4 2" xfId="42157"/>
    <cellStyle name="표준 3 3 2 9 3 5" xfId="27193"/>
    <cellStyle name="표준 3 3 2 9 3_Sheet4" xfId="4144"/>
    <cellStyle name="표준 3 3 2 9 4" xfId="4145"/>
    <cellStyle name="표준 3 3 2 9 4 2" xfId="12210"/>
    <cellStyle name="표준 3 3 2 9 4 2 2" xfId="34677"/>
    <cellStyle name="표준 3 3 2 9 4 3" xfId="19694"/>
    <cellStyle name="표준 3 3 2 9 4 3 2" xfId="42159"/>
    <cellStyle name="표준 3 3 2 9 4 4" xfId="27195"/>
    <cellStyle name="표준 3 3 2 9 5" xfId="12203"/>
    <cellStyle name="표준 3 3 2 9 5 2" xfId="34670"/>
    <cellStyle name="표준 3 3 2 9 6" xfId="19687"/>
    <cellStyle name="표준 3 3 2 9 6 2" xfId="42152"/>
    <cellStyle name="표준 3 3 2 9 7" xfId="27188"/>
    <cellStyle name="표준 3 3 2 9_Sheet4" xfId="4146"/>
    <cellStyle name="표준 3 3 2_Sheet4" xfId="4147"/>
    <cellStyle name="표준 3 3 20" xfId="19113"/>
    <cellStyle name="표준 3 3 20 2" xfId="41578"/>
    <cellStyle name="표준 3 3 21" xfId="26614"/>
    <cellStyle name="표준 3 3 3" xfId="4148"/>
    <cellStyle name="표준 3 3 3 10" xfId="4149"/>
    <cellStyle name="표준 3 3 3 10 2" xfId="4150"/>
    <cellStyle name="표준 3 3 3 10 2 2" xfId="4151"/>
    <cellStyle name="표준 3 3 3 10 2 2 2" xfId="12214"/>
    <cellStyle name="표준 3 3 3 10 2 2 2 2" xfId="34681"/>
    <cellStyle name="표준 3 3 3 10 2 2 3" xfId="19698"/>
    <cellStyle name="표준 3 3 3 10 2 2 3 2" xfId="42163"/>
    <cellStyle name="표준 3 3 3 10 2 2 4" xfId="27199"/>
    <cellStyle name="표준 3 3 3 10 2 3" xfId="12213"/>
    <cellStyle name="표준 3 3 3 10 2 3 2" xfId="34680"/>
    <cellStyle name="표준 3 3 3 10 2 4" xfId="19697"/>
    <cellStyle name="표준 3 3 3 10 2 4 2" xfId="42162"/>
    <cellStyle name="표준 3 3 3 10 2 5" xfId="27198"/>
    <cellStyle name="표준 3 3 3 10 2_Sheet4" xfId="4152"/>
    <cellStyle name="표준 3 3 3 10 3" xfId="4153"/>
    <cellStyle name="표준 3 3 3 10 3 2" xfId="12215"/>
    <cellStyle name="표준 3 3 3 10 3 2 2" xfId="34682"/>
    <cellStyle name="표준 3 3 3 10 3 3" xfId="19699"/>
    <cellStyle name="표준 3 3 3 10 3 3 2" xfId="42164"/>
    <cellStyle name="표준 3 3 3 10 3 4" xfId="27200"/>
    <cellStyle name="표준 3 3 3 10 4" xfId="12212"/>
    <cellStyle name="표준 3 3 3 10 4 2" xfId="34679"/>
    <cellStyle name="표준 3 3 3 10 5" xfId="19696"/>
    <cellStyle name="표준 3 3 3 10 5 2" xfId="42161"/>
    <cellStyle name="표준 3 3 3 10 6" xfId="27197"/>
    <cellStyle name="표준 3 3 3 10_Sheet4" xfId="4154"/>
    <cellStyle name="표준 3 3 3 11" xfId="4155"/>
    <cellStyle name="표준 3 3 3 11 2" xfId="4156"/>
    <cellStyle name="표준 3 3 3 11 2 2" xfId="4157"/>
    <cellStyle name="표준 3 3 3 11 2 2 2" xfId="12218"/>
    <cellStyle name="표준 3 3 3 11 2 2 2 2" xfId="34685"/>
    <cellStyle name="표준 3 3 3 11 2 2 3" xfId="19702"/>
    <cellStyle name="표준 3 3 3 11 2 2 3 2" xfId="42167"/>
    <cellStyle name="표준 3 3 3 11 2 2 4" xfId="27203"/>
    <cellStyle name="표준 3 3 3 11 2 3" xfId="12217"/>
    <cellStyle name="표준 3 3 3 11 2 3 2" xfId="34684"/>
    <cellStyle name="표준 3 3 3 11 2 4" xfId="19701"/>
    <cellStyle name="표준 3 3 3 11 2 4 2" xfId="42166"/>
    <cellStyle name="표준 3 3 3 11 2 5" xfId="27202"/>
    <cellStyle name="표준 3 3 3 11 2_Sheet4" xfId="4158"/>
    <cellStyle name="표준 3 3 3 11 3" xfId="4159"/>
    <cellStyle name="표준 3 3 3 11 3 2" xfId="12219"/>
    <cellStyle name="표준 3 3 3 11 3 2 2" xfId="34686"/>
    <cellStyle name="표준 3 3 3 11 3 3" xfId="19703"/>
    <cellStyle name="표준 3 3 3 11 3 3 2" xfId="42168"/>
    <cellStyle name="표준 3 3 3 11 3 4" xfId="27204"/>
    <cellStyle name="표준 3 3 3 11 4" xfId="12216"/>
    <cellStyle name="표준 3 3 3 11 4 2" xfId="34683"/>
    <cellStyle name="표준 3 3 3 11 5" xfId="19700"/>
    <cellStyle name="표준 3 3 3 11 5 2" xfId="42165"/>
    <cellStyle name="표준 3 3 3 11 6" xfId="27201"/>
    <cellStyle name="표준 3 3 3 11_Sheet4" xfId="4160"/>
    <cellStyle name="표준 3 3 3 12" xfId="4161"/>
    <cellStyle name="표준 3 3 3 12 2" xfId="4162"/>
    <cellStyle name="표준 3 3 3 12 2 2" xfId="4163"/>
    <cellStyle name="표준 3 3 3 12 2 2 2" xfId="12222"/>
    <cellStyle name="표준 3 3 3 12 2 2 2 2" xfId="34689"/>
    <cellStyle name="표준 3 3 3 12 2 2 3" xfId="19706"/>
    <cellStyle name="표준 3 3 3 12 2 2 3 2" xfId="42171"/>
    <cellStyle name="표준 3 3 3 12 2 2 4" xfId="27207"/>
    <cellStyle name="표준 3 3 3 12 2 3" xfId="12221"/>
    <cellStyle name="표준 3 3 3 12 2 3 2" xfId="34688"/>
    <cellStyle name="표준 3 3 3 12 2 4" xfId="19705"/>
    <cellStyle name="표준 3 3 3 12 2 4 2" xfId="42170"/>
    <cellStyle name="표준 3 3 3 12 2 5" xfId="27206"/>
    <cellStyle name="표준 3 3 3 12 2_Sheet4" xfId="4164"/>
    <cellStyle name="표준 3 3 3 12 3" xfId="4165"/>
    <cellStyle name="표준 3 3 3 12 3 2" xfId="12223"/>
    <cellStyle name="표준 3 3 3 12 3 2 2" xfId="34690"/>
    <cellStyle name="표준 3 3 3 12 3 3" xfId="19707"/>
    <cellStyle name="표준 3 3 3 12 3 3 2" xfId="42172"/>
    <cellStyle name="표준 3 3 3 12 3 4" xfId="27208"/>
    <cellStyle name="표준 3 3 3 12 4" xfId="12220"/>
    <cellStyle name="표준 3 3 3 12 4 2" xfId="34687"/>
    <cellStyle name="표준 3 3 3 12 5" xfId="19704"/>
    <cellStyle name="표준 3 3 3 12 5 2" xfId="42169"/>
    <cellStyle name="표준 3 3 3 12 6" xfId="27205"/>
    <cellStyle name="표준 3 3 3 12_Sheet4" xfId="4166"/>
    <cellStyle name="표준 3 3 3 13" xfId="4167"/>
    <cellStyle name="표준 3 3 3 13 2" xfId="4168"/>
    <cellStyle name="표준 3 3 3 13 2 2" xfId="12225"/>
    <cellStyle name="표준 3 3 3 13 2 2 2" xfId="34692"/>
    <cellStyle name="표준 3 3 3 13 2 3" xfId="19709"/>
    <cellStyle name="표준 3 3 3 13 2 3 2" xfId="42174"/>
    <cellStyle name="표준 3 3 3 13 2 4" xfId="27210"/>
    <cellStyle name="표준 3 3 3 13 3" xfId="12224"/>
    <cellStyle name="표준 3 3 3 13 3 2" xfId="34691"/>
    <cellStyle name="표준 3 3 3 13 4" xfId="19708"/>
    <cellStyle name="표준 3 3 3 13 4 2" xfId="42173"/>
    <cellStyle name="표준 3 3 3 13 5" xfId="27209"/>
    <cellStyle name="표준 3 3 3 13_Sheet4" xfId="4169"/>
    <cellStyle name="표준 3 3 3 14" xfId="4170"/>
    <cellStyle name="표준 3 3 3 14 2" xfId="12226"/>
    <cellStyle name="표준 3 3 3 14 2 2" xfId="34693"/>
    <cellStyle name="표준 3 3 3 14 3" xfId="19710"/>
    <cellStyle name="표준 3 3 3 14 3 2" xfId="42175"/>
    <cellStyle name="표준 3 3 3 14 4" xfId="27211"/>
    <cellStyle name="표준 3 3 3 15" xfId="12211"/>
    <cellStyle name="표준 3 3 3 15 2" xfId="34678"/>
    <cellStyle name="표준 3 3 3 16" xfId="19695"/>
    <cellStyle name="표준 3 3 3 16 2" xfId="42160"/>
    <cellStyle name="표준 3 3 3 17" xfId="27196"/>
    <cellStyle name="표준 3 3 3 2" xfId="4171"/>
    <cellStyle name="표준 3 3 3 2 10" xfId="12227"/>
    <cellStyle name="표준 3 3 3 2 10 2" xfId="34694"/>
    <cellStyle name="표준 3 3 3 2 11" xfId="19711"/>
    <cellStyle name="표준 3 3 3 2 11 2" xfId="42176"/>
    <cellStyle name="표준 3 3 3 2 12" xfId="27212"/>
    <cellStyle name="표준 3 3 3 2 2" xfId="4172"/>
    <cellStyle name="표준 3 3 3 2 2 10" xfId="27213"/>
    <cellStyle name="표준 3 3 3 2 2 2" xfId="4173"/>
    <cellStyle name="표준 3 3 3 2 2 2 2" xfId="4174"/>
    <cellStyle name="표준 3 3 3 2 2 2 2 2" xfId="4175"/>
    <cellStyle name="표준 3 3 3 2 2 2 2 2 2" xfId="4176"/>
    <cellStyle name="표준 3 3 3 2 2 2 2 2 2 2" xfId="4177"/>
    <cellStyle name="표준 3 3 3 2 2 2 2 2 2 2 2" xfId="12233"/>
    <cellStyle name="표준 3 3 3 2 2 2 2 2 2 2 2 2" xfId="34700"/>
    <cellStyle name="표준 3 3 3 2 2 2 2 2 2 2 3" xfId="19717"/>
    <cellStyle name="표준 3 3 3 2 2 2 2 2 2 2 3 2" xfId="42182"/>
    <cellStyle name="표준 3 3 3 2 2 2 2 2 2 2 4" xfId="27218"/>
    <cellStyle name="표준 3 3 3 2 2 2 2 2 2 3" xfId="12232"/>
    <cellStyle name="표준 3 3 3 2 2 2 2 2 2 3 2" xfId="34699"/>
    <cellStyle name="표준 3 3 3 2 2 2 2 2 2 4" xfId="19716"/>
    <cellStyle name="표준 3 3 3 2 2 2 2 2 2 4 2" xfId="42181"/>
    <cellStyle name="표준 3 3 3 2 2 2 2 2 2 5" xfId="27217"/>
    <cellStyle name="표준 3 3 3 2 2 2 2 2 2_Sheet4" xfId="4178"/>
    <cellStyle name="표준 3 3 3 2 2 2 2 2 3" xfId="4179"/>
    <cellStyle name="표준 3 3 3 2 2 2 2 2 3 2" xfId="12234"/>
    <cellStyle name="표준 3 3 3 2 2 2 2 2 3 2 2" xfId="34701"/>
    <cellStyle name="표준 3 3 3 2 2 2 2 2 3 3" xfId="19718"/>
    <cellStyle name="표준 3 3 3 2 2 2 2 2 3 3 2" xfId="42183"/>
    <cellStyle name="표준 3 3 3 2 2 2 2 2 3 4" xfId="27219"/>
    <cellStyle name="표준 3 3 3 2 2 2 2 2 4" xfId="12231"/>
    <cellStyle name="표준 3 3 3 2 2 2 2 2 4 2" xfId="34698"/>
    <cellStyle name="표준 3 3 3 2 2 2 2 2 5" xfId="19715"/>
    <cellStyle name="표준 3 3 3 2 2 2 2 2 5 2" xfId="42180"/>
    <cellStyle name="표준 3 3 3 2 2 2 2 2 6" xfId="27216"/>
    <cellStyle name="표준 3 3 3 2 2 2 2 2_Sheet4" xfId="4180"/>
    <cellStyle name="표준 3 3 3 2 2 2 2 3" xfId="4181"/>
    <cellStyle name="표준 3 3 3 2 2 2 2 3 2" xfId="4182"/>
    <cellStyle name="표준 3 3 3 2 2 2 2 3 2 2" xfId="12236"/>
    <cellStyle name="표준 3 3 3 2 2 2 2 3 2 2 2" xfId="34703"/>
    <cellStyle name="표준 3 3 3 2 2 2 2 3 2 3" xfId="19720"/>
    <cellStyle name="표준 3 3 3 2 2 2 2 3 2 3 2" xfId="42185"/>
    <cellStyle name="표준 3 3 3 2 2 2 2 3 2 4" xfId="27221"/>
    <cellStyle name="표준 3 3 3 2 2 2 2 3 3" xfId="12235"/>
    <cellStyle name="표준 3 3 3 2 2 2 2 3 3 2" xfId="34702"/>
    <cellStyle name="표준 3 3 3 2 2 2 2 3 4" xfId="19719"/>
    <cellStyle name="표준 3 3 3 2 2 2 2 3 4 2" xfId="42184"/>
    <cellStyle name="표준 3 3 3 2 2 2 2 3 5" xfId="27220"/>
    <cellStyle name="표준 3 3 3 2 2 2 2 3_Sheet4" xfId="4183"/>
    <cellStyle name="표준 3 3 3 2 2 2 2 4" xfId="4184"/>
    <cellStyle name="표준 3 3 3 2 2 2 2 4 2" xfId="12237"/>
    <cellStyle name="표준 3 3 3 2 2 2 2 4 2 2" xfId="34704"/>
    <cellStyle name="표준 3 3 3 2 2 2 2 4 3" xfId="19721"/>
    <cellStyle name="표준 3 3 3 2 2 2 2 4 3 2" xfId="42186"/>
    <cellStyle name="표준 3 3 3 2 2 2 2 4 4" xfId="27222"/>
    <cellStyle name="표준 3 3 3 2 2 2 2 5" xfId="12230"/>
    <cellStyle name="표준 3 3 3 2 2 2 2 5 2" xfId="34697"/>
    <cellStyle name="표준 3 3 3 2 2 2 2 6" xfId="19714"/>
    <cellStyle name="표준 3 3 3 2 2 2 2 6 2" xfId="42179"/>
    <cellStyle name="표준 3 3 3 2 2 2 2 7" xfId="27215"/>
    <cellStyle name="표준 3 3 3 2 2 2 2_Sheet4" xfId="4185"/>
    <cellStyle name="표준 3 3 3 2 2 2 3" xfId="4186"/>
    <cellStyle name="표준 3 3 3 2 2 2 3 2" xfId="4187"/>
    <cellStyle name="표준 3 3 3 2 2 2 3 2 2" xfId="4188"/>
    <cellStyle name="표준 3 3 3 2 2 2 3 2 2 2" xfId="12240"/>
    <cellStyle name="표준 3 3 3 2 2 2 3 2 2 2 2" xfId="34707"/>
    <cellStyle name="표준 3 3 3 2 2 2 3 2 2 3" xfId="19724"/>
    <cellStyle name="표준 3 3 3 2 2 2 3 2 2 3 2" xfId="42189"/>
    <cellStyle name="표준 3 3 3 2 2 2 3 2 2 4" xfId="27225"/>
    <cellStyle name="표준 3 3 3 2 2 2 3 2 3" xfId="12239"/>
    <cellStyle name="표준 3 3 3 2 2 2 3 2 3 2" xfId="34706"/>
    <cellStyle name="표준 3 3 3 2 2 2 3 2 4" xfId="19723"/>
    <cellStyle name="표준 3 3 3 2 2 2 3 2 4 2" xfId="42188"/>
    <cellStyle name="표준 3 3 3 2 2 2 3 2 5" xfId="27224"/>
    <cellStyle name="표준 3 3 3 2 2 2 3 2_Sheet4" xfId="4189"/>
    <cellStyle name="표준 3 3 3 2 2 2 3 3" xfId="4190"/>
    <cellStyle name="표준 3 3 3 2 2 2 3 3 2" xfId="12241"/>
    <cellStyle name="표준 3 3 3 2 2 2 3 3 2 2" xfId="34708"/>
    <cellStyle name="표준 3 3 3 2 2 2 3 3 3" xfId="19725"/>
    <cellStyle name="표준 3 3 3 2 2 2 3 3 3 2" xfId="42190"/>
    <cellStyle name="표준 3 3 3 2 2 2 3 3 4" xfId="27226"/>
    <cellStyle name="표준 3 3 3 2 2 2 3 4" xfId="12238"/>
    <cellStyle name="표준 3 3 3 2 2 2 3 4 2" xfId="34705"/>
    <cellStyle name="표준 3 3 3 2 2 2 3 5" xfId="19722"/>
    <cellStyle name="표준 3 3 3 2 2 2 3 5 2" xfId="42187"/>
    <cellStyle name="표준 3 3 3 2 2 2 3 6" xfId="27223"/>
    <cellStyle name="표준 3 3 3 2 2 2 3_Sheet4" xfId="4191"/>
    <cellStyle name="표준 3 3 3 2 2 2 4" xfId="4192"/>
    <cellStyle name="표준 3 3 3 2 2 2 4 2" xfId="4193"/>
    <cellStyle name="표준 3 3 3 2 2 2 4 2 2" xfId="12243"/>
    <cellStyle name="표준 3 3 3 2 2 2 4 2 2 2" xfId="34710"/>
    <cellStyle name="표준 3 3 3 2 2 2 4 2 3" xfId="19727"/>
    <cellStyle name="표준 3 3 3 2 2 2 4 2 3 2" xfId="42192"/>
    <cellStyle name="표준 3 3 3 2 2 2 4 2 4" xfId="27228"/>
    <cellStyle name="표준 3 3 3 2 2 2 4 3" xfId="12242"/>
    <cellStyle name="표준 3 3 3 2 2 2 4 3 2" xfId="34709"/>
    <cellStyle name="표준 3 3 3 2 2 2 4 4" xfId="19726"/>
    <cellStyle name="표준 3 3 3 2 2 2 4 4 2" xfId="42191"/>
    <cellStyle name="표준 3 3 3 2 2 2 4 5" xfId="27227"/>
    <cellStyle name="표준 3 3 3 2 2 2 4_Sheet4" xfId="4194"/>
    <cellStyle name="표준 3 3 3 2 2 2 5" xfId="4195"/>
    <cellStyle name="표준 3 3 3 2 2 2 5 2" xfId="12244"/>
    <cellStyle name="표준 3 3 3 2 2 2 5 2 2" xfId="34711"/>
    <cellStyle name="표준 3 3 3 2 2 2 5 3" xfId="19728"/>
    <cellStyle name="표준 3 3 3 2 2 2 5 3 2" xfId="42193"/>
    <cellStyle name="표준 3 3 3 2 2 2 5 4" xfId="27229"/>
    <cellStyle name="표준 3 3 3 2 2 2 6" xfId="12229"/>
    <cellStyle name="표준 3 3 3 2 2 2 6 2" xfId="34696"/>
    <cellStyle name="표준 3 3 3 2 2 2 7" xfId="19713"/>
    <cellStyle name="표준 3 3 3 2 2 2 7 2" xfId="42178"/>
    <cellStyle name="표준 3 3 3 2 2 2 8" xfId="27214"/>
    <cellStyle name="표준 3 3 3 2 2 2_Sheet4" xfId="4196"/>
    <cellStyle name="표준 3 3 3 2 2 3" xfId="4197"/>
    <cellStyle name="표준 3 3 3 2 2 3 2" xfId="4198"/>
    <cellStyle name="표준 3 3 3 2 2 3 2 2" xfId="4199"/>
    <cellStyle name="표준 3 3 3 2 2 3 2 2 2" xfId="4200"/>
    <cellStyle name="표준 3 3 3 2 2 3 2 2 2 2" xfId="4201"/>
    <cellStyle name="표준 3 3 3 2 2 3 2 2 2 2 2" xfId="12249"/>
    <cellStyle name="표준 3 3 3 2 2 3 2 2 2 2 2 2" xfId="34716"/>
    <cellStyle name="표준 3 3 3 2 2 3 2 2 2 2 3" xfId="19733"/>
    <cellStyle name="표준 3 3 3 2 2 3 2 2 2 2 3 2" xfId="42198"/>
    <cellStyle name="표준 3 3 3 2 2 3 2 2 2 2 4" xfId="27234"/>
    <cellStyle name="표준 3 3 3 2 2 3 2 2 2 3" xfId="12248"/>
    <cellStyle name="표준 3 3 3 2 2 3 2 2 2 3 2" xfId="34715"/>
    <cellStyle name="표준 3 3 3 2 2 3 2 2 2 4" xfId="19732"/>
    <cellStyle name="표준 3 3 3 2 2 3 2 2 2 4 2" xfId="42197"/>
    <cellStyle name="표준 3 3 3 2 2 3 2 2 2 5" xfId="27233"/>
    <cellStyle name="표준 3 3 3 2 2 3 2 2 2_Sheet4" xfId="4202"/>
    <cellStyle name="표준 3 3 3 2 2 3 2 2 3" xfId="4203"/>
    <cellStyle name="표준 3 3 3 2 2 3 2 2 3 2" xfId="12250"/>
    <cellStyle name="표준 3 3 3 2 2 3 2 2 3 2 2" xfId="34717"/>
    <cellStyle name="표준 3 3 3 2 2 3 2 2 3 3" xfId="19734"/>
    <cellStyle name="표준 3 3 3 2 2 3 2 2 3 3 2" xfId="42199"/>
    <cellStyle name="표준 3 3 3 2 2 3 2 2 3 4" xfId="27235"/>
    <cellStyle name="표준 3 3 3 2 2 3 2 2 4" xfId="12247"/>
    <cellStyle name="표준 3 3 3 2 2 3 2 2 4 2" xfId="34714"/>
    <cellStyle name="표준 3 3 3 2 2 3 2 2 5" xfId="19731"/>
    <cellStyle name="표준 3 3 3 2 2 3 2 2 5 2" xfId="42196"/>
    <cellStyle name="표준 3 3 3 2 2 3 2 2 6" xfId="27232"/>
    <cellStyle name="표준 3 3 3 2 2 3 2 2_Sheet4" xfId="4204"/>
    <cellStyle name="표준 3 3 3 2 2 3 2 3" xfId="4205"/>
    <cellStyle name="표준 3 3 3 2 2 3 2 3 2" xfId="4206"/>
    <cellStyle name="표준 3 3 3 2 2 3 2 3 2 2" xfId="12252"/>
    <cellStyle name="표준 3 3 3 2 2 3 2 3 2 2 2" xfId="34719"/>
    <cellStyle name="표준 3 3 3 2 2 3 2 3 2 3" xfId="19736"/>
    <cellStyle name="표준 3 3 3 2 2 3 2 3 2 3 2" xfId="42201"/>
    <cellStyle name="표준 3 3 3 2 2 3 2 3 2 4" xfId="27237"/>
    <cellStyle name="표준 3 3 3 2 2 3 2 3 3" xfId="12251"/>
    <cellStyle name="표준 3 3 3 2 2 3 2 3 3 2" xfId="34718"/>
    <cellStyle name="표준 3 3 3 2 2 3 2 3 4" xfId="19735"/>
    <cellStyle name="표준 3 3 3 2 2 3 2 3 4 2" xfId="42200"/>
    <cellStyle name="표준 3 3 3 2 2 3 2 3 5" xfId="27236"/>
    <cellStyle name="표준 3 3 3 2 2 3 2 3_Sheet4" xfId="4207"/>
    <cellStyle name="표준 3 3 3 2 2 3 2 4" xfId="4208"/>
    <cellStyle name="표준 3 3 3 2 2 3 2 4 2" xfId="12253"/>
    <cellStyle name="표준 3 3 3 2 2 3 2 4 2 2" xfId="34720"/>
    <cellStyle name="표준 3 3 3 2 2 3 2 4 3" xfId="19737"/>
    <cellStyle name="표준 3 3 3 2 2 3 2 4 3 2" xfId="42202"/>
    <cellStyle name="표준 3 3 3 2 2 3 2 4 4" xfId="27238"/>
    <cellStyle name="표준 3 3 3 2 2 3 2 5" xfId="12246"/>
    <cellStyle name="표준 3 3 3 2 2 3 2 5 2" xfId="34713"/>
    <cellStyle name="표준 3 3 3 2 2 3 2 6" xfId="19730"/>
    <cellStyle name="표준 3 3 3 2 2 3 2 6 2" xfId="42195"/>
    <cellStyle name="표준 3 3 3 2 2 3 2 7" xfId="27231"/>
    <cellStyle name="표준 3 3 3 2 2 3 2_Sheet4" xfId="4209"/>
    <cellStyle name="표준 3 3 3 2 2 3 3" xfId="4210"/>
    <cellStyle name="표준 3 3 3 2 2 3 3 2" xfId="4211"/>
    <cellStyle name="표준 3 3 3 2 2 3 3 2 2" xfId="4212"/>
    <cellStyle name="표준 3 3 3 2 2 3 3 2 2 2" xfId="12256"/>
    <cellStyle name="표준 3 3 3 2 2 3 3 2 2 2 2" xfId="34723"/>
    <cellStyle name="표준 3 3 3 2 2 3 3 2 2 3" xfId="19740"/>
    <cellStyle name="표준 3 3 3 2 2 3 3 2 2 3 2" xfId="42205"/>
    <cellStyle name="표준 3 3 3 2 2 3 3 2 2 4" xfId="27241"/>
    <cellStyle name="표준 3 3 3 2 2 3 3 2 3" xfId="12255"/>
    <cellStyle name="표준 3 3 3 2 2 3 3 2 3 2" xfId="34722"/>
    <cellStyle name="표준 3 3 3 2 2 3 3 2 4" xfId="19739"/>
    <cellStyle name="표준 3 3 3 2 2 3 3 2 4 2" xfId="42204"/>
    <cellStyle name="표준 3 3 3 2 2 3 3 2 5" xfId="27240"/>
    <cellStyle name="표준 3 3 3 2 2 3 3 2_Sheet4" xfId="4213"/>
    <cellStyle name="표준 3 3 3 2 2 3 3 3" xfId="4214"/>
    <cellStyle name="표준 3 3 3 2 2 3 3 3 2" xfId="12257"/>
    <cellStyle name="표준 3 3 3 2 2 3 3 3 2 2" xfId="34724"/>
    <cellStyle name="표준 3 3 3 2 2 3 3 3 3" xfId="19741"/>
    <cellStyle name="표준 3 3 3 2 2 3 3 3 3 2" xfId="42206"/>
    <cellStyle name="표준 3 3 3 2 2 3 3 3 4" xfId="27242"/>
    <cellStyle name="표준 3 3 3 2 2 3 3 4" xfId="12254"/>
    <cellStyle name="표준 3 3 3 2 2 3 3 4 2" xfId="34721"/>
    <cellStyle name="표준 3 3 3 2 2 3 3 5" xfId="19738"/>
    <cellStyle name="표준 3 3 3 2 2 3 3 5 2" xfId="42203"/>
    <cellStyle name="표준 3 3 3 2 2 3 3 6" xfId="27239"/>
    <cellStyle name="표준 3 3 3 2 2 3 3_Sheet4" xfId="4215"/>
    <cellStyle name="표준 3 3 3 2 2 3 4" xfId="4216"/>
    <cellStyle name="표준 3 3 3 2 2 3 4 2" xfId="4217"/>
    <cellStyle name="표준 3 3 3 2 2 3 4 2 2" xfId="12259"/>
    <cellStyle name="표준 3 3 3 2 2 3 4 2 2 2" xfId="34726"/>
    <cellStyle name="표준 3 3 3 2 2 3 4 2 3" xfId="19743"/>
    <cellStyle name="표준 3 3 3 2 2 3 4 2 3 2" xfId="42208"/>
    <cellStyle name="표준 3 3 3 2 2 3 4 2 4" xfId="27244"/>
    <cellStyle name="표준 3 3 3 2 2 3 4 3" xfId="12258"/>
    <cellStyle name="표준 3 3 3 2 2 3 4 3 2" xfId="34725"/>
    <cellStyle name="표준 3 3 3 2 2 3 4 4" xfId="19742"/>
    <cellStyle name="표준 3 3 3 2 2 3 4 4 2" xfId="42207"/>
    <cellStyle name="표준 3 3 3 2 2 3 4 5" xfId="27243"/>
    <cellStyle name="표준 3 3 3 2 2 3 4_Sheet4" xfId="4218"/>
    <cellStyle name="표준 3 3 3 2 2 3 5" xfId="4219"/>
    <cellStyle name="표준 3 3 3 2 2 3 5 2" xfId="12260"/>
    <cellStyle name="표준 3 3 3 2 2 3 5 2 2" xfId="34727"/>
    <cellStyle name="표준 3 3 3 2 2 3 5 3" xfId="19744"/>
    <cellStyle name="표준 3 3 3 2 2 3 5 3 2" xfId="42209"/>
    <cellStyle name="표준 3 3 3 2 2 3 5 4" xfId="27245"/>
    <cellStyle name="표준 3 3 3 2 2 3 6" xfId="12245"/>
    <cellStyle name="표준 3 3 3 2 2 3 6 2" xfId="34712"/>
    <cellStyle name="표준 3 3 3 2 2 3 7" xfId="19729"/>
    <cellStyle name="표준 3 3 3 2 2 3 7 2" xfId="42194"/>
    <cellStyle name="표준 3 3 3 2 2 3 8" xfId="27230"/>
    <cellStyle name="표준 3 3 3 2 2 3_Sheet4" xfId="4220"/>
    <cellStyle name="표준 3 3 3 2 2 4" xfId="4221"/>
    <cellStyle name="표준 3 3 3 2 2 4 2" xfId="4222"/>
    <cellStyle name="표준 3 3 3 2 2 4 2 2" xfId="4223"/>
    <cellStyle name="표준 3 3 3 2 2 4 2 2 2" xfId="4224"/>
    <cellStyle name="표준 3 3 3 2 2 4 2 2 2 2" xfId="12264"/>
    <cellStyle name="표준 3 3 3 2 2 4 2 2 2 2 2" xfId="34731"/>
    <cellStyle name="표준 3 3 3 2 2 4 2 2 2 3" xfId="19748"/>
    <cellStyle name="표준 3 3 3 2 2 4 2 2 2 3 2" xfId="42213"/>
    <cellStyle name="표준 3 3 3 2 2 4 2 2 2 4" xfId="27249"/>
    <cellStyle name="표준 3 3 3 2 2 4 2 2 3" xfId="12263"/>
    <cellStyle name="표준 3 3 3 2 2 4 2 2 3 2" xfId="34730"/>
    <cellStyle name="표준 3 3 3 2 2 4 2 2 4" xfId="19747"/>
    <cellStyle name="표준 3 3 3 2 2 4 2 2 4 2" xfId="42212"/>
    <cellStyle name="표준 3 3 3 2 2 4 2 2 5" xfId="27248"/>
    <cellStyle name="표준 3 3 3 2 2 4 2 2_Sheet4" xfId="4225"/>
    <cellStyle name="표준 3 3 3 2 2 4 2 3" xfId="4226"/>
    <cellStyle name="표준 3 3 3 2 2 4 2 3 2" xfId="12265"/>
    <cellStyle name="표준 3 3 3 2 2 4 2 3 2 2" xfId="34732"/>
    <cellStyle name="표준 3 3 3 2 2 4 2 3 3" xfId="19749"/>
    <cellStyle name="표준 3 3 3 2 2 4 2 3 3 2" xfId="42214"/>
    <cellStyle name="표준 3 3 3 2 2 4 2 3 4" xfId="27250"/>
    <cellStyle name="표준 3 3 3 2 2 4 2 4" xfId="12262"/>
    <cellStyle name="표준 3 3 3 2 2 4 2 4 2" xfId="34729"/>
    <cellStyle name="표준 3 3 3 2 2 4 2 5" xfId="19746"/>
    <cellStyle name="표준 3 3 3 2 2 4 2 5 2" xfId="42211"/>
    <cellStyle name="표준 3 3 3 2 2 4 2 6" xfId="27247"/>
    <cellStyle name="표준 3 3 3 2 2 4 2_Sheet4" xfId="4227"/>
    <cellStyle name="표준 3 3 3 2 2 4 3" xfId="4228"/>
    <cellStyle name="표준 3 3 3 2 2 4 3 2" xfId="4229"/>
    <cellStyle name="표준 3 3 3 2 2 4 3 2 2" xfId="12267"/>
    <cellStyle name="표준 3 3 3 2 2 4 3 2 2 2" xfId="34734"/>
    <cellStyle name="표준 3 3 3 2 2 4 3 2 3" xfId="19751"/>
    <cellStyle name="표준 3 3 3 2 2 4 3 2 3 2" xfId="42216"/>
    <cellStyle name="표준 3 3 3 2 2 4 3 2 4" xfId="27252"/>
    <cellStyle name="표준 3 3 3 2 2 4 3 3" xfId="12266"/>
    <cellStyle name="표준 3 3 3 2 2 4 3 3 2" xfId="34733"/>
    <cellStyle name="표준 3 3 3 2 2 4 3 4" xfId="19750"/>
    <cellStyle name="표준 3 3 3 2 2 4 3 4 2" xfId="42215"/>
    <cellStyle name="표준 3 3 3 2 2 4 3 5" xfId="27251"/>
    <cellStyle name="표준 3 3 3 2 2 4 3_Sheet4" xfId="4230"/>
    <cellStyle name="표준 3 3 3 2 2 4 4" xfId="4231"/>
    <cellStyle name="표준 3 3 3 2 2 4 4 2" xfId="12268"/>
    <cellStyle name="표준 3 3 3 2 2 4 4 2 2" xfId="34735"/>
    <cellStyle name="표준 3 3 3 2 2 4 4 3" xfId="19752"/>
    <cellStyle name="표준 3 3 3 2 2 4 4 3 2" xfId="42217"/>
    <cellStyle name="표준 3 3 3 2 2 4 4 4" xfId="27253"/>
    <cellStyle name="표준 3 3 3 2 2 4 5" xfId="12261"/>
    <cellStyle name="표준 3 3 3 2 2 4 5 2" xfId="34728"/>
    <cellStyle name="표준 3 3 3 2 2 4 6" xfId="19745"/>
    <cellStyle name="표준 3 3 3 2 2 4 6 2" xfId="42210"/>
    <cellStyle name="표준 3 3 3 2 2 4 7" xfId="27246"/>
    <cellStyle name="표준 3 3 3 2 2 4_Sheet4" xfId="4232"/>
    <cellStyle name="표준 3 3 3 2 2 5" xfId="4233"/>
    <cellStyle name="표준 3 3 3 2 2 5 2" xfId="4234"/>
    <cellStyle name="표준 3 3 3 2 2 5 2 2" xfId="4235"/>
    <cellStyle name="표준 3 3 3 2 2 5 2 2 2" xfId="12271"/>
    <cellStyle name="표준 3 3 3 2 2 5 2 2 2 2" xfId="34738"/>
    <cellStyle name="표준 3 3 3 2 2 5 2 2 3" xfId="19755"/>
    <cellStyle name="표준 3 3 3 2 2 5 2 2 3 2" xfId="42220"/>
    <cellStyle name="표준 3 3 3 2 2 5 2 2 4" xfId="27256"/>
    <cellStyle name="표준 3 3 3 2 2 5 2 3" xfId="12270"/>
    <cellStyle name="표준 3 3 3 2 2 5 2 3 2" xfId="34737"/>
    <cellStyle name="표준 3 3 3 2 2 5 2 4" xfId="19754"/>
    <cellStyle name="표준 3 3 3 2 2 5 2 4 2" xfId="42219"/>
    <cellStyle name="표준 3 3 3 2 2 5 2 5" xfId="27255"/>
    <cellStyle name="표준 3 3 3 2 2 5 2_Sheet4" xfId="4236"/>
    <cellStyle name="표준 3 3 3 2 2 5 3" xfId="4237"/>
    <cellStyle name="표준 3 3 3 2 2 5 3 2" xfId="12272"/>
    <cellStyle name="표준 3 3 3 2 2 5 3 2 2" xfId="34739"/>
    <cellStyle name="표준 3 3 3 2 2 5 3 3" xfId="19756"/>
    <cellStyle name="표준 3 3 3 2 2 5 3 3 2" xfId="42221"/>
    <cellStyle name="표준 3 3 3 2 2 5 3 4" xfId="27257"/>
    <cellStyle name="표준 3 3 3 2 2 5 4" xfId="12269"/>
    <cellStyle name="표준 3 3 3 2 2 5 4 2" xfId="34736"/>
    <cellStyle name="표준 3 3 3 2 2 5 5" xfId="19753"/>
    <cellStyle name="표준 3 3 3 2 2 5 5 2" xfId="42218"/>
    <cellStyle name="표준 3 3 3 2 2 5 6" xfId="27254"/>
    <cellStyle name="표준 3 3 3 2 2 5_Sheet4" xfId="4238"/>
    <cellStyle name="표준 3 3 3 2 2 6" xfId="4239"/>
    <cellStyle name="표준 3 3 3 2 2 6 2" xfId="4240"/>
    <cellStyle name="표준 3 3 3 2 2 6 2 2" xfId="12274"/>
    <cellStyle name="표준 3 3 3 2 2 6 2 2 2" xfId="34741"/>
    <cellStyle name="표준 3 3 3 2 2 6 2 3" xfId="19758"/>
    <cellStyle name="표준 3 3 3 2 2 6 2 3 2" xfId="42223"/>
    <cellStyle name="표준 3 3 3 2 2 6 2 4" xfId="27259"/>
    <cellStyle name="표준 3 3 3 2 2 6 3" xfId="12273"/>
    <cellStyle name="표준 3 3 3 2 2 6 3 2" xfId="34740"/>
    <cellStyle name="표준 3 3 3 2 2 6 4" xfId="19757"/>
    <cellStyle name="표준 3 3 3 2 2 6 4 2" xfId="42222"/>
    <cellStyle name="표준 3 3 3 2 2 6 5" xfId="27258"/>
    <cellStyle name="표준 3 3 3 2 2 6_Sheet4" xfId="4241"/>
    <cellStyle name="표준 3 3 3 2 2 7" xfId="4242"/>
    <cellStyle name="표준 3 3 3 2 2 7 2" xfId="12275"/>
    <cellStyle name="표준 3 3 3 2 2 7 2 2" xfId="34742"/>
    <cellStyle name="표준 3 3 3 2 2 7 3" xfId="19759"/>
    <cellStyle name="표준 3 3 3 2 2 7 3 2" xfId="42224"/>
    <cellStyle name="표준 3 3 3 2 2 7 4" xfId="27260"/>
    <cellStyle name="표준 3 3 3 2 2 8" xfId="12228"/>
    <cellStyle name="표준 3 3 3 2 2 8 2" xfId="34695"/>
    <cellStyle name="표준 3 3 3 2 2 9" xfId="19712"/>
    <cellStyle name="표준 3 3 3 2 2 9 2" xfId="42177"/>
    <cellStyle name="표준 3 3 3 2 2_Sheet4" xfId="4243"/>
    <cellStyle name="표준 3 3 3 2 3" xfId="4244"/>
    <cellStyle name="표준 3 3 3 2 3 2" xfId="4245"/>
    <cellStyle name="표준 3 3 3 2 3 2 2" xfId="4246"/>
    <cellStyle name="표준 3 3 3 2 3 2 2 2" xfId="4247"/>
    <cellStyle name="표준 3 3 3 2 3 2 2 2 2" xfId="4248"/>
    <cellStyle name="표준 3 3 3 2 3 2 2 2 2 2" xfId="12280"/>
    <cellStyle name="표준 3 3 3 2 3 2 2 2 2 2 2" xfId="34747"/>
    <cellStyle name="표준 3 3 3 2 3 2 2 2 2 3" xfId="19764"/>
    <cellStyle name="표준 3 3 3 2 3 2 2 2 2 3 2" xfId="42229"/>
    <cellStyle name="표준 3 3 3 2 3 2 2 2 2 4" xfId="27265"/>
    <cellStyle name="표준 3 3 3 2 3 2 2 2 3" xfId="12279"/>
    <cellStyle name="표준 3 3 3 2 3 2 2 2 3 2" xfId="34746"/>
    <cellStyle name="표준 3 3 3 2 3 2 2 2 4" xfId="19763"/>
    <cellStyle name="표준 3 3 3 2 3 2 2 2 4 2" xfId="42228"/>
    <cellStyle name="표준 3 3 3 2 3 2 2 2 5" xfId="27264"/>
    <cellStyle name="표준 3 3 3 2 3 2 2 2_Sheet4" xfId="4249"/>
    <cellStyle name="표준 3 3 3 2 3 2 2 3" xfId="4250"/>
    <cellStyle name="표준 3 3 3 2 3 2 2 3 2" xfId="12281"/>
    <cellStyle name="표준 3 3 3 2 3 2 2 3 2 2" xfId="34748"/>
    <cellStyle name="표준 3 3 3 2 3 2 2 3 3" xfId="19765"/>
    <cellStyle name="표준 3 3 3 2 3 2 2 3 3 2" xfId="42230"/>
    <cellStyle name="표준 3 3 3 2 3 2 2 3 4" xfId="27266"/>
    <cellStyle name="표준 3 3 3 2 3 2 2 4" xfId="12278"/>
    <cellStyle name="표준 3 3 3 2 3 2 2 4 2" xfId="34745"/>
    <cellStyle name="표준 3 3 3 2 3 2 2 5" xfId="19762"/>
    <cellStyle name="표준 3 3 3 2 3 2 2 5 2" xfId="42227"/>
    <cellStyle name="표준 3 3 3 2 3 2 2 6" xfId="27263"/>
    <cellStyle name="표준 3 3 3 2 3 2 2_Sheet4" xfId="4251"/>
    <cellStyle name="표준 3 3 3 2 3 2 3" xfId="4252"/>
    <cellStyle name="표준 3 3 3 2 3 2 3 2" xfId="4253"/>
    <cellStyle name="표준 3 3 3 2 3 2 3 2 2" xfId="12283"/>
    <cellStyle name="표준 3 3 3 2 3 2 3 2 2 2" xfId="34750"/>
    <cellStyle name="표준 3 3 3 2 3 2 3 2 3" xfId="19767"/>
    <cellStyle name="표준 3 3 3 2 3 2 3 2 3 2" xfId="42232"/>
    <cellStyle name="표준 3 3 3 2 3 2 3 2 4" xfId="27268"/>
    <cellStyle name="표준 3 3 3 2 3 2 3 3" xfId="12282"/>
    <cellStyle name="표준 3 3 3 2 3 2 3 3 2" xfId="34749"/>
    <cellStyle name="표준 3 3 3 2 3 2 3 4" xfId="19766"/>
    <cellStyle name="표준 3 3 3 2 3 2 3 4 2" xfId="42231"/>
    <cellStyle name="표준 3 3 3 2 3 2 3 5" xfId="27267"/>
    <cellStyle name="표준 3 3 3 2 3 2 3_Sheet4" xfId="4254"/>
    <cellStyle name="표준 3 3 3 2 3 2 4" xfId="4255"/>
    <cellStyle name="표준 3 3 3 2 3 2 4 2" xfId="12284"/>
    <cellStyle name="표준 3 3 3 2 3 2 4 2 2" xfId="34751"/>
    <cellStyle name="표준 3 3 3 2 3 2 4 3" xfId="19768"/>
    <cellStyle name="표준 3 3 3 2 3 2 4 3 2" xfId="42233"/>
    <cellStyle name="표준 3 3 3 2 3 2 4 4" xfId="27269"/>
    <cellStyle name="표준 3 3 3 2 3 2 5" xfId="12277"/>
    <cellStyle name="표준 3 3 3 2 3 2 5 2" xfId="34744"/>
    <cellStyle name="표준 3 3 3 2 3 2 6" xfId="19761"/>
    <cellStyle name="표준 3 3 3 2 3 2 6 2" xfId="42226"/>
    <cellStyle name="표준 3 3 3 2 3 2 7" xfId="27262"/>
    <cellStyle name="표준 3 3 3 2 3 2_Sheet4" xfId="4256"/>
    <cellStyle name="표준 3 3 3 2 3 3" xfId="4257"/>
    <cellStyle name="표준 3 3 3 2 3 3 2" xfId="4258"/>
    <cellStyle name="표준 3 3 3 2 3 3 2 2" xfId="4259"/>
    <cellStyle name="표준 3 3 3 2 3 3 2 2 2" xfId="12287"/>
    <cellStyle name="표준 3 3 3 2 3 3 2 2 2 2" xfId="34754"/>
    <cellStyle name="표준 3 3 3 2 3 3 2 2 3" xfId="19771"/>
    <cellStyle name="표준 3 3 3 2 3 3 2 2 3 2" xfId="42236"/>
    <cellStyle name="표준 3 3 3 2 3 3 2 2 4" xfId="27272"/>
    <cellStyle name="표준 3 3 3 2 3 3 2 3" xfId="12286"/>
    <cellStyle name="표준 3 3 3 2 3 3 2 3 2" xfId="34753"/>
    <cellStyle name="표준 3 3 3 2 3 3 2 4" xfId="19770"/>
    <cellStyle name="표준 3 3 3 2 3 3 2 4 2" xfId="42235"/>
    <cellStyle name="표준 3 3 3 2 3 3 2 5" xfId="27271"/>
    <cellStyle name="표준 3 3 3 2 3 3 2_Sheet4" xfId="4260"/>
    <cellStyle name="표준 3 3 3 2 3 3 3" xfId="4261"/>
    <cellStyle name="표준 3 3 3 2 3 3 3 2" xfId="12288"/>
    <cellStyle name="표준 3 3 3 2 3 3 3 2 2" xfId="34755"/>
    <cellStyle name="표준 3 3 3 2 3 3 3 3" xfId="19772"/>
    <cellStyle name="표준 3 3 3 2 3 3 3 3 2" xfId="42237"/>
    <cellStyle name="표준 3 3 3 2 3 3 3 4" xfId="27273"/>
    <cellStyle name="표준 3 3 3 2 3 3 4" xfId="12285"/>
    <cellStyle name="표준 3 3 3 2 3 3 4 2" xfId="34752"/>
    <cellStyle name="표준 3 3 3 2 3 3 5" xfId="19769"/>
    <cellStyle name="표준 3 3 3 2 3 3 5 2" xfId="42234"/>
    <cellStyle name="표준 3 3 3 2 3 3 6" xfId="27270"/>
    <cellStyle name="표준 3 3 3 2 3 3_Sheet4" xfId="4262"/>
    <cellStyle name="표준 3 3 3 2 3 4" xfId="4263"/>
    <cellStyle name="표준 3 3 3 2 3 4 2" xfId="4264"/>
    <cellStyle name="표준 3 3 3 2 3 4 2 2" xfId="12290"/>
    <cellStyle name="표준 3 3 3 2 3 4 2 2 2" xfId="34757"/>
    <cellStyle name="표준 3 3 3 2 3 4 2 3" xfId="19774"/>
    <cellStyle name="표준 3 3 3 2 3 4 2 3 2" xfId="42239"/>
    <cellStyle name="표준 3 3 3 2 3 4 2 4" xfId="27275"/>
    <cellStyle name="표준 3 3 3 2 3 4 3" xfId="12289"/>
    <cellStyle name="표준 3 3 3 2 3 4 3 2" xfId="34756"/>
    <cellStyle name="표준 3 3 3 2 3 4 4" xfId="19773"/>
    <cellStyle name="표준 3 3 3 2 3 4 4 2" xfId="42238"/>
    <cellStyle name="표준 3 3 3 2 3 4 5" xfId="27274"/>
    <cellStyle name="표준 3 3 3 2 3 4_Sheet4" xfId="4265"/>
    <cellStyle name="표준 3 3 3 2 3 5" xfId="4266"/>
    <cellStyle name="표준 3 3 3 2 3 5 2" xfId="12291"/>
    <cellStyle name="표준 3 3 3 2 3 5 2 2" xfId="34758"/>
    <cellStyle name="표준 3 3 3 2 3 5 3" xfId="19775"/>
    <cellStyle name="표준 3 3 3 2 3 5 3 2" xfId="42240"/>
    <cellStyle name="표준 3 3 3 2 3 5 4" xfId="27276"/>
    <cellStyle name="표준 3 3 3 2 3 6" xfId="12276"/>
    <cellStyle name="표준 3 3 3 2 3 6 2" xfId="34743"/>
    <cellStyle name="표준 3 3 3 2 3 7" xfId="19760"/>
    <cellStyle name="표준 3 3 3 2 3 7 2" xfId="42225"/>
    <cellStyle name="표준 3 3 3 2 3 8" xfId="27261"/>
    <cellStyle name="표준 3 3 3 2 3_Sheet4" xfId="4267"/>
    <cellStyle name="표준 3 3 3 2 4" xfId="4268"/>
    <cellStyle name="표준 3 3 3 2 4 2" xfId="4269"/>
    <cellStyle name="표준 3 3 3 2 4 2 2" xfId="4270"/>
    <cellStyle name="표준 3 3 3 2 4 2 2 2" xfId="4271"/>
    <cellStyle name="표준 3 3 3 2 4 2 2 2 2" xfId="4272"/>
    <cellStyle name="표준 3 3 3 2 4 2 2 2 2 2" xfId="12296"/>
    <cellStyle name="표준 3 3 3 2 4 2 2 2 2 2 2" xfId="34763"/>
    <cellStyle name="표준 3 3 3 2 4 2 2 2 2 3" xfId="19780"/>
    <cellStyle name="표준 3 3 3 2 4 2 2 2 2 3 2" xfId="42245"/>
    <cellStyle name="표준 3 3 3 2 4 2 2 2 2 4" xfId="27281"/>
    <cellStyle name="표준 3 3 3 2 4 2 2 2 3" xfId="12295"/>
    <cellStyle name="표준 3 3 3 2 4 2 2 2 3 2" xfId="34762"/>
    <cellStyle name="표준 3 3 3 2 4 2 2 2 4" xfId="19779"/>
    <cellStyle name="표준 3 3 3 2 4 2 2 2 4 2" xfId="42244"/>
    <cellStyle name="표준 3 3 3 2 4 2 2 2 5" xfId="27280"/>
    <cellStyle name="표준 3 3 3 2 4 2 2 2_Sheet4" xfId="4273"/>
    <cellStyle name="표준 3 3 3 2 4 2 2 3" xfId="4274"/>
    <cellStyle name="표준 3 3 3 2 4 2 2 3 2" xfId="12297"/>
    <cellStyle name="표준 3 3 3 2 4 2 2 3 2 2" xfId="34764"/>
    <cellStyle name="표준 3 3 3 2 4 2 2 3 3" xfId="19781"/>
    <cellStyle name="표준 3 3 3 2 4 2 2 3 3 2" xfId="42246"/>
    <cellStyle name="표준 3 3 3 2 4 2 2 3 4" xfId="27282"/>
    <cellStyle name="표준 3 3 3 2 4 2 2 4" xfId="12294"/>
    <cellStyle name="표준 3 3 3 2 4 2 2 4 2" xfId="34761"/>
    <cellStyle name="표준 3 3 3 2 4 2 2 5" xfId="19778"/>
    <cellStyle name="표준 3 3 3 2 4 2 2 5 2" xfId="42243"/>
    <cellStyle name="표준 3 3 3 2 4 2 2 6" xfId="27279"/>
    <cellStyle name="표준 3 3 3 2 4 2 2_Sheet4" xfId="4275"/>
    <cellStyle name="표준 3 3 3 2 4 2 3" xfId="4276"/>
    <cellStyle name="표준 3 3 3 2 4 2 3 2" xfId="4277"/>
    <cellStyle name="표준 3 3 3 2 4 2 3 2 2" xfId="12299"/>
    <cellStyle name="표준 3 3 3 2 4 2 3 2 2 2" xfId="34766"/>
    <cellStyle name="표준 3 3 3 2 4 2 3 2 3" xfId="19783"/>
    <cellStyle name="표준 3 3 3 2 4 2 3 2 3 2" xfId="42248"/>
    <cellStyle name="표준 3 3 3 2 4 2 3 2 4" xfId="27284"/>
    <cellStyle name="표준 3 3 3 2 4 2 3 3" xfId="12298"/>
    <cellStyle name="표준 3 3 3 2 4 2 3 3 2" xfId="34765"/>
    <cellStyle name="표준 3 3 3 2 4 2 3 4" xfId="19782"/>
    <cellStyle name="표준 3 3 3 2 4 2 3 4 2" xfId="42247"/>
    <cellStyle name="표준 3 3 3 2 4 2 3 5" xfId="27283"/>
    <cellStyle name="표준 3 3 3 2 4 2 3_Sheet4" xfId="4278"/>
    <cellStyle name="표준 3 3 3 2 4 2 4" xfId="4279"/>
    <cellStyle name="표준 3 3 3 2 4 2 4 2" xfId="12300"/>
    <cellStyle name="표준 3 3 3 2 4 2 4 2 2" xfId="34767"/>
    <cellStyle name="표준 3 3 3 2 4 2 4 3" xfId="19784"/>
    <cellStyle name="표준 3 3 3 2 4 2 4 3 2" xfId="42249"/>
    <cellStyle name="표준 3 3 3 2 4 2 4 4" xfId="27285"/>
    <cellStyle name="표준 3 3 3 2 4 2 5" xfId="12293"/>
    <cellStyle name="표준 3 3 3 2 4 2 5 2" xfId="34760"/>
    <cellStyle name="표준 3 3 3 2 4 2 6" xfId="19777"/>
    <cellStyle name="표준 3 3 3 2 4 2 6 2" xfId="42242"/>
    <cellStyle name="표준 3 3 3 2 4 2 7" xfId="27278"/>
    <cellStyle name="표준 3 3 3 2 4 2_Sheet4" xfId="4280"/>
    <cellStyle name="표준 3 3 3 2 4 3" xfId="4281"/>
    <cellStyle name="표준 3 3 3 2 4 3 2" xfId="4282"/>
    <cellStyle name="표준 3 3 3 2 4 3 2 2" xfId="4283"/>
    <cellStyle name="표준 3 3 3 2 4 3 2 2 2" xfId="12303"/>
    <cellStyle name="표준 3 3 3 2 4 3 2 2 2 2" xfId="34770"/>
    <cellStyle name="표준 3 3 3 2 4 3 2 2 3" xfId="19787"/>
    <cellStyle name="표준 3 3 3 2 4 3 2 2 3 2" xfId="42252"/>
    <cellStyle name="표준 3 3 3 2 4 3 2 2 4" xfId="27288"/>
    <cellStyle name="표준 3 3 3 2 4 3 2 3" xfId="12302"/>
    <cellStyle name="표준 3 3 3 2 4 3 2 3 2" xfId="34769"/>
    <cellStyle name="표준 3 3 3 2 4 3 2 4" xfId="19786"/>
    <cellStyle name="표준 3 3 3 2 4 3 2 4 2" xfId="42251"/>
    <cellStyle name="표준 3 3 3 2 4 3 2 5" xfId="27287"/>
    <cellStyle name="표준 3 3 3 2 4 3 2_Sheet4" xfId="4284"/>
    <cellStyle name="표준 3 3 3 2 4 3 3" xfId="4285"/>
    <cellStyle name="표준 3 3 3 2 4 3 3 2" xfId="12304"/>
    <cellStyle name="표준 3 3 3 2 4 3 3 2 2" xfId="34771"/>
    <cellStyle name="표준 3 3 3 2 4 3 3 3" xfId="19788"/>
    <cellStyle name="표준 3 3 3 2 4 3 3 3 2" xfId="42253"/>
    <cellStyle name="표준 3 3 3 2 4 3 3 4" xfId="27289"/>
    <cellStyle name="표준 3 3 3 2 4 3 4" xfId="12301"/>
    <cellStyle name="표준 3 3 3 2 4 3 4 2" xfId="34768"/>
    <cellStyle name="표준 3 3 3 2 4 3 5" xfId="19785"/>
    <cellStyle name="표준 3 3 3 2 4 3 5 2" xfId="42250"/>
    <cellStyle name="표준 3 3 3 2 4 3 6" xfId="27286"/>
    <cellStyle name="표준 3 3 3 2 4 3_Sheet4" xfId="4286"/>
    <cellStyle name="표준 3 3 3 2 4 4" xfId="4287"/>
    <cellStyle name="표준 3 3 3 2 4 4 2" xfId="4288"/>
    <cellStyle name="표준 3 3 3 2 4 4 2 2" xfId="12306"/>
    <cellStyle name="표준 3 3 3 2 4 4 2 2 2" xfId="34773"/>
    <cellStyle name="표준 3 3 3 2 4 4 2 3" xfId="19790"/>
    <cellStyle name="표준 3 3 3 2 4 4 2 3 2" xfId="42255"/>
    <cellStyle name="표준 3 3 3 2 4 4 2 4" xfId="27291"/>
    <cellStyle name="표준 3 3 3 2 4 4 3" xfId="12305"/>
    <cellStyle name="표준 3 3 3 2 4 4 3 2" xfId="34772"/>
    <cellStyle name="표준 3 3 3 2 4 4 4" xfId="19789"/>
    <cellStyle name="표준 3 3 3 2 4 4 4 2" xfId="42254"/>
    <cellStyle name="표준 3 3 3 2 4 4 5" xfId="27290"/>
    <cellStyle name="표준 3 3 3 2 4 4_Sheet4" xfId="4289"/>
    <cellStyle name="표준 3 3 3 2 4 5" xfId="4290"/>
    <cellStyle name="표준 3 3 3 2 4 5 2" xfId="12307"/>
    <cellStyle name="표준 3 3 3 2 4 5 2 2" xfId="34774"/>
    <cellStyle name="표준 3 3 3 2 4 5 3" xfId="19791"/>
    <cellStyle name="표준 3 3 3 2 4 5 3 2" xfId="42256"/>
    <cellStyle name="표준 3 3 3 2 4 5 4" xfId="27292"/>
    <cellStyle name="표준 3 3 3 2 4 6" xfId="12292"/>
    <cellStyle name="표준 3 3 3 2 4 6 2" xfId="34759"/>
    <cellStyle name="표준 3 3 3 2 4 7" xfId="19776"/>
    <cellStyle name="표준 3 3 3 2 4 7 2" xfId="42241"/>
    <cellStyle name="표준 3 3 3 2 4 8" xfId="27277"/>
    <cellStyle name="표준 3 3 3 2 4_Sheet4" xfId="4291"/>
    <cellStyle name="표준 3 3 3 2 5" xfId="4292"/>
    <cellStyle name="표준 3 3 3 2 5 2" xfId="4293"/>
    <cellStyle name="표준 3 3 3 2 5 2 2" xfId="4294"/>
    <cellStyle name="표준 3 3 3 2 5 2 2 2" xfId="4295"/>
    <cellStyle name="표준 3 3 3 2 5 2 2 2 2" xfId="12311"/>
    <cellStyle name="표준 3 3 3 2 5 2 2 2 2 2" xfId="34778"/>
    <cellStyle name="표준 3 3 3 2 5 2 2 2 3" xfId="19795"/>
    <cellStyle name="표준 3 3 3 2 5 2 2 2 3 2" xfId="42260"/>
    <cellStyle name="표준 3 3 3 2 5 2 2 2 4" xfId="27296"/>
    <cellStyle name="표준 3 3 3 2 5 2 2 3" xfId="12310"/>
    <cellStyle name="표준 3 3 3 2 5 2 2 3 2" xfId="34777"/>
    <cellStyle name="표준 3 3 3 2 5 2 2 4" xfId="19794"/>
    <cellStyle name="표준 3 3 3 2 5 2 2 4 2" xfId="42259"/>
    <cellStyle name="표준 3 3 3 2 5 2 2 5" xfId="27295"/>
    <cellStyle name="표준 3 3 3 2 5 2 2_Sheet4" xfId="4296"/>
    <cellStyle name="표준 3 3 3 2 5 2 3" xfId="4297"/>
    <cellStyle name="표준 3 3 3 2 5 2 3 2" xfId="12312"/>
    <cellStyle name="표준 3 3 3 2 5 2 3 2 2" xfId="34779"/>
    <cellStyle name="표준 3 3 3 2 5 2 3 3" xfId="19796"/>
    <cellStyle name="표준 3 3 3 2 5 2 3 3 2" xfId="42261"/>
    <cellStyle name="표준 3 3 3 2 5 2 3 4" xfId="27297"/>
    <cellStyle name="표준 3 3 3 2 5 2 4" xfId="12309"/>
    <cellStyle name="표준 3 3 3 2 5 2 4 2" xfId="34776"/>
    <cellStyle name="표준 3 3 3 2 5 2 5" xfId="19793"/>
    <cellStyle name="표준 3 3 3 2 5 2 5 2" xfId="42258"/>
    <cellStyle name="표준 3 3 3 2 5 2 6" xfId="27294"/>
    <cellStyle name="표준 3 3 3 2 5 2_Sheet4" xfId="4298"/>
    <cellStyle name="표준 3 3 3 2 5 3" xfId="4299"/>
    <cellStyle name="표준 3 3 3 2 5 3 2" xfId="4300"/>
    <cellStyle name="표준 3 3 3 2 5 3 2 2" xfId="12314"/>
    <cellStyle name="표준 3 3 3 2 5 3 2 2 2" xfId="34781"/>
    <cellStyle name="표준 3 3 3 2 5 3 2 3" xfId="19798"/>
    <cellStyle name="표준 3 3 3 2 5 3 2 3 2" xfId="42263"/>
    <cellStyle name="표준 3 3 3 2 5 3 2 4" xfId="27299"/>
    <cellStyle name="표준 3 3 3 2 5 3 3" xfId="12313"/>
    <cellStyle name="표준 3 3 3 2 5 3 3 2" xfId="34780"/>
    <cellStyle name="표준 3 3 3 2 5 3 4" xfId="19797"/>
    <cellStyle name="표준 3 3 3 2 5 3 4 2" xfId="42262"/>
    <cellStyle name="표준 3 3 3 2 5 3 5" xfId="27298"/>
    <cellStyle name="표준 3 3 3 2 5 3_Sheet4" xfId="4301"/>
    <cellStyle name="표준 3 3 3 2 5 4" xfId="4302"/>
    <cellStyle name="표준 3 3 3 2 5 4 2" xfId="12315"/>
    <cellStyle name="표준 3 3 3 2 5 4 2 2" xfId="34782"/>
    <cellStyle name="표준 3 3 3 2 5 4 3" xfId="19799"/>
    <cellStyle name="표준 3 3 3 2 5 4 3 2" xfId="42264"/>
    <cellStyle name="표준 3 3 3 2 5 4 4" xfId="27300"/>
    <cellStyle name="표준 3 3 3 2 5 5" xfId="12308"/>
    <cellStyle name="표준 3 3 3 2 5 5 2" xfId="34775"/>
    <cellStyle name="표준 3 3 3 2 5 6" xfId="19792"/>
    <cellStyle name="표준 3 3 3 2 5 6 2" xfId="42257"/>
    <cellStyle name="표준 3 3 3 2 5 7" xfId="27293"/>
    <cellStyle name="표준 3 3 3 2 5_Sheet4" xfId="4303"/>
    <cellStyle name="표준 3 3 3 2 6" xfId="4304"/>
    <cellStyle name="표준 3 3 3 2 6 2" xfId="4305"/>
    <cellStyle name="표준 3 3 3 2 6 2 2" xfId="4306"/>
    <cellStyle name="표준 3 3 3 2 6 2 2 2" xfId="12318"/>
    <cellStyle name="표준 3 3 3 2 6 2 2 2 2" xfId="34785"/>
    <cellStyle name="표준 3 3 3 2 6 2 2 3" xfId="19802"/>
    <cellStyle name="표준 3 3 3 2 6 2 2 3 2" xfId="42267"/>
    <cellStyle name="표준 3 3 3 2 6 2 2 4" xfId="27303"/>
    <cellStyle name="표준 3 3 3 2 6 2 3" xfId="12317"/>
    <cellStyle name="표준 3 3 3 2 6 2 3 2" xfId="34784"/>
    <cellStyle name="표준 3 3 3 2 6 2 4" xfId="19801"/>
    <cellStyle name="표준 3 3 3 2 6 2 4 2" xfId="42266"/>
    <cellStyle name="표준 3 3 3 2 6 2 5" xfId="27302"/>
    <cellStyle name="표준 3 3 3 2 6 2_Sheet4" xfId="4307"/>
    <cellStyle name="표준 3 3 3 2 6 3" xfId="4308"/>
    <cellStyle name="표준 3 3 3 2 6 3 2" xfId="12319"/>
    <cellStyle name="표준 3 3 3 2 6 3 2 2" xfId="34786"/>
    <cellStyle name="표준 3 3 3 2 6 3 3" xfId="19803"/>
    <cellStyle name="표준 3 3 3 2 6 3 3 2" xfId="42268"/>
    <cellStyle name="표준 3 3 3 2 6 3 4" xfId="27304"/>
    <cellStyle name="표준 3 3 3 2 6 4" xfId="12316"/>
    <cellStyle name="표준 3 3 3 2 6 4 2" xfId="34783"/>
    <cellStyle name="표준 3 3 3 2 6 5" xfId="19800"/>
    <cellStyle name="표준 3 3 3 2 6 5 2" xfId="42265"/>
    <cellStyle name="표준 3 3 3 2 6 6" xfId="27301"/>
    <cellStyle name="표준 3 3 3 2 6_Sheet4" xfId="4309"/>
    <cellStyle name="표준 3 3 3 2 7" xfId="4310"/>
    <cellStyle name="표준 3 3 3 2 7 2" xfId="4311"/>
    <cellStyle name="표준 3 3 3 2 7 2 2" xfId="4312"/>
    <cellStyle name="표준 3 3 3 2 7 2 2 2" xfId="12322"/>
    <cellStyle name="표준 3 3 3 2 7 2 2 2 2" xfId="34789"/>
    <cellStyle name="표준 3 3 3 2 7 2 2 3" xfId="19806"/>
    <cellStyle name="표준 3 3 3 2 7 2 2 3 2" xfId="42271"/>
    <cellStyle name="표준 3 3 3 2 7 2 2 4" xfId="27307"/>
    <cellStyle name="표준 3 3 3 2 7 2 3" xfId="12321"/>
    <cellStyle name="표준 3 3 3 2 7 2 3 2" xfId="34788"/>
    <cellStyle name="표준 3 3 3 2 7 2 4" xfId="19805"/>
    <cellStyle name="표준 3 3 3 2 7 2 4 2" xfId="42270"/>
    <cellStyle name="표준 3 3 3 2 7 2 5" xfId="27306"/>
    <cellStyle name="표준 3 3 3 2 7 2_Sheet4" xfId="4313"/>
    <cellStyle name="표준 3 3 3 2 7 3" xfId="4314"/>
    <cellStyle name="표준 3 3 3 2 7 3 2" xfId="12323"/>
    <cellStyle name="표준 3 3 3 2 7 3 2 2" xfId="34790"/>
    <cellStyle name="표준 3 3 3 2 7 3 3" xfId="19807"/>
    <cellStyle name="표준 3 3 3 2 7 3 3 2" xfId="42272"/>
    <cellStyle name="표준 3 3 3 2 7 3 4" xfId="27308"/>
    <cellStyle name="표준 3 3 3 2 7 4" xfId="12320"/>
    <cellStyle name="표준 3 3 3 2 7 4 2" xfId="34787"/>
    <cellStyle name="표준 3 3 3 2 7 5" xfId="19804"/>
    <cellStyle name="표준 3 3 3 2 7 5 2" xfId="42269"/>
    <cellStyle name="표준 3 3 3 2 7 6" xfId="27305"/>
    <cellStyle name="표준 3 3 3 2 7_Sheet4" xfId="4315"/>
    <cellStyle name="표준 3 3 3 2 8" xfId="4316"/>
    <cellStyle name="표준 3 3 3 2 8 2" xfId="4317"/>
    <cellStyle name="표준 3 3 3 2 8 2 2" xfId="12325"/>
    <cellStyle name="표준 3 3 3 2 8 2 2 2" xfId="34792"/>
    <cellStyle name="표준 3 3 3 2 8 2 3" xfId="19809"/>
    <cellStyle name="표준 3 3 3 2 8 2 3 2" xfId="42274"/>
    <cellStyle name="표준 3 3 3 2 8 2 4" xfId="27310"/>
    <cellStyle name="표준 3 3 3 2 8 3" xfId="12324"/>
    <cellStyle name="표준 3 3 3 2 8 3 2" xfId="34791"/>
    <cellStyle name="표준 3 3 3 2 8 4" xfId="19808"/>
    <cellStyle name="표준 3 3 3 2 8 4 2" xfId="42273"/>
    <cellStyle name="표준 3 3 3 2 8 5" xfId="27309"/>
    <cellStyle name="표준 3 3 3 2 8_Sheet4" xfId="4318"/>
    <cellStyle name="표준 3 3 3 2 9" xfId="4319"/>
    <cellStyle name="표준 3 3 3 2 9 2" xfId="12326"/>
    <cellStyle name="표준 3 3 3 2 9 2 2" xfId="34793"/>
    <cellStyle name="표준 3 3 3 2 9 3" xfId="19810"/>
    <cellStyle name="표준 3 3 3 2 9 3 2" xfId="42275"/>
    <cellStyle name="표준 3 3 3 2 9 4" xfId="27311"/>
    <cellStyle name="표준 3 3 3 2_Sheet4" xfId="4320"/>
    <cellStyle name="표준 3 3 3 3" xfId="4321"/>
    <cellStyle name="표준 3 3 3 3 10" xfId="27312"/>
    <cellStyle name="표준 3 3 3 3 2" xfId="4322"/>
    <cellStyle name="표준 3 3 3 3 2 2" xfId="4323"/>
    <cellStyle name="표준 3 3 3 3 2 2 2" xfId="4324"/>
    <cellStyle name="표준 3 3 3 3 2 2 2 2" xfId="4325"/>
    <cellStyle name="표준 3 3 3 3 2 2 2 2 2" xfId="4326"/>
    <cellStyle name="표준 3 3 3 3 2 2 2 2 2 2" xfId="12332"/>
    <cellStyle name="표준 3 3 3 3 2 2 2 2 2 2 2" xfId="34799"/>
    <cellStyle name="표준 3 3 3 3 2 2 2 2 2 3" xfId="19816"/>
    <cellStyle name="표준 3 3 3 3 2 2 2 2 2 3 2" xfId="42281"/>
    <cellStyle name="표준 3 3 3 3 2 2 2 2 2 4" xfId="27317"/>
    <cellStyle name="표준 3 3 3 3 2 2 2 2 3" xfId="12331"/>
    <cellStyle name="표준 3 3 3 3 2 2 2 2 3 2" xfId="34798"/>
    <cellStyle name="표준 3 3 3 3 2 2 2 2 4" xfId="19815"/>
    <cellStyle name="표준 3 3 3 3 2 2 2 2 4 2" xfId="42280"/>
    <cellStyle name="표준 3 3 3 3 2 2 2 2 5" xfId="27316"/>
    <cellStyle name="표준 3 3 3 3 2 2 2 2_Sheet4" xfId="4327"/>
    <cellStyle name="표준 3 3 3 3 2 2 2 3" xfId="4328"/>
    <cellStyle name="표준 3 3 3 3 2 2 2 3 2" xfId="12333"/>
    <cellStyle name="표준 3 3 3 3 2 2 2 3 2 2" xfId="34800"/>
    <cellStyle name="표준 3 3 3 3 2 2 2 3 3" xfId="19817"/>
    <cellStyle name="표준 3 3 3 3 2 2 2 3 3 2" xfId="42282"/>
    <cellStyle name="표준 3 3 3 3 2 2 2 3 4" xfId="27318"/>
    <cellStyle name="표준 3 3 3 3 2 2 2 4" xfId="12330"/>
    <cellStyle name="표준 3 3 3 3 2 2 2 4 2" xfId="34797"/>
    <cellStyle name="표준 3 3 3 3 2 2 2 5" xfId="19814"/>
    <cellStyle name="표준 3 3 3 3 2 2 2 5 2" xfId="42279"/>
    <cellStyle name="표준 3 3 3 3 2 2 2 6" xfId="27315"/>
    <cellStyle name="표준 3 3 3 3 2 2 2_Sheet4" xfId="4329"/>
    <cellStyle name="표준 3 3 3 3 2 2 3" xfId="4330"/>
    <cellStyle name="표준 3 3 3 3 2 2 3 2" xfId="4331"/>
    <cellStyle name="표준 3 3 3 3 2 2 3 2 2" xfId="12335"/>
    <cellStyle name="표준 3 3 3 3 2 2 3 2 2 2" xfId="34802"/>
    <cellStyle name="표준 3 3 3 3 2 2 3 2 3" xfId="19819"/>
    <cellStyle name="표준 3 3 3 3 2 2 3 2 3 2" xfId="42284"/>
    <cellStyle name="표준 3 3 3 3 2 2 3 2 4" xfId="27320"/>
    <cellStyle name="표준 3 3 3 3 2 2 3 3" xfId="12334"/>
    <cellStyle name="표준 3 3 3 3 2 2 3 3 2" xfId="34801"/>
    <cellStyle name="표준 3 3 3 3 2 2 3 4" xfId="19818"/>
    <cellStyle name="표준 3 3 3 3 2 2 3 4 2" xfId="42283"/>
    <cellStyle name="표준 3 3 3 3 2 2 3 5" xfId="27319"/>
    <cellStyle name="표준 3 3 3 3 2 2 3_Sheet4" xfId="4332"/>
    <cellStyle name="표준 3 3 3 3 2 2 4" xfId="4333"/>
    <cellStyle name="표준 3 3 3 3 2 2 4 2" xfId="12336"/>
    <cellStyle name="표준 3 3 3 3 2 2 4 2 2" xfId="34803"/>
    <cellStyle name="표준 3 3 3 3 2 2 4 3" xfId="19820"/>
    <cellStyle name="표준 3 3 3 3 2 2 4 3 2" xfId="42285"/>
    <cellStyle name="표준 3 3 3 3 2 2 4 4" xfId="27321"/>
    <cellStyle name="표준 3 3 3 3 2 2 5" xfId="12329"/>
    <cellStyle name="표준 3 3 3 3 2 2 5 2" xfId="34796"/>
    <cellStyle name="표준 3 3 3 3 2 2 6" xfId="19813"/>
    <cellStyle name="표준 3 3 3 3 2 2 6 2" xfId="42278"/>
    <cellStyle name="표준 3 3 3 3 2 2 7" xfId="27314"/>
    <cellStyle name="표준 3 3 3 3 2 2_Sheet4" xfId="4334"/>
    <cellStyle name="표준 3 3 3 3 2 3" xfId="4335"/>
    <cellStyle name="표준 3 3 3 3 2 3 2" xfId="4336"/>
    <cellStyle name="표준 3 3 3 3 2 3 2 2" xfId="4337"/>
    <cellStyle name="표준 3 3 3 3 2 3 2 2 2" xfId="12339"/>
    <cellStyle name="표준 3 3 3 3 2 3 2 2 2 2" xfId="34806"/>
    <cellStyle name="표준 3 3 3 3 2 3 2 2 3" xfId="19823"/>
    <cellStyle name="표준 3 3 3 3 2 3 2 2 3 2" xfId="42288"/>
    <cellStyle name="표준 3 3 3 3 2 3 2 2 4" xfId="27324"/>
    <cellStyle name="표준 3 3 3 3 2 3 2 3" xfId="12338"/>
    <cellStyle name="표준 3 3 3 3 2 3 2 3 2" xfId="34805"/>
    <cellStyle name="표준 3 3 3 3 2 3 2 4" xfId="19822"/>
    <cellStyle name="표준 3 3 3 3 2 3 2 4 2" xfId="42287"/>
    <cellStyle name="표준 3 3 3 3 2 3 2 5" xfId="27323"/>
    <cellStyle name="표준 3 3 3 3 2 3 2_Sheet4" xfId="4338"/>
    <cellStyle name="표준 3 3 3 3 2 3 3" xfId="4339"/>
    <cellStyle name="표준 3 3 3 3 2 3 3 2" xfId="12340"/>
    <cellStyle name="표준 3 3 3 3 2 3 3 2 2" xfId="34807"/>
    <cellStyle name="표준 3 3 3 3 2 3 3 3" xfId="19824"/>
    <cellStyle name="표준 3 3 3 3 2 3 3 3 2" xfId="42289"/>
    <cellStyle name="표준 3 3 3 3 2 3 3 4" xfId="27325"/>
    <cellStyle name="표준 3 3 3 3 2 3 4" xfId="12337"/>
    <cellStyle name="표준 3 3 3 3 2 3 4 2" xfId="34804"/>
    <cellStyle name="표준 3 3 3 3 2 3 5" xfId="19821"/>
    <cellStyle name="표준 3 3 3 3 2 3 5 2" xfId="42286"/>
    <cellStyle name="표준 3 3 3 3 2 3 6" xfId="27322"/>
    <cellStyle name="표준 3 3 3 3 2 3_Sheet4" xfId="4340"/>
    <cellStyle name="표준 3 3 3 3 2 4" xfId="4341"/>
    <cellStyle name="표준 3 3 3 3 2 4 2" xfId="4342"/>
    <cellStyle name="표준 3 3 3 3 2 4 2 2" xfId="12342"/>
    <cellStyle name="표준 3 3 3 3 2 4 2 2 2" xfId="34809"/>
    <cellStyle name="표준 3 3 3 3 2 4 2 3" xfId="19826"/>
    <cellStyle name="표준 3 3 3 3 2 4 2 3 2" xfId="42291"/>
    <cellStyle name="표준 3 3 3 3 2 4 2 4" xfId="27327"/>
    <cellStyle name="표준 3 3 3 3 2 4 3" xfId="12341"/>
    <cellStyle name="표준 3 3 3 3 2 4 3 2" xfId="34808"/>
    <cellStyle name="표준 3 3 3 3 2 4 4" xfId="19825"/>
    <cellStyle name="표준 3 3 3 3 2 4 4 2" xfId="42290"/>
    <cellStyle name="표준 3 3 3 3 2 4 5" xfId="27326"/>
    <cellStyle name="표준 3 3 3 3 2 4_Sheet4" xfId="4343"/>
    <cellStyle name="표준 3 3 3 3 2 5" xfId="4344"/>
    <cellStyle name="표준 3 3 3 3 2 5 2" xfId="12343"/>
    <cellStyle name="표준 3 3 3 3 2 5 2 2" xfId="34810"/>
    <cellStyle name="표준 3 3 3 3 2 5 3" xfId="19827"/>
    <cellStyle name="표준 3 3 3 3 2 5 3 2" xfId="42292"/>
    <cellStyle name="표준 3 3 3 3 2 5 4" xfId="27328"/>
    <cellStyle name="표준 3 3 3 3 2 6" xfId="12328"/>
    <cellStyle name="표준 3 3 3 3 2 6 2" xfId="34795"/>
    <cellStyle name="표준 3 3 3 3 2 7" xfId="19812"/>
    <cellStyle name="표준 3 3 3 3 2 7 2" xfId="42277"/>
    <cellStyle name="표준 3 3 3 3 2 8" xfId="27313"/>
    <cellStyle name="표준 3 3 3 3 2_Sheet4" xfId="4345"/>
    <cellStyle name="표준 3 3 3 3 3" xfId="4346"/>
    <cellStyle name="표준 3 3 3 3 3 2" xfId="4347"/>
    <cellStyle name="표준 3 3 3 3 3 2 2" xfId="4348"/>
    <cellStyle name="표준 3 3 3 3 3 2 2 2" xfId="4349"/>
    <cellStyle name="표준 3 3 3 3 3 2 2 2 2" xfId="4350"/>
    <cellStyle name="표준 3 3 3 3 3 2 2 2 2 2" xfId="12348"/>
    <cellStyle name="표준 3 3 3 3 3 2 2 2 2 2 2" xfId="34815"/>
    <cellStyle name="표준 3 3 3 3 3 2 2 2 2 3" xfId="19832"/>
    <cellStyle name="표준 3 3 3 3 3 2 2 2 2 3 2" xfId="42297"/>
    <cellStyle name="표준 3 3 3 3 3 2 2 2 2 4" xfId="27333"/>
    <cellStyle name="표준 3 3 3 3 3 2 2 2 3" xfId="12347"/>
    <cellStyle name="표준 3 3 3 3 3 2 2 2 3 2" xfId="34814"/>
    <cellStyle name="표준 3 3 3 3 3 2 2 2 4" xfId="19831"/>
    <cellStyle name="표준 3 3 3 3 3 2 2 2 4 2" xfId="42296"/>
    <cellStyle name="표준 3 3 3 3 3 2 2 2 5" xfId="27332"/>
    <cellStyle name="표준 3 3 3 3 3 2 2 2_Sheet4" xfId="4351"/>
    <cellStyle name="표준 3 3 3 3 3 2 2 3" xfId="4352"/>
    <cellStyle name="표준 3 3 3 3 3 2 2 3 2" xfId="12349"/>
    <cellStyle name="표준 3 3 3 3 3 2 2 3 2 2" xfId="34816"/>
    <cellStyle name="표준 3 3 3 3 3 2 2 3 3" xfId="19833"/>
    <cellStyle name="표준 3 3 3 3 3 2 2 3 3 2" xfId="42298"/>
    <cellStyle name="표준 3 3 3 3 3 2 2 3 4" xfId="27334"/>
    <cellStyle name="표준 3 3 3 3 3 2 2 4" xfId="12346"/>
    <cellStyle name="표준 3 3 3 3 3 2 2 4 2" xfId="34813"/>
    <cellStyle name="표준 3 3 3 3 3 2 2 5" xfId="19830"/>
    <cellStyle name="표준 3 3 3 3 3 2 2 5 2" xfId="42295"/>
    <cellStyle name="표준 3 3 3 3 3 2 2 6" xfId="27331"/>
    <cellStyle name="표준 3 3 3 3 3 2 2_Sheet4" xfId="4353"/>
    <cellStyle name="표준 3 3 3 3 3 2 3" xfId="4354"/>
    <cellStyle name="표준 3 3 3 3 3 2 3 2" xfId="4355"/>
    <cellStyle name="표준 3 3 3 3 3 2 3 2 2" xfId="12351"/>
    <cellStyle name="표준 3 3 3 3 3 2 3 2 2 2" xfId="34818"/>
    <cellStyle name="표준 3 3 3 3 3 2 3 2 3" xfId="19835"/>
    <cellStyle name="표준 3 3 3 3 3 2 3 2 3 2" xfId="42300"/>
    <cellStyle name="표준 3 3 3 3 3 2 3 2 4" xfId="27336"/>
    <cellStyle name="표준 3 3 3 3 3 2 3 3" xfId="12350"/>
    <cellStyle name="표준 3 3 3 3 3 2 3 3 2" xfId="34817"/>
    <cellStyle name="표준 3 3 3 3 3 2 3 4" xfId="19834"/>
    <cellStyle name="표준 3 3 3 3 3 2 3 4 2" xfId="42299"/>
    <cellStyle name="표준 3 3 3 3 3 2 3 5" xfId="27335"/>
    <cellStyle name="표준 3 3 3 3 3 2 3_Sheet4" xfId="4356"/>
    <cellStyle name="표준 3 3 3 3 3 2 4" xfId="4357"/>
    <cellStyle name="표준 3 3 3 3 3 2 4 2" xfId="12352"/>
    <cellStyle name="표준 3 3 3 3 3 2 4 2 2" xfId="34819"/>
    <cellStyle name="표준 3 3 3 3 3 2 4 3" xfId="19836"/>
    <cellStyle name="표준 3 3 3 3 3 2 4 3 2" xfId="42301"/>
    <cellStyle name="표준 3 3 3 3 3 2 4 4" xfId="27337"/>
    <cellStyle name="표준 3 3 3 3 3 2 5" xfId="12345"/>
    <cellStyle name="표준 3 3 3 3 3 2 5 2" xfId="34812"/>
    <cellStyle name="표준 3 3 3 3 3 2 6" xfId="19829"/>
    <cellStyle name="표준 3 3 3 3 3 2 6 2" xfId="42294"/>
    <cellStyle name="표준 3 3 3 3 3 2 7" xfId="27330"/>
    <cellStyle name="표준 3 3 3 3 3 2_Sheet4" xfId="4358"/>
    <cellStyle name="표준 3 3 3 3 3 3" xfId="4359"/>
    <cellStyle name="표준 3 3 3 3 3 3 2" xfId="4360"/>
    <cellStyle name="표준 3 3 3 3 3 3 2 2" xfId="4361"/>
    <cellStyle name="표준 3 3 3 3 3 3 2 2 2" xfId="12355"/>
    <cellStyle name="표준 3 3 3 3 3 3 2 2 2 2" xfId="34822"/>
    <cellStyle name="표준 3 3 3 3 3 3 2 2 3" xfId="19839"/>
    <cellStyle name="표준 3 3 3 3 3 3 2 2 3 2" xfId="42304"/>
    <cellStyle name="표준 3 3 3 3 3 3 2 2 4" xfId="27340"/>
    <cellStyle name="표준 3 3 3 3 3 3 2 3" xfId="12354"/>
    <cellStyle name="표준 3 3 3 3 3 3 2 3 2" xfId="34821"/>
    <cellStyle name="표준 3 3 3 3 3 3 2 4" xfId="19838"/>
    <cellStyle name="표준 3 3 3 3 3 3 2 4 2" xfId="42303"/>
    <cellStyle name="표준 3 3 3 3 3 3 2 5" xfId="27339"/>
    <cellStyle name="표준 3 3 3 3 3 3 2_Sheet4" xfId="4362"/>
    <cellStyle name="표준 3 3 3 3 3 3 3" xfId="4363"/>
    <cellStyle name="표준 3 3 3 3 3 3 3 2" xfId="12356"/>
    <cellStyle name="표준 3 3 3 3 3 3 3 2 2" xfId="34823"/>
    <cellStyle name="표준 3 3 3 3 3 3 3 3" xfId="19840"/>
    <cellStyle name="표준 3 3 3 3 3 3 3 3 2" xfId="42305"/>
    <cellStyle name="표준 3 3 3 3 3 3 3 4" xfId="27341"/>
    <cellStyle name="표준 3 3 3 3 3 3 4" xfId="12353"/>
    <cellStyle name="표준 3 3 3 3 3 3 4 2" xfId="34820"/>
    <cellStyle name="표준 3 3 3 3 3 3 5" xfId="19837"/>
    <cellStyle name="표준 3 3 3 3 3 3 5 2" xfId="42302"/>
    <cellStyle name="표준 3 3 3 3 3 3 6" xfId="27338"/>
    <cellStyle name="표준 3 3 3 3 3 3_Sheet4" xfId="4364"/>
    <cellStyle name="표준 3 3 3 3 3 4" xfId="4365"/>
    <cellStyle name="표준 3 3 3 3 3 4 2" xfId="4366"/>
    <cellStyle name="표준 3 3 3 3 3 4 2 2" xfId="12358"/>
    <cellStyle name="표준 3 3 3 3 3 4 2 2 2" xfId="34825"/>
    <cellStyle name="표준 3 3 3 3 3 4 2 3" xfId="19842"/>
    <cellStyle name="표준 3 3 3 3 3 4 2 3 2" xfId="42307"/>
    <cellStyle name="표준 3 3 3 3 3 4 2 4" xfId="27343"/>
    <cellStyle name="표준 3 3 3 3 3 4 3" xfId="12357"/>
    <cellStyle name="표준 3 3 3 3 3 4 3 2" xfId="34824"/>
    <cellStyle name="표준 3 3 3 3 3 4 4" xfId="19841"/>
    <cellStyle name="표준 3 3 3 3 3 4 4 2" xfId="42306"/>
    <cellStyle name="표준 3 3 3 3 3 4 5" xfId="27342"/>
    <cellStyle name="표준 3 3 3 3 3 4_Sheet4" xfId="4367"/>
    <cellStyle name="표준 3 3 3 3 3 5" xfId="4368"/>
    <cellStyle name="표준 3 3 3 3 3 5 2" xfId="12359"/>
    <cellStyle name="표준 3 3 3 3 3 5 2 2" xfId="34826"/>
    <cellStyle name="표준 3 3 3 3 3 5 3" xfId="19843"/>
    <cellStyle name="표준 3 3 3 3 3 5 3 2" xfId="42308"/>
    <cellStyle name="표준 3 3 3 3 3 5 4" xfId="27344"/>
    <cellStyle name="표준 3 3 3 3 3 6" xfId="12344"/>
    <cellStyle name="표준 3 3 3 3 3 6 2" xfId="34811"/>
    <cellStyle name="표준 3 3 3 3 3 7" xfId="19828"/>
    <cellStyle name="표준 3 3 3 3 3 7 2" xfId="42293"/>
    <cellStyle name="표준 3 3 3 3 3 8" xfId="27329"/>
    <cellStyle name="표준 3 3 3 3 3_Sheet4" xfId="4369"/>
    <cellStyle name="표준 3 3 3 3 4" xfId="4370"/>
    <cellStyle name="표준 3 3 3 3 4 2" xfId="4371"/>
    <cellStyle name="표준 3 3 3 3 4 2 2" xfId="4372"/>
    <cellStyle name="표준 3 3 3 3 4 2 2 2" xfId="4373"/>
    <cellStyle name="표준 3 3 3 3 4 2 2 2 2" xfId="12363"/>
    <cellStyle name="표준 3 3 3 3 4 2 2 2 2 2" xfId="34830"/>
    <cellStyle name="표준 3 3 3 3 4 2 2 2 3" xfId="19847"/>
    <cellStyle name="표준 3 3 3 3 4 2 2 2 3 2" xfId="42312"/>
    <cellStyle name="표준 3 3 3 3 4 2 2 2 4" xfId="27348"/>
    <cellStyle name="표준 3 3 3 3 4 2 2 3" xfId="12362"/>
    <cellStyle name="표준 3 3 3 3 4 2 2 3 2" xfId="34829"/>
    <cellStyle name="표준 3 3 3 3 4 2 2 4" xfId="19846"/>
    <cellStyle name="표준 3 3 3 3 4 2 2 4 2" xfId="42311"/>
    <cellStyle name="표준 3 3 3 3 4 2 2 5" xfId="27347"/>
    <cellStyle name="표준 3 3 3 3 4 2 2_Sheet4" xfId="4374"/>
    <cellStyle name="표준 3 3 3 3 4 2 3" xfId="4375"/>
    <cellStyle name="표준 3 3 3 3 4 2 3 2" xfId="12364"/>
    <cellStyle name="표준 3 3 3 3 4 2 3 2 2" xfId="34831"/>
    <cellStyle name="표준 3 3 3 3 4 2 3 3" xfId="19848"/>
    <cellStyle name="표준 3 3 3 3 4 2 3 3 2" xfId="42313"/>
    <cellStyle name="표준 3 3 3 3 4 2 3 4" xfId="27349"/>
    <cellStyle name="표준 3 3 3 3 4 2 4" xfId="12361"/>
    <cellStyle name="표준 3 3 3 3 4 2 4 2" xfId="34828"/>
    <cellStyle name="표준 3 3 3 3 4 2 5" xfId="19845"/>
    <cellStyle name="표준 3 3 3 3 4 2 5 2" xfId="42310"/>
    <cellStyle name="표준 3 3 3 3 4 2 6" xfId="27346"/>
    <cellStyle name="표준 3 3 3 3 4 2_Sheet4" xfId="4376"/>
    <cellStyle name="표준 3 3 3 3 4 3" xfId="4377"/>
    <cellStyle name="표준 3 3 3 3 4 3 2" xfId="4378"/>
    <cellStyle name="표준 3 3 3 3 4 3 2 2" xfId="12366"/>
    <cellStyle name="표준 3 3 3 3 4 3 2 2 2" xfId="34833"/>
    <cellStyle name="표준 3 3 3 3 4 3 2 3" xfId="19850"/>
    <cellStyle name="표준 3 3 3 3 4 3 2 3 2" xfId="42315"/>
    <cellStyle name="표준 3 3 3 3 4 3 2 4" xfId="27351"/>
    <cellStyle name="표준 3 3 3 3 4 3 3" xfId="12365"/>
    <cellStyle name="표준 3 3 3 3 4 3 3 2" xfId="34832"/>
    <cellStyle name="표준 3 3 3 3 4 3 4" xfId="19849"/>
    <cellStyle name="표준 3 3 3 3 4 3 4 2" xfId="42314"/>
    <cellStyle name="표준 3 3 3 3 4 3 5" xfId="27350"/>
    <cellStyle name="표준 3 3 3 3 4 3_Sheet4" xfId="4379"/>
    <cellStyle name="표준 3 3 3 3 4 4" xfId="4380"/>
    <cellStyle name="표준 3 3 3 3 4 4 2" xfId="12367"/>
    <cellStyle name="표준 3 3 3 3 4 4 2 2" xfId="34834"/>
    <cellStyle name="표준 3 3 3 3 4 4 3" xfId="19851"/>
    <cellStyle name="표준 3 3 3 3 4 4 3 2" xfId="42316"/>
    <cellStyle name="표준 3 3 3 3 4 4 4" xfId="27352"/>
    <cellStyle name="표준 3 3 3 3 4 5" xfId="12360"/>
    <cellStyle name="표준 3 3 3 3 4 5 2" xfId="34827"/>
    <cellStyle name="표준 3 3 3 3 4 6" xfId="19844"/>
    <cellStyle name="표준 3 3 3 3 4 6 2" xfId="42309"/>
    <cellStyle name="표준 3 3 3 3 4 7" xfId="27345"/>
    <cellStyle name="표준 3 3 3 3 4_Sheet4" xfId="4381"/>
    <cellStyle name="표준 3 3 3 3 5" xfId="4382"/>
    <cellStyle name="표준 3 3 3 3 5 2" xfId="4383"/>
    <cellStyle name="표준 3 3 3 3 5 2 2" xfId="4384"/>
    <cellStyle name="표준 3 3 3 3 5 2 2 2" xfId="12370"/>
    <cellStyle name="표준 3 3 3 3 5 2 2 2 2" xfId="34837"/>
    <cellStyle name="표준 3 3 3 3 5 2 2 3" xfId="19854"/>
    <cellStyle name="표준 3 3 3 3 5 2 2 3 2" xfId="42319"/>
    <cellStyle name="표준 3 3 3 3 5 2 2 4" xfId="27355"/>
    <cellStyle name="표준 3 3 3 3 5 2 3" xfId="12369"/>
    <cellStyle name="표준 3 3 3 3 5 2 3 2" xfId="34836"/>
    <cellStyle name="표준 3 3 3 3 5 2 4" xfId="19853"/>
    <cellStyle name="표준 3 3 3 3 5 2 4 2" xfId="42318"/>
    <cellStyle name="표준 3 3 3 3 5 2 5" xfId="27354"/>
    <cellStyle name="표준 3 3 3 3 5 2_Sheet4" xfId="4385"/>
    <cellStyle name="표준 3 3 3 3 5 3" xfId="4386"/>
    <cellStyle name="표준 3 3 3 3 5 3 2" xfId="12371"/>
    <cellStyle name="표준 3 3 3 3 5 3 2 2" xfId="34838"/>
    <cellStyle name="표준 3 3 3 3 5 3 3" xfId="19855"/>
    <cellStyle name="표준 3 3 3 3 5 3 3 2" xfId="42320"/>
    <cellStyle name="표준 3 3 3 3 5 3 4" xfId="27356"/>
    <cellStyle name="표준 3 3 3 3 5 4" xfId="12368"/>
    <cellStyle name="표준 3 3 3 3 5 4 2" xfId="34835"/>
    <cellStyle name="표준 3 3 3 3 5 5" xfId="19852"/>
    <cellStyle name="표준 3 3 3 3 5 5 2" xfId="42317"/>
    <cellStyle name="표준 3 3 3 3 5 6" xfId="27353"/>
    <cellStyle name="표준 3 3 3 3 5_Sheet4" xfId="4387"/>
    <cellStyle name="표준 3 3 3 3 6" xfId="4388"/>
    <cellStyle name="표준 3 3 3 3 6 2" xfId="4389"/>
    <cellStyle name="표준 3 3 3 3 6 2 2" xfId="12373"/>
    <cellStyle name="표준 3 3 3 3 6 2 2 2" xfId="34840"/>
    <cellStyle name="표준 3 3 3 3 6 2 3" xfId="19857"/>
    <cellStyle name="표준 3 3 3 3 6 2 3 2" xfId="42322"/>
    <cellStyle name="표준 3 3 3 3 6 2 4" xfId="27358"/>
    <cellStyle name="표준 3 3 3 3 6 3" xfId="12372"/>
    <cellStyle name="표준 3 3 3 3 6 3 2" xfId="34839"/>
    <cellStyle name="표준 3 3 3 3 6 4" xfId="19856"/>
    <cellStyle name="표준 3 3 3 3 6 4 2" xfId="42321"/>
    <cellStyle name="표준 3 3 3 3 6 5" xfId="27357"/>
    <cellStyle name="표준 3 3 3 3 6_Sheet4" xfId="4390"/>
    <cellStyle name="표준 3 3 3 3 7" xfId="4391"/>
    <cellStyle name="표준 3 3 3 3 7 2" xfId="12374"/>
    <cellStyle name="표준 3 3 3 3 7 2 2" xfId="34841"/>
    <cellStyle name="표준 3 3 3 3 7 3" xfId="19858"/>
    <cellStyle name="표준 3 3 3 3 7 3 2" xfId="42323"/>
    <cellStyle name="표준 3 3 3 3 7 4" xfId="27359"/>
    <cellStyle name="표준 3 3 3 3 8" xfId="12327"/>
    <cellStyle name="표준 3 3 3 3 8 2" xfId="34794"/>
    <cellStyle name="표준 3 3 3 3 9" xfId="19811"/>
    <cellStyle name="표준 3 3 3 3 9 2" xfId="42276"/>
    <cellStyle name="표준 3 3 3 3_Sheet4" xfId="4392"/>
    <cellStyle name="표준 3 3 3 4" xfId="4393"/>
    <cellStyle name="표준 3 3 3 4 2" xfId="4394"/>
    <cellStyle name="표준 3 3 3 4 2 2" xfId="4395"/>
    <cellStyle name="표준 3 3 3 4 2 2 2" xfId="4396"/>
    <cellStyle name="표준 3 3 3 4 2 2 2 2" xfId="4397"/>
    <cellStyle name="표준 3 3 3 4 2 2 2 2 2" xfId="12379"/>
    <cellStyle name="표준 3 3 3 4 2 2 2 2 2 2" xfId="34846"/>
    <cellStyle name="표준 3 3 3 4 2 2 2 2 3" xfId="19863"/>
    <cellStyle name="표준 3 3 3 4 2 2 2 2 3 2" xfId="42328"/>
    <cellStyle name="표준 3 3 3 4 2 2 2 2 4" xfId="27364"/>
    <cellStyle name="표준 3 3 3 4 2 2 2 3" xfId="12378"/>
    <cellStyle name="표준 3 3 3 4 2 2 2 3 2" xfId="34845"/>
    <cellStyle name="표준 3 3 3 4 2 2 2 4" xfId="19862"/>
    <cellStyle name="표준 3 3 3 4 2 2 2 4 2" xfId="42327"/>
    <cellStyle name="표준 3 3 3 4 2 2 2 5" xfId="27363"/>
    <cellStyle name="표준 3 3 3 4 2 2 2_Sheet4" xfId="4398"/>
    <cellStyle name="표준 3 3 3 4 2 2 3" xfId="4399"/>
    <cellStyle name="표준 3 3 3 4 2 2 3 2" xfId="12380"/>
    <cellStyle name="표준 3 3 3 4 2 2 3 2 2" xfId="34847"/>
    <cellStyle name="표준 3 3 3 4 2 2 3 3" xfId="19864"/>
    <cellStyle name="표준 3 3 3 4 2 2 3 3 2" xfId="42329"/>
    <cellStyle name="표준 3 3 3 4 2 2 3 4" xfId="27365"/>
    <cellStyle name="표준 3 3 3 4 2 2 4" xfId="12377"/>
    <cellStyle name="표준 3 3 3 4 2 2 4 2" xfId="34844"/>
    <cellStyle name="표준 3 3 3 4 2 2 5" xfId="19861"/>
    <cellStyle name="표준 3 3 3 4 2 2 5 2" xfId="42326"/>
    <cellStyle name="표준 3 3 3 4 2 2 6" xfId="27362"/>
    <cellStyle name="표준 3 3 3 4 2 2_Sheet4" xfId="4400"/>
    <cellStyle name="표준 3 3 3 4 2 3" xfId="4401"/>
    <cellStyle name="표준 3 3 3 4 2 3 2" xfId="4402"/>
    <cellStyle name="표준 3 3 3 4 2 3 2 2" xfId="12382"/>
    <cellStyle name="표준 3 3 3 4 2 3 2 2 2" xfId="34849"/>
    <cellStyle name="표준 3 3 3 4 2 3 2 3" xfId="19866"/>
    <cellStyle name="표준 3 3 3 4 2 3 2 3 2" xfId="42331"/>
    <cellStyle name="표준 3 3 3 4 2 3 2 4" xfId="27367"/>
    <cellStyle name="표준 3 3 3 4 2 3 3" xfId="12381"/>
    <cellStyle name="표준 3 3 3 4 2 3 3 2" xfId="34848"/>
    <cellStyle name="표준 3 3 3 4 2 3 4" xfId="19865"/>
    <cellStyle name="표준 3 3 3 4 2 3 4 2" xfId="42330"/>
    <cellStyle name="표준 3 3 3 4 2 3 5" xfId="27366"/>
    <cellStyle name="표준 3 3 3 4 2 3_Sheet4" xfId="4403"/>
    <cellStyle name="표준 3 3 3 4 2 4" xfId="4404"/>
    <cellStyle name="표준 3 3 3 4 2 4 2" xfId="12383"/>
    <cellStyle name="표준 3 3 3 4 2 4 2 2" xfId="34850"/>
    <cellStyle name="표준 3 3 3 4 2 4 3" xfId="19867"/>
    <cellStyle name="표준 3 3 3 4 2 4 3 2" xfId="42332"/>
    <cellStyle name="표준 3 3 3 4 2 4 4" xfId="27368"/>
    <cellStyle name="표준 3 3 3 4 2 5" xfId="12376"/>
    <cellStyle name="표준 3 3 3 4 2 5 2" xfId="34843"/>
    <cellStyle name="표준 3 3 3 4 2 6" xfId="19860"/>
    <cellStyle name="표준 3 3 3 4 2 6 2" xfId="42325"/>
    <cellStyle name="표준 3 3 3 4 2 7" xfId="27361"/>
    <cellStyle name="표준 3 3 3 4 2_Sheet4" xfId="4405"/>
    <cellStyle name="표준 3 3 3 4 3" xfId="4406"/>
    <cellStyle name="표준 3 3 3 4 3 2" xfId="4407"/>
    <cellStyle name="표준 3 3 3 4 3 2 2" xfId="4408"/>
    <cellStyle name="표준 3 3 3 4 3 2 2 2" xfId="12386"/>
    <cellStyle name="표준 3 3 3 4 3 2 2 2 2" xfId="34853"/>
    <cellStyle name="표준 3 3 3 4 3 2 2 3" xfId="19870"/>
    <cellStyle name="표준 3 3 3 4 3 2 2 3 2" xfId="42335"/>
    <cellStyle name="표준 3 3 3 4 3 2 2 4" xfId="27371"/>
    <cellStyle name="표준 3 3 3 4 3 2 3" xfId="12385"/>
    <cellStyle name="표준 3 3 3 4 3 2 3 2" xfId="34852"/>
    <cellStyle name="표준 3 3 3 4 3 2 4" xfId="19869"/>
    <cellStyle name="표준 3 3 3 4 3 2 4 2" xfId="42334"/>
    <cellStyle name="표준 3 3 3 4 3 2 5" xfId="27370"/>
    <cellStyle name="표준 3 3 3 4 3 2_Sheet4" xfId="4409"/>
    <cellStyle name="표준 3 3 3 4 3 3" xfId="4410"/>
    <cellStyle name="표준 3 3 3 4 3 3 2" xfId="12387"/>
    <cellStyle name="표준 3 3 3 4 3 3 2 2" xfId="34854"/>
    <cellStyle name="표준 3 3 3 4 3 3 3" xfId="19871"/>
    <cellStyle name="표준 3 3 3 4 3 3 3 2" xfId="42336"/>
    <cellStyle name="표준 3 3 3 4 3 3 4" xfId="27372"/>
    <cellStyle name="표준 3 3 3 4 3 4" xfId="12384"/>
    <cellStyle name="표준 3 3 3 4 3 4 2" xfId="34851"/>
    <cellStyle name="표준 3 3 3 4 3 5" xfId="19868"/>
    <cellStyle name="표준 3 3 3 4 3 5 2" xfId="42333"/>
    <cellStyle name="표준 3 3 3 4 3 6" xfId="27369"/>
    <cellStyle name="표준 3 3 3 4 3_Sheet4" xfId="4411"/>
    <cellStyle name="표준 3 3 3 4 4" xfId="4412"/>
    <cellStyle name="표준 3 3 3 4 4 2" xfId="4413"/>
    <cellStyle name="표준 3 3 3 4 4 2 2" xfId="12389"/>
    <cellStyle name="표준 3 3 3 4 4 2 2 2" xfId="34856"/>
    <cellStyle name="표준 3 3 3 4 4 2 3" xfId="19873"/>
    <cellStyle name="표준 3 3 3 4 4 2 3 2" xfId="42338"/>
    <cellStyle name="표준 3 3 3 4 4 2 4" xfId="27374"/>
    <cellStyle name="표준 3 3 3 4 4 3" xfId="12388"/>
    <cellStyle name="표준 3 3 3 4 4 3 2" xfId="34855"/>
    <cellStyle name="표준 3 3 3 4 4 4" xfId="19872"/>
    <cellStyle name="표준 3 3 3 4 4 4 2" xfId="42337"/>
    <cellStyle name="표준 3 3 3 4 4 5" xfId="27373"/>
    <cellStyle name="표준 3 3 3 4 4_Sheet4" xfId="4414"/>
    <cellStyle name="표준 3 3 3 4 5" xfId="4415"/>
    <cellStyle name="표준 3 3 3 4 5 2" xfId="12390"/>
    <cellStyle name="표준 3 3 3 4 5 2 2" xfId="34857"/>
    <cellStyle name="표준 3 3 3 4 5 3" xfId="19874"/>
    <cellStyle name="표준 3 3 3 4 5 3 2" xfId="42339"/>
    <cellStyle name="표준 3 3 3 4 5 4" xfId="27375"/>
    <cellStyle name="표준 3 3 3 4 6" xfId="12375"/>
    <cellStyle name="표준 3 3 3 4 6 2" xfId="34842"/>
    <cellStyle name="표준 3 3 3 4 7" xfId="19859"/>
    <cellStyle name="표준 3 3 3 4 7 2" xfId="42324"/>
    <cellStyle name="표준 3 3 3 4 8" xfId="27360"/>
    <cellStyle name="표준 3 3 3 4_Sheet4" xfId="4416"/>
    <cellStyle name="표준 3 3 3 5" xfId="4417"/>
    <cellStyle name="표준 3 3 3 5 2" xfId="4418"/>
    <cellStyle name="표준 3 3 3 5 2 2" xfId="4419"/>
    <cellStyle name="표준 3 3 3 5 2 2 2" xfId="4420"/>
    <cellStyle name="표준 3 3 3 5 2 2 2 2" xfId="4421"/>
    <cellStyle name="표준 3 3 3 5 2 2 2 2 2" xfId="12395"/>
    <cellStyle name="표준 3 3 3 5 2 2 2 2 2 2" xfId="34862"/>
    <cellStyle name="표준 3 3 3 5 2 2 2 2 3" xfId="19879"/>
    <cellStyle name="표준 3 3 3 5 2 2 2 2 3 2" xfId="42344"/>
    <cellStyle name="표준 3 3 3 5 2 2 2 2 4" xfId="27380"/>
    <cellStyle name="표준 3 3 3 5 2 2 2 3" xfId="12394"/>
    <cellStyle name="표준 3 3 3 5 2 2 2 3 2" xfId="34861"/>
    <cellStyle name="표준 3 3 3 5 2 2 2 4" xfId="19878"/>
    <cellStyle name="표준 3 3 3 5 2 2 2 4 2" xfId="42343"/>
    <cellStyle name="표준 3 3 3 5 2 2 2 5" xfId="27379"/>
    <cellStyle name="표준 3 3 3 5 2 2 2_Sheet4" xfId="4422"/>
    <cellStyle name="표준 3 3 3 5 2 2 3" xfId="4423"/>
    <cellStyle name="표준 3 3 3 5 2 2 3 2" xfId="12396"/>
    <cellStyle name="표준 3 3 3 5 2 2 3 2 2" xfId="34863"/>
    <cellStyle name="표준 3 3 3 5 2 2 3 3" xfId="19880"/>
    <cellStyle name="표준 3 3 3 5 2 2 3 3 2" xfId="42345"/>
    <cellStyle name="표준 3 3 3 5 2 2 3 4" xfId="27381"/>
    <cellStyle name="표준 3 3 3 5 2 2 4" xfId="12393"/>
    <cellStyle name="표준 3 3 3 5 2 2 4 2" xfId="34860"/>
    <cellStyle name="표준 3 3 3 5 2 2 5" xfId="19877"/>
    <cellStyle name="표준 3 3 3 5 2 2 5 2" xfId="42342"/>
    <cellStyle name="표준 3 3 3 5 2 2 6" xfId="27378"/>
    <cellStyle name="표준 3 3 3 5 2 2_Sheet4" xfId="4424"/>
    <cellStyle name="표준 3 3 3 5 2 3" xfId="4425"/>
    <cellStyle name="표준 3 3 3 5 2 3 2" xfId="4426"/>
    <cellStyle name="표준 3 3 3 5 2 3 2 2" xfId="12398"/>
    <cellStyle name="표준 3 3 3 5 2 3 2 2 2" xfId="34865"/>
    <cellStyle name="표준 3 3 3 5 2 3 2 3" xfId="19882"/>
    <cellStyle name="표준 3 3 3 5 2 3 2 3 2" xfId="42347"/>
    <cellStyle name="표준 3 3 3 5 2 3 2 4" xfId="27383"/>
    <cellStyle name="표준 3 3 3 5 2 3 3" xfId="12397"/>
    <cellStyle name="표준 3 3 3 5 2 3 3 2" xfId="34864"/>
    <cellStyle name="표준 3 3 3 5 2 3 4" xfId="19881"/>
    <cellStyle name="표준 3 3 3 5 2 3 4 2" xfId="42346"/>
    <cellStyle name="표준 3 3 3 5 2 3 5" xfId="27382"/>
    <cellStyle name="표준 3 3 3 5 2 3_Sheet4" xfId="4427"/>
    <cellStyle name="표준 3 3 3 5 2 4" xfId="4428"/>
    <cellStyle name="표준 3 3 3 5 2 4 2" xfId="12399"/>
    <cellStyle name="표준 3 3 3 5 2 4 2 2" xfId="34866"/>
    <cellStyle name="표준 3 3 3 5 2 4 3" xfId="19883"/>
    <cellStyle name="표준 3 3 3 5 2 4 3 2" xfId="42348"/>
    <cellStyle name="표준 3 3 3 5 2 4 4" xfId="27384"/>
    <cellStyle name="표준 3 3 3 5 2 5" xfId="12392"/>
    <cellStyle name="표준 3 3 3 5 2 5 2" xfId="34859"/>
    <cellStyle name="표준 3 3 3 5 2 6" xfId="19876"/>
    <cellStyle name="표준 3 3 3 5 2 6 2" xfId="42341"/>
    <cellStyle name="표준 3 3 3 5 2 7" xfId="27377"/>
    <cellStyle name="표준 3 3 3 5 2_Sheet4" xfId="4429"/>
    <cellStyle name="표준 3 3 3 5 3" xfId="4430"/>
    <cellStyle name="표준 3 3 3 5 3 2" xfId="4431"/>
    <cellStyle name="표준 3 3 3 5 3 2 2" xfId="4432"/>
    <cellStyle name="표준 3 3 3 5 3 2 2 2" xfId="12402"/>
    <cellStyle name="표준 3 3 3 5 3 2 2 2 2" xfId="34869"/>
    <cellStyle name="표준 3 3 3 5 3 2 2 3" xfId="19886"/>
    <cellStyle name="표준 3 3 3 5 3 2 2 3 2" xfId="42351"/>
    <cellStyle name="표준 3 3 3 5 3 2 2 4" xfId="27387"/>
    <cellStyle name="표준 3 3 3 5 3 2 3" xfId="12401"/>
    <cellStyle name="표준 3 3 3 5 3 2 3 2" xfId="34868"/>
    <cellStyle name="표준 3 3 3 5 3 2 4" xfId="19885"/>
    <cellStyle name="표준 3 3 3 5 3 2 4 2" xfId="42350"/>
    <cellStyle name="표준 3 3 3 5 3 2 5" xfId="27386"/>
    <cellStyle name="표준 3 3 3 5 3 2_Sheet4" xfId="4433"/>
    <cellStyle name="표준 3 3 3 5 3 3" xfId="4434"/>
    <cellStyle name="표준 3 3 3 5 3 3 2" xfId="12403"/>
    <cellStyle name="표준 3 3 3 5 3 3 2 2" xfId="34870"/>
    <cellStyle name="표준 3 3 3 5 3 3 3" xfId="19887"/>
    <cellStyle name="표준 3 3 3 5 3 3 3 2" xfId="42352"/>
    <cellStyle name="표준 3 3 3 5 3 3 4" xfId="27388"/>
    <cellStyle name="표준 3 3 3 5 3 4" xfId="12400"/>
    <cellStyle name="표준 3 3 3 5 3 4 2" xfId="34867"/>
    <cellStyle name="표준 3 3 3 5 3 5" xfId="19884"/>
    <cellStyle name="표준 3 3 3 5 3 5 2" xfId="42349"/>
    <cellStyle name="표준 3 3 3 5 3 6" xfId="27385"/>
    <cellStyle name="표준 3 3 3 5 3_Sheet4" xfId="4435"/>
    <cellStyle name="표준 3 3 3 5 4" xfId="4436"/>
    <cellStyle name="표준 3 3 3 5 4 2" xfId="4437"/>
    <cellStyle name="표준 3 3 3 5 4 2 2" xfId="12405"/>
    <cellStyle name="표준 3 3 3 5 4 2 2 2" xfId="34872"/>
    <cellStyle name="표준 3 3 3 5 4 2 3" xfId="19889"/>
    <cellStyle name="표준 3 3 3 5 4 2 3 2" xfId="42354"/>
    <cellStyle name="표준 3 3 3 5 4 2 4" xfId="27390"/>
    <cellStyle name="표준 3 3 3 5 4 3" xfId="12404"/>
    <cellStyle name="표준 3 3 3 5 4 3 2" xfId="34871"/>
    <cellStyle name="표준 3 3 3 5 4 4" xfId="19888"/>
    <cellStyle name="표준 3 3 3 5 4 4 2" xfId="42353"/>
    <cellStyle name="표준 3 3 3 5 4 5" xfId="27389"/>
    <cellStyle name="표준 3 3 3 5 4_Sheet4" xfId="4438"/>
    <cellStyle name="표준 3 3 3 5 5" xfId="4439"/>
    <cellStyle name="표준 3 3 3 5 5 2" xfId="12406"/>
    <cellStyle name="표준 3 3 3 5 5 2 2" xfId="34873"/>
    <cellStyle name="표준 3 3 3 5 5 3" xfId="19890"/>
    <cellStyle name="표준 3 3 3 5 5 3 2" xfId="42355"/>
    <cellStyle name="표준 3 3 3 5 5 4" xfId="27391"/>
    <cellStyle name="표준 3 3 3 5 6" xfId="12391"/>
    <cellStyle name="표준 3 3 3 5 6 2" xfId="34858"/>
    <cellStyle name="표준 3 3 3 5 7" xfId="19875"/>
    <cellStyle name="표준 3 3 3 5 7 2" xfId="42340"/>
    <cellStyle name="표준 3 3 3 5 8" xfId="27376"/>
    <cellStyle name="표준 3 3 3 5_Sheet4" xfId="4440"/>
    <cellStyle name="표준 3 3 3 6" xfId="4441"/>
    <cellStyle name="표준 3 3 3 6 2" xfId="4442"/>
    <cellStyle name="표준 3 3 3 6 2 2" xfId="4443"/>
    <cellStyle name="표준 3 3 3 6 2 2 2" xfId="4444"/>
    <cellStyle name="표준 3 3 3 6 2 2 2 2" xfId="12410"/>
    <cellStyle name="표준 3 3 3 6 2 2 2 2 2" xfId="34877"/>
    <cellStyle name="표준 3 3 3 6 2 2 2 3" xfId="19894"/>
    <cellStyle name="표준 3 3 3 6 2 2 2 3 2" xfId="42359"/>
    <cellStyle name="표준 3 3 3 6 2 2 2 4" xfId="27395"/>
    <cellStyle name="표준 3 3 3 6 2 2 3" xfId="12409"/>
    <cellStyle name="표준 3 3 3 6 2 2 3 2" xfId="34876"/>
    <cellStyle name="표준 3 3 3 6 2 2 4" xfId="19893"/>
    <cellStyle name="표준 3 3 3 6 2 2 4 2" xfId="42358"/>
    <cellStyle name="표준 3 3 3 6 2 2 5" xfId="27394"/>
    <cellStyle name="표준 3 3 3 6 2 2_Sheet4" xfId="4445"/>
    <cellStyle name="표준 3 3 3 6 2 3" xfId="4446"/>
    <cellStyle name="표준 3 3 3 6 2 3 2" xfId="12411"/>
    <cellStyle name="표준 3 3 3 6 2 3 2 2" xfId="34878"/>
    <cellStyle name="표준 3 3 3 6 2 3 3" xfId="19895"/>
    <cellStyle name="표준 3 3 3 6 2 3 3 2" xfId="42360"/>
    <cellStyle name="표준 3 3 3 6 2 3 4" xfId="27396"/>
    <cellStyle name="표준 3 3 3 6 2 4" xfId="12408"/>
    <cellStyle name="표준 3 3 3 6 2 4 2" xfId="34875"/>
    <cellStyle name="표준 3 3 3 6 2 5" xfId="19892"/>
    <cellStyle name="표준 3 3 3 6 2 5 2" xfId="42357"/>
    <cellStyle name="표준 3 3 3 6 2 6" xfId="27393"/>
    <cellStyle name="표준 3 3 3 6 2_Sheet4" xfId="4447"/>
    <cellStyle name="표준 3 3 3 6 3" xfId="4448"/>
    <cellStyle name="표준 3 3 3 6 3 2" xfId="4449"/>
    <cellStyle name="표준 3 3 3 6 3 2 2" xfId="12413"/>
    <cellStyle name="표준 3 3 3 6 3 2 2 2" xfId="34880"/>
    <cellStyle name="표준 3 3 3 6 3 2 3" xfId="19897"/>
    <cellStyle name="표준 3 3 3 6 3 2 3 2" xfId="42362"/>
    <cellStyle name="표준 3 3 3 6 3 2 4" xfId="27398"/>
    <cellStyle name="표준 3 3 3 6 3 3" xfId="12412"/>
    <cellStyle name="표준 3 3 3 6 3 3 2" xfId="34879"/>
    <cellStyle name="표준 3 3 3 6 3 4" xfId="19896"/>
    <cellStyle name="표준 3 3 3 6 3 4 2" xfId="42361"/>
    <cellStyle name="표준 3 3 3 6 3 5" xfId="27397"/>
    <cellStyle name="표준 3 3 3 6 3_Sheet4" xfId="4450"/>
    <cellStyle name="표준 3 3 3 6 4" xfId="4451"/>
    <cellStyle name="표준 3 3 3 6 4 2" xfId="12414"/>
    <cellStyle name="표준 3 3 3 6 4 2 2" xfId="34881"/>
    <cellStyle name="표준 3 3 3 6 4 3" xfId="19898"/>
    <cellStyle name="표준 3 3 3 6 4 3 2" xfId="42363"/>
    <cellStyle name="표준 3 3 3 6 4 4" xfId="27399"/>
    <cellStyle name="표준 3 3 3 6 5" xfId="12407"/>
    <cellStyle name="표준 3 3 3 6 5 2" xfId="34874"/>
    <cellStyle name="표준 3 3 3 6 6" xfId="19891"/>
    <cellStyle name="표준 3 3 3 6 6 2" xfId="42356"/>
    <cellStyle name="표준 3 3 3 6 7" xfId="27392"/>
    <cellStyle name="표준 3 3 3 6_Sheet4" xfId="4452"/>
    <cellStyle name="표준 3 3 3 7" xfId="4453"/>
    <cellStyle name="표준 3 3 3 7 2" xfId="4454"/>
    <cellStyle name="표준 3 3 3 7 2 2" xfId="4455"/>
    <cellStyle name="표준 3 3 3 7 2 2 2" xfId="4456"/>
    <cellStyle name="표준 3 3 3 7 2 2 2 2" xfId="12418"/>
    <cellStyle name="표준 3 3 3 7 2 2 2 2 2" xfId="34885"/>
    <cellStyle name="표준 3 3 3 7 2 2 2 3" xfId="19902"/>
    <cellStyle name="표준 3 3 3 7 2 2 2 3 2" xfId="42367"/>
    <cellStyle name="표준 3 3 3 7 2 2 2 4" xfId="27403"/>
    <cellStyle name="표준 3 3 3 7 2 2 3" xfId="12417"/>
    <cellStyle name="표준 3 3 3 7 2 2 3 2" xfId="34884"/>
    <cellStyle name="표준 3 3 3 7 2 2 4" xfId="19901"/>
    <cellStyle name="표준 3 3 3 7 2 2 4 2" xfId="42366"/>
    <cellStyle name="표준 3 3 3 7 2 2 5" xfId="27402"/>
    <cellStyle name="표준 3 3 3 7 2 2_Sheet4" xfId="4457"/>
    <cellStyle name="표준 3 3 3 7 2 3" xfId="4458"/>
    <cellStyle name="표준 3 3 3 7 2 3 2" xfId="12419"/>
    <cellStyle name="표준 3 3 3 7 2 3 2 2" xfId="34886"/>
    <cellStyle name="표준 3 3 3 7 2 3 3" xfId="19903"/>
    <cellStyle name="표준 3 3 3 7 2 3 3 2" xfId="42368"/>
    <cellStyle name="표준 3 3 3 7 2 3 4" xfId="27404"/>
    <cellStyle name="표준 3 3 3 7 2 4" xfId="12416"/>
    <cellStyle name="표준 3 3 3 7 2 4 2" xfId="34883"/>
    <cellStyle name="표준 3 3 3 7 2 5" xfId="19900"/>
    <cellStyle name="표준 3 3 3 7 2 5 2" xfId="42365"/>
    <cellStyle name="표준 3 3 3 7 2 6" xfId="27401"/>
    <cellStyle name="표준 3 3 3 7 2_Sheet4" xfId="4459"/>
    <cellStyle name="표준 3 3 3 7 3" xfId="4460"/>
    <cellStyle name="표준 3 3 3 7 3 2" xfId="4461"/>
    <cellStyle name="표준 3 3 3 7 3 2 2" xfId="12421"/>
    <cellStyle name="표준 3 3 3 7 3 2 2 2" xfId="34888"/>
    <cellStyle name="표준 3 3 3 7 3 2 3" xfId="19905"/>
    <cellStyle name="표준 3 3 3 7 3 2 3 2" xfId="42370"/>
    <cellStyle name="표준 3 3 3 7 3 2 4" xfId="27406"/>
    <cellStyle name="표준 3 3 3 7 3 3" xfId="12420"/>
    <cellStyle name="표준 3 3 3 7 3 3 2" xfId="34887"/>
    <cellStyle name="표준 3 3 3 7 3 4" xfId="19904"/>
    <cellStyle name="표준 3 3 3 7 3 4 2" xfId="42369"/>
    <cellStyle name="표준 3 3 3 7 3 5" xfId="27405"/>
    <cellStyle name="표준 3 3 3 7 3_Sheet4" xfId="4462"/>
    <cellStyle name="표준 3 3 3 7 4" xfId="4463"/>
    <cellStyle name="표준 3 3 3 7 4 2" xfId="12422"/>
    <cellStyle name="표준 3 3 3 7 4 2 2" xfId="34889"/>
    <cellStyle name="표준 3 3 3 7 4 3" xfId="19906"/>
    <cellStyle name="표준 3 3 3 7 4 3 2" xfId="42371"/>
    <cellStyle name="표준 3 3 3 7 4 4" xfId="27407"/>
    <cellStyle name="표준 3 3 3 7 5" xfId="12415"/>
    <cellStyle name="표준 3 3 3 7 5 2" xfId="34882"/>
    <cellStyle name="표준 3 3 3 7 6" xfId="19899"/>
    <cellStyle name="표준 3 3 3 7 6 2" xfId="42364"/>
    <cellStyle name="표준 3 3 3 7 7" xfId="27400"/>
    <cellStyle name="표준 3 3 3 7_Sheet4" xfId="4464"/>
    <cellStyle name="표준 3 3 3 8" xfId="4465"/>
    <cellStyle name="표준 3 3 3 8 2" xfId="4466"/>
    <cellStyle name="표준 3 3 3 8 2 2" xfId="4467"/>
    <cellStyle name="표준 3 3 3 8 2 2 2" xfId="4468"/>
    <cellStyle name="표준 3 3 3 8 2 2 2 2" xfId="12426"/>
    <cellStyle name="표준 3 3 3 8 2 2 2 2 2" xfId="34893"/>
    <cellStyle name="표준 3 3 3 8 2 2 2 3" xfId="19910"/>
    <cellStyle name="표준 3 3 3 8 2 2 2 3 2" xfId="42375"/>
    <cellStyle name="표준 3 3 3 8 2 2 2 4" xfId="27411"/>
    <cellStyle name="표준 3 3 3 8 2 2 3" xfId="12425"/>
    <cellStyle name="표준 3 3 3 8 2 2 3 2" xfId="34892"/>
    <cellStyle name="표준 3 3 3 8 2 2 4" xfId="19909"/>
    <cellStyle name="표준 3 3 3 8 2 2 4 2" xfId="42374"/>
    <cellStyle name="표준 3 3 3 8 2 2 5" xfId="27410"/>
    <cellStyle name="표준 3 3 3 8 2 2_Sheet4" xfId="4469"/>
    <cellStyle name="표준 3 3 3 8 2 3" xfId="4470"/>
    <cellStyle name="표준 3 3 3 8 2 3 2" xfId="12427"/>
    <cellStyle name="표준 3 3 3 8 2 3 2 2" xfId="34894"/>
    <cellStyle name="표준 3 3 3 8 2 3 3" xfId="19911"/>
    <cellStyle name="표준 3 3 3 8 2 3 3 2" xfId="42376"/>
    <cellStyle name="표준 3 3 3 8 2 3 4" xfId="27412"/>
    <cellStyle name="표준 3 3 3 8 2 4" xfId="12424"/>
    <cellStyle name="표준 3 3 3 8 2 4 2" xfId="34891"/>
    <cellStyle name="표준 3 3 3 8 2 5" xfId="19908"/>
    <cellStyle name="표준 3 3 3 8 2 5 2" xfId="42373"/>
    <cellStyle name="표준 3 3 3 8 2 6" xfId="27409"/>
    <cellStyle name="표준 3 3 3 8 2_Sheet4" xfId="4471"/>
    <cellStyle name="표준 3 3 3 8 3" xfId="4472"/>
    <cellStyle name="표준 3 3 3 8 3 2" xfId="4473"/>
    <cellStyle name="표준 3 3 3 8 3 2 2" xfId="12429"/>
    <cellStyle name="표준 3 3 3 8 3 2 2 2" xfId="34896"/>
    <cellStyle name="표준 3 3 3 8 3 2 3" xfId="19913"/>
    <cellStyle name="표준 3 3 3 8 3 2 3 2" xfId="42378"/>
    <cellStyle name="표준 3 3 3 8 3 2 4" xfId="27414"/>
    <cellStyle name="표준 3 3 3 8 3 3" xfId="12428"/>
    <cellStyle name="표준 3 3 3 8 3 3 2" xfId="34895"/>
    <cellStyle name="표준 3 3 3 8 3 4" xfId="19912"/>
    <cellStyle name="표준 3 3 3 8 3 4 2" xfId="42377"/>
    <cellStyle name="표준 3 3 3 8 3 5" xfId="27413"/>
    <cellStyle name="표준 3 3 3 8 3_Sheet4" xfId="4474"/>
    <cellStyle name="표준 3 3 3 8 4" xfId="4475"/>
    <cellStyle name="표준 3 3 3 8 4 2" xfId="12430"/>
    <cellStyle name="표준 3 3 3 8 4 2 2" xfId="34897"/>
    <cellStyle name="표준 3 3 3 8 4 3" xfId="19914"/>
    <cellStyle name="표준 3 3 3 8 4 3 2" xfId="42379"/>
    <cellStyle name="표준 3 3 3 8 4 4" xfId="27415"/>
    <cellStyle name="표준 3 3 3 8 5" xfId="12423"/>
    <cellStyle name="표준 3 3 3 8 5 2" xfId="34890"/>
    <cellStyle name="표준 3 3 3 8 6" xfId="19907"/>
    <cellStyle name="표준 3 3 3 8 6 2" xfId="42372"/>
    <cellStyle name="표준 3 3 3 8 7" xfId="27408"/>
    <cellStyle name="표준 3 3 3 8_Sheet4" xfId="4476"/>
    <cellStyle name="표준 3 3 3 9" xfId="4477"/>
    <cellStyle name="표준 3 3 3 9 2" xfId="4478"/>
    <cellStyle name="표준 3 3 3 9 2 2" xfId="4479"/>
    <cellStyle name="표준 3 3 3 9 2 2 2" xfId="12433"/>
    <cellStyle name="표준 3 3 3 9 2 2 2 2" xfId="34900"/>
    <cellStyle name="표준 3 3 3 9 2 2 3" xfId="19917"/>
    <cellStyle name="표준 3 3 3 9 2 2 3 2" xfId="42382"/>
    <cellStyle name="표준 3 3 3 9 2 2 4" xfId="27418"/>
    <cellStyle name="표준 3 3 3 9 2 3" xfId="12432"/>
    <cellStyle name="표준 3 3 3 9 2 3 2" xfId="34899"/>
    <cellStyle name="표준 3 3 3 9 2 4" xfId="19916"/>
    <cellStyle name="표준 3 3 3 9 2 4 2" xfId="42381"/>
    <cellStyle name="표준 3 3 3 9 2 5" xfId="27417"/>
    <cellStyle name="표준 3 3 3 9 2_Sheet4" xfId="4480"/>
    <cellStyle name="표준 3 3 3 9 3" xfId="4481"/>
    <cellStyle name="표준 3 3 3 9 3 2" xfId="12434"/>
    <cellStyle name="표준 3 3 3 9 3 2 2" xfId="34901"/>
    <cellStyle name="표준 3 3 3 9 3 3" xfId="19918"/>
    <cellStyle name="표준 3 3 3 9 3 3 2" xfId="42383"/>
    <cellStyle name="표준 3 3 3 9 3 4" xfId="27419"/>
    <cellStyle name="표준 3 3 3 9 4" xfId="12431"/>
    <cellStyle name="표준 3 3 3 9 4 2" xfId="34898"/>
    <cellStyle name="표준 3 3 3 9 5" xfId="19915"/>
    <cellStyle name="표준 3 3 3 9 5 2" xfId="42380"/>
    <cellStyle name="표준 3 3 3 9 6" xfId="27416"/>
    <cellStyle name="표준 3 3 3 9_Sheet4" xfId="4482"/>
    <cellStyle name="표준 3 3 3_Sheet4" xfId="4483"/>
    <cellStyle name="표준 3 3 4" xfId="4484"/>
    <cellStyle name="표준 3 3 4 10" xfId="12435"/>
    <cellStyle name="표준 3 3 4 10 2" xfId="34902"/>
    <cellStyle name="표준 3 3 4 11" xfId="19919"/>
    <cellStyle name="표준 3 3 4 11 2" xfId="42384"/>
    <cellStyle name="표준 3 3 4 12" xfId="27420"/>
    <cellStyle name="표준 3 3 4 2" xfId="4485"/>
    <cellStyle name="표준 3 3 4 2 10" xfId="27421"/>
    <cellStyle name="표준 3 3 4 2 2" xfId="4486"/>
    <cellStyle name="표준 3 3 4 2 2 2" xfId="4487"/>
    <cellStyle name="표준 3 3 4 2 2 2 2" xfId="4488"/>
    <cellStyle name="표준 3 3 4 2 2 2 2 2" xfId="4489"/>
    <cellStyle name="표준 3 3 4 2 2 2 2 2 2" xfId="4490"/>
    <cellStyle name="표준 3 3 4 2 2 2 2 2 2 2" xfId="12441"/>
    <cellStyle name="표준 3 3 4 2 2 2 2 2 2 2 2" xfId="34908"/>
    <cellStyle name="표준 3 3 4 2 2 2 2 2 2 3" xfId="19925"/>
    <cellStyle name="표준 3 3 4 2 2 2 2 2 2 3 2" xfId="42390"/>
    <cellStyle name="표준 3 3 4 2 2 2 2 2 2 4" xfId="27426"/>
    <cellStyle name="표준 3 3 4 2 2 2 2 2 3" xfId="12440"/>
    <cellStyle name="표준 3 3 4 2 2 2 2 2 3 2" xfId="34907"/>
    <cellStyle name="표준 3 3 4 2 2 2 2 2 4" xfId="19924"/>
    <cellStyle name="표준 3 3 4 2 2 2 2 2 4 2" xfId="42389"/>
    <cellStyle name="표준 3 3 4 2 2 2 2 2 5" xfId="27425"/>
    <cellStyle name="표준 3 3 4 2 2 2 2 2_Sheet4" xfId="4491"/>
    <cellStyle name="표준 3 3 4 2 2 2 2 3" xfId="4492"/>
    <cellStyle name="표준 3 3 4 2 2 2 2 3 2" xfId="12442"/>
    <cellStyle name="표준 3 3 4 2 2 2 2 3 2 2" xfId="34909"/>
    <cellStyle name="표준 3 3 4 2 2 2 2 3 3" xfId="19926"/>
    <cellStyle name="표준 3 3 4 2 2 2 2 3 3 2" xfId="42391"/>
    <cellStyle name="표준 3 3 4 2 2 2 2 3 4" xfId="27427"/>
    <cellStyle name="표준 3 3 4 2 2 2 2 4" xfId="12439"/>
    <cellStyle name="표준 3 3 4 2 2 2 2 4 2" xfId="34906"/>
    <cellStyle name="표준 3 3 4 2 2 2 2 5" xfId="19923"/>
    <cellStyle name="표준 3 3 4 2 2 2 2 5 2" xfId="42388"/>
    <cellStyle name="표준 3 3 4 2 2 2 2 6" xfId="27424"/>
    <cellStyle name="표준 3 3 4 2 2 2 2_Sheet4" xfId="4493"/>
    <cellStyle name="표준 3 3 4 2 2 2 3" xfId="4494"/>
    <cellStyle name="표준 3 3 4 2 2 2 3 2" xfId="4495"/>
    <cellStyle name="표준 3 3 4 2 2 2 3 2 2" xfId="12444"/>
    <cellStyle name="표준 3 3 4 2 2 2 3 2 2 2" xfId="34911"/>
    <cellStyle name="표준 3 3 4 2 2 2 3 2 3" xfId="19928"/>
    <cellStyle name="표준 3 3 4 2 2 2 3 2 3 2" xfId="42393"/>
    <cellStyle name="표준 3 3 4 2 2 2 3 2 4" xfId="27429"/>
    <cellStyle name="표준 3 3 4 2 2 2 3 3" xfId="12443"/>
    <cellStyle name="표준 3 3 4 2 2 2 3 3 2" xfId="34910"/>
    <cellStyle name="표준 3 3 4 2 2 2 3 4" xfId="19927"/>
    <cellStyle name="표준 3 3 4 2 2 2 3 4 2" xfId="42392"/>
    <cellStyle name="표준 3 3 4 2 2 2 3 5" xfId="27428"/>
    <cellStyle name="표준 3 3 4 2 2 2 3_Sheet4" xfId="4496"/>
    <cellStyle name="표준 3 3 4 2 2 2 4" xfId="4497"/>
    <cellStyle name="표준 3 3 4 2 2 2 4 2" xfId="12445"/>
    <cellStyle name="표준 3 3 4 2 2 2 4 2 2" xfId="34912"/>
    <cellStyle name="표준 3 3 4 2 2 2 4 3" xfId="19929"/>
    <cellStyle name="표준 3 3 4 2 2 2 4 3 2" xfId="42394"/>
    <cellStyle name="표준 3 3 4 2 2 2 4 4" xfId="27430"/>
    <cellStyle name="표준 3 3 4 2 2 2 5" xfId="12438"/>
    <cellStyle name="표준 3 3 4 2 2 2 5 2" xfId="34905"/>
    <cellStyle name="표준 3 3 4 2 2 2 6" xfId="19922"/>
    <cellStyle name="표준 3 3 4 2 2 2 6 2" xfId="42387"/>
    <cellStyle name="표준 3 3 4 2 2 2 7" xfId="27423"/>
    <cellStyle name="표준 3 3 4 2 2 2_Sheet4" xfId="4498"/>
    <cellStyle name="표준 3 3 4 2 2 3" xfId="4499"/>
    <cellStyle name="표준 3 3 4 2 2 3 2" xfId="4500"/>
    <cellStyle name="표준 3 3 4 2 2 3 2 2" xfId="4501"/>
    <cellStyle name="표준 3 3 4 2 2 3 2 2 2" xfId="12448"/>
    <cellStyle name="표준 3 3 4 2 2 3 2 2 2 2" xfId="34915"/>
    <cellStyle name="표준 3 3 4 2 2 3 2 2 3" xfId="19932"/>
    <cellStyle name="표준 3 3 4 2 2 3 2 2 3 2" xfId="42397"/>
    <cellStyle name="표준 3 3 4 2 2 3 2 2 4" xfId="27433"/>
    <cellStyle name="표준 3 3 4 2 2 3 2 3" xfId="12447"/>
    <cellStyle name="표준 3 3 4 2 2 3 2 3 2" xfId="34914"/>
    <cellStyle name="표준 3 3 4 2 2 3 2 4" xfId="19931"/>
    <cellStyle name="표준 3 3 4 2 2 3 2 4 2" xfId="42396"/>
    <cellStyle name="표준 3 3 4 2 2 3 2 5" xfId="27432"/>
    <cellStyle name="표준 3 3 4 2 2 3 2_Sheet4" xfId="4502"/>
    <cellStyle name="표준 3 3 4 2 2 3 3" xfId="4503"/>
    <cellStyle name="표준 3 3 4 2 2 3 3 2" xfId="12449"/>
    <cellStyle name="표준 3 3 4 2 2 3 3 2 2" xfId="34916"/>
    <cellStyle name="표준 3 3 4 2 2 3 3 3" xfId="19933"/>
    <cellStyle name="표준 3 3 4 2 2 3 3 3 2" xfId="42398"/>
    <cellStyle name="표준 3 3 4 2 2 3 3 4" xfId="27434"/>
    <cellStyle name="표준 3 3 4 2 2 3 4" xfId="12446"/>
    <cellStyle name="표준 3 3 4 2 2 3 4 2" xfId="34913"/>
    <cellStyle name="표준 3 3 4 2 2 3 5" xfId="19930"/>
    <cellStyle name="표준 3 3 4 2 2 3 5 2" xfId="42395"/>
    <cellStyle name="표준 3 3 4 2 2 3 6" xfId="27431"/>
    <cellStyle name="표준 3 3 4 2 2 3_Sheet4" xfId="4504"/>
    <cellStyle name="표준 3 3 4 2 2 4" xfId="4505"/>
    <cellStyle name="표준 3 3 4 2 2 4 2" xfId="4506"/>
    <cellStyle name="표준 3 3 4 2 2 4 2 2" xfId="12451"/>
    <cellStyle name="표준 3 3 4 2 2 4 2 2 2" xfId="34918"/>
    <cellStyle name="표준 3 3 4 2 2 4 2 3" xfId="19935"/>
    <cellStyle name="표준 3 3 4 2 2 4 2 3 2" xfId="42400"/>
    <cellStyle name="표준 3 3 4 2 2 4 2 4" xfId="27436"/>
    <cellStyle name="표준 3 3 4 2 2 4 3" xfId="12450"/>
    <cellStyle name="표준 3 3 4 2 2 4 3 2" xfId="34917"/>
    <cellStyle name="표준 3 3 4 2 2 4 4" xfId="19934"/>
    <cellStyle name="표준 3 3 4 2 2 4 4 2" xfId="42399"/>
    <cellStyle name="표준 3 3 4 2 2 4 5" xfId="27435"/>
    <cellStyle name="표준 3 3 4 2 2 4_Sheet4" xfId="4507"/>
    <cellStyle name="표준 3 3 4 2 2 5" xfId="4508"/>
    <cellStyle name="표준 3 3 4 2 2 5 2" xfId="12452"/>
    <cellStyle name="표준 3 3 4 2 2 5 2 2" xfId="34919"/>
    <cellStyle name="표준 3 3 4 2 2 5 3" xfId="19936"/>
    <cellStyle name="표준 3 3 4 2 2 5 3 2" xfId="42401"/>
    <cellStyle name="표준 3 3 4 2 2 5 4" xfId="27437"/>
    <cellStyle name="표준 3 3 4 2 2 6" xfId="12437"/>
    <cellStyle name="표준 3 3 4 2 2 6 2" xfId="34904"/>
    <cellStyle name="표준 3 3 4 2 2 7" xfId="19921"/>
    <cellStyle name="표준 3 3 4 2 2 7 2" xfId="42386"/>
    <cellStyle name="표준 3 3 4 2 2 8" xfId="27422"/>
    <cellStyle name="표준 3 3 4 2 2_Sheet4" xfId="4509"/>
    <cellStyle name="표준 3 3 4 2 3" xfId="4510"/>
    <cellStyle name="표준 3 3 4 2 3 2" xfId="4511"/>
    <cellStyle name="표준 3 3 4 2 3 2 2" xfId="4512"/>
    <cellStyle name="표준 3 3 4 2 3 2 2 2" xfId="4513"/>
    <cellStyle name="표준 3 3 4 2 3 2 2 2 2" xfId="4514"/>
    <cellStyle name="표준 3 3 4 2 3 2 2 2 2 2" xfId="12457"/>
    <cellStyle name="표준 3 3 4 2 3 2 2 2 2 2 2" xfId="34924"/>
    <cellStyle name="표준 3 3 4 2 3 2 2 2 2 3" xfId="19941"/>
    <cellStyle name="표준 3 3 4 2 3 2 2 2 2 3 2" xfId="42406"/>
    <cellStyle name="표준 3 3 4 2 3 2 2 2 2 4" xfId="27442"/>
    <cellStyle name="표준 3 3 4 2 3 2 2 2 3" xfId="12456"/>
    <cellStyle name="표준 3 3 4 2 3 2 2 2 3 2" xfId="34923"/>
    <cellStyle name="표준 3 3 4 2 3 2 2 2 4" xfId="19940"/>
    <cellStyle name="표준 3 3 4 2 3 2 2 2 4 2" xfId="42405"/>
    <cellStyle name="표준 3 3 4 2 3 2 2 2 5" xfId="27441"/>
    <cellStyle name="표준 3 3 4 2 3 2 2 2_Sheet4" xfId="4515"/>
    <cellStyle name="표준 3 3 4 2 3 2 2 3" xfId="4516"/>
    <cellStyle name="표준 3 3 4 2 3 2 2 3 2" xfId="12458"/>
    <cellStyle name="표준 3 3 4 2 3 2 2 3 2 2" xfId="34925"/>
    <cellStyle name="표준 3 3 4 2 3 2 2 3 3" xfId="19942"/>
    <cellStyle name="표준 3 3 4 2 3 2 2 3 3 2" xfId="42407"/>
    <cellStyle name="표준 3 3 4 2 3 2 2 3 4" xfId="27443"/>
    <cellStyle name="표준 3 3 4 2 3 2 2 4" xfId="12455"/>
    <cellStyle name="표준 3 3 4 2 3 2 2 4 2" xfId="34922"/>
    <cellStyle name="표준 3 3 4 2 3 2 2 5" xfId="19939"/>
    <cellStyle name="표준 3 3 4 2 3 2 2 5 2" xfId="42404"/>
    <cellStyle name="표준 3 3 4 2 3 2 2 6" xfId="27440"/>
    <cellStyle name="표준 3 3 4 2 3 2 2_Sheet4" xfId="4517"/>
    <cellStyle name="표준 3 3 4 2 3 2 3" xfId="4518"/>
    <cellStyle name="표준 3 3 4 2 3 2 3 2" xfId="4519"/>
    <cellStyle name="표준 3 3 4 2 3 2 3 2 2" xfId="12460"/>
    <cellStyle name="표준 3 3 4 2 3 2 3 2 2 2" xfId="34927"/>
    <cellStyle name="표준 3 3 4 2 3 2 3 2 3" xfId="19944"/>
    <cellStyle name="표준 3 3 4 2 3 2 3 2 3 2" xfId="42409"/>
    <cellStyle name="표준 3 3 4 2 3 2 3 2 4" xfId="27445"/>
    <cellStyle name="표준 3 3 4 2 3 2 3 3" xfId="12459"/>
    <cellStyle name="표준 3 3 4 2 3 2 3 3 2" xfId="34926"/>
    <cellStyle name="표준 3 3 4 2 3 2 3 4" xfId="19943"/>
    <cellStyle name="표준 3 3 4 2 3 2 3 4 2" xfId="42408"/>
    <cellStyle name="표준 3 3 4 2 3 2 3 5" xfId="27444"/>
    <cellStyle name="표준 3 3 4 2 3 2 3_Sheet4" xfId="4520"/>
    <cellStyle name="표준 3 3 4 2 3 2 4" xfId="4521"/>
    <cellStyle name="표준 3 3 4 2 3 2 4 2" xfId="12461"/>
    <cellStyle name="표준 3 3 4 2 3 2 4 2 2" xfId="34928"/>
    <cellStyle name="표준 3 3 4 2 3 2 4 3" xfId="19945"/>
    <cellStyle name="표준 3 3 4 2 3 2 4 3 2" xfId="42410"/>
    <cellStyle name="표준 3 3 4 2 3 2 4 4" xfId="27446"/>
    <cellStyle name="표준 3 3 4 2 3 2 5" xfId="12454"/>
    <cellStyle name="표준 3 3 4 2 3 2 5 2" xfId="34921"/>
    <cellStyle name="표준 3 3 4 2 3 2 6" xfId="19938"/>
    <cellStyle name="표준 3 3 4 2 3 2 6 2" xfId="42403"/>
    <cellStyle name="표준 3 3 4 2 3 2 7" xfId="27439"/>
    <cellStyle name="표준 3 3 4 2 3 2_Sheet4" xfId="4522"/>
    <cellStyle name="표준 3 3 4 2 3 3" xfId="4523"/>
    <cellStyle name="표준 3 3 4 2 3 3 2" xfId="4524"/>
    <cellStyle name="표준 3 3 4 2 3 3 2 2" xfId="4525"/>
    <cellStyle name="표준 3 3 4 2 3 3 2 2 2" xfId="12464"/>
    <cellStyle name="표준 3 3 4 2 3 3 2 2 2 2" xfId="34931"/>
    <cellStyle name="표준 3 3 4 2 3 3 2 2 3" xfId="19948"/>
    <cellStyle name="표준 3 3 4 2 3 3 2 2 3 2" xfId="42413"/>
    <cellStyle name="표준 3 3 4 2 3 3 2 2 4" xfId="27449"/>
    <cellStyle name="표준 3 3 4 2 3 3 2 3" xfId="12463"/>
    <cellStyle name="표준 3 3 4 2 3 3 2 3 2" xfId="34930"/>
    <cellStyle name="표준 3 3 4 2 3 3 2 4" xfId="19947"/>
    <cellStyle name="표준 3 3 4 2 3 3 2 4 2" xfId="42412"/>
    <cellStyle name="표준 3 3 4 2 3 3 2 5" xfId="27448"/>
    <cellStyle name="표준 3 3 4 2 3 3 2_Sheet4" xfId="4526"/>
    <cellStyle name="표준 3 3 4 2 3 3 3" xfId="4527"/>
    <cellStyle name="표준 3 3 4 2 3 3 3 2" xfId="12465"/>
    <cellStyle name="표준 3 3 4 2 3 3 3 2 2" xfId="34932"/>
    <cellStyle name="표준 3 3 4 2 3 3 3 3" xfId="19949"/>
    <cellStyle name="표준 3 3 4 2 3 3 3 3 2" xfId="42414"/>
    <cellStyle name="표준 3 3 4 2 3 3 3 4" xfId="27450"/>
    <cellStyle name="표준 3 3 4 2 3 3 4" xfId="12462"/>
    <cellStyle name="표준 3 3 4 2 3 3 4 2" xfId="34929"/>
    <cellStyle name="표준 3 3 4 2 3 3 5" xfId="19946"/>
    <cellStyle name="표준 3 3 4 2 3 3 5 2" xfId="42411"/>
    <cellStyle name="표준 3 3 4 2 3 3 6" xfId="27447"/>
    <cellStyle name="표준 3 3 4 2 3 3_Sheet4" xfId="4528"/>
    <cellStyle name="표준 3 3 4 2 3 4" xfId="4529"/>
    <cellStyle name="표준 3 3 4 2 3 4 2" xfId="4530"/>
    <cellStyle name="표준 3 3 4 2 3 4 2 2" xfId="12467"/>
    <cellStyle name="표준 3 3 4 2 3 4 2 2 2" xfId="34934"/>
    <cellStyle name="표준 3 3 4 2 3 4 2 3" xfId="19951"/>
    <cellStyle name="표준 3 3 4 2 3 4 2 3 2" xfId="42416"/>
    <cellStyle name="표준 3 3 4 2 3 4 2 4" xfId="27452"/>
    <cellStyle name="표준 3 3 4 2 3 4 3" xfId="12466"/>
    <cellStyle name="표준 3 3 4 2 3 4 3 2" xfId="34933"/>
    <cellStyle name="표준 3 3 4 2 3 4 4" xfId="19950"/>
    <cellStyle name="표준 3 3 4 2 3 4 4 2" xfId="42415"/>
    <cellStyle name="표준 3 3 4 2 3 4 5" xfId="27451"/>
    <cellStyle name="표준 3 3 4 2 3 4_Sheet4" xfId="4531"/>
    <cellStyle name="표준 3 3 4 2 3 5" xfId="4532"/>
    <cellStyle name="표준 3 3 4 2 3 5 2" xfId="12468"/>
    <cellStyle name="표준 3 3 4 2 3 5 2 2" xfId="34935"/>
    <cellStyle name="표준 3 3 4 2 3 5 3" xfId="19952"/>
    <cellStyle name="표준 3 3 4 2 3 5 3 2" xfId="42417"/>
    <cellStyle name="표준 3 3 4 2 3 5 4" xfId="27453"/>
    <cellStyle name="표준 3 3 4 2 3 6" xfId="12453"/>
    <cellStyle name="표준 3 3 4 2 3 6 2" xfId="34920"/>
    <cellStyle name="표준 3 3 4 2 3 7" xfId="19937"/>
    <cellStyle name="표준 3 3 4 2 3 7 2" xfId="42402"/>
    <cellStyle name="표준 3 3 4 2 3 8" xfId="27438"/>
    <cellStyle name="표준 3 3 4 2 3_Sheet4" xfId="4533"/>
    <cellStyle name="표준 3 3 4 2 4" xfId="4534"/>
    <cellStyle name="표준 3 3 4 2 4 2" xfId="4535"/>
    <cellStyle name="표준 3 3 4 2 4 2 2" xfId="4536"/>
    <cellStyle name="표준 3 3 4 2 4 2 2 2" xfId="4537"/>
    <cellStyle name="표준 3 3 4 2 4 2 2 2 2" xfId="12472"/>
    <cellStyle name="표준 3 3 4 2 4 2 2 2 2 2" xfId="34939"/>
    <cellStyle name="표준 3 3 4 2 4 2 2 2 3" xfId="19956"/>
    <cellStyle name="표준 3 3 4 2 4 2 2 2 3 2" xfId="42421"/>
    <cellStyle name="표준 3 3 4 2 4 2 2 2 4" xfId="27457"/>
    <cellStyle name="표준 3 3 4 2 4 2 2 3" xfId="12471"/>
    <cellStyle name="표준 3 3 4 2 4 2 2 3 2" xfId="34938"/>
    <cellStyle name="표준 3 3 4 2 4 2 2 4" xfId="19955"/>
    <cellStyle name="표준 3 3 4 2 4 2 2 4 2" xfId="42420"/>
    <cellStyle name="표준 3 3 4 2 4 2 2 5" xfId="27456"/>
    <cellStyle name="표준 3 3 4 2 4 2 2_Sheet4" xfId="4538"/>
    <cellStyle name="표준 3 3 4 2 4 2 3" xfId="4539"/>
    <cellStyle name="표준 3 3 4 2 4 2 3 2" xfId="12473"/>
    <cellStyle name="표준 3 3 4 2 4 2 3 2 2" xfId="34940"/>
    <cellStyle name="표준 3 3 4 2 4 2 3 3" xfId="19957"/>
    <cellStyle name="표준 3 3 4 2 4 2 3 3 2" xfId="42422"/>
    <cellStyle name="표준 3 3 4 2 4 2 3 4" xfId="27458"/>
    <cellStyle name="표준 3 3 4 2 4 2 4" xfId="12470"/>
    <cellStyle name="표준 3 3 4 2 4 2 4 2" xfId="34937"/>
    <cellStyle name="표준 3 3 4 2 4 2 5" xfId="19954"/>
    <cellStyle name="표준 3 3 4 2 4 2 5 2" xfId="42419"/>
    <cellStyle name="표준 3 3 4 2 4 2 6" xfId="27455"/>
    <cellStyle name="표준 3 3 4 2 4 2_Sheet4" xfId="4540"/>
    <cellStyle name="표준 3 3 4 2 4 3" xfId="4541"/>
    <cellStyle name="표준 3 3 4 2 4 3 2" xfId="4542"/>
    <cellStyle name="표준 3 3 4 2 4 3 2 2" xfId="12475"/>
    <cellStyle name="표준 3 3 4 2 4 3 2 2 2" xfId="34942"/>
    <cellStyle name="표준 3 3 4 2 4 3 2 3" xfId="19959"/>
    <cellStyle name="표준 3 3 4 2 4 3 2 3 2" xfId="42424"/>
    <cellStyle name="표준 3 3 4 2 4 3 2 4" xfId="27460"/>
    <cellStyle name="표준 3 3 4 2 4 3 3" xfId="12474"/>
    <cellStyle name="표준 3 3 4 2 4 3 3 2" xfId="34941"/>
    <cellStyle name="표준 3 3 4 2 4 3 4" xfId="19958"/>
    <cellStyle name="표준 3 3 4 2 4 3 4 2" xfId="42423"/>
    <cellStyle name="표준 3 3 4 2 4 3 5" xfId="27459"/>
    <cellStyle name="표준 3 3 4 2 4 3_Sheet4" xfId="4543"/>
    <cellStyle name="표준 3 3 4 2 4 4" xfId="4544"/>
    <cellStyle name="표준 3 3 4 2 4 4 2" xfId="12476"/>
    <cellStyle name="표준 3 3 4 2 4 4 2 2" xfId="34943"/>
    <cellStyle name="표준 3 3 4 2 4 4 3" xfId="19960"/>
    <cellStyle name="표준 3 3 4 2 4 4 3 2" xfId="42425"/>
    <cellStyle name="표준 3 3 4 2 4 4 4" xfId="27461"/>
    <cellStyle name="표준 3 3 4 2 4 5" xfId="12469"/>
    <cellStyle name="표준 3 3 4 2 4 5 2" xfId="34936"/>
    <cellStyle name="표준 3 3 4 2 4 6" xfId="19953"/>
    <cellStyle name="표준 3 3 4 2 4 6 2" xfId="42418"/>
    <cellStyle name="표준 3 3 4 2 4 7" xfId="27454"/>
    <cellStyle name="표준 3 3 4 2 4_Sheet4" xfId="4545"/>
    <cellStyle name="표준 3 3 4 2 5" xfId="4546"/>
    <cellStyle name="표준 3 3 4 2 5 2" xfId="4547"/>
    <cellStyle name="표준 3 3 4 2 5 2 2" xfId="4548"/>
    <cellStyle name="표준 3 3 4 2 5 2 2 2" xfId="12479"/>
    <cellStyle name="표준 3 3 4 2 5 2 2 2 2" xfId="34946"/>
    <cellStyle name="표준 3 3 4 2 5 2 2 3" xfId="19963"/>
    <cellStyle name="표준 3 3 4 2 5 2 2 3 2" xfId="42428"/>
    <cellStyle name="표준 3 3 4 2 5 2 2 4" xfId="27464"/>
    <cellStyle name="표준 3 3 4 2 5 2 3" xfId="12478"/>
    <cellStyle name="표준 3 3 4 2 5 2 3 2" xfId="34945"/>
    <cellStyle name="표준 3 3 4 2 5 2 4" xfId="19962"/>
    <cellStyle name="표준 3 3 4 2 5 2 4 2" xfId="42427"/>
    <cellStyle name="표준 3 3 4 2 5 2 5" xfId="27463"/>
    <cellStyle name="표준 3 3 4 2 5 2_Sheet4" xfId="4549"/>
    <cellStyle name="표준 3 3 4 2 5 3" xfId="4550"/>
    <cellStyle name="표준 3 3 4 2 5 3 2" xfId="12480"/>
    <cellStyle name="표준 3 3 4 2 5 3 2 2" xfId="34947"/>
    <cellStyle name="표준 3 3 4 2 5 3 3" xfId="19964"/>
    <cellStyle name="표준 3 3 4 2 5 3 3 2" xfId="42429"/>
    <cellStyle name="표준 3 3 4 2 5 3 4" xfId="27465"/>
    <cellStyle name="표준 3 3 4 2 5 4" xfId="12477"/>
    <cellStyle name="표준 3 3 4 2 5 4 2" xfId="34944"/>
    <cellStyle name="표준 3 3 4 2 5 5" xfId="19961"/>
    <cellStyle name="표준 3 3 4 2 5 5 2" xfId="42426"/>
    <cellStyle name="표준 3 3 4 2 5 6" xfId="27462"/>
    <cellStyle name="표준 3 3 4 2 5_Sheet4" xfId="4551"/>
    <cellStyle name="표준 3 3 4 2 6" xfId="4552"/>
    <cellStyle name="표준 3 3 4 2 6 2" xfId="4553"/>
    <cellStyle name="표준 3 3 4 2 6 2 2" xfId="12482"/>
    <cellStyle name="표준 3 3 4 2 6 2 2 2" xfId="34949"/>
    <cellStyle name="표준 3 3 4 2 6 2 3" xfId="19966"/>
    <cellStyle name="표준 3 3 4 2 6 2 3 2" xfId="42431"/>
    <cellStyle name="표준 3 3 4 2 6 2 4" xfId="27467"/>
    <cellStyle name="표준 3 3 4 2 6 3" xfId="12481"/>
    <cellStyle name="표준 3 3 4 2 6 3 2" xfId="34948"/>
    <cellStyle name="표준 3 3 4 2 6 4" xfId="19965"/>
    <cellStyle name="표준 3 3 4 2 6 4 2" xfId="42430"/>
    <cellStyle name="표준 3 3 4 2 6 5" xfId="27466"/>
    <cellStyle name="표준 3 3 4 2 6_Sheet4" xfId="4554"/>
    <cellStyle name="표준 3 3 4 2 7" xfId="4555"/>
    <cellStyle name="표준 3 3 4 2 7 2" xfId="12483"/>
    <cellStyle name="표준 3 3 4 2 7 2 2" xfId="34950"/>
    <cellStyle name="표준 3 3 4 2 7 3" xfId="19967"/>
    <cellStyle name="표준 3 3 4 2 7 3 2" xfId="42432"/>
    <cellStyle name="표준 3 3 4 2 7 4" xfId="27468"/>
    <cellStyle name="표준 3 3 4 2 8" xfId="12436"/>
    <cellStyle name="표준 3 3 4 2 8 2" xfId="34903"/>
    <cellStyle name="표준 3 3 4 2 9" xfId="19920"/>
    <cellStyle name="표준 3 3 4 2 9 2" xfId="42385"/>
    <cellStyle name="표준 3 3 4 2_Sheet4" xfId="4556"/>
    <cellStyle name="표준 3 3 4 3" xfId="4557"/>
    <cellStyle name="표준 3 3 4 3 2" xfId="4558"/>
    <cellStyle name="표준 3 3 4 3 2 2" xfId="4559"/>
    <cellStyle name="표준 3 3 4 3 2 2 2" xfId="4560"/>
    <cellStyle name="표준 3 3 4 3 2 2 2 2" xfId="4561"/>
    <cellStyle name="표준 3 3 4 3 2 2 2 2 2" xfId="12488"/>
    <cellStyle name="표준 3 3 4 3 2 2 2 2 2 2" xfId="34955"/>
    <cellStyle name="표준 3 3 4 3 2 2 2 2 3" xfId="19972"/>
    <cellStyle name="표준 3 3 4 3 2 2 2 2 3 2" xfId="42437"/>
    <cellStyle name="표준 3 3 4 3 2 2 2 2 4" xfId="27473"/>
    <cellStyle name="표준 3 3 4 3 2 2 2 3" xfId="12487"/>
    <cellStyle name="표준 3 3 4 3 2 2 2 3 2" xfId="34954"/>
    <cellStyle name="표준 3 3 4 3 2 2 2 4" xfId="19971"/>
    <cellStyle name="표준 3 3 4 3 2 2 2 4 2" xfId="42436"/>
    <cellStyle name="표준 3 3 4 3 2 2 2 5" xfId="27472"/>
    <cellStyle name="표준 3 3 4 3 2 2 2_Sheet4" xfId="4562"/>
    <cellStyle name="표준 3 3 4 3 2 2 3" xfId="4563"/>
    <cellStyle name="표준 3 3 4 3 2 2 3 2" xfId="12489"/>
    <cellStyle name="표준 3 3 4 3 2 2 3 2 2" xfId="34956"/>
    <cellStyle name="표준 3 3 4 3 2 2 3 3" xfId="19973"/>
    <cellStyle name="표준 3 3 4 3 2 2 3 3 2" xfId="42438"/>
    <cellStyle name="표준 3 3 4 3 2 2 3 4" xfId="27474"/>
    <cellStyle name="표준 3 3 4 3 2 2 4" xfId="12486"/>
    <cellStyle name="표준 3 3 4 3 2 2 4 2" xfId="34953"/>
    <cellStyle name="표준 3 3 4 3 2 2 5" xfId="19970"/>
    <cellStyle name="표준 3 3 4 3 2 2 5 2" xfId="42435"/>
    <cellStyle name="표준 3 3 4 3 2 2 6" xfId="27471"/>
    <cellStyle name="표준 3 3 4 3 2 2_Sheet4" xfId="4564"/>
    <cellStyle name="표준 3 3 4 3 2 3" xfId="4565"/>
    <cellStyle name="표준 3 3 4 3 2 3 2" xfId="4566"/>
    <cellStyle name="표준 3 3 4 3 2 3 2 2" xfId="12491"/>
    <cellStyle name="표준 3 3 4 3 2 3 2 2 2" xfId="34958"/>
    <cellStyle name="표준 3 3 4 3 2 3 2 3" xfId="19975"/>
    <cellStyle name="표준 3 3 4 3 2 3 2 3 2" xfId="42440"/>
    <cellStyle name="표준 3 3 4 3 2 3 2 4" xfId="27476"/>
    <cellStyle name="표준 3 3 4 3 2 3 3" xfId="12490"/>
    <cellStyle name="표준 3 3 4 3 2 3 3 2" xfId="34957"/>
    <cellStyle name="표준 3 3 4 3 2 3 4" xfId="19974"/>
    <cellStyle name="표준 3 3 4 3 2 3 4 2" xfId="42439"/>
    <cellStyle name="표준 3 3 4 3 2 3 5" xfId="27475"/>
    <cellStyle name="표준 3 3 4 3 2 3_Sheet4" xfId="4567"/>
    <cellStyle name="표준 3 3 4 3 2 4" xfId="4568"/>
    <cellStyle name="표준 3 3 4 3 2 4 2" xfId="12492"/>
    <cellStyle name="표준 3 3 4 3 2 4 2 2" xfId="34959"/>
    <cellStyle name="표준 3 3 4 3 2 4 3" xfId="19976"/>
    <cellStyle name="표준 3 3 4 3 2 4 3 2" xfId="42441"/>
    <cellStyle name="표준 3 3 4 3 2 4 4" xfId="27477"/>
    <cellStyle name="표준 3 3 4 3 2 5" xfId="12485"/>
    <cellStyle name="표준 3 3 4 3 2 5 2" xfId="34952"/>
    <cellStyle name="표준 3 3 4 3 2 6" xfId="19969"/>
    <cellStyle name="표준 3 3 4 3 2 6 2" xfId="42434"/>
    <cellStyle name="표준 3 3 4 3 2 7" xfId="27470"/>
    <cellStyle name="표준 3 3 4 3 2_Sheet4" xfId="4569"/>
    <cellStyle name="표준 3 3 4 3 3" xfId="4570"/>
    <cellStyle name="표준 3 3 4 3 3 2" xfId="4571"/>
    <cellStyle name="표준 3 3 4 3 3 2 2" xfId="4572"/>
    <cellStyle name="표준 3 3 4 3 3 2 2 2" xfId="12495"/>
    <cellStyle name="표준 3 3 4 3 3 2 2 2 2" xfId="34962"/>
    <cellStyle name="표준 3 3 4 3 3 2 2 3" xfId="19979"/>
    <cellStyle name="표준 3 3 4 3 3 2 2 3 2" xfId="42444"/>
    <cellStyle name="표준 3 3 4 3 3 2 2 4" xfId="27480"/>
    <cellStyle name="표준 3 3 4 3 3 2 3" xfId="12494"/>
    <cellStyle name="표준 3 3 4 3 3 2 3 2" xfId="34961"/>
    <cellStyle name="표준 3 3 4 3 3 2 4" xfId="19978"/>
    <cellStyle name="표준 3 3 4 3 3 2 4 2" xfId="42443"/>
    <cellStyle name="표준 3 3 4 3 3 2 5" xfId="27479"/>
    <cellStyle name="표준 3 3 4 3 3 2_Sheet4" xfId="4573"/>
    <cellStyle name="표준 3 3 4 3 3 3" xfId="4574"/>
    <cellStyle name="표준 3 3 4 3 3 3 2" xfId="12496"/>
    <cellStyle name="표준 3 3 4 3 3 3 2 2" xfId="34963"/>
    <cellStyle name="표준 3 3 4 3 3 3 3" xfId="19980"/>
    <cellStyle name="표준 3 3 4 3 3 3 3 2" xfId="42445"/>
    <cellStyle name="표준 3 3 4 3 3 3 4" xfId="27481"/>
    <cellStyle name="표준 3 3 4 3 3 4" xfId="12493"/>
    <cellStyle name="표준 3 3 4 3 3 4 2" xfId="34960"/>
    <cellStyle name="표준 3 3 4 3 3 5" xfId="19977"/>
    <cellStyle name="표준 3 3 4 3 3 5 2" xfId="42442"/>
    <cellStyle name="표준 3 3 4 3 3 6" xfId="27478"/>
    <cellStyle name="표준 3 3 4 3 3_Sheet4" xfId="4575"/>
    <cellStyle name="표준 3 3 4 3 4" xfId="4576"/>
    <cellStyle name="표준 3 3 4 3 4 2" xfId="4577"/>
    <cellStyle name="표준 3 3 4 3 4 2 2" xfId="12498"/>
    <cellStyle name="표준 3 3 4 3 4 2 2 2" xfId="34965"/>
    <cellStyle name="표준 3 3 4 3 4 2 3" xfId="19982"/>
    <cellStyle name="표준 3 3 4 3 4 2 3 2" xfId="42447"/>
    <cellStyle name="표준 3 3 4 3 4 2 4" xfId="27483"/>
    <cellStyle name="표준 3 3 4 3 4 3" xfId="12497"/>
    <cellStyle name="표준 3 3 4 3 4 3 2" xfId="34964"/>
    <cellStyle name="표준 3 3 4 3 4 4" xfId="19981"/>
    <cellStyle name="표준 3 3 4 3 4 4 2" xfId="42446"/>
    <cellStyle name="표준 3 3 4 3 4 5" xfId="27482"/>
    <cellStyle name="표준 3 3 4 3 4_Sheet4" xfId="4578"/>
    <cellStyle name="표준 3 3 4 3 5" xfId="4579"/>
    <cellStyle name="표준 3 3 4 3 5 2" xfId="12499"/>
    <cellStyle name="표준 3 3 4 3 5 2 2" xfId="34966"/>
    <cellStyle name="표준 3 3 4 3 5 3" xfId="19983"/>
    <cellStyle name="표준 3 3 4 3 5 3 2" xfId="42448"/>
    <cellStyle name="표준 3 3 4 3 5 4" xfId="27484"/>
    <cellStyle name="표준 3 3 4 3 6" xfId="12484"/>
    <cellStyle name="표준 3 3 4 3 6 2" xfId="34951"/>
    <cellStyle name="표준 3 3 4 3 7" xfId="19968"/>
    <cellStyle name="표준 3 3 4 3 7 2" xfId="42433"/>
    <cellStyle name="표준 3 3 4 3 8" xfId="27469"/>
    <cellStyle name="표준 3 3 4 3_Sheet4" xfId="4580"/>
    <cellStyle name="표준 3 3 4 4" xfId="4581"/>
    <cellStyle name="표준 3 3 4 4 2" xfId="4582"/>
    <cellStyle name="표준 3 3 4 4 2 2" xfId="4583"/>
    <cellStyle name="표준 3 3 4 4 2 2 2" xfId="4584"/>
    <cellStyle name="표준 3 3 4 4 2 2 2 2" xfId="4585"/>
    <cellStyle name="표준 3 3 4 4 2 2 2 2 2" xfId="12504"/>
    <cellStyle name="표준 3 3 4 4 2 2 2 2 2 2" xfId="34971"/>
    <cellStyle name="표준 3 3 4 4 2 2 2 2 3" xfId="19988"/>
    <cellStyle name="표준 3 3 4 4 2 2 2 2 3 2" xfId="42453"/>
    <cellStyle name="표준 3 3 4 4 2 2 2 2 4" xfId="27489"/>
    <cellStyle name="표준 3 3 4 4 2 2 2 3" xfId="12503"/>
    <cellStyle name="표준 3 3 4 4 2 2 2 3 2" xfId="34970"/>
    <cellStyle name="표준 3 3 4 4 2 2 2 4" xfId="19987"/>
    <cellStyle name="표준 3 3 4 4 2 2 2 4 2" xfId="42452"/>
    <cellStyle name="표준 3 3 4 4 2 2 2 5" xfId="27488"/>
    <cellStyle name="표준 3 3 4 4 2 2 2_Sheet4" xfId="4586"/>
    <cellStyle name="표준 3 3 4 4 2 2 3" xfId="4587"/>
    <cellStyle name="표준 3 3 4 4 2 2 3 2" xfId="12505"/>
    <cellStyle name="표준 3 3 4 4 2 2 3 2 2" xfId="34972"/>
    <cellStyle name="표준 3 3 4 4 2 2 3 3" xfId="19989"/>
    <cellStyle name="표준 3 3 4 4 2 2 3 3 2" xfId="42454"/>
    <cellStyle name="표준 3 3 4 4 2 2 3 4" xfId="27490"/>
    <cellStyle name="표준 3 3 4 4 2 2 4" xfId="12502"/>
    <cellStyle name="표준 3 3 4 4 2 2 4 2" xfId="34969"/>
    <cellStyle name="표준 3 3 4 4 2 2 5" xfId="19986"/>
    <cellStyle name="표준 3 3 4 4 2 2 5 2" xfId="42451"/>
    <cellStyle name="표준 3 3 4 4 2 2 6" xfId="27487"/>
    <cellStyle name="표준 3 3 4 4 2 2_Sheet4" xfId="4588"/>
    <cellStyle name="표준 3 3 4 4 2 3" xfId="4589"/>
    <cellStyle name="표준 3 3 4 4 2 3 2" xfId="4590"/>
    <cellStyle name="표준 3 3 4 4 2 3 2 2" xfId="12507"/>
    <cellStyle name="표준 3 3 4 4 2 3 2 2 2" xfId="34974"/>
    <cellStyle name="표준 3 3 4 4 2 3 2 3" xfId="19991"/>
    <cellStyle name="표준 3 3 4 4 2 3 2 3 2" xfId="42456"/>
    <cellStyle name="표준 3 3 4 4 2 3 2 4" xfId="27492"/>
    <cellStyle name="표준 3 3 4 4 2 3 3" xfId="12506"/>
    <cellStyle name="표준 3 3 4 4 2 3 3 2" xfId="34973"/>
    <cellStyle name="표준 3 3 4 4 2 3 4" xfId="19990"/>
    <cellStyle name="표준 3 3 4 4 2 3 4 2" xfId="42455"/>
    <cellStyle name="표준 3 3 4 4 2 3 5" xfId="27491"/>
    <cellStyle name="표준 3 3 4 4 2 3_Sheet4" xfId="4591"/>
    <cellStyle name="표준 3 3 4 4 2 4" xfId="4592"/>
    <cellStyle name="표준 3 3 4 4 2 4 2" xfId="12508"/>
    <cellStyle name="표준 3 3 4 4 2 4 2 2" xfId="34975"/>
    <cellStyle name="표준 3 3 4 4 2 4 3" xfId="19992"/>
    <cellStyle name="표준 3 3 4 4 2 4 3 2" xfId="42457"/>
    <cellStyle name="표준 3 3 4 4 2 4 4" xfId="27493"/>
    <cellStyle name="표준 3 3 4 4 2 5" xfId="12501"/>
    <cellStyle name="표준 3 3 4 4 2 5 2" xfId="34968"/>
    <cellStyle name="표준 3 3 4 4 2 6" xfId="19985"/>
    <cellStyle name="표준 3 3 4 4 2 6 2" xfId="42450"/>
    <cellStyle name="표준 3 3 4 4 2 7" xfId="27486"/>
    <cellStyle name="표준 3 3 4 4 2_Sheet4" xfId="4593"/>
    <cellStyle name="표준 3 3 4 4 3" xfId="4594"/>
    <cellStyle name="표준 3 3 4 4 3 2" xfId="4595"/>
    <cellStyle name="표준 3 3 4 4 3 2 2" xfId="4596"/>
    <cellStyle name="표준 3 3 4 4 3 2 2 2" xfId="12511"/>
    <cellStyle name="표준 3 3 4 4 3 2 2 2 2" xfId="34978"/>
    <cellStyle name="표준 3 3 4 4 3 2 2 3" xfId="19995"/>
    <cellStyle name="표준 3 3 4 4 3 2 2 3 2" xfId="42460"/>
    <cellStyle name="표준 3 3 4 4 3 2 2 4" xfId="27496"/>
    <cellStyle name="표준 3 3 4 4 3 2 3" xfId="12510"/>
    <cellStyle name="표준 3 3 4 4 3 2 3 2" xfId="34977"/>
    <cellStyle name="표준 3 3 4 4 3 2 4" xfId="19994"/>
    <cellStyle name="표준 3 3 4 4 3 2 4 2" xfId="42459"/>
    <cellStyle name="표준 3 3 4 4 3 2 5" xfId="27495"/>
    <cellStyle name="표준 3 3 4 4 3 2_Sheet4" xfId="4597"/>
    <cellStyle name="표준 3 3 4 4 3 3" xfId="4598"/>
    <cellStyle name="표준 3 3 4 4 3 3 2" xfId="12512"/>
    <cellStyle name="표준 3 3 4 4 3 3 2 2" xfId="34979"/>
    <cellStyle name="표준 3 3 4 4 3 3 3" xfId="19996"/>
    <cellStyle name="표준 3 3 4 4 3 3 3 2" xfId="42461"/>
    <cellStyle name="표준 3 3 4 4 3 3 4" xfId="27497"/>
    <cellStyle name="표준 3 3 4 4 3 4" xfId="12509"/>
    <cellStyle name="표준 3 3 4 4 3 4 2" xfId="34976"/>
    <cellStyle name="표준 3 3 4 4 3 5" xfId="19993"/>
    <cellStyle name="표준 3 3 4 4 3 5 2" xfId="42458"/>
    <cellStyle name="표준 3 3 4 4 3 6" xfId="27494"/>
    <cellStyle name="표준 3 3 4 4 3_Sheet4" xfId="4599"/>
    <cellStyle name="표준 3 3 4 4 4" xfId="4600"/>
    <cellStyle name="표준 3 3 4 4 4 2" xfId="4601"/>
    <cellStyle name="표준 3 3 4 4 4 2 2" xfId="12514"/>
    <cellStyle name="표준 3 3 4 4 4 2 2 2" xfId="34981"/>
    <cellStyle name="표준 3 3 4 4 4 2 3" xfId="19998"/>
    <cellStyle name="표준 3 3 4 4 4 2 3 2" xfId="42463"/>
    <cellStyle name="표준 3 3 4 4 4 2 4" xfId="27499"/>
    <cellStyle name="표준 3 3 4 4 4 3" xfId="12513"/>
    <cellStyle name="표준 3 3 4 4 4 3 2" xfId="34980"/>
    <cellStyle name="표준 3 3 4 4 4 4" xfId="19997"/>
    <cellStyle name="표준 3 3 4 4 4 4 2" xfId="42462"/>
    <cellStyle name="표준 3 3 4 4 4 5" xfId="27498"/>
    <cellStyle name="표준 3 3 4 4 4_Sheet4" xfId="4602"/>
    <cellStyle name="표준 3 3 4 4 5" xfId="4603"/>
    <cellStyle name="표준 3 3 4 4 5 2" xfId="12515"/>
    <cellStyle name="표준 3 3 4 4 5 2 2" xfId="34982"/>
    <cellStyle name="표준 3 3 4 4 5 3" xfId="19999"/>
    <cellStyle name="표준 3 3 4 4 5 3 2" xfId="42464"/>
    <cellStyle name="표준 3 3 4 4 5 4" xfId="27500"/>
    <cellStyle name="표준 3 3 4 4 6" xfId="12500"/>
    <cellStyle name="표준 3 3 4 4 6 2" xfId="34967"/>
    <cellStyle name="표준 3 3 4 4 7" xfId="19984"/>
    <cellStyle name="표준 3 3 4 4 7 2" xfId="42449"/>
    <cellStyle name="표준 3 3 4 4 8" xfId="27485"/>
    <cellStyle name="표준 3 3 4 4_Sheet4" xfId="4604"/>
    <cellStyle name="표준 3 3 4 5" xfId="4605"/>
    <cellStyle name="표준 3 3 4 5 2" xfId="4606"/>
    <cellStyle name="표준 3 3 4 5 2 2" xfId="4607"/>
    <cellStyle name="표준 3 3 4 5 2 2 2" xfId="4608"/>
    <cellStyle name="표준 3 3 4 5 2 2 2 2" xfId="12519"/>
    <cellStyle name="표준 3 3 4 5 2 2 2 2 2" xfId="34986"/>
    <cellStyle name="표준 3 3 4 5 2 2 2 3" xfId="20003"/>
    <cellStyle name="표준 3 3 4 5 2 2 2 3 2" xfId="42468"/>
    <cellStyle name="표준 3 3 4 5 2 2 2 4" xfId="27504"/>
    <cellStyle name="표준 3 3 4 5 2 2 3" xfId="12518"/>
    <cellStyle name="표준 3 3 4 5 2 2 3 2" xfId="34985"/>
    <cellStyle name="표준 3 3 4 5 2 2 4" xfId="20002"/>
    <cellStyle name="표준 3 3 4 5 2 2 4 2" xfId="42467"/>
    <cellStyle name="표준 3 3 4 5 2 2 5" xfId="27503"/>
    <cellStyle name="표준 3 3 4 5 2 2_Sheet4" xfId="4609"/>
    <cellStyle name="표준 3 3 4 5 2 3" xfId="4610"/>
    <cellStyle name="표준 3 3 4 5 2 3 2" xfId="12520"/>
    <cellStyle name="표준 3 3 4 5 2 3 2 2" xfId="34987"/>
    <cellStyle name="표준 3 3 4 5 2 3 3" xfId="20004"/>
    <cellStyle name="표준 3 3 4 5 2 3 3 2" xfId="42469"/>
    <cellStyle name="표준 3 3 4 5 2 3 4" xfId="27505"/>
    <cellStyle name="표준 3 3 4 5 2 4" xfId="12517"/>
    <cellStyle name="표준 3 3 4 5 2 4 2" xfId="34984"/>
    <cellStyle name="표준 3 3 4 5 2 5" xfId="20001"/>
    <cellStyle name="표준 3 3 4 5 2 5 2" xfId="42466"/>
    <cellStyle name="표준 3 3 4 5 2 6" xfId="27502"/>
    <cellStyle name="표준 3 3 4 5 2_Sheet4" xfId="4611"/>
    <cellStyle name="표준 3 3 4 5 3" xfId="4612"/>
    <cellStyle name="표준 3 3 4 5 3 2" xfId="4613"/>
    <cellStyle name="표준 3 3 4 5 3 2 2" xfId="12522"/>
    <cellStyle name="표준 3 3 4 5 3 2 2 2" xfId="34989"/>
    <cellStyle name="표준 3 3 4 5 3 2 3" xfId="20006"/>
    <cellStyle name="표준 3 3 4 5 3 2 3 2" xfId="42471"/>
    <cellStyle name="표준 3 3 4 5 3 2 4" xfId="27507"/>
    <cellStyle name="표준 3 3 4 5 3 3" xfId="12521"/>
    <cellStyle name="표준 3 3 4 5 3 3 2" xfId="34988"/>
    <cellStyle name="표준 3 3 4 5 3 4" xfId="20005"/>
    <cellStyle name="표준 3 3 4 5 3 4 2" xfId="42470"/>
    <cellStyle name="표준 3 3 4 5 3 5" xfId="27506"/>
    <cellStyle name="표준 3 3 4 5 3_Sheet4" xfId="4614"/>
    <cellStyle name="표준 3 3 4 5 4" xfId="4615"/>
    <cellStyle name="표준 3 3 4 5 4 2" xfId="12523"/>
    <cellStyle name="표준 3 3 4 5 4 2 2" xfId="34990"/>
    <cellStyle name="표준 3 3 4 5 4 3" xfId="20007"/>
    <cellStyle name="표준 3 3 4 5 4 3 2" xfId="42472"/>
    <cellStyle name="표준 3 3 4 5 4 4" xfId="27508"/>
    <cellStyle name="표준 3 3 4 5 5" xfId="12516"/>
    <cellStyle name="표준 3 3 4 5 5 2" xfId="34983"/>
    <cellStyle name="표준 3 3 4 5 6" xfId="20000"/>
    <cellStyle name="표준 3 3 4 5 6 2" xfId="42465"/>
    <cellStyle name="표준 3 3 4 5 7" xfId="27501"/>
    <cellStyle name="표준 3 3 4 5_Sheet4" xfId="4616"/>
    <cellStyle name="표준 3 3 4 6" xfId="4617"/>
    <cellStyle name="표준 3 3 4 6 2" xfId="4618"/>
    <cellStyle name="표준 3 3 4 6 2 2" xfId="4619"/>
    <cellStyle name="표준 3 3 4 6 2 2 2" xfId="12526"/>
    <cellStyle name="표준 3 3 4 6 2 2 2 2" xfId="34993"/>
    <cellStyle name="표준 3 3 4 6 2 2 3" xfId="20010"/>
    <cellStyle name="표준 3 3 4 6 2 2 3 2" xfId="42475"/>
    <cellStyle name="표준 3 3 4 6 2 2 4" xfId="27511"/>
    <cellStyle name="표준 3 3 4 6 2 3" xfId="12525"/>
    <cellStyle name="표준 3 3 4 6 2 3 2" xfId="34992"/>
    <cellStyle name="표준 3 3 4 6 2 4" xfId="20009"/>
    <cellStyle name="표준 3 3 4 6 2 4 2" xfId="42474"/>
    <cellStyle name="표준 3 3 4 6 2 5" xfId="27510"/>
    <cellStyle name="표준 3 3 4 6 2_Sheet4" xfId="4620"/>
    <cellStyle name="표준 3 3 4 6 3" xfId="4621"/>
    <cellStyle name="표준 3 3 4 6 3 2" xfId="12527"/>
    <cellStyle name="표준 3 3 4 6 3 2 2" xfId="34994"/>
    <cellStyle name="표준 3 3 4 6 3 3" xfId="20011"/>
    <cellStyle name="표준 3 3 4 6 3 3 2" xfId="42476"/>
    <cellStyle name="표준 3 3 4 6 3 4" xfId="27512"/>
    <cellStyle name="표준 3 3 4 6 4" xfId="12524"/>
    <cellStyle name="표준 3 3 4 6 4 2" xfId="34991"/>
    <cellStyle name="표준 3 3 4 6 5" xfId="20008"/>
    <cellStyle name="표준 3 3 4 6 5 2" xfId="42473"/>
    <cellStyle name="표준 3 3 4 6 6" xfId="27509"/>
    <cellStyle name="표준 3 3 4 6_Sheet4" xfId="4622"/>
    <cellStyle name="표준 3 3 4 7" xfId="4623"/>
    <cellStyle name="표준 3 3 4 7 2" xfId="4624"/>
    <cellStyle name="표준 3 3 4 7 2 2" xfId="4625"/>
    <cellStyle name="표준 3 3 4 7 2 2 2" xfId="12530"/>
    <cellStyle name="표준 3 3 4 7 2 2 2 2" xfId="34997"/>
    <cellStyle name="표준 3 3 4 7 2 2 3" xfId="20014"/>
    <cellStyle name="표준 3 3 4 7 2 2 3 2" xfId="42479"/>
    <cellStyle name="표준 3 3 4 7 2 2 4" xfId="27515"/>
    <cellStyle name="표준 3 3 4 7 2 3" xfId="12529"/>
    <cellStyle name="표준 3 3 4 7 2 3 2" xfId="34996"/>
    <cellStyle name="표준 3 3 4 7 2 4" xfId="20013"/>
    <cellStyle name="표준 3 3 4 7 2 4 2" xfId="42478"/>
    <cellStyle name="표준 3 3 4 7 2 5" xfId="27514"/>
    <cellStyle name="표준 3 3 4 7 2_Sheet4" xfId="4626"/>
    <cellStyle name="표준 3 3 4 7 3" xfId="4627"/>
    <cellStyle name="표준 3 3 4 7 3 2" xfId="12531"/>
    <cellStyle name="표준 3 3 4 7 3 2 2" xfId="34998"/>
    <cellStyle name="표준 3 3 4 7 3 3" xfId="20015"/>
    <cellStyle name="표준 3 3 4 7 3 3 2" xfId="42480"/>
    <cellStyle name="표준 3 3 4 7 3 4" xfId="27516"/>
    <cellStyle name="표준 3 3 4 7 4" xfId="12528"/>
    <cellStyle name="표준 3 3 4 7 4 2" xfId="34995"/>
    <cellStyle name="표준 3 3 4 7 5" xfId="20012"/>
    <cellStyle name="표준 3 3 4 7 5 2" xfId="42477"/>
    <cellStyle name="표준 3 3 4 7 6" xfId="27513"/>
    <cellStyle name="표준 3 3 4 7_Sheet4" xfId="4628"/>
    <cellStyle name="표준 3 3 4 8" xfId="4629"/>
    <cellStyle name="표준 3 3 4 8 2" xfId="4630"/>
    <cellStyle name="표준 3 3 4 8 2 2" xfId="12533"/>
    <cellStyle name="표준 3 3 4 8 2 2 2" xfId="35000"/>
    <cellStyle name="표준 3 3 4 8 2 3" xfId="20017"/>
    <cellStyle name="표준 3 3 4 8 2 3 2" xfId="42482"/>
    <cellStyle name="표준 3 3 4 8 2 4" xfId="27518"/>
    <cellStyle name="표준 3 3 4 8 3" xfId="12532"/>
    <cellStyle name="표준 3 3 4 8 3 2" xfId="34999"/>
    <cellStyle name="표준 3 3 4 8 4" xfId="20016"/>
    <cellStyle name="표준 3 3 4 8 4 2" xfId="42481"/>
    <cellStyle name="표준 3 3 4 8 5" xfId="27517"/>
    <cellStyle name="표준 3 3 4 8_Sheet4" xfId="4631"/>
    <cellStyle name="표준 3 3 4 9" xfId="4632"/>
    <cellStyle name="표준 3 3 4 9 2" xfId="12534"/>
    <cellStyle name="표준 3 3 4 9 2 2" xfId="35001"/>
    <cellStyle name="표준 3 3 4 9 3" xfId="20018"/>
    <cellStyle name="표준 3 3 4 9 3 2" xfId="42483"/>
    <cellStyle name="표준 3 3 4 9 4" xfId="27519"/>
    <cellStyle name="표준 3 3 4_Sheet4" xfId="4633"/>
    <cellStyle name="표준 3 3 5" xfId="4634"/>
    <cellStyle name="표준 3 3 5 10" xfId="20019"/>
    <cellStyle name="표준 3 3 5 10 2" xfId="42484"/>
    <cellStyle name="표준 3 3 5 11" xfId="27520"/>
    <cellStyle name="표준 3 3 5 2" xfId="4635"/>
    <cellStyle name="표준 3 3 5 2 10" xfId="27521"/>
    <cellStyle name="표준 3 3 5 2 2" xfId="4636"/>
    <cellStyle name="표준 3 3 5 2 2 2" xfId="4637"/>
    <cellStyle name="표준 3 3 5 2 2 2 2" xfId="4638"/>
    <cellStyle name="표준 3 3 5 2 2 2 2 2" xfId="4639"/>
    <cellStyle name="표준 3 3 5 2 2 2 2 2 2" xfId="4640"/>
    <cellStyle name="표준 3 3 5 2 2 2 2 2 2 2" xfId="12541"/>
    <cellStyle name="표준 3 3 5 2 2 2 2 2 2 2 2" xfId="35008"/>
    <cellStyle name="표준 3 3 5 2 2 2 2 2 2 3" xfId="20025"/>
    <cellStyle name="표준 3 3 5 2 2 2 2 2 2 3 2" xfId="42490"/>
    <cellStyle name="표준 3 3 5 2 2 2 2 2 2 4" xfId="27526"/>
    <cellStyle name="표준 3 3 5 2 2 2 2 2 3" xfId="12540"/>
    <cellStyle name="표준 3 3 5 2 2 2 2 2 3 2" xfId="35007"/>
    <cellStyle name="표준 3 3 5 2 2 2 2 2 4" xfId="20024"/>
    <cellStyle name="표준 3 3 5 2 2 2 2 2 4 2" xfId="42489"/>
    <cellStyle name="표준 3 3 5 2 2 2 2 2 5" xfId="27525"/>
    <cellStyle name="표준 3 3 5 2 2 2 2 2_Sheet4" xfId="4641"/>
    <cellStyle name="표준 3 3 5 2 2 2 2 3" xfId="4642"/>
    <cellStyle name="표준 3 3 5 2 2 2 2 3 2" xfId="12542"/>
    <cellStyle name="표준 3 3 5 2 2 2 2 3 2 2" xfId="35009"/>
    <cellStyle name="표준 3 3 5 2 2 2 2 3 3" xfId="20026"/>
    <cellStyle name="표준 3 3 5 2 2 2 2 3 3 2" xfId="42491"/>
    <cellStyle name="표준 3 3 5 2 2 2 2 3 4" xfId="27527"/>
    <cellStyle name="표준 3 3 5 2 2 2 2 4" xfId="12539"/>
    <cellStyle name="표준 3 3 5 2 2 2 2 4 2" xfId="35006"/>
    <cellStyle name="표준 3 3 5 2 2 2 2 5" xfId="20023"/>
    <cellStyle name="표준 3 3 5 2 2 2 2 5 2" xfId="42488"/>
    <cellStyle name="표준 3 3 5 2 2 2 2 6" xfId="27524"/>
    <cellStyle name="표준 3 3 5 2 2 2 2_Sheet4" xfId="4643"/>
    <cellStyle name="표준 3 3 5 2 2 2 3" xfId="4644"/>
    <cellStyle name="표준 3 3 5 2 2 2 3 2" xfId="4645"/>
    <cellStyle name="표준 3 3 5 2 2 2 3 2 2" xfId="12544"/>
    <cellStyle name="표준 3 3 5 2 2 2 3 2 2 2" xfId="35011"/>
    <cellStyle name="표준 3 3 5 2 2 2 3 2 3" xfId="20028"/>
    <cellStyle name="표준 3 3 5 2 2 2 3 2 3 2" xfId="42493"/>
    <cellStyle name="표준 3 3 5 2 2 2 3 2 4" xfId="27529"/>
    <cellStyle name="표준 3 3 5 2 2 2 3 3" xfId="12543"/>
    <cellStyle name="표준 3 3 5 2 2 2 3 3 2" xfId="35010"/>
    <cellStyle name="표준 3 3 5 2 2 2 3 4" xfId="20027"/>
    <cellStyle name="표준 3 3 5 2 2 2 3 4 2" xfId="42492"/>
    <cellStyle name="표준 3 3 5 2 2 2 3 5" xfId="27528"/>
    <cellStyle name="표준 3 3 5 2 2 2 3_Sheet4" xfId="4646"/>
    <cellStyle name="표준 3 3 5 2 2 2 4" xfId="4647"/>
    <cellStyle name="표준 3 3 5 2 2 2 4 2" xfId="12545"/>
    <cellStyle name="표준 3 3 5 2 2 2 4 2 2" xfId="35012"/>
    <cellStyle name="표준 3 3 5 2 2 2 4 3" xfId="20029"/>
    <cellStyle name="표준 3 3 5 2 2 2 4 3 2" xfId="42494"/>
    <cellStyle name="표준 3 3 5 2 2 2 4 4" xfId="27530"/>
    <cellStyle name="표준 3 3 5 2 2 2 5" xfId="12538"/>
    <cellStyle name="표준 3 3 5 2 2 2 5 2" xfId="35005"/>
    <cellStyle name="표준 3 3 5 2 2 2 6" xfId="20022"/>
    <cellStyle name="표준 3 3 5 2 2 2 6 2" xfId="42487"/>
    <cellStyle name="표준 3 3 5 2 2 2 7" xfId="27523"/>
    <cellStyle name="표준 3 3 5 2 2 2_Sheet4" xfId="4648"/>
    <cellStyle name="표준 3 3 5 2 2 3" xfId="4649"/>
    <cellStyle name="표준 3 3 5 2 2 3 2" xfId="4650"/>
    <cellStyle name="표준 3 3 5 2 2 3 2 2" xfId="4651"/>
    <cellStyle name="표준 3 3 5 2 2 3 2 2 2" xfId="12548"/>
    <cellStyle name="표준 3 3 5 2 2 3 2 2 2 2" xfId="35015"/>
    <cellStyle name="표준 3 3 5 2 2 3 2 2 3" xfId="20032"/>
    <cellStyle name="표준 3 3 5 2 2 3 2 2 3 2" xfId="42497"/>
    <cellStyle name="표준 3 3 5 2 2 3 2 2 4" xfId="27533"/>
    <cellStyle name="표준 3 3 5 2 2 3 2 3" xfId="12547"/>
    <cellStyle name="표준 3 3 5 2 2 3 2 3 2" xfId="35014"/>
    <cellStyle name="표준 3 3 5 2 2 3 2 4" xfId="20031"/>
    <cellStyle name="표준 3 3 5 2 2 3 2 4 2" xfId="42496"/>
    <cellStyle name="표준 3 3 5 2 2 3 2 5" xfId="27532"/>
    <cellStyle name="표준 3 3 5 2 2 3 2_Sheet4" xfId="4652"/>
    <cellStyle name="표준 3 3 5 2 2 3 3" xfId="4653"/>
    <cellStyle name="표준 3 3 5 2 2 3 3 2" xfId="12549"/>
    <cellStyle name="표준 3 3 5 2 2 3 3 2 2" xfId="35016"/>
    <cellStyle name="표준 3 3 5 2 2 3 3 3" xfId="20033"/>
    <cellStyle name="표준 3 3 5 2 2 3 3 3 2" xfId="42498"/>
    <cellStyle name="표준 3 3 5 2 2 3 3 4" xfId="27534"/>
    <cellStyle name="표준 3 3 5 2 2 3 4" xfId="12546"/>
    <cellStyle name="표준 3 3 5 2 2 3 4 2" xfId="35013"/>
    <cellStyle name="표준 3 3 5 2 2 3 5" xfId="20030"/>
    <cellStyle name="표준 3 3 5 2 2 3 5 2" xfId="42495"/>
    <cellStyle name="표준 3 3 5 2 2 3 6" xfId="27531"/>
    <cellStyle name="표준 3 3 5 2 2 3_Sheet4" xfId="4654"/>
    <cellStyle name="표준 3 3 5 2 2 4" xfId="4655"/>
    <cellStyle name="표준 3 3 5 2 2 4 2" xfId="4656"/>
    <cellStyle name="표준 3 3 5 2 2 4 2 2" xfId="12551"/>
    <cellStyle name="표준 3 3 5 2 2 4 2 2 2" xfId="35018"/>
    <cellStyle name="표준 3 3 5 2 2 4 2 3" xfId="20035"/>
    <cellStyle name="표준 3 3 5 2 2 4 2 3 2" xfId="42500"/>
    <cellStyle name="표준 3 3 5 2 2 4 2 4" xfId="27536"/>
    <cellStyle name="표준 3 3 5 2 2 4 3" xfId="12550"/>
    <cellStyle name="표준 3 3 5 2 2 4 3 2" xfId="35017"/>
    <cellStyle name="표준 3 3 5 2 2 4 4" xfId="20034"/>
    <cellStyle name="표준 3 3 5 2 2 4 4 2" xfId="42499"/>
    <cellStyle name="표준 3 3 5 2 2 4 5" xfId="27535"/>
    <cellStyle name="표준 3 3 5 2 2 4_Sheet4" xfId="4657"/>
    <cellStyle name="표준 3 3 5 2 2 5" xfId="4658"/>
    <cellStyle name="표준 3 3 5 2 2 5 2" xfId="12552"/>
    <cellStyle name="표준 3 3 5 2 2 5 2 2" xfId="35019"/>
    <cellStyle name="표준 3 3 5 2 2 5 3" xfId="20036"/>
    <cellStyle name="표준 3 3 5 2 2 5 3 2" xfId="42501"/>
    <cellStyle name="표준 3 3 5 2 2 5 4" xfId="27537"/>
    <cellStyle name="표준 3 3 5 2 2 6" xfId="12537"/>
    <cellStyle name="표준 3 3 5 2 2 6 2" xfId="35004"/>
    <cellStyle name="표준 3 3 5 2 2 7" xfId="20021"/>
    <cellStyle name="표준 3 3 5 2 2 7 2" xfId="42486"/>
    <cellStyle name="표준 3 3 5 2 2 8" xfId="27522"/>
    <cellStyle name="표준 3 3 5 2 2_Sheet4" xfId="4659"/>
    <cellStyle name="표준 3 3 5 2 3" xfId="4660"/>
    <cellStyle name="표준 3 3 5 2 3 2" xfId="4661"/>
    <cellStyle name="표준 3 3 5 2 3 2 2" xfId="4662"/>
    <cellStyle name="표준 3 3 5 2 3 2 2 2" xfId="4663"/>
    <cellStyle name="표준 3 3 5 2 3 2 2 2 2" xfId="4664"/>
    <cellStyle name="표준 3 3 5 2 3 2 2 2 2 2" xfId="12557"/>
    <cellStyle name="표준 3 3 5 2 3 2 2 2 2 2 2" xfId="35024"/>
    <cellStyle name="표준 3 3 5 2 3 2 2 2 2 3" xfId="20041"/>
    <cellStyle name="표준 3 3 5 2 3 2 2 2 2 3 2" xfId="42506"/>
    <cellStyle name="표준 3 3 5 2 3 2 2 2 2 4" xfId="27542"/>
    <cellStyle name="표준 3 3 5 2 3 2 2 2 3" xfId="12556"/>
    <cellStyle name="표준 3 3 5 2 3 2 2 2 3 2" xfId="35023"/>
    <cellStyle name="표준 3 3 5 2 3 2 2 2 4" xfId="20040"/>
    <cellStyle name="표준 3 3 5 2 3 2 2 2 4 2" xfId="42505"/>
    <cellStyle name="표준 3 3 5 2 3 2 2 2 5" xfId="27541"/>
    <cellStyle name="표준 3 3 5 2 3 2 2 2_Sheet4" xfId="4665"/>
    <cellStyle name="표준 3 3 5 2 3 2 2 3" xfId="4666"/>
    <cellStyle name="표준 3 3 5 2 3 2 2 3 2" xfId="12558"/>
    <cellStyle name="표준 3 3 5 2 3 2 2 3 2 2" xfId="35025"/>
    <cellStyle name="표준 3 3 5 2 3 2 2 3 3" xfId="20042"/>
    <cellStyle name="표준 3 3 5 2 3 2 2 3 3 2" xfId="42507"/>
    <cellStyle name="표준 3 3 5 2 3 2 2 3 4" xfId="27543"/>
    <cellStyle name="표준 3 3 5 2 3 2 2 4" xfId="12555"/>
    <cellStyle name="표준 3 3 5 2 3 2 2 4 2" xfId="35022"/>
    <cellStyle name="표준 3 3 5 2 3 2 2 5" xfId="20039"/>
    <cellStyle name="표준 3 3 5 2 3 2 2 5 2" xfId="42504"/>
    <cellStyle name="표준 3 3 5 2 3 2 2 6" xfId="27540"/>
    <cellStyle name="표준 3 3 5 2 3 2 2_Sheet4" xfId="4667"/>
    <cellStyle name="표준 3 3 5 2 3 2 3" xfId="4668"/>
    <cellStyle name="표준 3 3 5 2 3 2 3 2" xfId="4669"/>
    <cellStyle name="표준 3 3 5 2 3 2 3 2 2" xfId="12560"/>
    <cellStyle name="표준 3 3 5 2 3 2 3 2 2 2" xfId="35027"/>
    <cellStyle name="표준 3 3 5 2 3 2 3 2 3" xfId="20044"/>
    <cellStyle name="표준 3 3 5 2 3 2 3 2 3 2" xfId="42509"/>
    <cellStyle name="표준 3 3 5 2 3 2 3 2 4" xfId="27545"/>
    <cellStyle name="표준 3 3 5 2 3 2 3 3" xfId="12559"/>
    <cellStyle name="표준 3 3 5 2 3 2 3 3 2" xfId="35026"/>
    <cellStyle name="표준 3 3 5 2 3 2 3 4" xfId="20043"/>
    <cellStyle name="표준 3 3 5 2 3 2 3 4 2" xfId="42508"/>
    <cellStyle name="표준 3 3 5 2 3 2 3 5" xfId="27544"/>
    <cellStyle name="표준 3 3 5 2 3 2 3_Sheet4" xfId="4670"/>
    <cellStyle name="표준 3 3 5 2 3 2 4" xfId="4671"/>
    <cellStyle name="표준 3 3 5 2 3 2 4 2" xfId="12561"/>
    <cellStyle name="표준 3 3 5 2 3 2 4 2 2" xfId="35028"/>
    <cellStyle name="표준 3 3 5 2 3 2 4 3" xfId="20045"/>
    <cellStyle name="표준 3 3 5 2 3 2 4 3 2" xfId="42510"/>
    <cellStyle name="표준 3 3 5 2 3 2 4 4" xfId="27546"/>
    <cellStyle name="표준 3 3 5 2 3 2 5" xfId="12554"/>
    <cellStyle name="표준 3 3 5 2 3 2 5 2" xfId="35021"/>
    <cellStyle name="표준 3 3 5 2 3 2 6" xfId="20038"/>
    <cellStyle name="표준 3 3 5 2 3 2 6 2" xfId="42503"/>
    <cellStyle name="표준 3 3 5 2 3 2 7" xfId="27539"/>
    <cellStyle name="표준 3 3 5 2 3 2_Sheet4" xfId="4672"/>
    <cellStyle name="표준 3 3 5 2 3 3" xfId="4673"/>
    <cellStyle name="표준 3 3 5 2 3 3 2" xfId="4674"/>
    <cellStyle name="표준 3 3 5 2 3 3 2 2" xfId="4675"/>
    <cellStyle name="표준 3 3 5 2 3 3 2 2 2" xfId="12564"/>
    <cellStyle name="표준 3 3 5 2 3 3 2 2 2 2" xfId="35031"/>
    <cellStyle name="표준 3 3 5 2 3 3 2 2 3" xfId="20048"/>
    <cellStyle name="표준 3 3 5 2 3 3 2 2 3 2" xfId="42513"/>
    <cellStyle name="표준 3 3 5 2 3 3 2 2 4" xfId="27549"/>
    <cellStyle name="표준 3 3 5 2 3 3 2 3" xfId="12563"/>
    <cellStyle name="표준 3 3 5 2 3 3 2 3 2" xfId="35030"/>
    <cellStyle name="표준 3 3 5 2 3 3 2 4" xfId="20047"/>
    <cellStyle name="표준 3 3 5 2 3 3 2 4 2" xfId="42512"/>
    <cellStyle name="표준 3 3 5 2 3 3 2 5" xfId="27548"/>
    <cellStyle name="표준 3 3 5 2 3 3 2_Sheet4" xfId="4676"/>
    <cellStyle name="표준 3 3 5 2 3 3 3" xfId="4677"/>
    <cellStyle name="표준 3 3 5 2 3 3 3 2" xfId="12565"/>
    <cellStyle name="표준 3 3 5 2 3 3 3 2 2" xfId="35032"/>
    <cellStyle name="표준 3 3 5 2 3 3 3 3" xfId="20049"/>
    <cellStyle name="표준 3 3 5 2 3 3 3 3 2" xfId="42514"/>
    <cellStyle name="표준 3 3 5 2 3 3 3 4" xfId="27550"/>
    <cellStyle name="표준 3 3 5 2 3 3 4" xfId="12562"/>
    <cellStyle name="표준 3 3 5 2 3 3 4 2" xfId="35029"/>
    <cellStyle name="표준 3 3 5 2 3 3 5" xfId="20046"/>
    <cellStyle name="표준 3 3 5 2 3 3 5 2" xfId="42511"/>
    <cellStyle name="표준 3 3 5 2 3 3 6" xfId="27547"/>
    <cellStyle name="표준 3 3 5 2 3 3_Sheet4" xfId="4678"/>
    <cellStyle name="표준 3 3 5 2 3 4" xfId="4679"/>
    <cellStyle name="표준 3 3 5 2 3 4 2" xfId="4680"/>
    <cellStyle name="표준 3 3 5 2 3 4 2 2" xfId="12567"/>
    <cellStyle name="표준 3 3 5 2 3 4 2 2 2" xfId="35034"/>
    <cellStyle name="표준 3 3 5 2 3 4 2 3" xfId="20051"/>
    <cellStyle name="표준 3 3 5 2 3 4 2 3 2" xfId="42516"/>
    <cellStyle name="표준 3 3 5 2 3 4 2 4" xfId="27552"/>
    <cellStyle name="표준 3 3 5 2 3 4 3" xfId="12566"/>
    <cellStyle name="표준 3 3 5 2 3 4 3 2" xfId="35033"/>
    <cellStyle name="표준 3 3 5 2 3 4 4" xfId="20050"/>
    <cellStyle name="표준 3 3 5 2 3 4 4 2" xfId="42515"/>
    <cellStyle name="표준 3 3 5 2 3 4 5" xfId="27551"/>
    <cellStyle name="표준 3 3 5 2 3 4_Sheet4" xfId="4681"/>
    <cellStyle name="표준 3 3 5 2 3 5" xfId="4682"/>
    <cellStyle name="표준 3 3 5 2 3 5 2" xfId="12568"/>
    <cellStyle name="표준 3 3 5 2 3 5 2 2" xfId="35035"/>
    <cellStyle name="표준 3 3 5 2 3 5 3" xfId="20052"/>
    <cellStyle name="표준 3 3 5 2 3 5 3 2" xfId="42517"/>
    <cellStyle name="표준 3 3 5 2 3 5 4" xfId="27553"/>
    <cellStyle name="표준 3 3 5 2 3 6" xfId="12553"/>
    <cellStyle name="표준 3 3 5 2 3 6 2" xfId="35020"/>
    <cellStyle name="표준 3 3 5 2 3 7" xfId="20037"/>
    <cellStyle name="표준 3 3 5 2 3 7 2" xfId="42502"/>
    <cellStyle name="표준 3 3 5 2 3 8" xfId="27538"/>
    <cellStyle name="표준 3 3 5 2 3_Sheet4" xfId="4683"/>
    <cellStyle name="표준 3 3 5 2 4" xfId="4684"/>
    <cellStyle name="표준 3 3 5 2 4 2" xfId="4685"/>
    <cellStyle name="표준 3 3 5 2 4 2 2" xfId="4686"/>
    <cellStyle name="표준 3 3 5 2 4 2 2 2" xfId="4687"/>
    <cellStyle name="표준 3 3 5 2 4 2 2 2 2" xfId="12572"/>
    <cellStyle name="표준 3 3 5 2 4 2 2 2 2 2" xfId="35039"/>
    <cellStyle name="표준 3 3 5 2 4 2 2 2 3" xfId="20056"/>
    <cellStyle name="표준 3 3 5 2 4 2 2 2 3 2" xfId="42521"/>
    <cellStyle name="표준 3 3 5 2 4 2 2 2 4" xfId="27557"/>
    <cellStyle name="표준 3 3 5 2 4 2 2 3" xfId="12571"/>
    <cellStyle name="표준 3 3 5 2 4 2 2 3 2" xfId="35038"/>
    <cellStyle name="표준 3 3 5 2 4 2 2 4" xfId="20055"/>
    <cellStyle name="표준 3 3 5 2 4 2 2 4 2" xfId="42520"/>
    <cellStyle name="표준 3 3 5 2 4 2 2 5" xfId="27556"/>
    <cellStyle name="표준 3 3 5 2 4 2 2_Sheet4" xfId="4688"/>
    <cellStyle name="표준 3 3 5 2 4 2 3" xfId="4689"/>
    <cellStyle name="표준 3 3 5 2 4 2 3 2" xfId="12573"/>
    <cellStyle name="표준 3 3 5 2 4 2 3 2 2" xfId="35040"/>
    <cellStyle name="표준 3 3 5 2 4 2 3 3" xfId="20057"/>
    <cellStyle name="표준 3 3 5 2 4 2 3 3 2" xfId="42522"/>
    <cellStyle name="표준 3 3 5 2 4 2 3 4" xfId="27558"/>
    <cellStyle name="표준 3 3 5 2 4 2 4" xfId="12570"/>
    <cellStyle name="표준 3 3 5 2 4 2 4 2" xfId="35037"/>
    <cellStyle name="표준 3 3 5 2 4 2 5" xfId="20054"/>
    <cellStyle name="표준 3 3 5 2 4 2 5 2" xfId="42519"/>
    <cellStyle name="표준 3 3 5 2 4 2 6" xfId="27555"/>
    <cellStyle name="표준 3 3 5 2 4 2_Sheet4" xfId="4690"/>
    <cellStyle name="표준 3 3 5 2 4 3" xfId="4691"/>
    <cellStyle name="표준 3 3 5 2 4 3 2" xfId="4692"/>
    <cellStyle name="표준 3 3 5 2 4 3 2 2" xfId="12575"/>
    <cellStyle name="표준 3 3 5 2 4 3 2 2 2" xfId="35042"/>
    <cellStyle name="표준 3 3 5 2 4 3 2 3" xfId="20059"/>
    <cellStyle name="표준 3 3 5 2 4 3 2 3 2" xfId="42524"/>
    <cellStyle name="표준 3 3 5 2 4 3 2 4" xfId="27560"/>
    <cellStyle name="표준 3 3 5 2 4 3 3" xfId="12574"/>
    <cellStyle name="표준 3 3 5 2 4 3 3 2" xfId="35041"/>
    <cellStyle name="표준 3 3 5 2 4 3 4" xfId="20058"/>
    <cellStyle name="표준 3 3 5 2 4 3 4 2" xfId="42523"/>
    <cellStyle name="표준 3 3 5 2 4 3 5" xfId="27559"/>
    <cellStyle name="표준 3 3 5 2 4 3_Sheet4" xfId="4693"/>
    <cellStyle name="표준 3 3 5 2 4 4" xfId="4694"/>
    <cellStyle name="표준 3 3 5 2 4 4 2" xfId="12576"/>
    <cellStyle name="표준 3 3 5 2 4 4 2 2" xfId="35043"/>
    <cellStyle name="표준 3 3 5 2 4 4 3" xfId="20060"/>
    <cellStyle name="표준 3 3 5 2 4 4 3 2" xfId="42525"/>
    <cellStyle name="표준 3 3 5 2 4 4 4" xfId="27561"/>
    <cellStyle name="표준 3 3 5 2 4 5" xfId="12569"/>
    <cellStyle name="표준 3 3 5 2 4 5 2" xfId="35036"/>
    <cellStyle name="표준 3 3 5 2 4 6" xfId="20053"/>
    <cellStyle name="표준 3 3 5 2 4 6 2" xfId="42518"/>
    <cellStyle name="표준 3 3 5 2 4 7" xfId="27554"/>
    <cellStyle name="표준 3 3 5 2 4_Sheet4" xfId="4695"/>
    <cellStyle name="표준 3 3 5 2 5" xfId="4696"/>
    <cellStyle name="표준 3 3 5 2 5 2" xfId="4697"/>
    <cellStyle name="표준 3 3 5 2 5 2 2" xfId="4698"/>
    <cellStyle name="표준 3 3 5 2 5 2 2 2" xfId="12579"/>
    <cellStyle name="표준 3 3 5 2 5 2 2 2 2" xfId="35046"/>
    <cellStyle name="표준 3 3 5 2 5 2 2 3" xfId="20063"/>
    <cellStyle name="표준 3 3 5 2 5 2 2 3 2" xfId="42528"/>
    <cellStyle name="표준 3 3 5 2 5 2 2 4" xfId="27564"/>
    <cellStyle name="표준 3 3 5 2 5 2 3" xfId="12578"/>
    <cellStyle name="표준 3 3 5 2 5 2 3 2" xfId="35045"/>
    <cellStyle name="표준 3 3 5 2 5 2 4" xfId="20062"/>
    <cellStyle name="표준 3 3 5 2 5 2 4 2" xfId="42527"/>
    <cellStyle name="표준 3 3 5 2 5 2 5" xfId="27563"/>
    <cellStyle name="표준 3 3 5 2 5 2_Sheet4" xfId="4699"/>
    <cellStyle name="표준 3 3 5 2 5 3" xfId="4700"/>
    <cellStyle name="표준 3 3 5 2 5 3 2" xfId="12580"/>
    <cellStyle name="표준 3 3 5 2 5 3 2 2" xfId="35047"/>
    <cellStyle name="표준 3 3 5 2 5 3 3" xfId="20064"/>
    <cellStyle name="표준 3 3 5 2 5 3 3 2" xfId="42529"/>
    <cellStyle name="표준 3 3 5 2 5 3 4" xfId="27565"/>
    <cellStyle name="표준 3 3 5 2 5 4" xfId="12577"/>
    <cellStyle name="표준 3 3 5 2 5 4 2" xfId="35044"/>
    <cellStyle name="표준 3 3 5 2 5 5" xfId="20061"/>
    <cellStyle name="표준 3 3 5 2 5 5 2" xfId="42526"/>
    <cellStyle name="표준 3 3 5 2 5 6" xfId="27562"/>
    <cellStyle name="표준 3 3 5 2 5_Sheet4" xfId="4701"/>
    <cellStyle name="표준 3 3 5 2 6" xfId="4702"/>
    <cellStyle name="표준 3 3 5 2 6 2" xfId="4703"/>
    <cellStyle name="표준 3 3 5 2 6 2 2" xfId="12582"/>
    <cellStyle name="표준 3 3 5 2 6 2 2 2" xfId="35049"/>
    <cellStyle name="표준 3 3 5 2 6 2 3" xfId="20066"/>
    <cellStyle name="표준 3 3 5 2 6 2 3 2" xfId="42531"/>
    <cellStyle name="표준 3 3 5 2 6 2 4" xfId="27567"/>
    <cellStyle name="표준 3 3 5 2 6 3" xfId="12581"/>
    <cellStyle name="표준 3 3 5 2 6 3 2" xfId="35048"/>
    <cellStyle name="표준 3 3 5 2 6 4" xfId="20065"/>
    <cellStyle name="표준 3 3 5 2 6 4 2" xfId="42530"/>
    <cellStyle name="표준 3 3 5 2 6 5" xfId="27566"/>
    <cellStyle name="표준 3 3 5 2 6_Sheet4" xfId="4704"/>
    <cellStyle name="표준 3 3 5 2 7" xfId="4705"/>
    <cellStyle name="표준 3 3 5 2 7 2" xfId="12583"/>
    <cellStyle name="표준 3 3 5 2 7 2 2" xfId="35050"/>
    <cellStyle name="표준 3 3 5 2 7 3" xfId="20067"/>
    <cellStyle name="표준 3 3 5 2 7 3 2" xfId="42532"/>
    <cellStyle name="표준 3 3 5 2 7 4" xfId="27568"/>
    <cellStyle name="표준 3 3 5 2 8" xfId="12536"/>
    <cellStyle name="표준 3 3 5 2 8 2" xfId="35003"/>
    <cellStyle name="표준 3 3 5 2 9" xfId="20020"/>
    <cellStyle name="표준 3 3 5 2 9 2" xfId="42485"/>
    <cellStyle name="표준 3 3 5 2_Sheet4" xfId="4706"/>
    <cellStyle name="표준 3 3 5 3" xfId="4707"/>
    <cellStyle name="표준 3 3 5 3 2" xfId="4708"/>
    <cellStyle name="표준 3 3 5 3 2 2" xfId="4709"/>
    <cellStyle name="표준 3 3 5 3 2 2 2" xfId="4710"/>
    <cellStyle name="표준 3 3 5 3 2 2 2 2" xfId="4711"/>
    <cellStyle name="표준 3 3 5 3 2 2 2 2 2" xfId="12588"/>
    <cellStyle name="표준 3 3 5 3 2 2 2 2 2 2" xfId="35055"/>
    <cellStyle name="표준 3 3 5 3 2 2 2 2 3" xfId="20072"/>
    <cellStyle name="표준 3 3 5 3 2 2 2 2 3 2" xfId="42537"/>
    <cellStyle name="표준 3 3 5 3 2 2 2 2 4" xfId="27573"/>
    <cellStyle name="표준 3 3 5 3 2 2 2 3" xfId="12587"/>
    <cellStyle name="표준 3 3 5 3 2 2 2 3 2" xfId="35054"/>
    <cellStyle name="표준 3 3 5 3 2 2 2 4" xfId="20071"/>
    <cellStyle name="표준 3 3 5 3 2 2 2 4 2" xfId="42536"/>
    <cellStyle name="표준 3 3 5 3 2 2 2 5" xfId="27572"/>
    <cellStyle name="표준 3 3 5 3 2 2 2_Sheet4" xfId="4712"/>
    <cellStyle name="표준 3 3 5 3 2 2 3" xfId="4713"/>
    <cellStyle name="표준 3 3 5 3 2 2 3 2" xfId="12589"/>
    <cellStyle name="표준 3 3 5 3 2 2 3 2 2" xfId="35056"/>
    <cellStyle name="표준 3 3 5 3 2 2 3 3" xfId="20073"/>
    <cellStyle name="표준 3 3 5 3 2 2 3 3 2" xfId="42538"/>
    <cellStyle name="표준 3 3 5 3 2 2 3 4" xfId="27574"/>
    <cellStyle name="표준 3 3 5 3 2 2 4" xfId="12586"/>
    <cellStyle name="표준 3 3 5 3 2 2 4 2" xfId="35053"/>
    <cellStyle name="표준 3 3 5 3 2 2 5" xfId="20070"/>
    <cellStyle name="표준 3 3 5 3 2 2 5 2" xfId="42535"/>
    <cellStyle name="표준 3 3 5 3 2 2 6" xfId="27571"/>
    <cellStyle name="표준 3 3 5 3 2 2_Sheet4" xfId="4714"/>
    <cellStyle name="표준 3 3 5 3 2 3" xfId="4715"/>
    <cellStyle name="표준 3 3 5 3 2 3 2" xfId="4716"/>
    <cellStyle name="표준 3 3 5 3 2 3 2 2" xfId="12591"/>
    <cellStyle name="표준 3 3 5 3 2 3 2 2 2" xfId="35058"/>
    <cellStyle name="표준 3 3 5 3 2 3 2 3" xfId="20075"/>
    <cellStyle name="표준 3 3 5 3 2 3 2 3 2" xfId="42540"/>
    <cellStyle name="표준 3 3 5 3 2 3 2 4" xfId="27576"/>
    <cellStyle name="표준 3 3 5 3 2 3 3" xfId="12590"/>
    <cellStyle name="표준 3 3 5 3 2 3 3 2" xfId="35057"/>
    <cellStyle name="표준 3 3 5 3 2 3 4" xfId="20074"/>
    <cellStyle name="표준 3 3 5 3 2 3 4 2" xfId="42539"/>
    <cellStyle name="표준 3 3 5 3 2 3 5" xfId="27575"/>
    <cellStyle name="표준 3 3 5 3 2 3_Sheet4" xfId="4717"/>
    <cellStyle name="표준 3 3 5 3 2 4" xfId="4718"/>
    <cellStyle name="표준 3 3 5 3 2 4 2" xfId="12592"/>
    <cellStyle name="표준 3 3 5 3 2 4 2 2" xfId="35059"/>
    <cellStyle name="표준 3 3 5 3 2 4 3" xfId="20076"/>
    <cellStyle name="표준 3 3 5 3 2 4 3 2" xfId="42541"/>
    <cellStyle name="표준 3 3 5 3 2 4 4" xfId="27577"/>
    <cellStyle name="표준 3 3 5 3 2 5" xfId="12585"/>
    <cellStyle name="표준 3 3 5 3 2 5 2" xfId="35052"/>
    <cellStyle name="표준 3 3 5 3 2 6" xfId="20069"/>
    <cellStyle name="표준 3 3 5 3 2 6 2" xfId="42534"/>
    <cellStyle name="표준 3 3 5 3 2 7" xfId="27570"/>
    <cellStyle name="표준 3 3 5 3 2_Sheet4" xfId="4719"/>
    <cellStyle name="표준 3 3 5 3 3" xfId="4720"/>
    <cellStyle name="표준 3 3 5 3 3 2" xfId="4721"/>
    <cellStyle name="표준 3 3 5 3 3 2 2" xfId="4722"/>
    <cellStyle name="표준 3 3 5 3 3 2 2 2" xfId="12595"/>
    <cellStyle name="표준 3 3 5 3 3 2 2 2 2" xfId="35062"/>
    <cellStyle name="표준 3 3 5 3 3 2 2 3" xfId="20079"/>
    <cellStyle name="표준 3 3 5 3 3 2 2 3 2" xfId="42544"/>
    <cellStyle name="표준 3 3 5 3 3 2 2 4" xfId="27580"/>
    <cellStyle name="표준 3 3 5 3 3 2 3" xfId="12594"/>
    <cellStyle name="표준 3 3 5 3 3 2 3 2" xfId="35061"/>
    <cellStyle name="표준 3 3 5 3 3 2 4" xfId="20078"/>
    <cellStyle name="표준 3 3 5 3 3 2 4 2" xfId="42543"/>
    <cellStyle name="표준 3 3 5 3 3 2 5" xfId="27579"/>
    <cellStyle name="표준 3 3 5 3 3 2_Sheet4" xfId="4723"/>
    <cellStyle name="표준 3 3 5 3 3 3" xfId="4724"/>
    <cellStyle name="표준 3 3 5 3 3 3 2" xfId="12596"/>
    <cellStyle name="표준 3 3 5 3 3 3 2 2" xfId="35063"/>
    <cellStyle name="표준 3 3 5 3 3 3 3" xfId="20080"/>
    <cellStyle name="표준 3 3 5 3 3 3 3 2" xfId="42545"/>
    <cellStyle name="표준 3 3 5 3 3 3 4" xfId="27581"/>
    <cellStyle name="표준 3 3 5 3 3 4" xfId="12593"/>
    <cellStyle name="표준 3 3 5 3 3 4 2" xfId="35060"/>
    <cellStyle name="표준 3 3 5 3 3 5" xfId="20077"/>
    <cellStyle name="표준 3 3 5 3 3 5 2" xfId="42542"/>
    <cellStyle name="표준 3 3 5 3 3 6" xfId="27578"/>
    <cellStyle name="표준 3 3 5 3 3_Sheet4" xfId="4725"/>
    <cellStyle name="표준 3 3 5 3 4" xfId="4726"/>
    <cellStyle name="표준 3 3 5 3 4 2" xfId="4727"/>
    <cellStyle name="표준 3 3 5 3 4 2 2" xfId="12598"/>
    <cellStyle name="표준 3 3 5 3 4 2 2 2" xfId="35065"/>
    <cellStyle name="표준 3 3 5 3 4 2 3" xfId="20082"/>
    <cellStyle name="표준 3 3 5 3 4 2 3 2" xfId="42547"/>
    <cellStyle name="표준 3 3 5 3 4 2 4" xfId="27583"/>
    <cellStyle name="표준 3 3 5 3 4 3" xfId="12597"/>
    <cellStyle name="표준 3 3 5 3 4 3 2" xfId="35064"/>
    <cellStyle name="표준 3 3 5 3 4 4" xfId="20081"/>
    <cellStyle name="표준 3 3 5 3 4 4 2" xfId="42546"/>
    <cellStyle name="표준 3 3 5 3 4 5" xfId="27582"/>
    <cellStyle name="표준 3 3 5 3 4_Sheet4" xfId="4728"/>
    <cellStyle name="표준 3 3 5 3 5" xfId="4729"/>
    <cellStyle name="표준 3 3 5 3 5 2" xfId="12599"/>
    <cellStyle name="표준 3 3 5 3 5 2 2" xfId="35066"/>
    <cellStyle name="표준 3 3 5 3 5 3" xfId="20083"/>
    <cellStyle name="표준 3 3 5 3 5 3 2" xfId="42548"/>
    <cellStyle name="표준 3 3 5 3 5 4" xfId="27584"/>
    <cellStyle name="표준 3 3 5 3 6" xfId="12584"/>
    <cellStyle name="표준 3 3 5 3 6 2" xfId="35051"/>
    <cellStyle name="표준 3 3 5 3 7" xfId="20068"/>
    <cellStyle name="표준 3 3 5 3 7 2" xfId="42533"/>
    <cellStyle name="표준 3 3 5 3 8" xfId="27569"/>
    <cellStyle name="표준 3 3 5 3_Sheet4" xfId="4730"/>
    <cellStyle name="표준 3 3 5 4" xfId="4731"/>
    <cellStyle name="표준 3 3 5 4 2" xfId="4732"/>
    <cellStyle name="표준 3 3 5 4 2 2" xfId="4733"/>
    <cellStyle name="표준 3 3 5 4 2 2 2" xfId="4734"/>
    <cellStyle name="표준 3 3 5 4 2 2 2 2" xfId="4735"/>
    <cellStyle name="표준 3 3 5 4 2 2 2 2 2" xfId="12604"/>
    <cellStyle name="표준 3 3 5 4 2 2 2 2 2 2" xfId="35071"/>
    <cellStyle name="표준 3 3 5 4 2 2 2 2 3" xfId="20088"/>
    <cellStyle name="표준 3 3 5 4 2 2 2 2 3 2" xfId="42553"/>
    <cellStyle name="표준 3 3 5 4 2 2 2 2 4" xfId="27589"/>
    <cellStyle name="표준 3 3 5 4 2 2 2 3" xfId="12603"/>
    <cellStyle name="표준 3 3 5 4 2 2 2 3 2" xfId="35070"/>
    <cellStyle name="표준 3 3 5 4 2 2 2 4" xfId="20087"/>
    <cellStyle name="표준 3 3 5 4 2 2 2 4 2" xfId="42552"/>
    <cellStyle name="표준 3 3 5 4 2 2 2 5" xfId="27588"/>
    <cellStyle name="표준 3 3 5 4 2 2 2_Sheet4" xfId="4736"/>
    <cellStyle name="표준 3 3 5 4 2 2 3" xfId="4737"/>
    <cellStyle name="표준 3 3 5 4 2 2 3 2" xfId="12605"/>
    <cellStyle name="표준 3 3 5 4 2 2 3 2 2" xfId="35072"/>
    <cellStyle name="표준 3 3 5 4 2 2 3 3" xfId="20089"/>
    <cellStyle name="표준 3 3 5 4 2 2 3 3 2" xfId="42554"/>
    <cellStyle name="표준 3 3 5 4 2 2 3 4" xfId="27590"/>
    <cellStyle name="표준 3 3 5 4 2 2 4" xfId="12602"/>
    <cellStyle name="표준 3 3 5 4 2 2 4 2" xfId="35069"/>
    <cellStyle name="표준 3 3 5 4 2 2 5" xfId="20086"/>
    <cellStyle name="표준 3 3 5 4 2 2 5 2" xfId="42551"/>
    <cellStyle name="표준 3 3 5 4 2 2 6" xfId="27587"/>
    <cellStyle name="표준 3 3 5 4 2 2_Sheet4" xfId="4738"/>
    <cellStyle name="표준 3 3 5 4 2 3" xfId="4739"/>
    <cellStyle name="표준 3 3 5 4 2 3 2" xfId="4740"/>
    <cellStyle name="표준 3 3 5 4 2 3 2 2" xfId="12607"/>
    <cellStyle name="표준 3 3 5 4 2 3 2 2 2" xfId="35074"/>
    <cellStyle name="표준 3 3 5 4 2 3 2 3" xfId="20091"/>
    <cellStyle name="표준 3 3 5 4 2 3 2 3 2" xfId="42556"/>
    <cellStyle name="표준 3 3 5 4 2 3 2 4" xfId="27592"/>
    <cellStyle name="표준 3 3 5 4 2 3 3" xfId="12606"/>
    <cellStyle name="표준 3 3 5 4 2 3 3 2" xfId="35073"/>
    <cellStyle name="표준 3 3 5 4 2 3 4" xfId="20090"/>
    <cellStyle name="표준 3 3 5 4 2 3 4 2" xfId="42555"/>
    <cellStyle name="표준 3 3 5 4 2 3 5" xfId="27591"/>
    <cellStyle name="표준 3 3 5 4 2 3_Sheet4" xfId="4741"/>
    <cellStyle name="표준 3 3 5 4 2 4" xfId="4742"/>
    <cellStyle name="표준 3 3 5 4 2 4 2" xfId="12608"/>
    <cellStyle name="표준 3 3 5 4 2 4 2 2" xfId="35075"/>
    <cellStyle name="표준 3 3 5 4 2 4 3" xfId="20092"/>
    <cellStyle name="표준 3 3 5 4 2 4 3 2" xfId="42557"/>
    <cellStyle name="표준 3 3 5 4 2 4 4" xfId="27593"/>
    <cellStyle name="표준 3 3 5 4 2 5" xfId="12601"/>
    <cellStyle name="표준 3 3 5 4 2 5 2" xfId="35068"/>
    <cellStyle name="표준 3 3 5 4 2 6" xfId="20085"/>
    <cellStyle name="표준 3 3 5 4 2 6 2" xfId="42550"/>
    <cellStyle name="표준 3 3 5 4 2 7" xfId="27586"/>
    <cellStyle name="표준 3 3 5 4 2_Sheet4" xfId="4743"/>
    <cellStyle name="표준 3 3 5 4 3" xfId="4744"/>
    <cellStyle name="표준 3 3 5 4 3 2" xfId="4745"/>
    <cellStyle name="표준 3 3 5 4 3 2 2" xfId="4746"/>
    <cellStyle name="표준 3 3 5 4 3 2 2 2" xfId="12611"/>
    <cellStyle name="표준 3 3 5 4 3 2 2 2 2" xfId="35078"/>
    <cellStyle name="표준 3 3 5 4 3 2 2 3" xfId="20095"/>
    <cellStyle name="표준 3 3 5 4 3 2 2 3 2" xfId="42560"/>
    <cellStyle name="표준 3 3 5 4 3 2 2 4" xfId="27596"/>
    <cellStyle name="표준 3 3 5 4 3 2 3" xfId="12610"/>
    <cellStyle name="표준 3 3 5 4 3 2 3 2" xfId="35077"/>
    <cellStyle name="표준 3 3 5 4 3 2 4" xfId="20094"/>
    <cellStyle name="표준 3 3 5 4 3 2 4 2" xfId="42559"/>
    <cellStyle name="표준 3 3 5 4 3 2 5" xfId="27595"/>
    <cellStyle name="표준 3 3 5 4 3 2_Sheet4" xfId="4747"/>
    <cellStyle name="표준 3 3 5 4 3 3" xfId="4748"/>
    <cellStyle name="표준 3 3 5 4 3 3 2" xfId="12612"/>
    <cellStyle name="표준 3 3 5 4 3 3 2 2" xfId="35079"/>
    <cellStyle name="표준 3 3 5 4 3 3 3" xfId="20096"/>
    <cellStyle name="표준 3 3 5 4 3 3 3 2" xfId="42561"/>
    <cellStyle name="표준 3 3 5 4 3 3 4" xfId="27597"/>
    <cellStyle name="표준 3 3 5 4 3 4" xfId="12609"/>
    <cellStyle name="표준 3 3 5 4 3 4 2" xfId="35076"/>
    <cellStyle name="표준 3 3 5 4 3 5" xfId="20093"/>
    <cellStyle name="표준 3 3 5 4 3 5 2" xfId="42558"/>
    <cellStyle name="표준 3 3 5 4 3 6" xfId="27594"/>
    <cellStyle name="표준 3 3 5 4 3_Sheet4" xfId="4749"/>
    <cellStyle name="표준 3 3 5 4 4" xfId="4750"/>
    <cellStyle name="표준 3 3 5 4 4 2" xfId="4751"/>
    <cellStyle name="표준 3 3 5 4 4 2 2" xfId="12614"/>
    <cellStyle name="표준 3 3 5 4 4 2 2 2" xfId="35081"/>
    <cellStyle name="표준 3 3 5 4 4 2 3" xfId="20098"/>
    <cellStyle name="표준 3 3 5 4 4 2 3 2" xfId="42563"/>
    <cellStyle name="표준 3 3 5 4 4 2 4" xfId="27599"/>
    <cellStyle name="표준 3 3 5 4 4 3" xfId="12613"/>
    <cellStyle name="표준 3 3 5 4 4 3 2" xfId="35080"/>
    <cellStyle name="표준 3 3 5 4 4 4" xfId="20097"/>
    <cellStyle name="표준 3 3 5 4 4 4 2" xfId="42562"/>
    <cellStyle name="표준 3 3 5 4 4 5" xfId="27598"/>
    <cellStyle name="표준 3 3 5 4 4_Sheet4" xfId="4752"/>
    <cellStyle name="표준 3 3 5 4 5" xfId="4753"/>
    <cellStyle name="표준 3 3 5 4 5 2" xfId="12615"/>
    <cellStyle name="표준 3 3 5 4 5 2 2" xfId="35082"/>
    <cellStyle name="표준 3 3 5 4 5 3" xfId="20099"/>
    <cellStyle name="표준 3 3 5 4 5 3 2" xfId="42564"/>
    <cellStyle name="표준 3 3 5 4 5 4" xfId="27600"/>
    <cellStyle name="표준 3 3 5 4 6" xfId="12600"/>
    <cellStyle name="표준 3 3 5 4 6 2" xfId="35067"/>
    <cellStyle name="표준 3 3 5 4 7" xfId="20084"/>
    <cellStyle name="표준 3 3 5 4 7 2" xfId="42549"/>
    <cellStyle name="표준 3 3 5 4 8" xfId="27585"/>
    <cellStyle name="표준 3 3 5 4_Sheet4" xfId="4754"/>
    <cellStyle name="표준 3 3 5 5" xfId="4755"/>
    <cellStyle name="표준 3 3 5 5 2" xfId="4756"/>
    <cellStyle name="표준 3 3 5 5 2 2" xfId="4757"/>
    <cellStyle name="표준 3 3 5 5 2 2 2" xfId="4758"/>
    <cellStyle name="표준 3 3 5 5 2 2 2 2" xfId="12619"/>
    <cellStyle name="표준 3 3 5 5 2 2 2 2 2" xfId="35086"/>
    <cellStyle name="표준 3 3 5 5 2 2 2 3" xfId="20103"/>
    <cellStyle name="표준 3 3 5 5 2 2 2 3 2" xfId="42568"/>
    <cellStyle name="표준 3 3 5 5 2 2 2 4" xfId="27604"/>
    <cellStyle name="표준 3 3 5 5 2 2 3" xfId="12618"/>
    <cellStyle name="표준 3 3 5 5 2 2 3 2" xfId="35085"/>
    <cellStyle name="표준 3 3 5 5 2 2 4" xfId="20102"/>
    <cellStyle name="표준 3 3 5 5 2 2 4 2" xfId="42567"/>
    <cellStyle name="표준 3 3 5 5 2 2 5" xfId="27603"/>
    <cellStyle name="표준 3 3 5 5 2 2_Sheet4" xfId="4759"/>
    <cellStyle name="표준 3 3 5 5 2 3" xfId="4760"/>
    <cellStyle name="표준 3 3 5 5 2 3 2" xfId="12620"/>
    <cellStyle name="표준 3 3 5 5 2 3 2 2" xfId="35087"/>
    <cellStyle name="표준 3 3 5 5 2 3 3" xfId="20104"/>
    <cellStyle name="표준 3 3 5 5 2 3 3 2" xfId="42569"/>
    <cellStyle name="표준 3 3 5 5 2 3 4" xfId="27605"/>
    <cellStyle name="표준 3 3 5 5 2 4" xfId="12617"/>
    <cellStyle name="표준 3 3 5 5 2 4 2" xfId="35084"/>
    <cellStyle name="표준 3 3 5 5 2 5" xfId="20101"/>
    <cellStyle name="표준 3 3 5 5 2 5 2" xfId="42566"/>
    <cellStyle name="표준 3 3 5 5 2 6" xfId="27602"/>
    <cellStyle name="표준 3 3 5 5 2_Sheet4" xfId="4761"/>
    <cellStyle name="표준 3 3 5 5 3" xfId="4762"/>
    <cellStyle name="표준 3 3 5 5 3 2" xfId="4763"/>
    <cellStyle name="표준 3 3 5 5 3 2 2" xfId="12622"/>
    <cellStyle name="표준 3 3 5 5 3 2 2 2" xfId="35089"/>
    <cellStyle name="표준 3 3 5 5 3 2 3" xfId="20106"/>
    <cellStyle name="표준 3 3 5 5 3 2 3 2" xfId="42571"/>
    <cellStyle name="표준 3 3 5 5 3 2 4" xfId="27607"/>
    <cellStyle name="표준 3 3 5 5 3 3" xfId="12621"/>
    <cellStyle name="표준 3 3 5 5 3 3 2" xfId="35088"/>
    <cellStyle name="표준 3 3 5 5 3 4" xfId="20105"/>
    <cellStyle name="표준 3 3 5 5 3 4 2" xfId="42570"/>
    <cellStyle name="표준 3 3 5 5 3 5" xfId="27606"/>
    <cellStyle name="표준 3 3 5 5 3_Sheet4" xfId="4764"/>
    <cellStyle name="표준 3 3 5 5 4" xfId="4765"/>
    <cellStyle name="표준 3 3 5 5 4 2" xfId="12623"/>
    <cellStyle name="표준 3 3 5 5 4 2 2" xfId="35090"/>
    <cellStyle name="표준 3 3 5 5 4 3" xfId="20107"/>
    <cellStyle name="표준 3 3 5 5 4 3 2" xfId="42572"/>
    <cellStyle name="표준 3 3 5 5 4 4" xfId="27608"/>
    <cellStyle name="표준 3 3 5 5 5" xfId="12616"/>
    <cellStyle name="표준 3 3 5 5 5 2" xfId="35083"/>
    <cellStyle name="표준 3 3 5 5 6" xfId="20100"/>
    <cellStyle name="표준 3 3 5 5 6 2" xfId="42565"/>
    <cellStyle name="표준 3 3 5 5 7" xfId="27601"/>
    <cellStyle name="표준 3 3 5 5_Sheet4" xfId="4766"/>
    <cellStyle name="표준 3 3 5 6" xfId="4767"/>
    <cellStyle name="표준 3 3 5 6 2" xfId="4768"/>
    <cellStyle name="표준 3 3 5 6 2 2" xfId="4769"/>
    <cellStyle name="표준 3 3 5 6 2 2 2" xfId="12626"/>
    <cellStyle name="표준 3 3 5 6 2 2 2 2" xfId="35093"/>
    <cellStyle name="표준 3 3 5 6 2 2 3" xfId="20110"/>
    <cellStyle name="표준 3 3 5 6 2 2 3 2" xfId="42575"/>
    <cellStyle name="표준 3 3 5 6 2 2 4" xfId="27611"/>
    <cellStyle name="표준 3 3 5 6 2 3" xfId="12625"/>
    <cellStyle name="표준 3 3 5 6 2 3 2" xfId="35092"/>
    <cellStyle name="표준 3 3 5 6 2 4" xfId="20109"/>
    <cellStyle name="표준 3 3 5 6 2 4 2" xfId="42574"/>
    <cellStyle name="표준 3 3 5 6 2 5" xfId="27610"/>
    <cellStyle name="표준 3 3 5 6 2_Sheet4" xfId="4770"/>
    <cellStyle name="표준 3 3 5 6 3" xfId="4771"/>
    <cellStyle name="표준 3 3 5 6 3 2" xfId="12627"/>
    <cellStyle name="표준 3 3 5 6 3 2 2" xfId="35094"/>
    <cellStyle name="표준 3 3 5 6 3 3" xfId="20111"/>
    <cellStyle name="표준 3 3 5 6 3 3 2" xfId="42576"/>
    <cellStyle name="표준 3 3 5 6 3 4" xfId="27612"/>
    <cellStyle name="표준 3 3 5 6 4" xfId="12624"/>
    <cellStyle name="표준 3 3 5 6 4 2" xfId="35091"/>
    <cellStyle name="표준 3 3 5 6 5" xfId="20108"/>
    <cellStyle name="표준 3 3 5 6 5 2" xfId="42573"/>
    <cellStyle name="표준 3 3 5 6 6" xfId="27609"/>
    <cellStyle name="표준 3 3 5 6_Sheet4" xfId="4772"/>
    <cellStyle name="표준 3 3 5 7" xfId="4773"/>
    <cellStyle name="표준 3 3 5 7 2" xfId="4774"/>
    <cellStyle name="표준 3 3 5 7 2 2" xfId="12629"/>
    <cellStyle name="표준 3 3 5 7 2 2 2" xfId="35096"/>
    <cellStyle name="표준 3 3 5 7 2 3" xfId="20113"/>
    <cellStyle name="표준 3 3 5 7 2 3 2" xfId="42578"/>
    <cellStyle name="표준 3 3 5 7 2 4" xfId="27614"/>
    <cellStyle name="표준 3 3 5 7 3" xfId="12628"/>
    <cellStyle name="표준 3 3 5 7 3 2" xfId="35095"/>
    <cellStyle name="표준 3 3 5 7 4" xfId="20112"/>
    <cellStyle name="표준 3 3 5 7 4 2" xfId="42577"/>
    <cellStyle name="표준 3 3 5 7 5" xfId="27613"/>
    <cellStyle name="표준 3 3 5 7_Sheet4" xfId="4775"/>
    <cellStyle name="표준 3 3 5 8" xfId="4776"/>
    <cellStyle name="표준 3 3 5 8 2" xfId="12630"/>
    <cellStyle name="표준 3 3 5 8 2 2" xfId="35097"/>
    <cellStyle name="표준 3 3 5 8 3" xfId="20114"/>
    <cellStyle name="표준 3 3 5 8 3 2" xfId="42579"/>
    <cellStyle name="표준 3 3 5 8 4" xfId="27615"/>
    <cellStyle name="표준 3 3 5 9" xfId="12535"/>
    <cellStyle name="표준 3 3 5 9 2" xfId="35002"/>
    <cellStyle name="표준 3 3 5_Sheet4" xfId="4777"/>
    <cellStyle name="표준 3 3 6" xfId="4778"/>
    <cellStyle name="표준 3 3 6 10" xfId="27616"/>
    <cellStyle name="표준 3 3 6 2" xfId="4779"/>
    <cellStyle name="표준 3 3 6 2 2" xfId="4780"/>
    <cellStyle name="표준 3 3 6 2 2 2" xfId="4781"/>
    <cellStyle name="표준 3 3 6 2 2 2 2" xfId="4782"/>
    <cellStyle name="표준 3 3 6 2 2 2 2 2" xfId="4783"/>
    <cellStyle name="표준 3 3 6 2 2 2 2 2 2" xfId="12636"/>
    <cellStyle name="표준 3 3 6 2 2 2 2 2 2 2" xfId="35103"/>
    <cellStyle name="표준 3 3 6 2 2 2 2 2 3" xfId="20120"/>
    <cellStyle name="표준 3 3 6 2 2 2 2 2 3 2" xfId="42585"/>
    <cellStyle name="표준 3 3 6 2 2 2 2 2 4" xfId="27621"/>
    <cellStyle name="표준 3 3 6 2 2 2 2 3" xfId="12635"/>
    <cellStyle name="표준 3 3 6 2 2 2 2 3 2" xfId="35102"/>
    <cellStyle name="표준 3 3 6 2 2 2 2 4" xfId="20119"/>
    <cellStyle name="표준 3 3 6 2 2 2 2 4 2" xfId="42584"/>
    <cellStyle name="표준 3 3 6 2 2 2 2 5" xfId="27620"/>
    <cellStyle name="표준 3 3 6 2 2 2 2_Sheet4" xfId="4784"/>
    <cellStyle name="표준 3 3 6 2 2 2 3" xfId="4785"/>
    <cellStyle name="표준 3 3 6 2 2 2 3 2" xfId="12637"/>
    <cellStyle name="표준 3 3 6 2 2 2 3 2 2" xfId="35104"/>
    <cellStyle name="표준 3 3 6 2 2 2 3 3" xfId="20121"/>
    <cellStyle name="표준 3 3 6 2 2 2 3 3 2" xfId="42586"/>
    <cellStyle name="표준 3 3 6 2 2 2 3 4" xfId="27622"/>
    <cellStyle name="표준 3 3 6 2 2 2 4" xfId="12634"/>
    <cellStyle name="표준 3 3 6 2 2 2 4 2" xfId="35101"/>
    <cellStyle name="표준 3 3 6 2 2 2 5" xfId="20118"/>
    <cellStyle name="표준 3 3 6 2 2 2 5 2" xfId="42583"/>
    <cellStyle name="표준 3 3 6 2 2 2 6" xfId="27619"/>
    <cellStyle name="표준 3 3 6 2 2 2_Sheet4" xfId="4786"/>
    <cellStyle name="표준 3 3 6 2 2 3" xfId="4787"/>
    <cellStyle name="표준 3 3 6 2 2 3 2" xfId="4788"/>
    <cellStyle name="표준 3 3 6 2 2 3 2 2" xfId="12639"/>
    <cellStyle name="표준 3 3 6 2 2 3 2 2 2" xfId="35106"/>
    <cellStyle name="표준 3 3 6 2 2 3 2 3" xfId="20123"/>
    <cellStyle name="표준 3 3 6 2 2 3 2 3 2" xfId="42588"/>
    <cellStyle name="표준 3 3 6 2 2 3 2 4" xfId="27624"/>
    <cellStyle name="표준 3 3 6 2 2 3 3" xfId="12638"/>
    <cellStyle name="표준 3 3 6 2 2 3 3 2" xfId="35105"/>
    <cellStyle name="표준 3 3 6 2 2 3 4" xfId="20122"/>
    <cellStyle name="표준 3 3 6 2 2 3 4 2" xfId="42587"/>
    <cellStyle name="표준 3 3 6 2 2 3 5" xfId="27623"/>
    <cellStyle name="표준 3 3 6 2 2 3_Sheet4" xfId="4789"/>
    <cellStyle name="표준 3 3 6 2 2 4" xfId="4790"/>
    <cellStyle name="표준 3 3 6 2 2 4 2" xfId="12640"/>
    <cellStyle name="표준 3 3 6 2 2 4 2 2" xfId="35107"/>
    <cellStyle name="표준 3 3 6 2 2 4 3" xfId="20124"/>
    <cellStyle name="표준 3 3 6 2 2 4 3 2" xfId="42589"/>
    <cellStyle name="표준 3 3 6 2 2 4 4" xfId="27625"/>
    <cellStyle name="표준 3 3 6 2 2 5" xfId="12633"/>
    <cellStyle name="표준 3 3 6 2 2 5 2" xfId="35100"/>
    <cellStyle name="표준 3 3 6 2 2 6" xfId="20117"/>
    <cellStyle name="표준 3 3 6 2 2 6 2" xfId="42582"/>
    <cellStyle name="표준 3 3 6 2 2 7" xfId="27618"/>
    <cellStyle name="표준 3 3 6 2 2_Sheet4" xfId="4791"/>
    <cellStyle name="표준 3 3 6 2 3" xfId="4792"/>
    <cellStyle name="표준 3 3 6 2 3 2" xfId="4793"/>
    <cellStyle name="표준 3 3 6 2 3 2 2" xfId="4794"/>
    <cellStyle name="표준 3 3 6 2 3 2 2 2" xfId="12643"/>
    <cellStyle name="표준 3 3 6 2 3 2 2 2 2" xfId="35110"/>
    <cellStyle name="표준 3 3 6 2 3 2 2 3" xfId="20127"/>
    <cellStyle name="표준 3 3 6 2 3 2 2 3 2" xfId="42592"/>
    <cellStyle name="표준 3 3 6 2 3 2 2 4" xfId="27628"/>
    <cellStyle name="표준 3 3 6 2 3 2 3" xfId="12642"/>
    <cellStyle name="표준 3 3 6 2 3 2 3 2" xfId="35109"/>
    <cellStyle name="표준 3 3 6 2 3 2 4" xfId="20126"/>
    <cellStyle name="표준 3 3 6 2 3 2 4 2" xfId="42591"/>
    <cellStyle name="표준 3 3 6 2 3 2 5" xfId="27627"/>
    <cellStyle name="표준 3 3 6 2 3 2_Sheet4" xfId="4795"/>
    <cellStyle name="표준 3 3 6 2 3 3" xfId="4796"/>
    <cellStyle name="표준 3 3 6 2 3 3 2" xfId="12644"/>
    <cellStyle name="표준 3 3 6 2 3 3 2 2" xfId="35111"/>
    <cellStyle name="표준 3 3 6 2 3 3 3" xfId="20128"/>
    <cellStyle name="표준 3 3 6 2 3 3 3 2" xfId="42593"/>
    <cellStyle name="표준 3 3 6 2 3 3 4" xfId="27629"/>
    <cellStyle name="표준 3 3 6 2 3 4" xfId="12641"/>
    <cellStyle name="표준 3 3 6 2 3 4 2" xfId="35108"/>
    <cellStyle name="표준 3 3 6 2 3 5" xfId="20125"/>
    <cellStyle name="표준 3 3 6 2 3 5 2" xfId="42590"/>
    <cellStyle name="표준 3 3 6 2 3 6" xfId="27626"/>
    <cellStyle name="표준 3 3 6 2 3_Sheet4" xfId="4797"/>
    <cellStyle name="표준 3 3 6 2 4" xfId="4798"/>
    <cellStyle name="표준 3 3 6 2 4 2" xfId="4799"/>
    <cellStyle name="표준 3 3 6 2 4 2 2" xfId="12646"/>
    <cellStyle name="표준 3 3 6 2 4 2 2 2" xfId="35113"/>
    <cellStyle name="표준 3 3 6 2 4 2 3" xfId="20130"/>
    <cellStyle name="표준 3 3 6 2 4 2 3 2" xfId="42595"/>
    <cellStyle name="표준 3 3 6 2 4 2 4" xfId="27631"/>
    <cellStyle name="표준 3 3 6 2 4 3" xfId="12645"/>
    <cellStyle name="표준 3 3 6 2 4 3 2" xfId="35112"/>
    <cellStyle name="표준 3 3 6 2 4 4" xfId="20129"/>
    <cellStyle name="표준 3 3 6 2 4 4 2" xfId="42594"/>
    <cellStyle name="표준 3 3 6 2 4 5" xfId="27630"/>
    <cellStyle name="표준 3 3 6 2 4_Sheet4" xfId="4800"/>
    <cellStyle name="표준 3 3 6 2 5" xfId="4801"/>
    <cellStyle name="표준 3 3 6 2 5 2" xfId="12647"/>
    <cellStyle name="표준 3 3 6 2 5 2 2" xfId="35114"/>
    <cellStyle name="표준 3 3 6 2 5 3" xfId="20131"/>
    <cellStyle name="표준 3 3 6 2 5 3 2" xfId="42596"/>
    <cellStyle name="표준 3 3 6 2 5 4" xfId="27632"/>
    <cellStyle name="표준 3 3 6 2 6" xfId="12632"/>
    <cellStyle name="표준 3 3 6 2 6 2" xfId="35099"/>
    <cellStyle name="표준 3 3 6 2 7" xfId="20116"/>
    <cellStyle name="표준 3 3 6 2 7 2" xfId="42581"/>
    <cellStyle name="표준 3 3 6 2 8" xfId="27617"/>
    <cellStyle name="표준 3 3 6 2_Sheet4" xfId="4802"/>
    <cellStyle name="표준 3 3 6 3" xfId="4803"/>
    <cellStyle name="표준 3 3 6 3 2" xfId="4804"/>
    <cellStyle name="표준 3 3 6 3 2 2" xfId="4805"/>
    <cellStyle name="표준 3 3 6 3 2 2 2" xfId="4806"/>
    <cellStyle name="표준 3 3 6 3 2 2 2 2" xfId="4807"/>
    <cellStyle name="표준 3 3 6 3 2 2 2 2 2" xfId="12652"/>
    <cellStyle name="표준 3 3 6 3 2 2 2 2 2 2" xfId="35119"/>
    <cellStyle name="표준 3 3 6 3 2 2 2 2 3" xfId="20136"/>
    <cellStyle name="표준 3 3 6 3 2 2 2 2 3 2" xfId="42601"/>
    <cellStyle name="표준 3 3 6 3 2 2 2 2 4" xfId="27637"/>
    <cellStyle name="표준 3 3 6 3 2 2 2 3" xfId="12651"/>
    <cellStyle name="표준 3 3 6 3 2 2 2 3 2" xfId="35118"/>
    <cellStyle name="표준 3 3 6 3 2 2 2 4" xfId="20135"/>
    <cellStyle name="표준 3 3 6 3 2 2 2 4 2" xfId="42600"/>
    <cellStyle name="표준 3 3 6 3 2 2 2 5" xfId="27636"/>
    <cellStyle name="표준 3 3 6 3 2 2 2_Sheet4" xfId="4808"/>
    <cellStyle name="표준 3 3 6 3 2 2 3" xfId="4809"/>
    <cellStyle name="표준 3 3 6 3 2 2 3 2" xfId="12653"/>
    <cellStyle name="표준 3 3 6 3 2 2 3 2 2" xfId="35120"/>
    <cellStyle name="표준 3 3 6 3 2 2 3 3" xfId="20137"/>
    <cellStyle name="표준 3 3 6 3 2 2 3 3 2" xfId="42602"/>
    <cellStyle name="표준 3 3 6 3 2 2 3 4" xfId="27638"/>
    <cellStyle name="표준 3 3 6 3 2 2 4" xfId="12650"/>
    <cellStyle name="표준 3 3 6 3 2 2 4 2" xfId="35117"/>
    <cellStyle name="표준 3 3 6 3 2 2 5" xfId="20134"/>
    <cellStyle name="표준 3 3 6 3 2 2 5 2" xfId="42599"/>
    <cellStyle name="표준 3 3 6 3 2 2 6" xfId="27635"/>
    <cellStyle name="표준 3 3 6 3 2 2_Sheet4" xfId="4810"/>
    <cellStyle name="표준 3 3 6 3 2 3" xfId="4811"/>
    <cellStyle name="표준 3 3 6 3 2 3 2" xfId="4812"/>
    <cellStyle name="표준 3 3 6 3 2 3 2 2" xfId="12655"/>
    <cellStyle name="표준 3 3 6 3 2 3 2 2 2" xfId="35122"/>
    <cellStyle name="표준 3 3 6 3 2 3 2 3" xfId="20139"/>
    <cellStyle name="표준 3 3 6 3 2 3 2 3 2" xfId="42604"/>
    <cellStyle name="표준 3 3 6 3 2 3 2 4" xfId="27640"/>
    <cellStyle name="표준 3 3 6 3 2 3 3" xfId="12654"/>
    <cellStyle name="표준 3 3 6 3 2 3 3 2" xfId="35121"/>
    <cellStyle name="표준 3 3 6 3 2 3 4" xfId="20138"/>
    <cellStyle name="표준 3 3 6 3 2 3 4 2" xfId="42603"/>
    <cellStyle name="표준 3 3 6 3 2 3 5" xfId="27639"/>
    <cellStyle name="표준 3 3 6 3 2 3_Sheet4" xfId="4813"/>
    <cellStyle name="표준 3 3 6 3 2 4" xfId="4814"/>
    <cellStyle name="표준 3 3 6 3 2 4 2" xfId="12656"/>
    <cellStyle name="표준 3 3 6 3 2 4 2 2" xfId="35123"/>
    <cellStyle name="표준 3 3 6 3 2 4 3" xfId="20140"/>
    <cellStyle name="표준 3 3 6 3 2 4 3 2" xfId="42605"/>
    <cellStyle name="표준 3 3 6 3 2 4 4" xfId="27641"/>
    <cellStyle name="표준 3 3 6 3 2 5" xfId="12649"/>
    <cellStyle name="표준 3 3 6 3 2 5 2" xfId="35116"/>
    <cellStyle name="표준 3 3 6 3 2 6" xfId="20133"/>
    <cellStyle name="표준 3 3 6 3 2 6 2" xfId="42598"/>
    <cellStyle name="표준 3 3 6 3 2 7" xfId="27634"/>
    <cellStyle name="표준 3 3 6 3 2_Sheet4" xfId="4815"/>
    <cellStyle name="표준 3 3 6 3 3" xfId="4816"/>
    <cellStyle name="표준 3 3 6 3 3 2" xfId="4817"/>
    <cellStyle name="표준 3 3 6 3 3 2 2" xfId="4818"/>
    <cellStyle name="표준 3 3 6 3 3 2 2 2" xfId="12659"/>
    <cellStyle name="표준 3 3 6 3 3 2 2 2 2" xfId="35126"/>
    <cellStyle name="표준 3 3 6 3 3 2 2 3" xfId="20143"/>
    <cellStyle name="표준 3 3 6 3 3 2 2 3 2" xfId="42608"/>
    <cellStyle name="표준 3 3 6 3 3 2 2 4" xfId="27644"/>
    <cellStyle name="표준 3 3 6 3 3 2 3" xfId="12658"/>
    <cellStyle name="표준 3 3 6 3 3 2 3 2" xfId="35125"/>
    <cellStyle name="표준 3 3 6 3 3 2 4" xfId="20142"/>
    <cellStyle name="표준 3 3 6 3 3 2 4 2" xfId="42607"/>
    <cellStyle name="표준 3 3 6 3 3 2 5" xfId="27643"/>
    <cellStyle name="표준 3 3 6 3 3 2_Sheet4" xfId="4819"/>
    <cellStyle name="표준 3 3 6 3 3 3" xfId="4820"/>
    <cellStyle name="표준 3 3 6 3 3 3 2" xfId="12660"/>
    <cellStyle name="표준 3 3 6 3 3 3 2 2" xfId="35127"/>
    <cellStyle name="표준 3 3 6 3 3 3 3" xfId="20144"/>
    <cellStyle name="표준 3 3 6 3 3 3 3 2" xfId="42609"/>
    <cellStyle name="표준 3 3 6 3 3 3 4" xfId="27645"/>
    <cellStyle name="표준 3 3 6 3 3 4" xfId="12657"/>
    <cellStyle name="표준 3 3 6 3 3 4 2" xfId="35124"/>
    <cellStyle name="표준 3 3 6 3 3 5" xfId="20141"/>
    <cellStyle name="표준 3 3 6 3 3 5 2" xfId="42606"/>
    <cellStyle name="표준 3 3 6 3 3 6" xfId="27642"/>
    <cellStyle name="표준 3 3 6 3 3_Sheet4" xfId="4821"/>
    <cellStyle name="표준 3 3 6 3 4" xfId="4822"/>
    <cellStyle name="표준 3 3 6 3 4 2" xfId="4823"/>
    <cellStyle name="표준 3 3 6 3 4 2 2" xfId="12662"/>
    <cellStyle name="표준 3 3 6 3 4 2 2 2" xfId="35129"/>
    <cellStyle name="표준 3 3 6 3 4 2 3" xfId="20146"/>
    <cellStyle name="표준 3 3 6 3 4 2 3 2" xfId="42611"/>
    <cellStyle name="표준 3 3 6 3 4 2 4" xfId="27647"/>
    <cellStyle name="표준 3 3 6 3 4 3" xfId="12661"/>
    <cellStyle name="표준 3 3 6 3 4 3 2" xfId="35128"/>
    <cellStyle name="표준 3 3 6 3 4 4" xfId="20145"/>
    <cellStyle name="표준 3 3 6 3 4 4 2" xfId="42610"/>
    <cellStyle name="표준 3 3 6 3 4 5" xfId="27646"/>
    <cellStyle name="표준 3 3 6 3 4_Sheet4" xfId="4824"/>
    <cellStyle name="표준 3 3 6 3 5" xfId="4825"/>
    <cellStyle name="표준 3 3 6 3 5 2" xfId="12663"/>
    <cellStyle name="표준 3 3 6 3 5 2 2" xfId="35130"/>
    <cellStyle name="표준 3 3 6 3 5 3" xfId="20147"/>
    <cellStyle name="표준 3 3 6 3 5 3 2" xfId="42612"/>
    <cellStyle name="표준 3 3 6 3 5 4" xfId="27648"/>
    <cellStyle name="표준 3 3 6 3 6" xfId="12648"/>
    <cellStyle name="표준 3 3 6 3 6 2" xfId="35115"/>
    <cellStyle name="표준 3 3 6 3 7" xfId="20132"/>
    <cellStyle name="표준 3 3 6 3 7 2" xfId="42597"/>
    <cellStyle name="표준 3 3 6 3 8" xfId="27633"/>
    <cellStyle name="표준 3 3 6 3_Sheet4" xfId="4826"/>
    <cellStyle name="표준 3 3 6 4" xfId="4827"/>
    <cellStyle name="표준 3 3 6 4 2" xfId="4828"/>
    <cellStyle name="표준 3 3 6 4 2 2" xfId="4829"/>
    <cellStyle name="표준 3 3 6 4 2 2 2" xfId="4830"/>
    <cellStyle name="표준 3 3 6 4 2 2 2 2" xfId="12667"/>
    <cellStyle name="표준 3 3 6 4 2 2 2 2 2" xfId="35134"/>
    <cellStyle name="표준 3 3 6 4 2 2 2 3" xfId="20151"/>
    <cellStyle name="표준 3 3 6 4 2 2 2 3 2" xfId="42616"/>
    <cellStyle name="표준 3 3 6 4 2 2 2 4" xfId="27652"/>
    <cellStyle name="표준 3 3 6 4 2 2 3" xfId="12666"/>
    <cellStyle name="표준 3 3 6 4 2 2 3 2" xfId="35133"/>
    <cellStyle name="표준 3 3 6 4 2 2 4" xfId="20150"/>
    <cellStyle name="표준 3 3 6 4 2 2 4 2" xfId="42615"/>
    <cellStyle name="표준 3 3 6 4 2 2 5" xfId="27651"/>
    <cellStyle name="표준 3 3 6 4 2 2_Sheet4" xfId="4831"/>
    <cellStyle name="표준 3 3 6 4 2 3" xfId="4832"/>
    <cellStyle name="표준 3 3 6 4 2 3 2" xfId="12668"/>
    <cellStyle name="표준 3 3 6 4 2 3 2 2" xfId="35135"/>
    <cellStyle name="표준 3 3 6 4 2 3 3" xfId="20152"/>
    <cellStyle name="표준 3 3 6 4 2 3 3 2" xfId="42617"/>
    <cellStyle name="표준 3 3 6 4 2 3 4" xfId="27653"/>
    <cellStyle name="표준 3 3 6 4 2 4" xfId="12665"/>
    <cellStyle name="표준 3 3 6 4 2 4 2" xfId="35132"/>
    <cellStyle name="표준 3 3 6 4 2 5" xfId="20149"/>
    <cellStyle name="표준 3 3 6 4 2 5 2" xfId="42614"/>
    <cellStyle name="표준 3 3 6 4 2 6" xfId="27650"/>
    <cellStyle name="표준 3 3 6 4 2_Sheet4" xfId="4833"/>
    <cellStyle name="표준 3 3 6 4 3" xfId="4834"/>
    <cellStyle name="표준 3 3 6 4 3 2" xfId="4835"/>
    <cellStyle name="표준 3 3 6 4 3 2 2" xfId="12670"/>
    <cellStyle name="표준 3 3 6 4 3 2 2 2" xfId="35137"/>
    <cellStyle name="표준 3 3 6 4 3 2 3" xfId="20154"/>
    <cellStyle name="표준 3 3 6 4 3 2 3 2" xfId="42619"/>
    <cellStyle name="표준 3 3 6 4 3 2 4" xfId="27655"/>
    <cellStyle name="표준 3 3 6 4 3 3" xfId="12669"/>
    <cellStyle name="표준 3 3 6 4 3 3 2" xfId="35136"/>
    <cellStyle name="표준 3 3 6 4 3 4" xfId="20153"/>
    <cellStyle name="표준 3 3 6 4 3 4 2" xfId="42618"/>
    <cellStyle name="표준 3 3 6 4 3 5" xfId="27654"/>
    <cellStyle name="표준 3 3 6 4 3_Sheet4" xfId="4836"/>
    <cellStyle name="표준 3 3 6 4 4" xfId="4837"/>
    <cellStyle name="표준 3 3 6 4 4 2" xfId="12671"/>
    <cellStyle name="표준 3 3 6 4 4 2 2" xfId="35138"/>
    <cellStyle name="표준 3 3 6 4 4 3" xfId="20155"/>
    <cellStyle name="표준 3 3 6 4 4 3 2" xfId="42620"/>
    <cellStyle name="표준 3 3 6 4 4 4" xfId="27656"/>
    <cellStyle name="표준 3 3 6 4 5" xfId="12664"/>
    <cellStyle name="표준 3 3 6 4 5 2" xfId="35131"/>
    <cellStyle name="표준 3 3 6 4 6" xfId="20148"/>
    <cellStyle name="표준 3 3 6 4 6 2" xfId="42613"/>
    <cellStyle name="표준 3 3 6 4 7" xfId="27649"/>
    <cellStyle name="표준 3 3 6 4_Sheet4" xfId="4838"/>
    <cellStyle name="표준 3 3 6 5" xfId="4839"/>
    <cellStyle name="표준 3 3 6 5 2" xfId="4840"/>
    <cellStyle name="표준 3 3 6 5 2 2" xfId="4841"/>
    <cellStyle name="표준 3 3 6 5 2 2 2" xfId="12674"/>
    <cellStyle name="표준 3 3 6 5 2 2 2 2" xfId="35141"/>
    <cellStyle name="표준 3 3 6 5 2 2 3" xfId="20158"/>
    <cellStyle name="표준 3 3 6 5 2 2 3 2" xfId="42623"/>
    <cellStyle name="표준 3 3 6 5 2 2 4" xfId="27659"/>
    <cellStyle name="표준 3 3 6 5 2 3" xfId="12673"/>
    <cellStyle name="표준 3 3 6 5 2 3 2" xfId="35140"/>
    <cellStyle name="표준 3 3 6 5 2 4" xfId="20157"/>
    <cellStyle name="표준 3 3 6 5 2 4 2" xfId="42622"/>
    <cellStyle name="표준 3 3 6 5 2 5" xfId="27658"/>
    <cellStyle name="표준 3 3 6 5 2_Sheet4" xfId="4842"/>
    <cellStyle name="표준 3 3 6 5 3" xfId="4843"/>
    <cellStyle name="표준 3 3 6 5 3 2" xfId="12675"/>
    <cellStyle name="표준 3 3 6 5 3 2 2" xfId="35142"/>
    <cellStyle name="표준 3 3 6 5 3 3" xfId="20159"/>
    <cellStyle name="표준 3 3 6 5 3 3 2" xfId="42624"/>
    <cellStyle name="표준 3 3 6 5 3 4" xfId="27660"/>
    <cellStyle name="표준 3 3 6 5 4" xfId="12672"/>
    <cellStyle name="표준 3 3 6 5 4 2" xfId="35139"/>
    <cellStyle name="표준 3 3 6 5 5" xfId="20156"/>
    <cellStyle name="표준 3 3 6 5 5 2" xfId="42621"/>
    <cellStyle name="표준 3 3 6 5 6" xfId="27657"/>
    <cellStyle name="표준 3 3 6 5_Sheet4" xfId="4844"/>
    <cellStyle name="표준 3 3 6 6" xfId="4845"/>
    <cellStyle name="표준 3 3 6 6 2" xfId="4846"/>
    <cellStyle name="표준 3 3 6 6 2 2" xfId="12677"/>
    <cellStyle name="표준 3 3 6 6 2 2 2" xfId="35144"/>
    <cellStyle name="표준 3 3 6 6 2 3" xfId="20161"/>
    <cellStyle name="표준 3 3 6 6 2 3 2" xfId="42626"/>
    <cellStyle name="표준 3 3 6 6 2 4" xfId="27662"/>
    <cellStyle name="표준 3 3 6 6 3" xfId="12676"/>
    <cellStyle name="표준 3 3 6 6 3 2" xfId="35143"/>
    <cellStyle name="표준 3 3 6 6 4" xfId="20160"/>
    <cellStyle name="표준 3 3 6 6 4 2" xfId="42625"/>
    <cellStyle name="표준 3 3 6 6 5" xfId="27661"/>
    <cellStyle name="표준 3 3 6 6_Sheet4" xfId="4847"/>
    <cellStyle name="표준 3 3 6 7" xfId="4848"/>
    <cellStyle name="표준 3 3 6 7 2" xfId="12678"/>
    <cellStyle name="표준 3 3 6 7 2 2" xfId="35145"/>
    <cellStyle name="표준 3 3 6 7 3" xfId="20162"/>
    <cellStyle name="표준 3 3 6 7 3 2" xfId="42627"/>
    <cellStyle name="표준 3 3 6 7 4" xfId="27663"/>
    <cellStyle name="표준 3 3 6 8" xfId="12631"/>
    <cellStyle name="표준 3 3 6 8 2" xfId="35098"/>
    <cellStyle name="표준 3 3 6 9" xfId="20115"/>
    <cellStyle name="표준 3 3 6 9 2" xfId="42580"/>
    <cellStyle name="표준 3 3 6_Sheet4" xfId="4849"/>
    <cellStyle name="표준 3 3 7" xfId="4850"/>
    <cellStyle name="표준 3 3 7 2" xfId="4851"/>
    <cellStyle name="표준 3 3 7 2 2" xfId="4852"/>
    <cellStyle name="표준 3 3 7 2 2 2" xfId="4853"/>
    <cellStyle name="표준 3 3 7 2 2 2 2" xfId="4854"/>
    <cellStyle name="표준 3 3 7 2 2 2 2 2" xfId="12683"/>
    <cellStyle name="표준 3 3 7 2 2 2 2 2 2" xfId="35150"/>
    <cellStyle name="표준 3 3 7 2 2 2 2 3" xfId="20167"/>
    <cellStyle name="표준 3 3 7 2 2 2 2 3 2" xfId="42632"/>
    <cellStyle name="표준 3 3 7 2 2 2 2 4" xfId="27668"/>
    <cellStyle name="표준 3 3 7 2 2 2 3" xfId="12682"/>
    <cellStyle name="표준 3 3 7 2 2 2 3 2" xfId="35149"/>
    <cellStyle name="표준 3 3 7 2 2 2 4" xfId="20166"/>
    <cellStyle name="표준 3 3 7 2 2 2 4 2" xfId="42631"/>
    <cellStyle name="표준 3 3 7 2 2 2 5" xfId="27667"/>
    <cellStyle name="표준 3 3 7 2 2 2_Sheet4" xfId="4855"/>
    <cellStyle name="표준 3 3 7 2 2 3" xfId="4856"/>
    <cellStyle name="표준 3 3 7 2 2 3 2" xfId="12684"/>
    <cellStyle name="표준 3 3 7 2 2 3 2 2" xfId="35151"/>
    <cellStyle name="표준 3 3 7 2 2 3 3" xfId="20168"/>
    <cellStyle name="표준 3 3 7 2 2 3 3 2" xfId="42633"/>
    <cellStyle name="표준 3 3 7 2 2 3 4" xfId="27669"/>
    <cellStyle name="표준 3 3 7 2 2 4" xfId="12681"/>
    <cellStyle name="표준 3 3 7 2 2 4 2" xfId="35148"/>
    <cellStyle name="표준 3 3 7 2 2 5" xfId="20165"/>
    <cellStyle name="표준 3 3 7 2 2 5 2" xfId="42630"/>
    <cellStyle name="표준 3 3 7 2 2 6" xfId="27666"/>
    <cellStyle name="표준 3 3 7 2 2_Sheet4" xfId="4857"/>
    <cellStyle name="표준 3 3 7 2 3" xfId="4858"/>
    <cellStyle name="표준 3 3 7 2 3 2" xfId="4859"/>
    <cellStyle name="표준 3 3 7 2 3 2 2" xfId="12686"/>
    <cellStyle name="표준 3 3 7 2 3 2 2 2" xfId="35153"/>
    <cellStyle name="표준 3 3 7 2 3 2 3" xfId="20170"/>
    <cellStyle name="표준 3 3 7 2 3 2 3 2" xfId="42635"/>
    <cellStyle name="표준 3 3 7 2 3 2 4" xfId="27671"/>
    <cellStyle name="표준 3 3 7 2 3 3" xfId="12685"/>
    <cellStyle name="표준 3 3 7 2 3 3 2" xfId="35152"/>
    <cellStyle name="표준 3 3 7 2 3 4" xfId="20169"/>
    <cellStyle name="표준 3 3 7 2 3 4 2" xfId="42634"/>
    <cellStyle name="표준 3 3 7 2 3 5" xfId="27670"/>
    <cellStyle name="표준 3 3 7 2 3_Sheet4" xfId="4860"/>
    <cellStyle name="표준 3 3 7 2 4" xfId="4861"/>
    <cellStyle name="표준 3 3 7 2 4 2" xfId="12687"/>
    <cellStyle name="표준 3 3 7 2 4 2 2" xfId="35154"/>
    <cellStyle name="표준 3 3 7 2 4 3" xfId="20171"/>
    <cellStyle name="표준 3 3 7 2 4 3 2" xfId="42636"/>
    <cellStyle name="표준 3 3 7 2 4 4" xfId="27672"/>
    <cellStyle name="표준 3 3 7 2 5" xfId="12680"/>
    <cellStyle name="표준 3 3 7 2 5 2" xfId="35147"/>
    <cellStyle name="표준 3 3 7 2 6" xfId="20164"/>
    <cellStyle name="표준 3 3 7 2 6 2" xfId="42629"/>
    <cellStyle name="표준 3 3 7 2 7" xfId="27665"/>
    <cellStyle name="표준 3 3 7 2_Sheet4" xfId="4862"/>
    <cellStyle name="표준 3 3 7 3" xfId="4863"/>
    <cellStyle name="표준 3 3 7 3 2" xfId="4864"/>
    <cellStyle name="표준 3 3 7 3 2 2" xfId="4865"/>
    <cellStyle name="표준 3 3 7 3 2 2 2" xfId="12690"/>
    <cellStyle name="표준 3 3 7 3 2 2 2 2" xfId="35157"/>
    <cellStyle name="표준 3 3 7 3 2 2 3" xfId="20174"/>
    <cellStyle name="표준 3 3 7 3 2 2 3 2" xfId="42639"/>
    <cellStyle name="표준 3 3 7 3 2 2 4" xfId="27675"/>
    <cellStyle name="표준 3 3 7 3 2 3" xfId="12689"/>
    <cellStyle name="표준 3 3 7 3 2 3 2" xfId="35156"/>
    <cellStyle name="표준 3 3 7 3 2 4" xfId="20173"/>
    <cellStyle name="표준 3 3 7 3 2 4 2" xfId="42638"/>
    <cellStyle name="표준 3 3 7 3 2 5" xfId="27674"/>
    <cellStyle name="표준 3 3 7 3 2_Sheet4" xfId="4866"/>
    <cellStyle name="표준 3 3 7 3 3" xfId="4867"/>
    <cellStyle name="표준 3 3 7 3 3 2" xfId="12691"/>
    <cellStyle name="표준 3 3 7 3 3 2 2" xfId="35158"/>
    <cellStyle name="표준 3 3 7 3 3 3" xfId="20175"/>
    <cellStyle name="표준 3 3 7 3 3 3 2" xfId="42640"/>
    <cellStyle name="표준 3 3 7 3 3 4" xfId="27676"/>
    <cellStyle name="표준 3 3 7 3 4" xfId="12688"/>
    <cellStyle name="표준 3 3 7 3 4 2" xfId="35155"/>
    <cellStyle name="표준 3 3 7 3 5" xfId="20172"/>
    <cellStyle name="표준 3 3 7 3 5 2" xfId="42637"/>
    <cellStyle name="표준 3 3 7 3 6" xfId="27673"/>
    <cellStyle name="표준 3 3 7 3_Sheet4" xfId="4868"/>
    <cellStyle name="표준 3 3 7 4" xfId="4869"/>
    <cellStyle name="표준 3 3 7 4 2" xfId="4870"/>
    <cellStyle name="표준 3 3 7 4 2 2" xfId="12693"/>
    <cellStyle name="표준 3 3 7 4 2 2 2" xfId="35160"/>
    <cellStyle name="표준 3 3 7 4 2 3" xfId="20177"/>
    <cellStyle name="표준 3 3 7 4 2 3 2" xfId="42642"/>
    <cellStyle name="표준 3 3 7 4 2 4" xfId="27678"/>
    <cellStyle name="표준 3 3 7 4 3" xfId="12692"/>
    <cellStyle name="표준 3 3 7 4 3 2" xfId="35159"/>
    <cellStyle name="표준 3 3 7 4 4" xfId="20176"/>
    <cellStyle name="표준 3 3 7 4 4 2" xfId="42641"/>
    <cellStyle name="표준 3 3 7 4 5" xfId="27677"/>
    <cellStyle name="표준 3 3 7 4_Sheet4" xfId="4871"/>
    <cellStyle name="표준 3 3 7 5" xfId="4872"/>
    <cellStyle name="표준 3 3 7 5 2" xfId="12694"/>
    <cellStyle name="표준 3 3 7 5 2 2" xfId="35161"/>
    <cellStyle name="표준 3 3 7 5 3" xfId="20178"/>
    <cellStyle name="표준 3 3 7 5 3 2" xfId="42643"/>
    <cellStyle name="표준 3 3 7 5 4" xfId="27679"/>
    <cellStyle name="표준 3 3 7 6" xfId="12679"/>
    <cellStyle name="표준 3 3 7 6 2" xfId="35146"/>
    <cellStyle name="표준 3 3 7 7" xfId="20163"/>
    <cellStyle name="표준 3 3 7 7 2" xfId="42628"/>
    <cellStyle name="표준 3 3 7 8" xfId="27664"/>
    <cellStyle name="표준 3 3 7_Sheet4" xfId="4873"/>
    <cellStyle name="표준 3 3 8" xfId="4874"/>
    <cellStyle name="표준 3 3 8 2" xfId="4875"/>
    <cellStyle name="표준 3 3 8 2 2" xfId="4876"/>
    <cellStyle name="표준 3 3 8 2 2 2" xfId="4877"/>
    <cellStyle name="표준 3 3 8 2 2 2 2" xfId="4878"/>
    <cellStyle name="표준 3 3 8 2 2 2 2 2" xfId="12699"/>
    <cellStyle name="표준 3 3 8 2 2 2 2 2 2" xfId="35166"/>
    <cellStyle name="표준 3 3 8 2 2 2 2 3" xfId="20183"/>
    <cellStyle name="표준 3 3 8 2 2 2 2 3 2" xfId="42648"/>
    <cellStyle name="표준 3 3 8 2 2 2 2 4" xfId="27684"/>
    <cellStyle name="표준 3 3 8 2 2 2 3" xfId="12698"/>
    <cellStyle name="표준 3 3 8 2 2 2 3 2" xfId="35165"/>
    <cellStyle name="표준 3 3 8 2 2 2 4" xfId="20182"/>
    <cellStyle name="표준 3 3 8 2 2 2 4 2" xfId="42647"/>
    <cellStyle name="표준 3 3 8 2 2 2 5" xfId="27683"/>
    <cellStyle name="표준 3 3 8 2 2 2_Sheet4" xfId="4879"/>
    <cellStyle name="표준 3 3 8 2 2 3" xfId="4880"/>
    <cellStyle name="표준 3 3 8 2 2 3 2" xfId="12700"/>
    <cellStyle name="표준 3 3 8 2 2 3 2 2" xfId="35167"/>
    <cellStyle name="표준 3 3 8 2 2 3 3" xfId="20184"/>
    <cellStyle name="표준 3 3 8 2 2 3 3 2" xfId="42649"/>
    <cellStyle name="표준 3 3 8 2 2 3 4" xfId="27685"/>
    <cellStyle name="표준 3 3 8 2 2 4" xfId="12697"/>
    <cellStyle name="표준 3 3 8 2 2 4 2" xfId="35164"/>
    <cellStyle name="표준 3 3 8 2 2 5" xfId="20181"/>
    <cellStyle name="표준 3 3 8 2 2 5 2" xfId="42646"/>
    <cellStyle name="표준 3 3 8 2 2 6" xfId="27682"/>
    <cellStyle name="표준 3 3 8 2 2_Sheet4" xfId="4881"/>
    <cellStyle name="표준 3 3 8 2 3" xfId="4882"/>
    <cellStyle name="표준 3 3 8 2 3 2" xfId="4883"/>
    <cellStyle name="표준 3 3 8 2 3 2 2" xfId="12702"/>
    <cellStyle name="표준 3 3 8 2 3 2 2 2" xfId="35169"/>
    <cellStyle name="표준 3 3 8 2 3 2 3" xfId="20186"/>
    <cellStyle name="표준 3 3 8 2 3 2 3 2" xfId="42651"/>
    <cellStyle name="표준 3 3 8 2 3 2 4" xfId="27687"/>
    <cellStyle name="표준 3 3 8 2 3 3" xfId="12701"/>
    <cellStyle name="표준 3 3 8 2 3 3 2" xfId="35168"/>
    <cellStyle name="표준 3 3 8 2 3 4" xfId="20185"/>
    <cellStyle name="표준 3 3 8 2 3 4 2" xfId="42650"/>
    <cellStyle name="표준 3 3 8 2 3 5" xfId="27686"/>
    <cellStyle name="표준 3 3 8 2 3_Sheet4" xfId="4884"/>
    <cellStyle name="표준 3 3 8 2 4" xfId="4885"/>
    <cellStyle name="표준 3 3 8 2 4 2" xfId="12703"/>
    <cellStyle name="표준 3 3 8 2 4 2 2" xfId="35170"/>
    <cellStyle name="표준 3 3 8 2 4 3" xfId="20187"/>
    <cellStyle name="표준 3 3 8 2 4 3 2" xfId="42652"/>
    <cellStyle name="표준 3 3 8 2 4 4" xfId="27688"/>
    <cellStyle name="표준 3 3 8 2 5" xfId="12696"/>
    <cellStyle name="표준 3 3 8 2 5 2" xfId="35163"/>
    <cellStyle name="표준 3 3 8 2 6" xfId="20180"/>
    <cellStyle name="표준 3 3 8 2 6 2" xfId="42645"/>
    <cellStyle name="표준 3 3 8 2 7" xfId="27681"/>
    <cellStyle name="표준 3 3 8 2_Sheet4" xfId="4886"/>
    <cellStyle name="표준 3 3 8 3" xfId="4887"/>
    <cellStyle name="표준 3 3 8 3 2" xfId="4888"/>
    <cellStyle name="표준 3 3 8 3 2 2" xfId="4889"/>
    <cellStyle name="표준 3 3 8 3 2 2 2" xfId="12706"/>
    <cellStyle name="표준 3 3 8 3 2 2 2 2" xfId="35173"/>
    <cellStyle name="표준 3 3 8 3 2 2 3" xfId="20190"/>
    <cellStyle name="표준 3 3 8 3 2 2 3 2" xfId="42655"/>
    <cellStyle name="표준 3 3 8 3 2 2 4" xfId="27691"/>
    <cellStyle name="표준 3 3 8 3 2 3" xfId="12705"/>
    <cellStyle name="표준 3 3 8 3 2 3 2" xfId="35172"/>
    <cellStyle name="표준 3 3 8 3 2 4" xfId="20189"/>
    <cellStyle name="표준 3 3 8 3 2 4 2" xfId="42654"/>
    <cellStyle name="표준 3 3 8 3 2 5" xfId="27690"/>
    <cellStyle name="표준 3 3 8 3 2_Sheet4" xfId="4890"/>
    <cellStyle name="표준 3 3 8 3 3" xfId="4891"/>
    <cellStyle name="표준 3 3 8 3 3 2" xfId="12707"/>
    <cellStyle name="표준 3 3 8 3 3 2 2" xfId="35174"/>
    <cellStyle name="표준 3 3 8 3 3 3" xfId="20191"/>
    <cellStyle name="표준 3 3 8 3 3 3 2" xfId="42656"/>
    <cellStyle name="표준 3 3 8 3 3 4" xfId="27692"/>
    <cellStyle name="표준 3 3 8 3 4" xfId="12704"/>
    <cellStyle name="표준 3 3 8 3 4 2" xfId="35171"/>
    <cellStyle name="표준 3 3 8 3 5" xfId="20188"/>
    <cellStyle name="표준 3 3 8 3 5 2" xfId="42653"/>
    <cellStyle name="표준 3 3 8 3 6" xfId="27689"/>
    <cellStyle name="표준 3 3 8 3_Sheet4" xfId="4892"/>
    <cellStyle name="표준 3 3 8 4" xfId="4893"/>
    <cellStyle name="표준 3 3 8 4 2" xfId="4894"/>
    <cellStyle name="표준 3 3 8 4 2 2" xfId="12709"/>
    <cellStyle name="표준 3 3 8 4 2 2 2" xfId="35176"/>
    <cellStyle name="표준 3 3 8 4 2 3" xfId="20193"/>
    <cellStyle name="표준 3 3 8 4 2 3 2" xfId="42658"/>
    <cellStyle name="표준 3 3 8 4 2 4" xfId="27694"/>
    <cellStyle name="표준 3 3 8 4 3" xfId="12708"/>
    <cellStyle name="표준 3 3 8 4 3 2" xfId="35175"/>
    <cellStyle name="표준 3 3 8 4 4" xfId="20192"/>
    <cellStyle name="표준 3 3 8 4 4 2" xfId="42657"/>
    <cellStyle name="표준 3 3 8 4 5" xfId="27693"/>
    <cellStyle name="표준 3 3 8 4_Sheet4" xfId="4895"/>
    <cellStyle name="표준 3 3 8 5" xfId="4896"/>
    <cellStyle name="표준 3 3 8 5 2" xfId="12710"/>
    <cellStyle name="표준 3 3 8 5 2 2" xfId="35177"/>
    <cellStyle name="표준 3 3 8 5 3" xfId="20194"/>
    <cellStyle name="표준 3 3 8 5 3 2" xfId="42659"/>
    <cellStyle name="표준 3 3 8 5 4" xfId="27695"/>
    <cellStyle name="표준 3 3 8 6" xfId="12695"/>
    <cellStyle name="표준 3 3 8 6 2" xfId="35162"/>
    <cellStyle name="표준 3 3 8 7" xfId="20179"/>
    <cellStyle name="표준 3 3 8 7 2" xfId="42644"/>
    <cellStyle name="표준 3 3 8 8" xfId="27680"/>
    <cellStyle name="표준 3 3 8_Sheet4" xfId="4897"/>
    <cellStyle name="표준 3 3 9" xfId="4898"/>
    <cellStyle name="표준 3 3 9 2" xfId="4899"/>
    <cellStyle name="표준 3 3 9 2 2" xfId="4900"/>
    <cellStyle name="표준 3 3 9 2 2 2" xfId="4901"/>
    <cellStyle name="표준 3 3 9 2 2 2 2" xfId="12714"/>
    <cellStyle name="표준 3 3 9 2 2 2 2 2" xfId="35181"/>
    <cellStyle name="표준 3 3 9 2 2 2 3" xfId="20198"/>
    <cellStyle name="표준 3 3 9 2 2 2 3 2" xfId="42663"/>
    <cellStyle name="표준 3 3 9 2 2 2 4" xfId="27699"/>
    <cellStyle name="표준 3 3 9 2 2 3" xfId="12713"/>
    <cellStyle name="표준 3 3 9 2 2 3 2" xfId="35180"/>
    <cellStyle name="표준 3 3 9 2 2 4" xfId="20197"/>
    <cellStyle name="표준 3 3 9 2 2 4 2" xfId="42662"/>
    <cellStyle name="표준 3 3 9 2 2 5" xfId="27698"/>
    <cellStyle name="표준 3 3 9 2 2_Sheet4" xfId="4902"/>
    <cellStyle name="표준 3 3 9 2 3" xfId="4903"/>
    <cellStyle name="표준 3 3 9 2 3 2" xfId="12715"/>
    <cellStyle name="표준 3 3 9 2 3 2 2" xfId="35182"/>
    <cellStyle name="표준 3 3 9 2 3 3" xfId="20199"/>
    <cellStyle name="표준 3 3 9 2 3 3 2" xfId="42664"/>
    <cellStyle name="표준 3 3 9 2 3 4" xfId="27700"/>
    <cellStyle name="표준 3 3 9 2 4" xfId="12712"/>
    <cellStyle name="표준 3 3 9 2 4 2" xfId="35179"/>
    <cellStyle name="표준 3 3 9 2 5" xfId="20196"/>
    <cellStyle name="표준 3 3 9 2 5 2" xfId="42661"/>
    <cellStyle name="표준 3 3 9 2 6" xfId="27697"/>
    <cellStyle name="표준 3 3 9 2_Sheet4" xfId="4904"/>
    <cellStyle name="표준 3 3 9 3" xfId="4905"/>
    <cellStyle name="표준 3 3 9 3 2" xfId="4906"/>
    <cellStyle name="표준 3 3 9 3 2 2" xfId="12717"/>
    <cellStyle name="표준 3 3 9 3 2 2 2" xfId="35184"/>
    <cellStyle name="표준 3 3 9 3 2 3" xfId="20201"/>
    <cellStyle name="표준 3 3 9 3 2 3 2" xfId="42666"/>
    <cellStyle name="표준 3 3 9 3 2 4" xfId="27702"/>
    <cellStyle name="표준 3 3 9 3 3" xfId="12716"/>
    <cellStyle name="표준 3 3 9 3 3 2" xfId="35183"/>
    <cellStyle name="표준 3 3 9 3 4" xfId="20200"/>
    <cellStyle name="표준 3 3 9 3 4 2" xfId="42665"/>
    <cellStyle name="표준 3 3 9 3 5" xfId="27701"/>
    <cellStyle name="표준 3 3 9 3_Sheet4" xfId="4907"/>
    <cellStyle name="표준 3 3 9 4" xfId="4908"/>
    <cellStyle name="표준 3 3 9 4 2" xfId="12718"/>
    <cellStyle name="표준 3 3 9 4 2 2" xfId="35185"/>
    <cellStyle name="표준 3 3 9 4 3" xfId="20202"/>
    <cellStyle name="표준 3 3 9 4 3 2" xfId="42667"/>
    <cellStyle name="표준 3 3 9 4 4" xfId="27703"/>
    <cellStyle name="표준 3 3 9 5" xfId="12711"/>
    <cellStyle name="표준 3 3 9 5 2" xfId="35178"/>
    <cellStyle name="표준 3 3 9 6" xfId="20195"/>
    <cellStyle name="표준 3 3 9 6 2" xfId="42660"/>
    <cellStyle name="표준 3 3 9 7" xfId="27696"/>
    <cellStyle name="표준 3 3 9_Sheet4" xfId="4909"/>
    <cellStyle name="표준 3 3_Sheet4" xfId="4910"/>
    <cellStyle name="표준 3_Sheet4" xfId="4911"/>
    <cellStyle name="표준 30" xfId="17080"/>
    <cellStyle name="표준 31" xfId="24563"/>
    <cellStyle name="표준 31 2" xfId="47028"/>
    <cellStyle name="표준 32" xfId="24564"/>
    <cellStyle name="표준 33" xfId="24565"/>
    <cellStyle name="표준 34" xfId="24566"/>
    <cellStyle name="표준 35" xfId="24567"/>
    <cellStyle name="표준 36" xfId="24568"/>
    <cellStyle name="표준 37" xfId="24569"/>
    <cellStyle name="표준 37 2" xfId="47029"/>
    <cellStyle name="표준 38" xfId="24574"/>
    <cellStyle name="표준 39" xfId="24575"/>
    <cellStyle name="표준 4" xfId="4912"/>
    <cellStyle name="표준 4 2" xfId="4913"/>
    <cellStyle name="표준 4 2 10" xfId="4914"/>
    <cellStyle name="표준 4 2 10 2" xfId="4915"/>
    <cellStyle name="표준 4 2 10 2 2" xfId="4916"/>
    <cellStyle name="표준 4 2 10 2 2 2" xfId="4917"/>
    <cellStyle name="표준 4 2 10 2 2 2 2" xfId="12723"/>
    <cellStyle name="표준 4 2 10 2 2 2 2 2" xfId="35190"/>
    <cellStyle name="표준 4 2 10 2 2 2 3" xfId="20207"/>
    <cellStyle name="표준 4 2 10 2 2 2 3 2" xfId="42672"/>
    <cellStyle name="표준 4 2 10 2 2 2 4" xfId="27708"/>
    <cellStyle name="표준 4 2 10 2 2 3" xfId="12722"/>
    <cellStyle name="표준 4 2 10 2 2 3 2" xfId="35189"/>
    <cellStyle name="표준 4 2 10 2 2 4" xfId="20206"/>
    <cellStyle name="표준 4 2 10 2 2 4 2" xfId="42671"/>
    <cellStyle name="표준 4 2 10 2 2 5" xfId="27707"/>
    <cellStyle name="표준 4 2 10 2 2_Sheet4" xfId="4918"/>
    <cellStyle name="표준 4 2 10 2 3" xfId="4919"/>
    <cellStyle name="표준 4 2 10 2 3 2" xfId="12724"/>
    <cellStyle name="표준 4 2 10 2 3 2 2" xfId="35191"/>
    <cellStyle name="표준 4 2 10 2 3 3" xfId="20208"/>
    <cellStyle name="표준 4 2 10 2 3 3 2" xfId="42673"/>
    <cellStyle name="표준 4 2 10 2 3 4" xfId="27709"/>
    <cellStyle name="표준 4 2 10 2 4" xfId="12721"/>
    <cellStyle name="표준 4 2 10 2 4 2" xfId="35188"/>
    <cellStyle name="표준 4 2 10 2 5" xfId="20205"/>
    <cellStyle name="표준 4 2 10 2 5 2" xfId="42670"/>
    <cellStyle name="표준 4 2 10 2 6" xfId="27706"/>
    <cellStyle name="표준 4 2 10 2_Sheet4" xfId="4920"/>
    <cellStyle name="표준 4 2 10 3" xfId="4921"/>
    <cellStyle name="표준 4 2 10 3 2" xfId="4922"/>
    <cellStyle name="표준 4 2 10 3 2 2" xfId="12726"/>
    <cellStyle name="표준 4 2 10 3 2 2 2" xfId="35193"/>
    <cellStyle name="표준 4 2 10 3 2 3" xfId="20210"/>
    <cellStyle name="표준 4 2 10 3 2 3 2" xfId="42675"/>
    <cellStyle name="표준 4 2 10 3 2 4" xfId="27711"/>
    <cellStyle name="표준 4 2 10 3 3" xfId="12725"/>
    <cellStyle name="표준 4 2 10 3 3 2" xfId="35192"/>
    <cellStyle name="표준 4 2 10 3 4" xfId="20209"/>
    <cellStyle name="표준 4 2 10 3 4 2" xfId="42674"/>
    <cellStyle name="표준 4 2 10 3 5" xfId="27710"/>
    <cellStyle name="표준 4 2 10 3_Sheet4" xfId="4923"/>
    <cellStyle name="표준 4 2 10 4" xfId="4924"/>
    <cellStyle name="표준 4 2 10 4 2" xfId="12727"/>
    <cellStyle name="표준 4 2 10 4 2 2" xfId="35194"/>
    <cellStyle name="표준 4 2 10 4 3" xfId="20211"/>
    <cellStyle name="표준 4 2 10 4 3 2" xfId="42676"/>
    <cellStyle name="표준 4 2 10 4 4" xfId="27712"/>
    <cellStyle name="표준 4 2 10 5" xfId="12720"/>
    <cellStyle name="표준 4 2 10 5 2" xfId="35187"/>
    <cellStyle name="표준 4 2 10 6" xfId="20204"/>
    <cellStyle name="표준 4 2 10 6 2" xfId="42669"/>
    <cellStyle name="표준 4 2 10 7" xfId="27705"/>
    <cellStyle name="표준 4 2 10_Sheet4" xfId="4925"/>
    <cellStyle name="표준 4 2 11" xfId="4926"/>
    <cellStyle name="표준 4 2 11 2" xfId="4927"/>
    <cellStyle name="표준 4 2 11 2 2" xfId="4928"/>
    <cellStyle name="표준 4 2 11 2 2 2" xfId="4929"/>
    <cellStyle name="표준 4 2 11 2 2 2 2" xfId="12731"/>
    <cellStyle name="표준 4 2 11 2 2 2 2 2" xfId="35198"/>
    <cellStyle name="표준 4 2 11 2 2 2 3" xfId="20215"/>
    <cellStyle name="표준 4 2 11 2 2 2 3 2" xfId="42680"/>
    <cellStyle name="표준 4 2 11 2 2 2 4" xfId="27716"/>
    <cellStyle name="표준 4 2 11 2 2 3" xfId="12730"/>
    <cellStyle name="표준 4 2 11 2 2 3 2" xfId="35197"/>
    <cellStyle name="표준 4 2 11 2 2 4" xfId="20214"/>
    <cellStyle name="표준 4 2 11 2 2 4 2" xfId="42679"/>
    <cellStyle name="표준 4 2 11 2 2 5" xfId="27715"/>
    <cellStyle name="표준 4 2 11 2 2_Sheet4" xfId="4930"/>
    <cellStyle name="표준 4 2 11 2 3" xfId="4931"/>
    <cellStyle name="표준 4 2 11 2 3 2" xfId="12732"/>
    <cellStyle name="표준 4 2 11 2 3 2 2" xfId="35199"/>
    <cellStyle name="표준 4 2 11 2 3 3" xfId="20216"/>
    <cellStyle name="표준 4 2 11 2 3 3 2" xfId="42681"/>
    <cellStyle name="표준 4 2 11 2 3 4" xfId="27717"/>
    <cellStyle name="표준 4 2 11 2 4" xfId="12729"/>
    <cellStyle name="표준 4 2 11 2 4 2" xfId="35196"/>
    <cellStyle name="표준 4 2 11 2 5" xfId="20213"/>
    <cellStyle name="표준 4 2 11 2 5 2" xfId="42678"/>
    <cellStyle name="표준 4 2 11 2 6" xfId="27714"/>
    <cellStyle name="표준 4 2 11 2_Sheet4" xfId="4932"/>
    <cellStyle name="표준 4 2 11 3" xfId="4933"/>
    <cellStyle name="표준 4 2 11 3 2" xfId="4934"/>
    <cellStyle name="표준 4 2 11 3 2 2" xfId="12734"/>
    <cellStyle name="표준 4 2 11 3 2 2 2" xfId="35201"/>
    <cellStyle name="표준 4 2 11 3 2 3" xfId="20218"/>
    <cellStyle name="표준 4 2 11 3 2 3 2" xfId="42683"/>
    <cellStyle name="표준 4 2 11 3 2 4" xfId="27719"/>
    <cellStyle name="표준 4 2 11 3 3" xfId="12733"/>
    <cellStyle name="표준 4 2 11 3 3 2" xfId="35200"/>
    <cellStyle name="표준 4 2 11 3 4" xfId="20217"/>
    <cellStyle name="표준 4 2 11 3 4 2" xfId="42682"/>
    <cellStyle name="표준 4 2 11 3 5" xfId="27718"/>
    <cellStyle name="표준 4 2 11 3_Sheet4" xfId="4935"/>
    <cellStyle name="표준 4 2 11 4" xfId="4936"/>
    <cellStyle name="표준 4 2 11 4 2" xfId="12735"/>
    <cellStyle name="표준 4 2 11 4 2 2" xfId="35202"/>
    <cellStyle name="표준 4 2 11 4 3" xfId="20219"/>
    <cellStyle name="표준 4 2 11 4 3 2" xfId="42684"/>
    <cellStyle name="표준 4 2 11 4 4" xfId="27720"/>
    <cellStyle name="표준 4 2 11 5" xfId="12728"/>
    <cellStyle name="표준 4 2 11 5 2" xfId="35195"/>
    <cellStyle name="표준 4 2 11 6" xfId="20212"/>
    <cellStyle name="표준 4 2 11 6 2" xfId="42677"/>
    <cellStyle name="표준 4 2 11 7" xfId="27713"/>
    <cellStyle name="표준 4 2 11_Sheet4" xfId="4937"/>
    <cellStyle name="표준 4 2 12" xfId="4938"/>
    <cellStyle name="표준 4 2 12 2" xfId="4939"/>
    <cellStyle name="표준 4 2 12 2 2" xfId="4940"/>
    <cellStyle name="표준 4 2 12 2 2 2" xfId="12738"/>
    <cellStyle name="표준 4 2 12 2 2 2 2" xfId="35205"/>
    <cellStyle name="표준 4 2 12 2 2 3" xfId="20222"/>
    <cellStyle name="표준 4 2 12 2 2 3 2" xfId="42687"/>
    <cellStyle name="표준 4 2 12 2 2 4" xfId="27723"/>
    <cellStyle name="표준 4 2 12 2 3" xfId="12737"/>
    <cellStyle name="표준 4 2 12 2 3 2" xfId="35204"/>
    <cellStyle name="표준 4 2 12 2 4" xfId="20221"/>
    <cellStyle name="표준 4 2 12 2 4 2" xfId="42686"/>
    <cellStyle name="표준 4 2 12 2 5" xfId="27722"/>
    <cellStyle name="표준 4 2 12 2_Sheet4" xfId="4941"/>
    <cellStyle name="표준 4 2 12 3" xfId="4942"/>
    <cellStyle name="표준 4 2 12 3 2" xfId="12739"/>
    <cellStyle name="표준 4 2 12 3 2 2" xfId="35206"/>
    <cellStyle name="표준 4 2 12 3 3" xfId="20223"/>
    <cellStyle name="표준 4 2 12 3 3 2" xfId="42688"/>
    <cellStyle name="표준 4 2 12 3 4" xfId="27724"/>
    <cellStyle name="표준 4 2 12 4" xfId="12736"/>
    <cellStyle name="표준 4 2 12 4 2" xfId="35203"/>
    <cellStyle name="표준 4 2 12 5" xfId="20220"/>
    <cellStyle name="표준 4 2 12 5 2" xfId="42685"/>
    <cellStyle name="표준 4 2 12 6" xfId="27721"/>
    <cellStyle name="표준 4 2 12_Sheet4" xfId="4943"/>
    <cellStyle name="표준 4 2 13" xfId="4944"/>
    <cellStyle name="표준 4 2 13 2" xfId="4945"/>
    <cellStyle name="표준 4 2 13 2 2" xfId="4946"/>
    <cellStyle name="표준 4 2 13 2 2 2" xfId="12742"/>
    <cellStyle name="표준 4 2 13 2 2 2 2" xfId="35209"/>
    <cellStyle name="표준 4 2 13 2 2 3" xfId="20226"/>
    <cellStyle name="표준 4 2 13 2 2 3 2" xfId="42691"/>
    <cellStyle name="표준 4 2 13 2 2 4" xfId="27727"/>
    <cellStyle name="표준 4 2 13 2 3" xfId="12741"/>
    <cellStyle name="표준 4 2 13 2 3 2" xfId="35208"/>
    <cellStyle name="표준 4 2 13 2 4" xfId="20225"/>
    <cellStyle name="표준 4 2 13 2 4 2" xfId="42690"/>
    <cellStyle name="표준 4 2 13 2 5" xfId="27726"/>
    <cellStyle name="표준 4 2 13 2_Sheet4" xfId="4947"/>
    <cellStyle name="표준 4 2 13 3" xfId="4948"/>
    <cellStyle name="표준 4 2 13 3 2" xfId="12743"/>
    <cellStyle name="표준 4 2 13 3 2 2" xfId="35210"/>
    <cellStyle name="표준 4 2 13 3 3" xfId="20227"/>
    <cellStyle name="표준 4 2 13 3 3 2" xfId="42692"/>
    <cellStyle name="표준 4 2 13 3 4" xfId="27728"/>
    <cellStyle name="표준 4 2 13 4" xfId="12740"/>
    <cellStyle name="표준 4 2 13 4 2" xfId="35207"/>
    <cellStyle name="표준 4 2 13 5" xfId="20224"/>
    <cellStyle name="표준 4 2 13 5 2" xfId="42689"/>
    <cellStyle name="표준 4 2 13 6" xfId="27725"/>
    <cellStyle name="표준 4 2 13_Sheet4" xfId="4949"/>
    <cellStyle name="표준 4 2 14" xfId="4950"/>
    <cellStyle name="표준 4 2 14 2" xfId="4951"/>
    <cellStyle name="표준 4 2 14 2 2" xfId="4952"/>
    <cellStyle name="표준 4 2 14 2 2 2" xfId="12746"/>
    <cellStyle name="표준 4 2 14 2 2 2 2" xfId="35213"/>
    <cellStyle name="표준 4 2 14 2 2 3" xfId="20230"/>
    <cellStyle name="표준 4 2 14 2 2 3 2" xfId="42695"/>
    <cellStyle name="표준 4 2 14 2 2 4" xfId="27731"/>
    <cellStyle name="표준 4 2 14 2 3" xfId="12745"/>
    <cellStyle name="표준 4 2 14 2 3 2" xfId="35212"/>
    <cellStyle name="표준 4 2 14 2 4" xfId="20229"/>
    <cellStyle name="표준 4 2 14 2 4 2" xfId="42694"/>
    <cellStyle name="표준 4 2 14 2 5" xfId="27730"/>
    <cellStyle name="표준 4 2 14 2_Sheet4" xfId="4953"/>
    <cellStyle name="표준 4 2 14 3" xfId="4954"/>
    <cellStyle name="표준 4 2 14 3 2" xfId="12747"/>
    <cellStyle name="표준 4 2 14 3 2 2" xfId="35214"/>
    <cellStyle name="표준 4 2 14 3 3" xfId="20231"/>
    <cellStyle name="표준 4 2 14 3 3 2" xfId="42696"/>
    <cellStyle name="표준 4 2 14 3 4" xfId="27732"/>
    <cellStyle name="표준 4 2 14 4" xfId="12744"/>
    <cellStyle name="표준 4 2 14 4 2" xfId="35211"/>
    <cellStyle name="표준 4 2 14 5" xfId="20228"/>
    <cellStyle name="표준 4 2 14 5 2" xfId="42693"/>
    <cellStyle name="표준 4 2 14 6" xfId="27729"/>
    <cellStyle name="표준 4 2 14_Sheet4" xfId="4955"/>
    <cellStyle name="표준 4 2 15" xfId="4956"/>
    <cellStyle name="표준 4 2 15 2" xfId="4957"/>
    <cellStyle name="표준 4 2 15 2 2" xfId="4958"/>
    <cellStyle name="표준 4 2 15 2 2 2" xfId="12750"/>
    <cellStyle name="표준 4 2 15 2 2 2 2" xfId="35217"/>
    <cellStyle name="표준 4 2 15 2 2 3" xfId="20234"/>
    <cellStyle name="표준 4 2 15 2 2 3 2" xfId="42699"/>
    <cellStyle name="표준 4 2 15 2 2 4" xfId="27735"/>
    <cellStyle name="표준 4 2 15 2 3" xfId="12749"/>
    <cellStyle name="표준 4 2 15 2 3 2" xfId="35216"/>
    <cellStyle name="표준 4 2 15 2 4" xfId="20233"/>
    <cellStyle name="표준 4 2 15 2 4 2" xfId="42698"/>
    <cellStyle name="표준 4 2 15 2 5" xfId="27734"/>
    <cellStyle name="표준 4 2 15 2_Sheet4" xfId="4959"/>
    <cellStyle name="표준 4 2 15 3" xfId="4960"/>
    <cellStyle name="표준 4 2 15 3 2" xfId="12751"/>
    <cellStyle name="표준 4 2 15 3 2 2" xfId="35218"/>
    <cellStyle name="표준 4 2 15 3 3" xfId="20235"/>
    <cellStyle name="표준 4 2 15 3 3 2" xfId="42700"/>
    <cellStyle name="표준 4 2 15 3 4" xfId="27736"/>
    <cellStyle name="표준 4 2 15 4" xfId="12748"/>
    <cellStyle name="표준 4 2 15 4 2" xfId="35215"/>
    <cellStyle name="표준 4 2 15 5" xfId="20232"/>
    <cellStyle name="표준 4 2 15 5 2" xfId="42697"/>
    <cellStyle name="표준 4 2 15 6" xfId="27733"/>
    <cellStyle name="표준 4 2 15_Sheet4" xfId="4961"/>
    <cellStyle name="표준 4 2 16" xfId="4962"/>
    <cellStyle name="표준 4 2 16 2" xfId="4963"/>
    <cellStyle name="표준 4 2 16 2 2" xfId="12753"/>
    <cellStyle name="표준 4 2 16 2 2 2" xfId="35220"/>
    <cellStyle name="표준 4 2 16 2 3" xfId="20237"/>
    <cellStyle name="표준 4 2 16 2 3 2" xfId="42702"/>
    <cellStyle name="표준 4 2 16 2 4" xfId="27738"/>
    <cellStyle name="표준 4 2 16 3" xfId="12752"/>
    <cellStyle name="표준 4 2 16 3 2" xfId="35219"/>
    <cellStyle name="표준 4 2 16 4" xfId="20236"/>
    <cellStyle name="표준 4 2 16 4 2" xfId="42701"/>
    <cellStyle name="표준 4 2 16 5" xfId="27737"/>
    <cellStyle name="표준 4 2 16_Sheet4" xfId="4964"/>
    <cellStyle name="표준 4 2 17" xfId="4965"/>
    <cellStyle name="표준 4 2 17 2" xfId="12754"/>
    <cellStyle name="표준 4 2 17 2 2" xfId="35221"/>
    <cellStyle name="표준 4 2 17 3" xfId="20238"/>
    <cellStyle name="표준 4 2 17 3 2" xfId="42703"/>
    <cellStyle name="표준 4 2 17 4" xfId="27739"/>
    <cellStyle name="표준 4 2 18" xfId="4966"/>
    <cellStyle name="표준 4 2 18 2" xfId="12755"/>
    <cellStyle name="표준 4 2 18 2 2" xfId="35222"/>
    <cellStyle name="표준 4 2 18 3" xfId="20239"/>
    <cellStyle name="표준 4 2 18 3 2" xfId="42704"/>
    <cellStyle name="표준 4 2 18 4" xfId="27740"/>
    <cellStyle name="표준 4 2 19" xfId="12719"/>
    <cellStyle name="표준 4 2 19 2" xfId="35186"/>
    <cellStyle name="표준 4 2 2" xfId="4967"/>
    <cellStyle name="표준 4 2 2 10" xfId="4968"/>
    <cellStyle name="표준 4 2 2 10 2" xfId="4969"/>
    <cellStyle name="표준 4 2 2 10 2 2" xfId="4970"/>
    <cellStyle name="표준 4 2 2 10 2 2 2" xfId="4971"/>
    <cellStyle name="표준 4 2 2 10 2 2 2 2" xfId="12760"/>
    <cellStyle name="표준 4 2 2 10 2 2 2 2 2" xfId="35227"/>
    <cellStyle name="표준 4 2 2 10 2 2 2 3" xfId="20244"/>
    <cellStyle name="표준 4 2 2 10 2 2 2 3 2" xfId="42709"/>
    <cellStyle name="표준 4 2 2 10 2 2 2 4" xfId="27745"/>
    <cellStyle name="표준 4 2 2 10 2 2 3" xfId="12759"/>
    <cellStyle name="표준 4 2 2 10 2 2 3 2" xfId="35226"/>
    <cellStyle name="표준 4 2 2 10 2 2 4" xfId="20243"/>
    <cellStyle name="표준 4 2 2 10 2 2 4 2" xfId="42708"/>
    <cellStyle name="표준 4 2 2 10 2 2 5" xfId="27744"/>
    <cellStyle name="표준 4 2 2 10 2 2_Sheet4" xfId="4972"/>
    <cellStyle name="표준 4 2 2 10 2 3" xfId="4973"/>
    <cellStyle name="표준 4 2 2 10 2 3 2" xfId="12761"/>
    <cellStyle name="표준 4 2 2 10 2 3 2 2" xfId="35228"/>
    <cellStyle name="표준 4 2 2 10 2 3 3" xfId="20245"/>
    <cellStyle name="표준 4 2 2 10 2 3 3 2" xfId="42710"/>
    <cellStyle name="표준 4 2 2 10 2 3 4" xfId="27746"/>
    <cellStyle name="표준 4 2 2 10 2 4" xfId="12758"/>
    <cellStyle name="표준 4 2 2 10 2 4 2" xfId="35225"/>
    <cellStyle name="표준 4 2 2 10 2 5" xfId="20242"/>
    <cellStyle name="표준 4 2 2 10 2 5 2" xfId="42707"/>
    <cellStyle name="표준 4 2 2 10 2 6" xfId="27743"/>
    <cellStyle name="표준 4 2 2 10 2_Sheet4" xfId="4974"/>
    <cellStyle name="표준 4 2 2 10 3" xfId="4975"/>
    <cellStyle name="표준 4 2 2 10 3 2" xfId="4976"/>
    <cellStyle name="표준 4 2 2 10 3 2 2" xfId="12763"/>
    <cellStyle name="표준 4 2 2 10 3 2 2 2" xfId="35230"/>
    <cellStyle name="표준 4 2 2 10 3 2 3" xfId="20247"/>
    <cellStyle name="표준 4 2 2 10 3 2 3 2" xfId="42712"/>
    <cellStyle name="표준 4 2 2 10 3 2 4" xfId="27748"/>
    <cellStyle name="표준 4 2 2 10 3 3" xfId="12762"/>
    <cellStyle name="표준 4 2 2 10 3 3 2" xfId="35229"/>
    <cellStyle name="표준 4 2 2 10 3 4" xfId="20246"/>
    <cellStyle name="표준 4 2 2 10 3 4 2" xfId="42711"/>
    <cellStyle name="표준 4 2 2 10 3 5" xfId="27747"/>
    <cellStyle name="표준 4 2 2 10 3_Sheet4" xfId="4977"/>
    <cellStyle name="표준 4 2 2 10 4" xfId="4978"/>
    <cellStyle name="표준 4 2 2 10 4 2" xfId="12764"/>
    <cellStyle name="표준 4 2 2 10 4 2 2" xfId="35231"/>
    <cellStyle name="표준 4 2 2 10 4 3" xfId="20248"/>
    <cellStyle name="표준 4 2 2 10 4 3 2" xfId="42713"/>
    <cellStyle name="표준 4 2 2 10 4 4" xfId="27749"/>
    <cellStyle name="표준 4 2 2 10 5" xfId="12757"/>
    <cellStyle name="표준 4 2 2 10 5 2" xfId="35224"/>
    <cellStyle name="표준 4 2 2 10 6" xfId="20241"/>
    <cellStyle name="표준 4 2 2 10 6 2" xfId="42706"/>
    <cellStyle name="표준 4 2 2 10 7" xfId="27742"/>
    <cellStyle name="표준 4 2 2 10_Sheet4" xfId="4979"/>
    <cellStyle name="표준 4 2 2 11" xfId="4980"/>
    <cellStyle name="표준 4 2 2 11 2" xfId="4981"/>
    <cellStyle name="표준 4 2 2 11 2 2" xfId="4982"/>
    <cellStyle name="표준 4 2 2 11 2 2 2" xfId="12767"/>
    <cellStyle name="표준 4 2 2 11 2 2 2 2" xfId="35234"/>
    <cellStyle name="표준 4 2 2 11 2 2 3" xfId="20251"/>
    <cellStyle name="표준 4 2 2 11 2 2 3 2" xfId="42716"/>
    <cellStyle name="표준 4 2 2 11 2 2 4" xfId="27752"/>
    <cellStyle name="표준 4 2 2 11 2 3" xfId="12766"/>
    <cellStyle name="표준 4 2 2 11 2 3 2" xfId="35233"/>
    <cellStyle name="표준 4 2 2 11 2 4" xfId="20250"/>
    <cellStyle name="표준 4 2 2 11 2 4 2" xfId="42715"/>
    <cellStyle name="표준 4 2 2 11 2 5" xfId="27751"/>
    <cellStyle name="표준 4 2 2 11 2_Sheet4" xfId="4983"/>
    <cellStyle name="표준 4 2 2 11 3" xfId="4984"/>
    <cellStyle name="표준 4 2 2 11 3 2" xfId="12768"/>
    <cellStyle name="표준 4 2 2 11 3 2 2" xfId="35235"/>
    <cellStyle name="표준 4 2 2 11 3 3" xfId="20252"/>
    <cellStyle name="표준 4 2 2 11 3 3 2" xfId="42717"/>
    <cellStyle name="표준 4 2 2 11 3 4" xfId="27753"/>
    <cellStyle name="표준 4 2 2 11 4" xfId="12765"/>
    <cellStyle name="표준 4 2 2 11 4 2" xfId="35232"/>
    <cellStyle name="표준 4 2 2 11 5" xfId="20249"/>
    <cellStyle name="표준 4 2 2 11 5 2" xfId="42714"/>
    <cellStyle name="표준 4 2 2 11 6" xfId="27750"/>
    <cellStyle name="표준 4 2 2 11_Sheet4" xfId="4985"/>
    <cellStyle name="표준 4 2 2 12" xfId="4986"/>
    <cellStyle name="표준 4 2 2 12 2" xfId="4987"/>
    <cellStyle name="표준 4 2 2 12 2 2" xfId="4988"/>
    <cellStyle name="표준 4 2 2 12 2 2 2" xfId="12771"/>
    <cellStyle name="표준 4 2 2 12 2 2 2 2" xfId="35238"/>
    <cellStyle name="표준 4 2 2 12 2 2 3" xfId="20255"/>
    <cellStyle name="표준 4 2 2 12 2 2 3 2" xfId="42720"/>
    <cellStyle name="표준 4 2 2 12 2 2 4" xfId="27756"/>
    <cellStyle name="표준 4 2 2 12 2 3" xfId="12770"/>
    <cellStyle name="표준 4 2 2 12 2 3 2" xfId="35237"/>
    <cellStyle name="표준 4 2 2 12 2 4" xfId="20254"/>
    <cellStyle name="표준 4 2 2 12 2 4 2" xfId="42719"/>
    <cellStyle name="표준 4 2 2 12 2 5" xfId="27755"/>
    <cellStyle name="표준 4 2 2 12 2_Sheet4" xfId="4989"/>
    <cellStyle name="표준 4 2 2 12 3" xfId="4990"/>
    <cellStyle name="표준 4 2 2 12 3 2" xfId="12772"/>
    <cellStyle name="표준 4 2 2 12 3 2 2" xfId="35239"/>
    <cellStyle name="표준 4 2 2 12 3 3" xfId="20256"/>
    <cellStyle name="표준 4 2 2 12 3 3 2" xfId="42721"/>
    <cellStyle name="표준 4 2 2 12 3 4" xfId="27757"/>
    <cellStyle name="표준 4 2 2 12 4" xfId="12769"/>
    <cellStyle name="표준 4 2 2 12 4 2" xfId="35236"/>
    <cellStyle name="표준 4 2 2 12 5" xfId="20253"/>
    <cellStyle name="표준 4 2 2 12 5 2" xfId="42718"/>
    <cellStyle name="표준 4 2 2 12 6" xfId="27754"/>
    <cellStyle name="표준 4 2 2 12_Sheet4" xfId="4991"/>
    <cellStyle name="표준 4 2 2 13" xfId="4992"/>
    <cellStyle name="표준 4 2 2 13 2" xfId="4993"/>
    <cellStyle name="표준 4 2 2 13 2 2" xfId="4994"/>
    <cellStyle name="표준 4 2 2 13 2 2 2" xfId="12775"/>
    <cellStyle name="표준 4 2 2 13 2 2 2 2" xfId="35242"/>
    <cellStyle name="표준 4 2 2 13 2 2 3" xfId="20259"/>
    <cellStyle name="표준 4 2 2 13 2 2 3 2" xfId="42724"/>
    <cellStyle name="표준 4 2 2 13 2 2 4" xfId="27760"/>
    <cellStyle name="표준 4 2 2 13 2 3" xfId="12774"/>
    <cellStyle name="표준 4 2 2 13 2 3 2" xfId="35241"/>
    <cellStyle name="표준 4 2 2 13 2 4" xfId="20258"/>
    <cellStyle name="표준 4 2 2 13 2 4 2" xfId="42723"/>
    <cellStyle name="표준 4 2 2 13 2 5" xfId="27759"/>
    <cellStyle name="표준 4 2 2 13 2_Sheet4" xfId="4995"/>
    <cellStyle name="표준 4 2 2 13 3" xfId="4996"/>
    <cellStyle name="표준 4 2 2 13 3 2" xfId="12776"/>
    <cellStyle name="표준 4 2 2 13 3 2 2" xfId="35243"/>
    <cellStyle name="표준 4 2 2 13 3 3" xfId="20260"/>
    <cellStyle name="표준 4 2 2 13 3 3 2" xfId="42725"/>
    <cellStyle name="표준 4 2 2 13 3 4" xfId="27761"/>
    <cellStyle name="표준 4 2 2 13 4" xfId="12773"/>
    <cellStyle name="표준 4 2 2 13 4 2" xfId="35240"/>
    <cellStyle name="표준 4 2 2 13 5" xfId="20257"/>
    <cellStyle name="표준 4 2 2 13 5 2" xfId="42722"/>
    <cellStyle name="표준 4 2 2 13 6" xfId="27758"/>
    <cellStyle name="표준 4 2 2 13_Sheet4" xfId="4997"/>
    <cellStyle name="표준 4 2 2 14" xfId="4998"/>
    <cellStyle name="표준 4 2 2 14 2" xfId="4999"/>
    <cellStyle name="표준 4 2 2 14 2 2" xfId="5000"/>
    <cellStyle name="표준 4 2 2 14 2 2 2" xfId="12779"/>
    <cellStyle name="표준 4 2 2 14 2 2 2 2" xfId="35246"/>
    <cellStyle name="표준 4 2 2 14 2 2 3" xfId="20263"/>
    <cellStyle name="표준 4 2 2 14 2 2 3 2" xfId="42728"/>
    <cellStyle name="표준 4 2 2 14 2 2 4" xfId="27764"/>
    <cellStyle name="표준 4 2 2 14 2 3" xfId="12778"/>
    <cellStyle name="표준 4 2 2 14 2 3 2" xfId="35245"/>
    <cellStyle name="표준 4 2 2 14 2 4" xfId="20262"/>
    <cellStyle name="표준 4 2 2 14 2 4 2" xfId="42727"/>
    <cellStyle name="표준 4 2 2 14 2 5" xfId="27763"/>
    <cellStyle name="표준 4 2 2 14 2_Sheet4" xfId="5001"/>
    <cellStyle name="표준 4 2 2 14 3" xfId="5002"/>
    <cellStyle name="표준 4 2 2 14 3 2" xfId="12780"/>
    <cellStyle name="표준 4 2 2 14 3 2 2" xfId="35247"/>
    <cellStyle name="표준 4 2 2 14 3 3" xfId="20264"/>
    <cellStyle name="표준 4 2 2 14 3 3 2" xfId="42729"/>
    <cellStyle name="표준 4 2 2 14 3 4" xfId="27765"/>
    <cellStyle name="표준 4 2 2 14 4" xfId="12777"/>
    <cellStyle name="표준 4 2 2 14 4 2" xfId="35244"/>
    <cellStyle name="표준 4 2 2 14 5" xfId="20261"/>
    <cellStyle name="표준 4 2 2 14 5 2" xfId="42726"/>
    <cellStyle name="표준 4 2 2 14 6" xfId="27762"/>
    <cellStyle name="표준 4 2 2 14_Sheet4" xfId="5003"/>
    <cellStyle name="표준 4 2 2 15" xfId="5004"/>
    <cellStyle name="표준 4 2 2 15 2" xfId="5005"/>
    <cellStyle name="표준 4 2 2 15 2 2" xfId="12782"/>
    <cellStyle name="표준 4 2 2 15 2 2 2" xfId="35249"/>
    <cellStyle name="표준 4 2 2 15 2 3" xfId="20266"/>
    <cellStyle name="표준 4 2 2 15 2 3 2" xfId="42731"/>
    <cellStyle name="표준 4 2 2 15 2 4" xfId="27767"/>
    <cellStyle name="표준 4 2 2 15 3" xfId="12781"/>
    <cellStyle name="표준 4 2 2 15 3 2" xfId="35248"/>
    <cellStyle name="표준 4 2 2 15 4" xfId="20265"/>
    <cellStyle name="표준 4 2 2 15 4 2" xfId="42730"/>
    <cellStyle name="표준 4 2 2 15 5" xfId="27766"/>
    <cellStyle name="표준 4 2 2 15_Sheet4" xfId="5006"/>
    <cellStyle name="표준 4 2 2 16" xfId="5007"/>
    <cellStyle name="표준 4 2 2 16 2" xfId="12783"/>
    <cellStyle name="표준 4 2 2 16 2 2" xfId="35250"/>
    <cellStyle name="표준 4 2 2 16 3" xfId="20267"/>
    <cellStyle name="표준 4 2 2 16 3 2" xfId="42732"/>
    <cellStyle name="표준 4 2 2 16 4" xfId="27768"/>
    <cellStyle name="표준 4 2 2 17" xfId="5008"/>
    <cellStyle name="표준 4 2 2 17 2" xfId="12784"/>
    <cellStyle name="표준 4 2 2 17 2 2" xfId="35251"/>
    <cellStyle name="표준 4 2 2 17 3" xfId="20268"/>
    <cellStyle name="표준 4 2 2 17 3 2" xfId="42733"/>
    <cellStyle name="표준 4 2 2 17 4" xfId="27769"/>
    <cellStyle name="표준 4 2 2 18" xfId="12756"/>
    <cellStyle name="표준 4 2 2 18 2" xfId="35223"/>
    <cellStyle name="표준 4 2 2 19" xfId="20240"/>
    <cellStyle name="표준 4 2 2 19 2" xfId="42705"/>
    <cellStyle name="표준 4 2 2 2" xfId="5009"/>
    <cellStyle name="표준 4 2 2 2 10" xfId="5010"/>
    <cellStyle name="표준 4 2 2 2 10 2" xfId="5011"/>
    <cellStyle name="표준 4 2 2 2 10 2 2" xfId="5012"/>
    <cellStyle name="표준 4 2 2 2 10 2 2 2" xfId="12788"/>
    <cellStyle name="표준 4 2 2 2 10 2 2 2 2" xfId="35255"/>
    <cellStyle name="표준 4 2 2 2 10 2 2 3" xfId="20272"/>
    <cellStyle name="표준 4 2 2 2 10 2 2 3 2" xfId="42737"/>
    <cellStyle name="표준 4 2 2 2 10 2 2 4" xfId="27773"/>
    <cellStyle name="표준 4 2 2 2 10 2 3" xfId="12787"/>
    <cellStyle name="표준 4 2 2 2 10 2 3 2" xfId="35254"/>
    <cellStyle name="표준 4 2 2 2 10 2 4" xfId="20271"/>
    <cellStyle name="표준 4 2 2 2 10 2 4 2" xfId="42736"/>
    <cellStyle name="표준 4 2 2 2 10 2 5" xfId="27772"/>
    <cellStyle name="표준 4 2 2 2 10 2_Sheet4" xfId="5013"/>
    <cellStyle name="표준 4 2 2 2 10 3" xfId="5014"/>
    <cellStyle name="표준 4 2 2 2 10 3 2" xfId="12789"/>
    <cellStyle name="표준 4 2 2 2 10 3 2 2" xfId="35256"/>
    <cellStyle name="표준 4 2 2 2 10 3 3" xfId="20273"/>
    <cellStyle name="표준 4 2 2 2 10 3 3 2" xfId="42738"/>
    <cellStyle name="표준 4 2 2 2 10 3 4" xfId="27774"/>
    <cellStyle name="표준 4 2 2 2 10 4" xfId="12786"/>
    <cellStyle name="표준 4 2 2 2 10 4 2" xfId="35253"/>
    <cellStyle name="표준 4 2 2 2 10 5" xfId="20270"/>
    <cellStyle name="표준 4 2 2 2 10 5 2" xfId="42735"/>
    <cellStyle name="표준 4 2 2 2 10 6" xfId="27771"/>
    <cellStyle name="표준 4 2 2 2 10_Sheet4" xfId="5015"/>
    <cellStyle name="표준 4 2 2 2 11" xfId="5016"/>
    <cellStyle name="표준 4 2 2 2 11 2" xfId="5017"/>
    <cellStyle name="표준 4 2 2 2 11 2 2" xfId="5018"/>
    <cellStyle name="표준 4 2 2 2 11 2 2 2" xfId="12792"/>
    <cellStyle name="표준 4 2 2 2 11 2 2 2 2" xfId="35259"/>
    <cellStyle name="표준 4 2 2 2 11 2 2 3" xfId="20276"/>
    <cellStyle name="표준 4 2 2 2 11 2 2 3 2" xfId="42741"/>
    <cellStyle name="표준 4 2 2 2 11 2 2 4" xfId="27777"/>
    <cellStyle name="표준 4 2 2 2 11 2 3" xfId="12791"/>
    <cellStyle name="표준 4 2 2 2 11 2 3 2" xfId="35258"/>
    <cellStyle name="표준 4 2 2 2 11 2 4" xfId="20275"/>
    <cellStyle name="표준 4 2 2 2 11 2 4 2" xfId="42740"/>
    <cellStyle name="표준 4 2 2 2 11 2 5" xfId="27776"/>
    <cellStyle name="표준 4 2 2 2 11 2_Sheet4" xfId="5019"/>
    <cellStyle name="표준 4 2 2 2 11 3" xfId="5020"/>
    <cellStyle name="표준 4 2 2 2 11 3 2" xfId="12793"/>
    <cellStyle name="표준 4 2 2 2 11 3 2 2" xfId="35260"/>
    <cellStyle name="표준 4 2 2 2 11 3 3" xfId="20277"/>
    <cellStyle name="표준 4 2 2 2 11 3 3 2" xfId="42742"/>
    <cellStyle name="표준 4 2 2 2 11 3 4" xfId="27778"/>
    <cellStyle name="표준 4 2 2 2 11 4" xfId="12790"/>
    <cellStyle name="표준 4 2 2 2 11 4 2" xfId="35257"/>
    <cellStyle name="표준 4 2 2 2 11 5" xfId="20274"/>
    <cellStyle name="표준 4 2 2 2 11 5 2" xfId="42739"/>
    <cellStyle name="표준 4 2 2 2 11 6" xfId="27775"/>
    <cellStyle name="표준 4 2 2 2 11_Sheet4" xfId="5021"/>
    <cellStyle name="표준 4 2 2 2 12" xfId="5022"/>
    <cellStyle name="표준 4 2 2 2 12 2" xfId="5023"/>
    <cellStyle name="표준 4 2 2 2 12 2 2" xfId="5024"/>
    <cellStyle name="표준 4 2 2 2 12 2 2 2" xfId="12796"/>
    <cellStyle name="표준 4 2 2 2 12 2 2 2 2" xfId="35263"/>
    <cellStyle name="표준 4 2 2 2 12 2 2 3" xfId="20280"/>
    <cellStyle name="표준 4 2 2 2 12 2 2 3 2" xfId="42745"/>
    <cellStyle name="표준 4 2 2 2 12 2 2 4" xfId="27781"/>
    <cellStyle name="표준 4 2 2 2 12 2 3" xfId="12795"/>
    <cellStyle name="표준 4 2 2 2 12 2 3 2" xfId="35262"/>
    <cellStyle name="표준 4 2 2 2 12 2 4" xfId="20279"/>
    <cellStyle name="표준 4 2 2 2 12 2 4 2" xfId="42744"/>
    <cellStyle name="표준 4 2 2 2 12 2 5" xfId="27780"/>
    <cellStyle name="표준 4 2 2 2 12 2_Sheet4" xfId="5025"/>
    <cellStyle name="표준 4 2 2 2 12 3" xfId="5026"/>
    <cellStyle name="표준 4 2 2 2 12 3 2" xfId="12797"/>
    <cellStyle name="표준 4 2 2 2 12 3 2 2" xfId="35264"/>
    <cellStyle name="표준 4 2 2 2 12 3 3" xfId="20281"/>
    <cellStyle name="표준 4 2 2 2 12 3 3 2" xfId="42746"/>
    <cellStyle name="표준 4 2 2 2 12 3 4" xfId="27782"/>
    <cellStyle name="표준 4 2 2 2 12 4" xfId="12794"/>
    <cellStyle name="표준 4 2 2 2 12 4 2" xfId="35261"/>
    <cellStyle name="표준 4 2 2 2 12 5" xfId="20278"/>
    <cellStyle name="표준 4 2 2 2 12 5 2" xfId="42743"/>
    <cellStyle name="표준 4 2 2 2 12 6" xfId="27779"/>
    <cellStyle name="표준 4 2 2 2 12_Sheet4" xfId="5027"/>
    <cellStyle name="표준 4 2 2 2 13" xfId="5028"/>
    <cellStyle name="표준 4 2 2 2 13 2" xfId="5029"/>
    <cellStyle name="표준 4 2 2 2 13 2 2" xfId="12799"/>
    <cellStyle name="표준 4 2 2 2 13 2 2 2" xfId="35266"/>
    <cellStyle name="표준 4 2 2 2 13 2 3" xfId="20283"/>
    <cellStyle name="표준 4 2 2 2 13 2 3 2" xfId="42748"/>
    <cellStyle name="표준 4 2 2 2 13 2 4" xfId="27784"/>
    <cellStyle name="표준 4 2 2 2 13 3" xfId="12798"/>
    <cellStyle name="표준 4 2 2 2 13 3 2" xfId="35265"/>
    <cellStyle name="표준 4 2 2 2 13 4" xfId="20282"/>
    <cellStyle name="표준 4 2 2 2 13 4 2" xfId="42747"/>
    <cellStyle name="표준 4 2 2 2 13 5" xfId="27783"/>
    <cellStyle name="표준 4 2 2 2 13_Sheet4" xfId="5030"/>
    <cellStyle name="표준 4 2 2 2 14" xfId="5031"/>
    <cellStyle name="표준 4 2 2 2 14 2" xfId="12800"/>
    <cellStyle name="표준 4 2 2 2 14 2 2" xfId="35267"/>
    <cellStyle name="표준 4 2 2 2 14 3" xfId="20284"/>
    <cellStyle name="표준 4 2 2 2 14 3 2" xfId="42749"/>
    <cellStyle name="표준 4 2 2 2 14 4" xfId="27785"/>
    <cellStyle name="표준 4 2 2 2 15" xfId="12785"/>
    <cellStyle name="표준 4 2 2 2 15 2" xfId="35252"/>
    <cellStyle name="표준 4 2 2 2 16" xfId="20269"/>
    <cellStyle name="표준 4 2 2 2 16 2" xfId="42734"/>
    <cellStyle name="표준 4 2 2 2 17" xfId="27770"/>
    <cellStyle name="표준 4 2 2 2 2" xfId="5032"/>
    <cellStyle name="표준 4 2 2 2 2 10" xfId="12801"/>
    <cellStyle name="표준 4 2 2 2 2 10 2" xfId="35268"/>
    <cellStyle name="표준 4 2 2 2 2 11" xfId="20285"/>
    <cellStyle name="표준 4 2 2 2 2 11 2" xfId="42750"/>
    <cellStyle name="표준 4 2 2 2 2 12" xfId="27786"/>
    <cellStyle name="표준 4 2 2 2 2 2" xfId="5033"/>
    <cellStyle name="표준 4 2 2 2 2 2 10" xfId="27787"/>
    <cellStyle name="표준 4 2 2 2 2 2 2" xfId="5034"/>
    <cellStyle name="표준 4 2 2 2 2 2 2 2" xfId="5035"/>
    <cellStyle name="표준 4 2 2 2 2 2 2 2 2" xfId="5036"/>
    <cellStyle name="표준 4 2 2 2 2 2 2 2 2 2" xfId="5037"/>
    <cellStyle name="표준 4 2 2 2 2 2 2 2 2 2 2" xfId="5038"/>
    <cellStyle name="표준 4 2 2 2 2 2 2 2 2 2 2 2" xfId="12807"/>
    <cellStyle name="표준 4 2 2 2 2 2 2 2 2 2 2 2 2" xfId="35274"/>
    <cellStyle name="표준 4 2 2 2 2 2 2 2 2 2 2 3" xfId="20291"/>
    <cellStyle name="표준 4 2 2 2 2 2 2 2 2 2 2 3 2" xfId="42756"/>
    <cellStyle name="표준 4 2 2 2 2 2 2 2 2 2 2 4" xfId="27792"/>
    <cellStyle name="표준 4 2 2 2 2 2 2 2 2 2 3" xfId="12806"/>
    <cellStyle name="표준 4 2 2 2 2 2 2 2 2 2 3 2" xfId="35273"/>
    <cellStyle name="표준 4 2 2 2 2 2 2 2 2 2 4" xfId="20290"/>
    <cellStyle name="표준 4 2 2 2 2 2 2 2 2 2 4 2" xfId="42755"/>
    <cellStyle name="표준 4 2 2 2 2 2 2 2 2 2 5" xfId="27791"/>
    <cellStyle name="표준 4 2 2 2 2 2 2 2 2 2_Sheet4" xfId="5039"/>
    <cellStyle name="표준 4 2 2 2 2 2 2 2 2 3" xfId="5040"/>
    <cellStyle name="표준 4 2 2 2 2 2 2 2 2 3 2" xfId="12808"/>
    <cellStyle name="표준 4 2 2 2 2 2 2 2 2 3 2 2" xfId="35275"/>
    <cellStyle name="표준 4 2 2 2 2 2 2 2 2 3 3" xfId="20292"/>
    <cellStyle name="표준 4 2 2 2 2 2 2 2 2 3 3 2" xfId="42757"/>
    <cellStyle name="표준 4 2 2 2 2 2 2 2 2 3 4" xfId="27793"/>
    <cellStyle name="표준 4 2 2 2 2 2 2 2 2 4" xfId="12805"/>
    <cellStyle name="표준 4 2 2 2 2 2 2 2 2 4 2" xfId="35272"/>
    <cellStyle name="표준 4 2 2 2 2 2 2 2 2 5" xfId="20289"/>
    <cellStyle name="표준 4 2 2 2 2 2 2 2 2 5 2" xfId="42754"/>
    <cellStyle name="표준 4 2 2 2 2 2 2 2 2 6" xfId="27790"/>
    <cellStyle name="표준 4 2 2 2 2 2 2 2 2_Sheet4" xfId="5041"/>
    <cellStyle name="표준 4 2 2 2 2 2 2 2 3" xfId="5042"/>
    <cellStyle name="표준 4 2 2 2 2 2 2 2 3 2" xfId="5043"/>
    <cellStyle name="표준 4 2 2 2 2 2 2 2 3 2 2" xfId="12810"/>
    <cellStyle name="표준 4 2 2 2 2 2 2 2 3 2 2 2" xfId="35277"/>
    <cellStyle name="표준 4 2 2 2 2 2 2 2 3 2 3" xfId="20294"/>
    <cellStyle name="표준 4 2 2 2 2 2 2 2 3 2 3 2" xfId="42759"/>
    <cellStyle name="표준 4 2 2 2 2 2 2 2 3 2 4" xfId="27795"/>
    <cellStyle name="표준 4 2 2 2 2 2 2 2 3 3" xfId="12809"/>
    <cellStyle name="표준 4 2 2 2 2 2 2 2 3 3 2" xfId="35276"/>
    <cellStyle name="표준 4 2 2 2 2 2 2 2 3 4" xfId="20293"/>
    <cellStyle name="표준 4 2 2 2 2 2 2 2 3 4 2" xfId="42758"/>
    <cellStyle name="표준 4 2 2 2 2 2 2 2 3 5" xfId="27794"/>
    <cellStyle name="표준 4 2 2 2 2 2 2 2 3_Sheet4" xfId="5044"/>
    <cellStyle name="표준 4 2 2 2 2 2 2 2 4" xfId="5045"/>
    <cellStyle name="표준 4 2 2 2 2 2 2 2 4 2" xfId="12811"/>
    <cellStyle name="표준 4 2 2 2 2 2 2 2 4 2 2" xfId="35278"/>
    <cellStyle name="표준 4 2 2 2 2 2 2 2 4 3" xfId="20295"/>
    <cellStyle name="표준 4 2 2 2 2 2 2 2 4 3 2" xfId="42760"/>
    <cellStyle name="표준 4 2 2 2 2 2 2 2 4 4" xfId="27796"/>
    <cellStyle name="표준 4 2 2 2 2 2 2 2 5" xfId="12804"/>
    <cellStyle name="표준 4 2 2 2 2 2 2 2 5 2" xfId="35271"/>
    <cellStyle name="표준 4 2 2 2 2 2 2 2 6" xfId="20288"/>
    <cellStyle name="표준 4 2 2 2 2 2 2 2 6 2" xfId="42753"/>
    <cellStyle name="표준 4 2 2 2 2 2 2 2 7" xfId="27789"/>
    <cellStyle name="표준 4 2 2 2 2 2 2 2_Sheet4" xfId="5046"/>
    <cellStyle name="표준 4 2 2 2 2 2 2 3" xfId="5047"/>
    <cellStyle name="표준 4 2 2 2 2 2 2 3 2" xfId="5048"/>
    <cellStyle name="표준 4 2 2 2 2 2 2 3 2 2" xfId="5049"/>
    <cellStyle name="표준 4 2 2 2 2 2 2 3 2 2 2" xfId="12814"/>
    <cellStyle name="표준 4 2 2 2 2 2 2 3 2 2 2 2" xfId="35281"/>
    <cellStyle name="표준 4 2 2 2 2 2 2 3 2 2 3" xfId="20298"/>
    <cellStyle name="표준 4 2 2 2 2 2 2 3 2 2 3 2" xfId="42763"/>
    <cellStyle name="표준 4 2 2 2 2 2 2 3 2 2 4" xfId="27799"/>
    <cellStyle name="표준 4 2 2 2 2 2 2 3 2 3" xfId="12813"/>
    <cellStyle name="표준 4 2 2 2 2 2 2 3 2 3 2" xfId="35280"/>
    <cellStyle name="표준 4 2 2 2 2 2 2 3 2 4" xfId="20297"/>
    <cellStyle name="표준 4 2 2 2 2 2 2 3 2 4 2" xfId="42762"/>
    <cellStyle name="표준 4 2 2 2 2 2 2 3 2 5" xfId="27798"/>
    <cellStyle name="표준 4 2 2 2 2 2 2 3 2_Sheet4" xfId="5050"/>
    <cellStyle name="표준 4 2 2 2 2 2 2 3 3" xfId="5051"/>
    <cellStyle name="표준 4 2 2 2 2 2 2 3 3 2" xfId="12815"/>
    <cellStyle name="표준 4 2 2 2 2 2 2 3 3 2 2" xfId="35282"/>
    <cellStyle name="표준 4 2 2 2 2 2 2 3 3 3" xfId="20299"/>
    <cellStyle name="표준 4 2 2 2 2 2 2 3 3 3 2" xfId="42764"/>
    <cellStyle name="표준 4 2 2 2 2 2 2 3 3 4" xfId="27800"/>
    <cellStyle name="표준 4 2 2 2 2 2 2 3 4" xfId="12812"/>
    <cellStyle name="표준 4 2 2 2 2 2 2 3 4 2" xfId="35279"/>
    <cellStyle name="표준 4 2 2 2 2 2 2 3 5" xfId="20296"/>
    <cellStyle name="표준 4 2 2 2 2 2 2 3 5 2" xfId="42761"/>
    <cellStyle name="표준 4 2 2 2 2 2 2 3 6" xfId="27797"/>
    <cellStyle name="표준 4 2 2 2 2 2 2 3_Sheet4" xfId="5052"/>
    <cellStyle name="표준 4 2 2 2 2 2 2 4" xfId="5053"/>
    <cellStyle name="표준 4 2 2 2 2 2 2 4 2" xfId="5054"/>
    <cellStyle name="표준 4 2 2 2 2 2 2 4 2 2" xfId="12817"/>
    <cellStyle name="표준 4 2 2 2 2 2 2 4 2 2 2" xfId="35284"/>
    <cellStyle name="표준 4 2 2 2 2 2 2 4 2 3" xfId="20301"/>
    <cellStyle name="표준 4 2 2 2 2 2 2 4 2 3 2" xfId="42766"/>
    <cellStyle name="표준 4 2 2 2 2 2 2 4 2 4" xfId="27802"/>
    <cellStyle name="표준 4 2 2 2 2 2 2 4 3" xfId="12816"/>
    <cellStyle name="표준 4 2 2 2 2 2 2 4 3 2" xfId="35283"/>
    <cellStyle name="표준 4 2 2 2 2 2 2 4 4" xfId="20300"/>
    <cellStyle name="표준 4 2 2 2 2 2 2 4 4 2" xfId="42765"/>
    <cellStyle name="표준 4 2 2 2 2 2 2 4 5" xfId="27801"/>
    <cellStyle name="표준 4 2 2 2 2 2 2 4_Sheet4" xfId="5055"/>
    <cellStyle name="표준 4 2 2 2 2 2 2 5" xfId="5056"/>
    <cellStyle name="표준 4 2 2 2 2 2 2 5 2" xfId="12818"/>
    <cellStyle name="표준 4 2 2 2 2 2 2 5 2 2" xfId="35285"/>
    <cellStyle name="표준 4 2 2 2 2 2 2 5 3" xfId="20302"/>
    <cellStyle name="표준 4 2 2 2 2 2 2 5 3 2" xfId="42767"/>
    <cellStyle name="표준 4 2 2 2 2 2 2 5 4" xfId="27803"/>
    <cellStyle name="표준 4 2 2 2 2 2 2 6" xfId="12803"/>
    <cellStyle name="표준 4 2 2 2 2 2 2 6 2" xfId="35270"/>
    <cellStyle name="표준 4 2 2 2 2 2 2 7" xfId="20287"/>
    <cellStyle name="표준 4 2 2 2 2 2 2 7 2" xfId="42752"/>
    <cellStyle name="표준 4 2 2 2 2 2 2 8" xfId="27788"/>
    <cellStyle name="표준 4 2 2 2 2 2 2_Sheet4" xfId="5057"/>
    <cellStyle name="표준 4 2 2 2 2 2 3" xfId="5058"/>
    <cellStyle name="표준 4 2 2 2 2 2 3 2" xfId="5059"/>
    <cellStyle name="표준 4 2 2 2 2 2 3 2 2" xfId="5060"/>
    <cellStyle name="표준 4 2 2 2 2 2 3 2 2 2" xfId="5061"/>
    <cellStyle name="표준 4 2 2 2 2 2 3 2 2 2 2" xfId="5062"/>
    <cellStyle name="표준 4 2 2 2 2 2 3 2 2 2 2 2" xfId="12823"/>
    <cellStyle name="표준 4 2 2 2 2 2 3 2 2 2 2 2 2" xfId="35290"/>
    <cellStyle name="표준 4 2 2 2 2 2 3 2 2 2 2 3" xfId="20307"/>
    <cellStyle name="표준 4 2 2 2 2 2 3 2 2 2 2 3 2" xfId="42772"/>
    <cellStyle name="표준 4 2 2 2 2 2 3 2 2 2 2 4" xfId="27808"/>
    <cellStyle name="표준 4 2 2 2 2 2 3 2 2 2 3" xfId="12822"/>
    <cellStyle name="표준 4 2 2 2 2 2 3 2 2 2 3 2" xfId="35289"/>
    <cellStyle name="표준 4 2 2 2 2 2 3 2 2 2 4" xfId="20306"/>
    <cellStyle name="표준 4 2 2 2 2 2 3 2 2 2 4 2" xfId="42771"/>
    <cellStyle name="표준 4 2 2 2 2 2 3 2 2 2 5" xfId="27807"/>
    <cellStyle name="표준 4 2 2 2 2 2 3 2 2 2_Sheet4" xfId="5063"/>
    <cellStyle name="표준 4 2 2 2 2 2 3 2 2 3" xfId="5064"/>
    <cellStyle name="표준 4 2 2 2 2 2 3 2 2 3 2" xfId="12824"/>
    <cellStyle name="표준 4 2 2 2 2 2 3 2 2 3 2 2" xfId="35291"/>
    <cellStyle name="표준 4 2 2 2 2 2 3 2 2 3 3" xfId="20308"/>
    <cellStyle name="표준 4 2 2 2 2 2 3 2 2 3 3 2" xfId="42773"/>
    <cellStyle name="표준 4 2 2 2 2 2 3 2 2 3 4" xfId="27809"/>
    <cellStyle name="표준 4 2 2 2 2 2 3 2 2 4" xfId="12821"/>
    <cellStyle name="표준 4 2 2 2 2 2 3 2 2 4 2" xfId="35288"/>
    <cellStyle name="표준 4 2 2 2 2 2 3 2 2 5" xfId="20305"/>
    <cellStyle name="표준 4 2 2 2 2 2 3 2 2 5 2" xfId="42770"/>
    <cellStyle name="표준 4 2 2 2 2 2 3 2 2 6" xfId="27806"/>
    <cellStyle name="표준 4 2 2 2 2 2 3 2 2_Sheet4" xfId="5065"/>
    <cellStyle name="표준 4 2 2 2 2 2 3 2 3" xfId="5066"/>
    <cellStyle name="표준 4 2 2 2 2 2 3 2 3 2" xfId="5067"/>
    <cellStyle name="표준 4 2 2 2 2 2 3 2 3 2 2" xfId="12826"/>
    <cellStyle name="표준 4 2 2 2 2 2 3 2 3 2 2 2" xfId="35293"/>
    <cellStyle name="표준 4 2 2 2 2 2 3 2 3 2 3" xfId="20310"/>
    <cellStyle name="표준 4 2 2 2 2 2 3 2 3 2 3 2" xfId="42775"/>
    <cellStyle name="표준 4 2 2 2 2 2 3 2 3 2 4" xfId="27811"/>
    <cellStyle name="표준 4 2 2 2 2 2 3 2 3 3" xfId="12825"/>
    <cellStyle name="표준 4 2 2 2 2 2 3 2 3 3 2" xfId="35292"/>
    <cellStyle name="표준 4 2 2 2 2 2 3 2 3 4" xfId="20309"/>
    <cellStyle name="표준 4 2 2 2 2 2 3 2 3 4 2" xfId="42774"/>
    <cellStyle name="표준 4 2 2 2 2 2 3 2 3 5" xfId="27810"/>
    <cellStyle name="표준 4 2 2 2 2 2 3 2 3_Sheet4" xfId="5068"/>
    <cellStyle name="표준 4 2 2 2 2 2 3 2 4" xfId="5069"/>
    <cellStyle name="표준 4 2 2 2 2 2 3 2 4 2" xfId="12827"/>
    <cellStyle name="표준 4 2 2 2 2 2 3 2 4 2 2" xfId="35294"/>
    <cellStyle name="표준 4 2 2 2 2 2 3 2 4 3" xfId="20311"/>
    <cellStyle name="표준 4 2 2 2 2 2 3 2 4 3 2" xfId="42776"/>
    <cellStyle name="표준 4 2 2 2 2 2 3 2 4 4" xfId="27812"/>
    <cellStyle name="표준 4 2 2 2 2 2 3 2 5" xfId="12820"/>
    <cellStyle name="표준 4 2 2 2 2 2 3 2 5 2" xfId="35287"/>
    <cellStyle name="표준 4 2 2 2 2 2 3 2 6" xfId="20304"/>
    <cellStyle name="표준 4 2 2 2 2 2 3 2 6 2" xfId="42769"/>
    <cellStyle name="표준 4 2 2 2 2 2 3 2 7" xfId="27805"/>
    <cellStyle name="표준 4 2 2 2 2 2 3 2_Sheet4" xfId="5070"/>
    <cellStyle name="표준 4 2 2 2 2 2 3 3" xfId="5071"/>
    <cellStyle name="표준 4 2 2 2 2 2 3 3 2" xfId="5072"/>
    <cellStyle name="표준 4 2 2 2 2 2 3 3 2 2" xfId="5073"/>
    <cellStyle name="표준 4 2 2 2 2 2 3 3 2 2 2" xfId="12830"/>
    <cellStyle name="표준 4 2 2 2 2 2 3 3 2 2 2 2" xfId="35297"/>
    <cellStyle name="표준 4 2 2 2 2 2 3 3 2 2 3" xfId="20314"/>
    <cellStyle name="표준 4 2 2 2 2 2 3 3 2 2 3 2" xfId="42779"/>
    <cellStyle name="표준 4 2 2 2 2 2 3 3 2 2 4" xfId="27815"/>
    <cellStyle name="표준 4 2 2 2 2 2 3 3 2 3" xfId="12829"/>
    <cellStyle name="표준 4 2 2 2 2 2 3 3 2 3 2" xfId="35296"/>
    <cellStyle name="표준 4 2 2 2 2 2 3 3 2 4" xfId="20313"/>
    <cellStyle name="표준 4 2 2 2 2 2 3 3 2 4 2" xfId="42778"/>
    <cellStyle name="표준 4 2 2 2 2 2 3 3 2 5" xfId="27814"/>
    <cellStyle name="표준 4 2 2 2 2 2 3 3 2_Sheet4" xfId="5074"/>
    <cellStyle name="표준 4 2 2 2 2 2 3 3 3" xfId="5075"/>
    <cellStyle name="표준 4 2 2 2 2 2 3 3 3 2" xfId="12831"/>
    <cellStyle name="표준 4 2 2 2 2 2 3 3 3 2 2" xfId="35298"/>
    <cellStyle name="표준 4 2 2 2 2 2 3 3 3 3" xfId="20315"/>
    <cellStyle name="표준 4 2 2 2 2 2 3 3 3 3 2" xfId="42780"/>
    <cellStyle name="표준 4 2 2 2 2 2 3 3 3 4" xfId="27816"/>
    <cellStyle name="표준 4 2 2 2 2 2 3 3 4" xfId="12828"/>
    <cellStyle name="표준 4 2 2 2 2 2 3 3 4 2" xfId="35295"/>
    <cellStyle name="표준 4 2 2 2 2 2 3 3 5" xfId="20312"/>
    <cellStyle name="표준 4 2 2 2 2 2 3 3 5 2" xfId="42777"/>
    <cellStyle name="표준 4 2 2 2 2 2 3 3 6" xfId="27813"/>
    <cellStyle name="표준 4 2 2 2 2 2 3 3_Sheet4" xfId="5076"/>
    <cellStyle name="표준 4 2 2 2 2 2 3 4" xfId="5077"/>
    <cellStyle name="표준 4 2 2 2 2 2 3 4 2" xfId="5078"/>
    <cellStyle name="표준 4 2 2 2 2 2 3 4 2 2" xfId="12833"/>
    <cellStyle name="표준 4 2 2 2 2 2 3 4 2 2 2" xfId="35300"/>
    <cellStyle name="표준 4 2 2 2 2 2 3 4 2 3" xfId="20317"/>
    <cellStyle name="표준 4 2 2 2 2 2 3 4 2 3 2" xfId="42782"/>
    <cellStyle name="표준 4 2 2 2 2 2 3 4 2 4" xfId="27818"/>
    <cellStyle name="표준 4 2 2 2 2 2 3 4 3" xfId="12832"/>
    <cellStyle name="표준 4 2 2 2 2 2 3 4 3 2" xfId="35299"/>
    <cellStyle name="표준 4 2 2 2 2 2 3 4 4" xfId="20316"/>
    <cellStyle name="표준 4 2 2 2 2 2 3 4 4 2" xfId="42781"/>
    <cellStyle name="표준 4 2 2 2 2 2 3 4 5" xfId="27817"/>
    <cellStyle name="표준 4 2 2 2 2 2 3 4_Sheet4" xfId="5079"/>
    <cellStyle name="표준 4 2 2 2 2 2 3 5" xfId="5080"/>
    <cellStyle name="표준 4 2 2 2 2 2 3 5 2" xfId="12834"/>
    <cellStyle name="표준 4 2 2 2 2 2 3 5 2 2" xfId="35301"/>
    <cellStyle name="표준 4 2 2 2 2 2 3 5 3" xfId="20318"/>
    <cellStyle name="표준 4 2 2 2 2 2 3 5 3 2" xfId="42783"/>
    <cellStyle name="표준 4 2 2 2 2 2 3 5 4" xfId="27819"/>
    <cellStyle name="표준 4 2 2 2 2 2 3 6" xfId="12819"/>
    <cellStyle name="표준 4 2 2 2 2 2 3 6 2" xfId="35286"/>
    <cellStyle name="표준 4 2 2 2 2 2 3 7" xfId="20303"/>
    <cellStyle name="표준 4 2 2 2 2 2 3 7 2" xfId="42768"/>
    <cellStyle name="표준 4 2 2 2 2 2 3 8" xfId="27804"/>
    <cellStyle name="표준 4 2 2 2 2 2 3_Sheet4" xfId="5081"/>
    <cellStyle name="표준 4 2 2 2 2 2 4" xfId="5082"/>
    <cellStyle name="표준 4 2 2 2 2 2 4 2" xfId="5083"/>
    <cellStyle name="표준 4 2 2 2 2 2 4 2 2" xfId="5084"/>
    <cellStyle name="표준 4 2 2 2 2 2 4 2 2 2" xfId="5085"/>
    <cellStyle name="표준 4 2 2 2 2 2 4 2 2 2 2" xfId="12838"/>
    <cellStyle name="표준 4 2 2 2 2 2 4 2 2 2 2 2" xfId="35305"/>
    <cellStyle name="표준 4 2 2 2 2 2 4 2 2 2 3" xfId="20322"/>
    <cellStyle name="표준 4 2 2 2 2 2 4 2 2 2 3 2" xfId="42787"/>
    <cellStyle name="표준 4 2 2 2 2 2 4 2 2 2 4" xfId="27823"/>
    <cellStyle name="표준 4 2 2 2 2 2 4 2 2 3" xfId="12837"/>
    <cellStyle name="표준 4 2 2 2 2 2 4 2 2 3 2" xfId="35304"/>
    <cellStyle name="표준 4 2 2 2 2 2 4 2 2 4" xfId="20321"/>
    <cellStyle name="표준 4 2 2 2 2 2 4 2 2 4 2" xfId="42786"/>
    <cellStyle name="표준 4 2 2 2 2 2 4 2 2 5" xfId="27822"/>
    <cellStyle name="표준 4 2 2 2 2 2 4 2 2_Sheet4" xfId="5086"/>
    <cellStyle name="표준 4 2 2 2 2 2 4 2 3" xfId="5087"/>
    <cellStyle name="표준 4 2 2 2 2 2 4 2 3 2" xfId="12839"/>
    <cellStyle name="표준 4 2 2 2 2 2 4 2 3 2 2" xfId="35306"/>
    <cellStyle name="표준 4 2 2 2 2 2 4 2 3 3" xfId="20323"/>
    <cellStyle name="표준 4 2 2 2 2 2 4 2 3 3 2" xfId="42788"/>
    <cellStyle name="표준 4 2 2 2 2 2 4 2 3 4" xfId="27824"/>
    <cellStyle name="표준 4 2 2 2 2 2 4 2 4" xfId="12836"/>
    <cellStyle name="표준 4 2 2 2 2 2 4 2 4 2" xfId="35303"/>
    <cellStyle name="표준 4 2 2 2 2 2 4 2 5" xfId="20320"/>
    <cellStyle name="표준 4 2 2 2 2 2 4 2 5 2" xfId="42785"/>
    <cellStyle name="표준 4 2 2 2 2 2 4 2 6" xfId="27821"/>
    <cellStyle name="표준 4 2 2 2 2 2 4 2_Sheet4" xfId="5088"/>
    <cellStyle name="표준 4 2 2 2 2 2 4 3" xfId="5089"/>
    <cellStyle name="표준 4 2 2 2 2 2 4 3 2" xfId="5090"/>
    <cellStyle name="표준 4 2 2 2 2 2 4 3 2 2" xfId="12841"/>
    <cellStyle name="표준 4 2 2 2 2 2 4 3 2 2 2" xfId="35308"/>
    <cellStyle name="표준 4 2 2 2 2 2 4 3 2 3" xfId="20325"/>
    <cellStyle name="표준 4 2 2 2 2 2 4 3 2 3 2" xfId="42790"/>
    <cellStyle name="표준 4 2 2 2 2 2 4 3 2 4" xfId="27826"/>
    <cellStyle name="표준 4 2 2 2 2 2 4 3 3" xfId="12840"/>
    <cellStyle name="표준 4 2 2 2 2 2 4 3 3 2" xfId="35307"/>
    <cellStyle name="표준 4 2 2 2 2 2 4 3 4" xfId="20324"/>
    <cellStyle name="표준 4 2 2 2 2 2 4 3 4 2" xfId="42789"/>
    <cellStyle name="표준 4 2 2 2 2 2 4 3 5" xfId="27825"/>
    <cellStyle name="표준 4 2 2 2 2 2 4 3_Sheet4" xfId="5091"/>
    <cellStyle name="표준 4 2 2 2 2 2 4 4" xfId="5092"/>
    <cellStyle name="표준 4 2 2 2 2 2 4 4 2" xfId="12842"/>
    <cellStyle name="표준 4 2 2 2 2 2 4 4 2 2" xfId="35309"/>
    <cellStyle name="표준 4 2 2 2 2 2 4 4 3" xfId="20326"/>
    <cellStyle name="표준 4 2 2 2 2 2 4 4 3 2" xfId="42791"/>
    <cellStyle name="표준 4 2 2 2 2 2 4 4 4" xfId="27827"/>
    <cellStyle name="표준 4 2 2 2 2 2 4 5" xfId="12835"/>
    <cellStyle name="표준 4 2 2 2 2 2 4 5 2" xfId="35302"/>
    <cellStyle name="표준 4 2 2 2 2 2 4 6" xfId="20319"/>
    <cellStyle name="표준 4 2 2 2 2 2 4 6 2" xfId="42784"/>
    <cellStyle name="표준 4 2 2 2 2 2 4 7" xfId="27820"/>
    <cellStyle name="표준 4 2 2 2 2 2 4_Sheet4" xfId="5093"/>
    <cellStyle name="표준 4 2 2 2 2 2 5" xfId="5094"/>
    <cellStyle name="표준 4 2 2 2 2 2 5 2" xfId="5095"/>
    <cellStyle name="표준 4 2 2 2 2 2 5 2 2" xfId="5096"/>
    <cellStyle name="표준 4 2 2 2 2 2 5 2 2 2" xfId="12845"/>
    <cellStyle name="표준 4 2 2 2 2 2 5 2 2 2 2" xfId="35312"/>
    <cellStyle name="표준 4 2 2 2 2 2 5 2 2 3" xfId="20329"/>
    <cellStyle name="표준 4 2 2 2 2 2 5 2 2 3 2" xfId="42794"/>
    <cellStyle name="표준 4 2 2 2 2 2 5 2 2 4" xfId="27830"/>
    <cellStyle name="표준 4 2 2 2 2 2 5 2 3" xfId="12844"/>
    <cellStyle name="표준 4 2 2 2 2 2 5 2 3 2" xfId="35311"/>
    <cellStyle name="표준 4 2 2 2 2 2 5 2 4" xfId="20328"/>
    <cellStyle name="표준 4 2 2 2 2 2 5 2 4 2" xfId="42793"/>
    <cellStyle name="표준 4 2 2 2 2 2 5 2 5" xfId="27829"/>
    <cellStyle name="표준 4 2 2 2 2 2 5 2_Sheet4" xfId="5097"/>
    <cellStyle name="표준 4 2 2 2 2 2 5 3" xfId="5098"/>
    <cellStyle name="표준 4 2 2 2 2 2 5 3 2" xfId="12846"/>
    <cellStyle name="표준 4 2 2 2 2 2 5 3 2 2" xfId="35313"/>
    <cellStyle name="표준 4 2 2 2 2 2 5 3 3" xfId="20330"/>
    <cellStyle name="표준 4 2 2 2 2 2 5 3 3 2" xfId="42795"/>
    <cellStyle name="표준 4 2 2 2 2 2 5 3 4" xfId="27831"/>
    <cellStyle name="표준 4 2 2 2 2 2 5 4" xfId="12843"/>
    <cellStyle name="표준 4 2 2 2 2 2 5 4 2" xfId="35310"/>
    <cellStyle name="표준 4 2 2 2 2 2 5 5" xfId="20327"/>
    <cellStyle name="표준 4 2 2 2 2 2 5 5 2" xfId="42792"/>
    <cellStyle name="표준 4 2 2 2 2 2 5 6" xfId="27828"/>
    <cellStyle name="표준 4 2 2 2 2 2 5_Sheet4" xfId="5099"/>
    <cellStyle name="표준 4 2 2 2 2 2 6" xfId="5100"/>
    <cellStyle name="표준 4 2 2 2 2 2 6 2" xfId="5101"/>
    <cellStyle name="표준 4 2 2 2 2 2 6 2 2" xfId="12848"/>
    <cellStyle name="표준 4 2 2 2 2 2 6 2 2 2" xfId="35315"/>
    <cellStyle name="표준 4 2 2 2 2 2 6 2 3" xfId="20332"/>
    <cellStyle name="표준 4 2 2 2 2 2 6 2 3 2" xfId="42797"/>
    <cellStyle name="표준 4 2 2 2 2 2 6 2 4" xfId="27833"/>
    <cellStyle name="표준 4 2 2 2 2 2 6 3" xfId="12847"/>
    <cellStyle name="표준 4 2 2 2 2 2 6 3 2" xfId="35314"/>
    <cellStyle name="표준 4 2 2 2 2 2 6 4" xfId="20331"/>
    <cellStyle name="표준 4 2 2 2 2 2 6 4 2" xfId="42796"/>
    <cellStyle name="표준 4 2 2 2 2 2 6 5" xfId="27832"/>
    <cellStyle name="표준 4 2 2 2 2 2 6_Sheet4" xfId="5102"/>
    <cellStyle name="표준 4 2 2 2 2 2 7" xfId="5103"/>
    <cellStyle name="표준 4 2 2 2 2 2 7 2" xfId="12849"/>
    <cellStyle name="표준 4 2 2 2 2 2 7 2 2" xfId="35316"/>
    <cellStyle name="표준 4 2 2 2 2 2 7 3" xfId="20333"/>
    <cellStyle name="표준 4 2 2 2 2 2 7 3 2" xfId="42798"/>
    <cellStyle name="표준 4 2 2 2 2 2 7 4" xfId="27834"/>
    <cellStyle name="표준 4 2 2 2 2 2 8" xfId="12802"/>
    <cellStyle name="표준 4 2 2 2 2 2 8 2" xfId="35269"/>
    <cellStyle name="표준 4 2 2 2 2 2 9" xfId="20286"/>
    <cellStyle name="표준 4 2 2 2 2 2 9 2" xfId="42751"/>
    <cellStyle name="표준 4 2 2 2 2 2_Sheet4" xfId="5104"/>
    <cellStyle name="표준 4 2 2 2 2 3" xfId="5105"/>
    <cellStyle name="표준 4 2 2 2 2 3 2" xfId="5106"/>
    <cellStyle name="표준 4 2 2 2 2 3 2 2" xfId="5107"/>
    <cellStyle name="표준 4 2 2 2 2 3 2 2 2" xfId="5108"/>
    <cellStyle name="표준 4 2 2 2 2 3 2 2 2 2" xfId="5109"/>
    <cellStyle name="표준 4 2 2 2 2 3 2 2 2 2 2" xfId="12854"/>
    <cellStyle name="표준 4 2 2 2 2 3 2 2 2 2 2 2" xfId="35321"/>
    <cellStyle name="표준 4 2 2 2 2 3 2 2 2 2 3" xfId="20338"/>
    <cellStyle name="표준 4 2 2 2 2 3 2 2 2 2 3 2" xfId="42803"/>
    <cellStyle name="표준 4 2 2 2 2 3 2 2 2 2 4" xfId="27839"/>
    <cellStyle name="표준 4 2 2 2 2 3 2 2 2 3" xfId="12853"/>
    <cellStyle name="표준 4 2 2 2 2 3 2 2 2 3 2" xfId="35320"/>
    <cellStyle name="표준 4 2 2 2 2 3 2 2 2 4" xfId="20337"/>
    <cellStyle name="표준 4 2 2 2 2 3 2 2 2 4 2" xfId="42802"/>
    <cellStyle name="표준 4 2 2 2 2 3 2 2 2 5" xfId="27838"/>
    <cellStyle name="표준 4 2 2 2 2 3 2 2 2_Sheet4" xfId="5110"/>
    <cellStyle name="표준 4 2 2 2 2 3 2 2 3" xfId="5111"/>
    <cellStyle name="표준 4 2 2 2 2 3 2 2 3 2" xfId="12855"/>
    <cellStyle name="표준 4 2 2 2 2 3 2 2 3 2 2" xfId="35322"/>
    <cellStyle name="표준 4 2 2 2 2 3 2 2 3 3" xfId="20339"/>
    <cellStyle name="표준 4 2 2 2 2 3 2 2 3 3 2" xfId="42804"/>
    <cellStyle name="표준 4 2 2 2 2 3 2 2 3 4" xfId="27840"/>
    <cellStyle name="표준 4 2 2 2 2 3 2 2 4" xfId="12852"/>
    <cellStyle name="표준 4 2 2 2 2 3 2 2 4 2" xfId="35319"/>
    <cellStyle name="표준 4 2 2 2 2 3 2 2 5" xfId="20336"/>
    <cellStyle name="표준 4 2 2 2 2 3 2 2 5 2" xfId="42801"/>
    <cellStyle name="표준 4 2 2 2 2 3 2 2 6" xfId="27837"/>
    <cellStyle name="표준 4 2 2 2 2 3 2 2_Sheet4" xfId="5112"/>
    <cellStyle name="표준 4 2 2 2 2 3 2 3" xfId="5113"/>
    <cellStyle name="표준 4 2 2 2 2 3 2 3 2" xfId="5114"/>
    <cellStyle name="표준 4 2 2 2 2 3 2 3 2 2" xfId="12857"/>
    <cellStyle name="표준 4 2 2 2 2 3 2 3 2 2 2" xfId="35324"/>
    <cellStyle name="표준 4 2 2 2 2 3 2 3 2 3" xfId="20341"/>
    <cellStyle name="표준 4 2 2 2 2 3 2 3 2 3 2" xfId="42806"/>
    <cellStyle name="표준 4 2 2 2 2 3 2 3 2 4" xfId="27842"/>
    <cellStyle name="표준 4 2 2 2 2 3 2 3 3" xfId="12856"/>
    <cellStyle name="표준 4 2 2 2 2 3 2 3 3 2" xfId="35323"/>
    <cellStyle name="표준 4 2 2 2 2 3 2 3 4" xfId="20340"/>
    <cellStyle name="표준 4 2 2 2 2 3 2 3 4 2" xfId="42805"/>
    <cellStyle name="표준 4 2 2 2 2 3 2 3 5" xfId="27841"/>
    <cellStyle name="표준 4 2 2 2 2 3 2 3_Sheet4" xfId="5115"/>
    <cellStyle name="표준 4 2 2 2 2 3 2 4" xfId="5116"/>
    <cellStyle name="표준 4 2 2 2 2 3 2 4 2" xfId="12858"/>
    <cellStyle name="표준 4 2 2 2 2 3 2 4 2 2" xfId="35325"/>
    <cellStyle name="표준 4 2 2 2 2 3 2 4 3" xfId="20342"/>
    <cellStyle name="표준 4 2 2 2 2 3 2 4 3 2" xfId="42807"/>
    <cellStyle name="표준 4 2 2 2 2 3 2 4 4" xfId="27843"/>
    <cellStyle name="표준 4 2 2 2 2 3 2 5" xfId="12851"/>
    <cellStyle name="표준 4 2 2 2 2 3 2 5 2" xfId="35318"/>
    <cellStyle name="표준 4 2 2 2 2 3 2 6" xfId="20335"/>
    <cellStyle name="표준 4 2 2 2 2 3 2 6 2" xfId="42800"/>
    <cellStyle name="표준 4 2 2 2 2 3 2 7" xfId="27836"/>
    <cellStyle name="표준 4 2 2 2 2 3 2_Sheet4" xfId="5117"/>
    <cellStyle name="표준 4 2 2 2 2 3 3" xfId="5118"/>
    <cellStyle name="표준 4 2 2 2 2 3 3 2" xfId="5119"/>
    <cellStyle name="표준 4 2 2 2 2 3 3 2 2" xfId="5120"/>
    <cellStyle name="표준 4 2 2 2 2 3 3 2 2 2" xfId="12861"/>
    <cellStyle name="표준 4 2 2 2 2 3 3 2 2 2 2" xfId="35328"/>
    <cellStyle name="표준 4 2 2 2 2 3 3 2 2 3" xfId="20345"/>
    <cellStyle name="표준 4 2 2 2 2 3 3 2 2 3 2" xfId="42810"/>
    <cellStyle name="표준 4 2 2 2 2 3 3 2 2 4" xfId="27846"/>
    <cellStyle name="표준 4 2 2 2 2 3 3 2 3" xfId="12860"/>
    <cellStyle name="표준 4 2 2 2 2 3 3 2 3 2" xfId="35327"/>
    <cellStyle name="표준 4 2 2 2 2 3 3 2 4" xfId="20344"/>
    <cellStyle name="표준 4 2 2 2 2 3 3 2 4 2" xfId="42809"/>
    <cellStyle name="표준 4 2 2 2 2 3 3 2 5" xfId="27845"/>
    <cellStyle name="표준 4 2 2 2 2 3 3 2_Sheet4" xfId="5121"/>
    <cellStyle name="표준 4 2 2 2 2 3 3 3" xfId="5122"/>
    <cellStyle name="표준 4 2 2 2 2 3 3 3 2" xfId="12862"/>
    <cellStyle name="표준 4 2 2 2 2 3 3 3 2 2" xfId="35329"/>
    <cellStyle name="표준 4 2 2 2 2 3 3 3 3" xfId="20346"/>
    <cellStyle name="표준 4 2 2 2 2 3 3 3 3 2" xfId="42811"/>
    <cellStyle name="표준 4 2 2 2 2 3 3 3 4" xfId="27847"/>
    <cellStyle name="표준 4 2 2 2 2 3 3 4" xfId="12859"/>
    <cellStyle name="표준 4 2 2 2 2 3 3 4 2" xfId="35326"/>
    <cellStyle name="표준 4 2 2 2 2 3 3 5" xfId="20343"/>
    <cellStyle name="표준 4 2 2 2 2 3 3 5 2" xfId="42808"/>
    <cellStyle name="표준 4 2 2 2 2 3 3 6" xfId="27844"/>
    <cellStyle name="표준 4 2 2 2 2 3 3_Sheet4" xfId="5123"/>
    <cellStyle name="표준 4 2 2 2 2 3 4" xfId="5124"/>
    <cellStyle name="표준 4 2 2 2 2 3 4 2" xfId="5125"/>
    <cellStyle name="표준 4 2 2 2 2 3 4 2 2" xfId="12864"/>
    <cellStyle name="표준 4 2 2 2 2 3 4 2 2 2" xfId="35331"/>
    <cellStyle name="표준 4 2 2 2 2 3 4 2 3" xfId="20348"/>
    <cellStyle name="표준 4 2 2 2 2 3 4 2 3 2" xfId="42813"/>
    <cellStyle name="표준 4 2 2 2 2 3 4 2 4" xfId="27849"/>
    <cellStyle name="표준 4 2 2 2 2 3 4 3" xfId="12863"/>
    <cellStyle name="표준 4 2 2 2 2 3 4 3 2" xfId="35330"/>
    <cellStyle name="표준 4 2 2 2 2 3 4 4" xfId="20347"/>
    <cellStyle name="표준 4 2 2 2 2 3 4 4 2" xfId="42812"/>
    <cellStyle name="표준 4 2 2 2 2 3 4 5" xfId="27848"/>
    <cellStyle name="표준 4 2 2 2 2 3 4_Sheet4" xfId="5126"/>
    <cellStyle name="표준 4 2 2 2 2 3 5" xfId="5127"/>
    <cellStyle name="표준 4 2 2 2 2 3 5 2" xfId="12865"/>
    <cellStyle name="표준 4 2 2 2 2 3 5 2 2" xfId="35332"/>
    <cellStyle name="표준 4 2 2 2 2 3 5 3" xfId="20349"/>
    <cellStyle name="표준 4 2 2 2 2 3 5 3 2" xfId="42814"/>
    <cellStyle name="표준 4 2 2 2 2 3 5 4" xfId="27850"/>
    <cellStyle name="표준 4 2 2 2 2 3 6" xfId="12850"/>
    <cellStyle name="표준 4 2 2 2 2 3 6 2" xfId="35317"/>
    <cellStyle name="표준 4 2 2 2 2 3 7" xfId="20334"/>
    <cellStyle name="표준 4 2 2 2 2 3 7 2" xfId="42799"/>
    <cellStyle name="표준 4 2 2 2 2 3 8" xfId="27835"/>
    <cellStyle name="표준 4 2 2 2 2 3_Sheet4" xfId="5128"/>
    <cellStyle name="표준 4 2 2 2 2 4" xfId="5129"/>
    <cellStyle name="표준 4 2 2 2 2 4 2" xfId="5130"/>
    <cellStyle name="표준 4 2 2 2 2 4 2 2" xfId="5131"/>
    <cellStyle name="표준 4 2 2 2 2 4 2 2 2" xfId="5132"/>
    <cellStyle name="표준 4 2 2 2 2 4 2 2 2 2" xfId="5133"/>
    <cellStyle name="표준 4 2 2 2 2 4 2 2 2 2 2" xfId="12870"/>
    <cellStyle name="표준 4 2 2 2 2 4 2 2 2 2 2 2" xfId="35337"/>
    <cellStyle name="표준 4 2 2 2 2 4 2 2 2 2 3" xfId="20354"/>
    <cellStyle name="표준 4 2 2 2 2 4 2 2 2 2 3 2" xfId="42819"/>
    <cellStyle name="표준 4 2 2 2 2 4 2 2 2 2 4" xfId="27855"/>
    <cellStyle name="표준 4 2 2 2 2 4 2 2 2 3" xfId="12869"/>
    <cellStyle name="표준 4 2 2 2 2 4 2 2 2 3 2" xfId="35336"/>
    <cellStyle name="표준 4 2 2 2 2 4 2 2 2 4" xfId="20353"/>
    <cellStyle name="표준 4 2 2 2 2 4 2 2 2 4 2" xfId="42818"/>
    <cellStyle name="표준 4 2 2 2 2 4 2 2 2 5" xfId="27854"/>
    <cellStyle name="표준 4 2 2 2 2 4 2 2 2_Sheet4" xfId="5134"/>
    <cellStyle name="표준 4 2 2 2 2 4 2 2 3" xfId="5135"/>
    <cellStyle name="표준 4 2 2 2 2 4 2 2 3 2" xfId="12871"/>
    <cellStyle name="표준 4 2 2 2 2 4 2 2 3 2 2" xfId="35338"/>
    <cellStyle name="표준 4 2 2 2 2 4 2 2 3 3" xfId="20355"/>
    <cellStyle name="표준 4 2 2 2 2 4 2 2 3 3 2" xfId="42820"/>
    <cellStyle name="표준 4 2 2 2 2 4 2 2 3 4" xfId="27856"/>
    <cellStyle name="표준 4 2 2 2 2 4 2 2 4" xfId="12868"/>
    <cellStyle name="표준 4 2 2 2 2 4 2 2 4 2" xfId="35335"/>
    <cellStyle name="표준 4 2 2 2 2 4 2 2 5" xfId="20352"/>
    <cellStyle name="표준 4 2 2 2 2 4 2 2 5 2" xfId="42817"/>
    <cellStyle name="표준 4 2 2 2 2 4 2 2 6" xfId="27853"/>
    <cellStyle name="표준 4 2 2 2 2 4 2 2_Sheet4" xfId="5136"/>
    <cellStyle name="표준 4 2 2 2 2 4 2 3" xfId="5137"/>
    <cellStyle name="표준 4 2 2 2 2 4 2 3 2" xfId="5138"/>
    <cellStyle name="표준 4 2 2 2 2 4 2 3 2 2" xfId="12873"/>
    <cellStyle name="표준 4 2 2 2 2 4 2 3 2 2 2" xfId="35340"/>
    <cellStyle name="표준 4 2 2 2 2 4 2 3 2 3" xfId="20357"/>
    <cellStyle name="표준 4 2 2 2 2 4 2 3 2 3 2" xfId="42822"/>
    <cellStyle name="표준 4 2 2 2 2 4 2 3 2 4" xfId="27858"/>
    <cellStyle name="표준 4 2 2 2 2 4 2 3 3" xfId="12872"/>
    <cellStyle name="표준 4 2 2 2 2 4 2 3 3 2" xfId="35339"/>
    <cellStyle name="표준 4 2 2 2 2 4 2 3 4" xfId="20356"/>
    <cellStyle name="표준 4 2 2 2 2 4 2 3 4 2" xfId="42821"/>
    <cellStyle name="표준 4 2 2 2 2 4 2 3 5" xfId="27857"/>
    <cellStyle name="표준 4 2 2 2 2 4 2 3_Sheet4" xfId="5139"/>
    <cellStyle name="표준 4 2 2 2 2 4 2 4" xfId="5140"/>
    <cellStyle name="표준 4 2 2 2 2 4 2 4 2" xfId="12874"/>
    <cellStyle name="표준 4 2 2 2 2 4 2 4 2 2" xfId="35341"/>
    <cellStyle name="표준 4 2 2 2 2 4 2 4 3" xfId="20358"/>
    <cellStyle name="표준 4 2 2 2 2 4 2 4 3 2" xfId="42823"/>
    <cellStyle name="표준 4 2 2 2 2 4 2 4 4" xfId="27859"/>
    <cellStyle name="표준 4 2 2 2 2 4 2 5" xfId="12867"/>
    <cellStyle name="표준 4 2 2 2 2 4 2 5 2" xfId="35334"/>
    <cellStyle name="표준 4 2 2 2 2 4 2 6" xfId="20351"/>
    <cellStyle name="표준 4 2 2 2 2 4 2 6 2" xfId="42816"/>
    <cellStyle name="표준 4 2 2 2 2 4 2 7" xfId="27852"/>
    <cellStyle name="표준 4 2 2 2 2 4 2_Sheet4" xfId="5141"/>
    <cellStyle name="표준 4 2 2 2 2 4 3" xfId="5142"/>
    <cellStyle name="표준 4 2 2 2 2 4 3 2" xfId="5143"/>
    <cellStyle name="표준 4 2 2 2 2 4 3 2 2" xfId="5144"/>
    <cellStyle name="표준 4 2 2 2 2 4 3 2 2 2" xfId="12877"/>
    <cellStyle name="표준 4 2 2 2 2 4 3 2 2 2 2" xfId="35344"/>
    <cellStyle name="표준 4 2 2 2 2 4 3 2 2 3" xfId="20361"/>
    <cellStyle name="표준 4 2 2 2 2 4 3 2 2 3 2" xfId="42826"/>
    <cellStyle name="표준 4 2 2 2 2 4 3 2 2 4" xfId="27862"/>
    <cellStyle name="표준 4 2 2 2 2 4 3 2 3" xfId="12876"/>
    <cellStyle name="표준 4 2 2 2 2 4 3 2 3 2" xfId="35343"/>
    <cellStyle name="표준 4 2 2 2 2 4 3 2 4" xfId="20360"/>
    <cellStyle name="표준 4 2 2 2 2 4 3 2 4 2" xfId="42825"/>
    <cellStyle name="표준 4 2 2 2 2 4 3 2 5" xfId="27861"/>
    <cellStyle name="표준 4 2 2 2 2 4 3 2_Sheet4" xfId="5145"/>
    <cellStyle name="표준 4 2 2 2 2 4 3 3" xfId="5146"/>
    <cellStyle name="표준 4 2 2 2 2 4 3 3 2" xfId="12878"/>
    <cellStyle name="표준 4 2 2 2 2 4 3 3 2 2" xfId="35345"/>
    <cellStyle name="표준 4 2 2 2 2 4 3 3 3" xfId="20362"/>
    <cellStyle name="표준 4 2 2 2 2 4 3 3 3 2" xfId="42827"/>
    <cellStyle name="표준 4 2 2 2 2 4 3 3 4" xfId="27863"/>
    <cellStyle name="표준 4 2 2 2 2 4 3 4" xfId="12875"/>
    <cellStyle name="표준 4 2 2 2 2 4 3 4 2" xfId="35342"/>
    <cellStyle name="표준 4 2 2 2 2 4 3 5" xfId="20359"/>
    <cellStyle name="표준 4 2 2 2 2 4 3 5 2" xfId="42824"/>
    <cellStyle name="표준 4 2 2 2 2 4 3 6" xfId="27860"/>
    <cellStyle name="표준 4 2 2 2 2 4 3_Sheet4" xfId="5147"/>
    <cellStyle name="표준 4 2 2 2 2 4 4" xfId="5148"/>
    <cellStyle name="표준 4 2 2 2 2 4 4 2" xfId="5149"/>
    <cellStyle name="표준 4 2 2 2 2 4 4 2 2" xfId="12880"/>
    <cellStyle name="표준 4 2 2 2 2 4 4 2 2 2" xfId="35347"/>
    <cellStyle name="표준 4 2 2 2 2 4 4 2 3" xfId="20364"/>
    <cellStyle name="표준 4 2 2 2 2 4 4 2 3 2" xfId="42829"/>
    <cellStyle name="표준 4 2 2 2 2 4 4 2 4" xfId="27865"/>
    <cellStyle name="표준 4 2 2 2 2 4 4 3" xfId="12879"/>
    <cellStyle name="표준 4 2 2 2 2 4 4 3 2" xfId="35346"/>
    <cellStyle name="표준 4 2 2 2 2 4 4 4" xfId="20363"/>
    <cellStyle name="표준 4 2 2 2 2 4 4 4 2" xfId="42828"/>
    <cellStyle name="표준 4 2 2 2 2 4 4 5" xfId="27864"/>
    <cellStyle name="표준 4 2 2 2 2 4 4_Sheet4" xfId="5150"/>
    <cellStyle name="표준 4 2 2 2 2 4 5" xfId="5151"/>
    <cellStyle name="표준 4 2 2 2 2 4 5 2" xfId="12881"/>
    <cellStyle name="표준 4 2 2 2 2 4 5 2 2" xfId="35348"/>
    <cellStyle name="표준 4 2 2 2 2 4 5 3" xfId="20365"/>
    <cellStyle name="표준 4 2 2 2 2 4 5 3 2" xfId="42830"/>
    <cellStyle name="표준 4 2 2 2 2 4 5 4" xfId="27866"/>
    <cellStyle name="표준 4 2 2 2 2 4 6" xfId="12866"/>
    <cellStyle name="표준 4 2 2 2 2 4 6 2" xfId="35333"/>
    <cellStyle name="표준 4 2 2 2 2 4 7" xfId="20350"/>
    <cellStyle name="표준 4 2 2 2 2 4 7 2" xfId="42815"/>
    <cellStyle name="표준 4 2 2 2 2 4 8" xfId="27851"/>
    <cellStyle name="표준 4 2 2 2 2 4_Sheet4" xfId="5152"/>
    <cellStyle name="표준 4 2 2 2 2 5" xfId="5153"/>
    <cellStyle name="표준 4 2 2 2 2 5 2" xfId="5154"/>
    <cellStyle name="표준 4 2 2 2 2 5 2 2" xfId="5155"/>
    <cellStyle name="표준 4 2 2 2 2 5 2 2 2" xfId="5156"/>
    <cellStyle name="표준 4 2 2 2 2 5 2 2 2 2" xfId="12885"/>
    <cellStyle name="표준 4 2 2 2 2 5 2 2 2 2 2" xfId="35352"/>
    <cellStyle name="표준 4 2 2 2 2 5 2 2 2 3" xfId="20369"/>
    <cellStyle name="표준 4 2 2 2 2 5 2 2 2 3 2" xfId="42834"/>
    <cellStyle name="표준 4 2 2 2 2 5 2 2 2 4" xfId="27870"/>
    <cellStyle name="표준 4 2 2 2 2 5 2 2 3" xfId="12884"/>
    <cellStyle name="표준 4 2 2 2 2 5 2 2 3 2" xfId="35351"/>
    <cellStyle name="표준 4 2 2 2 2 5 2 2 4" xfId="20368"/>
    <cellStyle name="표준 4 2 2 2 2 5 2 2 4 2" xfId="42833"/>
    <cellStyle name="표준 4 2 2 2 2 5 2 2 5" xfId="27869"/>
    <cellStyle name="표준 4 2 2 2 2 5 2 2_Sheet4" xfId="5157"/>
    <cellStyle name="표준 4 2 2 2 2 5 2 3" xfId="5158"/>
    <cellStyle name="표준 4 2 2 2 2 5 2 3 2" xfId="12886"/>
    <cellStyle name="표준 4 2 2 2 2 5 2 3 2 2" xfId="35353"/>
    <cellStyle name="표준 4 2 2 2 2 5 2 3 3" xfId="20370"/>
    <cellStyle name="표준 4 2 2 2 2 5 2 3 3 2" xfId="42835"/>
    <cellStyle name="표준 4 2 2 2 2 5 2 3 4" xfId="27871"/>
    <cellStyle name="표준 4 2 2 2 2 5 2 4" xfId="12883"/>
    <cellStyle name="표준 4 2 2 2 2 5 2 4 2" xfId="35350"/>
    <cellStyle name="표준 4 2 2 2 2 5 2 5" xfId="20367"/>
    <cellStyle name="표준 4 2 2 2 2 5 2 5 2" xfId="42832"/>
    <cellStyle name="표준 4 2 2 2 2 5 2 6" xfId="27868"/>
    <cellStyle name="표준 4 2 2 2 2 5 2_Sheet4" xfId="5159"/>
    <cellStyle name="표준 4 2 2 2 2 5 3" xfId="5160"/>
    <cellStyle name="표준 4 2 2 2 2 5 3 2" xfId="5161"/>
    <cellStyle name="표준 4 2 2 2 2 5 3 2 2" xfId="12888"/>
    <cellStyle name="표준 4 2 2 2 2 5 3 2 2 2" xfId="35355"/>
    <cellStyle name="표준 4 2 2 2 2 5 3 2 3" xfId="20372"/>
    <cellStyle name="표준 4 2 2 2 2 5 3 2 3 2" xfId="42837"/>
    <cellStyle name="표준 4 2 2 2 2 5 3 2 4" xfId="27873"/>
    <cellStyle name="표준 4 2 2 2 2 5 3 3" xfId="12887"/>
    <cellStyle name="표준 4 2 2 2 2 5 3 3 2" xfId="35354"/>
    <cellStyle name="표준 4 2 2 2 2 5 3 4" xfId="20371"/>
    <cellStyle name="표준 4 2 2 2 2 5 3 4 2" xfId="42836"/>
    <cellStyle name="표준 4 2 2 2 2 5 3 5" xfId="27872"/>
    <cellStyle name="표준 4 2 2 2 2 5 3_Sheet4" xfId="5162"/>
    <cellStyle name="표준 4 2 2 2 2 5 4" xfId="5163"/>
    <cellStyle name="표준 4 2 2 2 2 5 4 2" xfId="12889"/>
    <cellStyle name="표준 4 2 2 2 2 5 4 2 2" xfId="35356"/>
    <cellStyle name="표준 4 2 2 2 2 5 4 3" xfId="20373"/>
    <cellStyle name="표준 4 2 2 2 2 5 4 3 2" xfId="42838"/>
    <cellStyle name="표준 4 2 2 2 2 5 4 4" xfId="27874"/>
    <cellStyle name="표준 4 2 2 2 2 5 5" xfId="12882"/>
    <cellStyle name="표준 4 2 2 2 2 5 5 2" xfId="35349"/>
    <cellStyle name="표준 4 2 2 2 2 5 6" xfId="20366"/>
    <cellStyle name="표준 4 2 2 2 2 5 6 2" xfId="42831"/>
    <cellStyle name="표준 4 2 2 2 2 5 7" xfId="27867"/>
    <cellStyle name="표준 4 2 2 2 2 5_Sheet4" xfId="5164"/>
    <cellStyle name="표준 4 2 2 2 2 6" xfId="5165"/>
    <cellStyle name="표준 4 2 2 2 2 6 2" xfId="5166"/>
    <cellStyle name="표준 4 2 2 2 2 6 2 2" xfId="5167"/>
    <cellStyle name="표준 4 2 2 2 2 6 2 2 2" xfId="12892"/>
    <cellStyle name="표준 4 2 2 2 2 6 2 2 2 2" xfId="35359"/>
    <cellStyle name="표준 4 2 2 2 2 6 2 2 3" xfId="20376"/>
    <cellStyle name="표준 4 2 2 2 2 6 2 2 3 2" xfId="42841"/>
    <cellStyle name="표준 4 2 2 2 2 6 2 2 4" xfId="27877"/>
    <cellStyle name="표준 4 2 2 2 2 6 2 3" xfId="12891"/>
    <cellStyle name="표준 4 2 2 2 2 6 2 3 2" xfId="35358"/>
    <cellStyle name="표준 4 2 2 2 2 6 2 4" xfId="20375"/>
    <cellStyle name="표준 4 2 2 2 2 6 2 4 2" xfId="42840"/>
    <cellStyle name="표준 4 2 2 2 2 6 2 5" xfId="27876"/>
    <cellStyle name="표준 4 2 2 2 2 6 2_Sheet4" xfId="5168"/>
    <cellStyle name="표준 4 2 2 2 2 6 3" xfId="5169"/>
    <cellStyle name="표준 4 2 2 2 2 6 3 2" xfId="12893"/>
    <cellStyle name="표준 4 2 2 2 2 6 3 2 2" xfId="35360"/>
    <cellStyle name="표준 4 2 2 2 2 6 3 3" xfId="20377"/>
    <cellStyle name="표준 4 2 2 2 2 6 3 3 2" xfId="42842"/>
    <cellStyle name="표준 4 2 2 2 2 6 3 4" xfId="27878"/>
    <cellStyle name="표준 4 2 2 2 2 6 4" xfId="12890"/>
    <cellStyle name="표준 4 2 2 2 2 6 4 2" xfId="35357"/>
    <cellStyle name="표준 4 2 2 2 2 6 5" xfId="20374"/>
    <cellStyle name="표준 4 2 2 2 2 6 5 2" xfId="42839"/>
    <cellStyle name="표준 4 2 2 2 2 6 6" xfId="27875"/>
    <cellStyle name="표준 4 2 2 2 2 6_Sheet4" xfId="5170"/>
    <cellStyle name="표준 4 2 2 2 2 7" xfId="5171"/>
    <cellStyle name="표준 4 2 2 2 2 7 2" xfId="5172"/>
    <cellStyle name="표준 4 2 2 2 2 7 2 2" xfId="5173"/>
    <cellStyle name="표준 4 2 2 2 2 7 2 2 2" xfId="12896"/>
    <cellStyle name="표준 4 2 2 2 2 7 2 2 2 2" xfId="35363"/>
    <cellStyle name="표준 4 2 2 2 2 7 2 2 3" xfId="20380"/>
    <cellStyle name="표준 4 2 2 2 2 7 2 2 3 2" xfId="42845"/>
    <cellStyle name="표준 4 2 2 2 2 7 2 2 4" xfId="27881"/>
    <cellStyle name="표준 4 2 2 2 2 7 2 3" xfId="12895"/>
    <cellStyle name="표준 4 2 2 2 2 7 2 3 2" xfId="35362"/>
    <cellStyle name="표준 4 2 2 2 2 7 2 4" xfId="20379"/>
    <cellStyle name="표준 4 2 2 2 2 7 2 4 2" xfId="42844"/>
    <cellStyle name="표준 4 2 2 2 2 7 2 5" xfId="27880"/>
    <cellStyle name="표준 4 2 2 2 2 7 2_Sheet4" xfId="5174"/>
    <cellStyle name="표준 4 2 2 2 2 7 3" xfId="5175"/>
    <cellStyle name="표준 4 2 2 2 2 7 3 2" xfId="12897"/>
    <cellStyle name="표준 4 2 2 2 2 7 3 2 2" xfId="35364"/>
    <cellStyle name="표준 4 2 2 2 2 7 3 3" xfId="20381"/>
    <cellStyle name="표준 4 2 2 2 2 7 3 3 2" xfId="42846"/>
    <cellStyle name="표준 4 2 2 2 2 7 3 4" xfId="27882"/>
    <cellStyle name="표준 4 2 2 2 2 7 4" xfId="12894"/>
    <cellStyle name="표준 4 2 2 2 2 7 4 2" xfId="35361"/>
    <cellStyle name="표준 4 2 2 2 2 7 5" xfId="20378"/>
    <cellStyle name="표준 4 2 2 2 2 7 5 2" xfId="42843"/>
    <cellStyle name="표준 4 2 2 2 2 7 6" xfId="27879"/>
    <cellStyle name="표준 4 2 2 2 2 7_Sheet4" xfId="5176"/>
    <cellStyle name="표준 4 2 2 2 2 8" xfId="5177"/>
    <cellStyle name="표준 4 2 2 2 2 8 2" xfId="5178"/>
    <cellStyle name="표준 4 2 2 2 2 8 2 2" xfId="12899"/>
    <cellStyle name="표준 4 2 2 2 2 8 2 2 2" xfId="35366"/>
    <cellStyle name="표준 4 2 2 2 2 8 2 3" xfId="20383"/>
    <cellStyle name="표준 4 2 2 2 2 8 2 3 2" xfId="42848"/>
    <cellStyle name="표준 4 2 2 2 2 8 2 4" xfId="27884"/>
    <cellStyle name="표준 4 2 2 2 2 8 3" xfId="12898"/>
    <cellStyle name="표준 4 2 2 2 2 8 3 2" xfId="35365"/>
    <cellStyle name="표준 4 2 2 2 2 8 4" xfId="20382"/>
    <cellStyle name="표준 4 2 2 2 2 8 4 2" xfId="42847"/>
    <cellStyle name="표준 4 2 2 2 2 8 5" xfId="27883"/>
    <cellStyle name="표준 4 2 2 2 2 8_Sheet4" xfId="5179"/>
    <cellStyle name="표준 4 2 2 2 2 9" xfId="5180"/>
    <cellStyle name="표준 4 2 2 2 2 9 2" xfId="12900"/>
    <cellStyle name="표준 4 2 2 2 2 9 2 2" xfId="35367"/>
    <cellStyle name="표준 4 2 2 2 2 9 3" xfId="20384"/>
    <cellStyle name="표준 4 2 2 2 2 9 3 2" xfId="42849"/>
    <cellStyle name="표준 4 2 2 2 2 9 4" xfId="27885"/>
    <cellStyle name="표준 4 2 2 2 2_Sheet4" xfId="5181"/>
    <cellStyle name="표준 4 2 2 2 3" xfId="5182"/>
    <cellStyle name="표준 4 2 2 2 3 10" xfId="27886"/>
    <cellStyle name="표준 4 2 2 2 3 2" xfId="5183"/>
    <cellStyle name="표준 4 2 2 2 3 2 2" xfId="5184"/>
    <cellStyle name="표준 4 2 2 2 3 2 2 2" xfId="5185"/>
    <cellStyle name="표준 4 2 2 2 3 2 2 2 2" xfId="5186"/>
    <cellStyle name="표준 4 2 2 2 3 2 2 2 2 2" xfId="5187"/>
    <cellStyle name="표준 4 2 2 2 3 2 2 2 2 2 2" xfId="12906"/>
    <cellStyle name="표준 4 2 2 2 3 2 2 2 2 2 2 2" xfId="35373"/>
    <cellStyle name="표준 4 2 2 2 3 2 2 2 2 2 3" xfId="20390"/>
    <cellStyle name="표준 4 2 2 2 3 2 2 2 2 2 3 2" xfId="42855"/>
    <cellStyle name="표준 4 2 2 2 3 2 2 2 2 2 4" xfId="27891"/>
    <cellStyle name="표준 4 2 2 2 3 2 2 2 2 3" xfId="12905"/>
    <cellStyle name="표준 4 2 2 2 3 2 2 2 2 3 2" xfId="35372"/>
    <cellStyle name="표준 4 2 2 2 3 2 2 2 2 4" xfId="20389"/>
    <cellStyle name="표준 4 2 2 2 3 2 2 2 2 4 2" xfId="42854"/>
    <cellStyle name="표준 4 2 2 2 3 2 2 2 2 5" xfId="27890"/>
    <cellStyle name="표준 4 2 2 2 3 2 2 2 2_Sheet4" xfId="5188"/>
    <cellStyle name="표준 4 2 2 2 3 2 2 2 3" xfId="5189"/>
    <cellStyle name="표준 4 2 2 2 3 2 2 2 3 2" xfId="12907"/>
    <cellStyle name="표준 4 2 2 2 3 2 2 2 3 2 2" xfId="35374"/>
    <cellStyle name="표준 4 2 2 2 3 2 2 2 3 3" xfId="20391"/>
    <cellStyle name="표준 4 2 2 2 3 2 2 2 3 3 2" xfId="42856"/>
    <cellStyle name="표준 4 2 2 2 3 2 2 2 3 4" xfId="27892"/>
    <cellStyle name="표준 4 2 2 2 3 2 2 2 4" xfId="12904"/>
    <cellStyle name="표준 4 2 2 2 3 2 2 2 4 2" xfId="35371"/>
    <cellStyle name="표준 4 2 2 2 3 2 2 2 5" xfId="20388"/>
    <cellStyle name="표준 4 2 2 2 3 2 2 2 5 2" xfId="42853"/>
    <cellStyle name="표준 4 2 2 2 3 2 2 2 6" xfId="27889"/>
    <cellStyle name="표준 4 2 2 2 3 2 2 2_Sheet4" xfId="5190"/>
    <cellStyle name="표준 4 2 2 2 3 2 2 3" xfId="5191"/>
    <cellStyle name="표준 4 2 2 2 3 2 2 3 2" xfId="5192"/>
    <cellStyle name="표준 4 2 2 2 3 2 2 3 2 2" xfId="12909"/>
    <cellStyle name="표준 4 2 2 2 3 2 2 3 2 2 2" xfId="35376"/>
    <cellStyle name="표준 4 2 2 2 3 2 2 3 2 3" xfId="20393"/>
    <cellStyle name="표준 4 2 2 2 3 2 2 3 2 3 2" xfId="42858"/>
    <cellStyle name="표준 4 2 2 2 3 2 2 3 2 4" xfId="27894"/>
    <cellStyle name="표준 4 2 2 2 3 2 2 3 3" xfId="12908"/>
    <cellStyle name="표준 4 2 2 2 3 2 2 3 3 2" xfId="35375"/>
    <cellStyle name="표준 4 2 2 2 3 2 2 3 4" xfId="20392"/>
    <cellStyle name="표준 4 2 2 2 3 2 2 3 4 2" xfId="42857"/>
    <cellStyle name="표준 4 2 2 2 3 2 2 3 5" xfId="27893"/>
    <cellStyle name="표준 4 2 2 2 3 2 2 3_Sheet4" xfId="5193"/>
    <cellStyle name="표준 4 2 2 2 3 2 2 4" xfId="5194"/>
    <cellStyle name="표준 4 2 2 2 3 2 2 4 2" xfId="12910"/>
    <cellStyle name="표준 4 2 2 2 3 2 2 4 2 2" xfId="35377"/>
    <cellStyle name="표준 4 2 2 2 3 2 2 4 3" xfId="20394"/>
    <cellStyle name="표준 4 2 2 2 3 2 2 4 3 2" xfId="42859"/>
    <cellStyle name="표준 4 2 2 2 3 2 2 4 4" xfId="27895"/>
    <cellStyle name="표준 4 2 2 2 3 2 2 5" xfId="12903"/>
    <cellStyle name="표준 4 2 2 2 3 2 2 5 2" xfId="35370"/>
    <cellStyle name="표준 4 2 2 2 3 2 2 6" xfId="20387"/>
    <cellStyle name="표준 4 2 2 2 3 2 2 6 2" xfId="42852"/>
    <cellStyle name="표준 4 2 2 2 3 2 2 7" xfId="27888"/>
    <cellStyle name="표준 4 2 2 2 3 2 2_Sheet4" xfId="5195"/>
    <cellStyle name="표준 4 2 2 2 3 2 3" xfId="5196"/>
    <cellStyle name="표준 4 2 2 2 3 2 3 2" xfId="5197"/>
    <cellStyle name="표준 4 2 2 2 3 2 3 2 2" xfId="5198"/>
    <cellStyle name="표준 4 2 2 2 3 2 3 2 2 2" xfId="12913"/>
    <cellStyle name="표준 4 2 2 2 3 2 3 2 2 2 2" xfId="35380"/>
    <cellStyle name="표준 4 2 2 2 3 2 3 2 2 3" xfId="20397"/>
    <cellStyle name="표준 4 2 2 2 3 2 3 2 2 3 2" xfId="42862"/>
    <cellStyle name="표준 4 2 2 2 3 2 3 2 2 4" xfId="27898"/>
    <cellStyle name="표준 4 2 2 2 3 2 3 2 3" xfId="12912"/>
    <cellStyle name="표준 4 2 2 2 3 2 3 2 3 2" xfId="35379"/>
    <cellStyle name="표준 4 2 2 2 3 2 3 2 4" xfId="20396"/>
    <cellStyle name="표준 4 2 2 2 3 2 3 2 4 2" xfId="42861"/>
    <cellStyle name="표준 4 2 2 2 3 2 3 2 5" xfId="27897"/>
    <cellStyle name="표준 4 2 2 2 3 2 3 2_Sheet4" xfId="5199"/>
    <cellStyle name="표준 4 2 2 2 3 2 3 3" xfId="5200"/>
    <cellStyle name="표준 4 2 2 2 3 2 3 3 2" xfId="12914"/>
    <cellStyle name="표준 4 2 2 2 3 2 3 3 2 2" xfId="35381"/>
    <cellStyle name="표준 4 2 2 2 3 2 3 3 3" xfId="20398"/>
    <cellStyle name="표준 4 2 2 2 3 2 3 3 3 2" xfId="42863"/>
    <cellStyle name="표준 4 2 2 2 3 2 3 3 4" xfId="27899"/>
    <cellStyle name="표준 4 2 2 2 3 2 3 4" xfId="12911"/>
    <cellStyle name="표준 4 2 2 2 3 2 3 4 2" xfId="35378"/>
    <cellStyle name="표준 4 2 2 2 3 2 3 5" xfId="20395"/>
    <cellStyle name="표준 4 2 2 2 3 2 3 5 2" xfId="42860"/>
    <cellStyle name="표준 4 2 2 2 3 2 3 6" xfId="27896"/>
    <cellStyle name="표준 4 2 2 2 3 2 3_Sheet4" xfId="5201"/>
    <cellStyle name="표준 4 2 2 2 3 2 4" xfId="5202"/>
    <cellStyle name="표준 4 2 2 2 3 2 4 2" xfId="5203"/>
    <cellStyle name="표준 4 2 2 2 3 2 4 2 2" xfId="12916"/>
    <cellStyle name="표준 4 2 2 2 3 2 4 2 2 2" xfId="35383"/>
    <cellStyle name="표준 4 2 2 2 3 2 4 2 3" xfId="20400"/>
    <cellStyle name="표준 4 2 2 2 3 2 4 2 3 2" xfId="42865"/>
    <cellStyle name="표준 4 2 2 2 3 2 4 2 4" xfId="27901"/>
    <cellStyle name="표준 4 2 2 2 3 2 4 3" xfId="12915"/>
    <cellStyle name="표준 4 2 2 2 3 2 4 3 2" xfId="35382"/>
    <cellStyle name="표준 4 2 2 2 3 2 4 4" xfId="20399"/>
    <cellStyle name="표준 4 2 2 2 3 2 4 4 2" xfId="42864"/>
    <cellStyle name="표준 4 2 2 2 3 2 4 5" xfId="27900"/>
    <cellStyle name="표준 4 2 2 2 3 2 4_Sheet4" xfId="5204"/>
    <cellStyle name="표준 4 2 2 2 3 2 5" xfId="5205"/>
    <cellStyle name="표준 4 2 2 2 3 2 5 2" xfId="12917"/>
    <cellStyle name="표준 4 2 2 2 3 2 5 2 2" xfId="35384"/>
    <cellStyle name="표준 4 2 2 2 3 2 5 3" xfId="20401"/>
    <cellStyle name="표준 4 2 2 2 3 2 5 3 2" xfId="42866"/>
    <cellStyle name="표준 4 2 2 2 3 2 5 4" xfId="27902"/>
    <cellStyle name="표준 4 2 2 2 3 2 6" xfId="12902"/>
    <cellStyle name="표준 4 2 2 2 3 2 6 2" xfId="35369"/>
    <cellStyle name="표준 4 2 2 2 3 2 7" xfId="20386"/>
    <cellStyle name="표준 4 2 2 2 3 2 7 2" xfId="42851"/>
    <cellStyle name="표준 4 2 2 2 3 2 8" xfId="27887"/>
    <cellStyle name="표준 4 2 2 2 3 2_Sheet4" xfId="5206"/>
    <cellStyle name="표준 4 2 2 2 3 3" xfId="5207"/>
    <cellStyle name="표준 4 2 2 2 3 3 2" xfId="5208"/>
    <cellStyle name="표준 4 2 2 2 3 3 2 2" xfId="5209"/>
    <cellStyle name="표준 4 2 2 2 3 3 2 2 2" xfId="5210"/>
    <cellStyle name="표준 4 2 2 2 3 3 2 2 2 2" xfId="5211"/>
    <cellStyle name="표준 4 2 2 2 3 3 2 2 2 2 2" xfId="12922"/>
    <cellStyle name="표준 4 2 2 2 3 3 2 2 2 2 2 2" xfId="35389"/>
    <cellStyle name="표준 4 2 2 2 3 3 2 2 2 2 3" xfId="20406"/>
    <cellStyle name="표준 4 2 2 2 3 3 2 2 2 2 3 2" xfId="42871"/>
    <cellStyle name="표준 4 2 2 2 3 3 2 2 2 2 4" xfId="27907"/>
    <cellStyle name="표준 4 2 2 2 3 3 2 2 2 3" xfId="12921"/>
    <cellStyle name="표준 4 2 2 2 3 3 2 2 2 3 2" xfId="35388"/>
    <cellStyle name="표준 4 2 2 2 3 3 2 2 2 4" xfId="20405"/>
    <cellStyle name="표준 4 2 2 2 3 3 2 2 2 4 2" xfId="42870"/>
    <cellStyle name="표준 4 2 2 2 3 3 2 2 2 5" xfId="27906"/>
    <cellStyle name="표준 4 2 2 2 3 3 2 2 2_Sheet4" xfId="5212"/>
    <cellStyle name="표준 4 2 2 2 3 3 2 2 3" xfId="5213"/>
    <cellStyle name="표준 4 2 2 2 3 3 2 2 3 2" xfId="12923"/>
    <cellStyle name="표준 4 2 2 2 3 3 2 2 3 2 2" xfId="35390"/>
    <cellStyle name="표준 4 2 2 2 3 3 2 2 3 3" xfId="20407"/>
    <cellStyle name="표준 4 2 2 2 3 3 2 2 3 3 2" xfId="42872"/>
    <cellStyle name="표준 4 2 2 2 3 3 2 2 3 4" xfId="27908"/>
    <cellStyle name="표준 4 2 2 2 3 3 2 2 4" xfId="12920"/>
    <cellStyle name="표준 4 2 2 2 3 3 2 2 4 2" xfId="35387"/>
    <cellStyle name="표준 4 2 2 2 3 3 2 2 5" xfId="20404"/>
    <cellStyle name="표준 4 2 2 2 3 3 2 2 5 2" xfId="42869"/>
    <cellStyle name="표준 4 2 2 2 3 3 2 2 6" xfId="27905"/>
    <cellStyle name="표준 4 2 2 2 3 3 2 2_Sheet4" xfId="5214"/>
    <cellStyle name="표준 4 2 2 2 3 3 2 3" xfId="5215"/>
    <cellStyle name="표준 4 2 2 2 3 3 2 3 2" xfId="5216"/>
    <cellStyle name="표준 4 2 2 2 3 3 2 3 2 2" xfId="12925"/>
    <cellStyle name="표준 4 2 2 2 3 3 2 3 2 2 2" xfId="35392"/>
    <cellStyle name="표준 4 2 2 2 3 3 2 3 2 3" xfId="20409"/>
    <cellStyle name="표준 4 2 2 2 3 3 2 3 2 3 2" xfId="42874"/>
    <cellStyle name="표준 4 2 2 2 3 3 2 3 2 4" xfId="27910"/>
    <cellStyle name="표준 4 2 2 2 3 3 2 3 3" xfId="12924"/>
    <cellStyle name="표준 4 2 2 2 3 3 2 3 3 2" xfId="35391"/>
    <cellStyle name="표준 4 2 2 2 3 3 2 3 4" xfId="20408"/>
    <cellStyle name="표준 4 2 2 2 3 3 2 3 4 2" xfId="42873"/>
    <cellStyle name="표준 4 2 2 2 3 3 2 3 5" xfId="27909"/>
    <cellStyle name="표준 4 2 2 2 3 3 2 3_Sheet4" xfId="5217"/>
    <cellStyle name="표준 4 2 2 2 3 3 2 4" xfId="5218"/>
    <cellStyle name="표준 4 2 2 2 3 3 2 4 2" xfId="12926"/>
    <cellStyle name="표준 4 2 2 2 3 3 2 4 2 2" xfId="35393"/>
    <cellStyle name="표준 4 2 2 2 3 3 2 4 3" xfId="20410"/>
    <cellStyle name="표준 4 2 2 2 3 3 2 4 3 2" xfId="42875"/>
    <cellStyle name="표준 4 2 2 2 3 3 2 4 4" xfId="27911"/>
    <cellStyle name="표준 4 2 2 2 3 3 2 5" xfId="12919"/>
    <cellStyle name="표준 4 2 2 2 3 3 2 5 2" xfId="35386"/>
    <cellStyle name="표준 4 2 2 2 3 3 2 6" xfId="20403"/>
    <cellStyle name="표준 4 2 2 2 3 3 2 6 2" xfId="42868"/>
    <cellStyle name="표준 4 2 2 2 3 3 2 7" xfId="27904"/>
    <cellStyle name="표준 4 2 2 2 3 3 2_Sheet4" xfId="5219"/>
    <cellStyle name="표준 4 2 2 2 3 3 3" xfId="5220"/>
    <cellStyle name="표준 4 2 2 2 3 3 3 2" xfId="5221"/>
    <cellStyle name="표준 4 2 2 2 3 3 3 2 2" xfId="5222"/>
    <cellStyle name="표준 4 2 2 2 3 3 3 2 2 2" xfId="12929"/>
    <cellStyle name="표준 4 2 2 2 3 3 3 2 2 2 2" xfId="35396"/>
    <cellStyle name="표준 4 2 2 2 3 3 3 2 2 3" xfId="20413"/>
    <cellStyle name="표준 4 2 2 2 3 3 3 2 2 3 2" xfId="42878"/>
    <cellStyle name="표준 4 2 2 2 3 3 3 2 2 4" xfId="27914"/>
    <cellStyle name="표준 4 2 2 2 3 3 3 2 3" xfId="12928"/>
    <cellStyle name="표준 4 2 2 2 3 3 3 2 3 2" xfId="35395"/>
    <cellStyle name="표준 4 2 2 2 3 3 3 2 4" xfId="20412"/>
    <cellStyle name="표준 4 2 2 2 3 3 3 2 4 2" xfId="42877"/>
    <cellStyle name="표준 4 2 2 2 3 3 3 2 5" xfId="27913"/>
    <cellStyle name="표준 4 2 2 2 3 3 3 2_Sheet4" xfId="5223"/>
    <cellStyle name="표준 4 2 2 2 3 3 3 3" xfId="5224"/>
    <cellStyle name="표준 4 2 2 2 3 3 3 3 2" xfId="12930"/>
    <cellStyle name="표준 4 2 2 2 3 3 3 3 2 2" xfId="35397"/>
    <cellStyle name="표준 4 2 2 2 3 3 3 3 3" xfId="20414"/>
    <cellStyle name="표준 4 2 2 2 3 3 3 3 3 2" xfId="42879"/>
    <cellStyle name="표준 4 2 2 2 3 3 3 3 4" xfId="27915"/>
    <cellStyle name="표준 4 2 2 2 3 3 3 4" xfId="12927"/>
    <cellStyle name="표준 4 2 2 2 3 3 3 4 2" xfId="35394"/>
    <cellStyle name="표준 4 2 2 2 3 3 3 5" xfId="20411"/>
    <cellStyle name="표준 4 2 2 2 3 3 3 5 2" xfId="42876"/>
    <cellStyle name="표준 4 2 2 2 3 3 3 6" xfId="27912"/>
    <cellStyle name="표준 4 2 2 2 3 3 3_Sheet4" xfId="5225"/>
    <cellStyle name="표준 4 2 2 2 3 3 4" xfId="5226"/>
    <cellStyle name="표준 4 2 2 2 3 3 4 2" xfId="5227"/>
    <cellStyle name="표준 4 2 2 2 3 3 4 2 2" xfId="12932"/>
    <cellStyle name="표준 4 2 2 2 3 3 4 2 2 2" xfId="35399"/>
    <cellStyle name="표준 4 2 2 2 3 3 4 2 3" xfId="20416"/>
    <cellStyle name="표준 4 2 2 2 3 3 4 2 3 2" xfId="42881"/>
    <cellStyle name="표준 4 2 2 2 3 3 4 2 4" xfId="27917"/>
    <cellStyle name="표준 4 2 2 2 3 3 4 3" xfId="12931"/>
    <cellStyle name="표준 4 2 2 2 3 3 4 3 2" xfId="35398"/>
    <cellStyle name="표준 4 2 2 2 3 3 4 4" xfId="20415"/>
    <cellStyle name="표준 4 2 2 2 3 3 4 4 2" xfId="42880"/>
    <cellStyle name="표준 4 2 2 2 3 3 4 5" xfId="27916"/>
    <cellStyle name="표준 4 2 2 2 3 3 4_Sheet4" xfId="5228"/>
    <cellStyle name="표준 4 2 2 2 3 3 5" xfId="5229"/>
    <cellStyle name="표준 4 2 2 2 3 3 5 2" xfId="12933"/>
    <cellStyle name="표준 4 2 2 2 3 3 5 2 2" xfId="35400"/>
    <cellStyle name="표준 4 2 2 2 3 3 5 3" xfId="20417"/>
    <cellStyle name="표준 4 2 2 2 3 3 5 3 2" xfId="42882"/>
    <cellStyle name="표준 4 2 2 2 3 3 5 4" xfId="27918"/>
    <cellStyle name="표준 4 2 2 2 3 3 6" xfId="12918"/>
    <cellStyle name="표준 4 2 2 2 3 3 6 2" xfId="35385"/>
    <cellStyle name="표준 4 2 2 2 3 3 7" xfId="20402"/>
    <cellStyle name="표준 4 2 2 2 3 3 7 2" xfId="42867"/>
    <cellStyle name="표준 4 2 2 2 3 3 8" xfId="27903"/>
    <cellStyle name="표준 4 2 2 2 3 3_Sheet4" xfId="5230"/>
    <cellStyle name="표준 4 2 2 2 3 4" xfId="5231"/>
    <cellStyle name="표준 4 2 2 2 3 4 2" xfId="5232"/>
    <cellStyle name="표준 4 2 2 2 3 4 2 2" xfId="5233"/>
    <cellStyle name="표준 4 2 2 2 3 4 2 2 2" xfId="5234"/>
    <cellStyle name="표준 4 2 2 2 3 4 2 2 2 2" xfId="12937"/>
    <cellStyle name="표준 4 2 2 2 3 4 2 2 2 2 2" xfId="35404"/>
    <cellStyle name="표준 4 2 2 2 3 4 2 2 2 3" xfId="20421"/>
    <cellStyle name="표준 4 2 2 2 3 4 2 2 2 3 2" xfId="42886"/>
    <cellStyle name="표준 4 2 2 2 3 4 2 2 2 4" xfId="27922"/>
    <cellStyle name="표준 4 2 2 2 3 4 2 2 3" xfId="12936"/>
    <cellStyle name="표준 4 2 2 2 3 4 2 2 3 2" xfId="35403"/>
    <cellStyle name="표준 4 2 2 2 3 4 2 2 4" xfId="20420"/>
    <cellStyle name="표준 4 2 2 2 3 4 2 2 4 2" xfId="42885"/>
    <cellStyle name="표준 4 2 2 2 3 4 2 2 5" xfId="27921"/>
    <cellStyle name="표준 4 2 2 2 3 4 2 2_Sheet4" xfId="5235"/>
    <cellStyle name="표준 4 2 2 2 3 4 2 3" xfId="5236"/>
    <cellStyle name="표준 4 2 2 2 3 4 2 3 2" xfId="12938"/>
    <cellStyle name="표준 4 2 2 2 3 4 2 3 2 2" xfId="35405"/>
    <cellStyle name="표준 4 2 2 2 3 4 2 3 3" xfId="20422"/>
    <cellStyle name="표준 4 2 2 2 3 4 2 3 3 2" xfId="42887"/>
    <cellStyle name="표준 4 2 2 2 3 4 2 3 4" xfId="27923"/>
    <cellStyle name="표준 4 2 2 2 3 4 2 4" xfId="12935"/>
    <cellStyle name="표준 4 2 2 2 3 4 2 4 2" xfId="35402"/>
    <cellStyle name="표준 4 2 2 2 3 4 2 5" xfId="20419"/>
    <cellStyle name="표준 4 2 2 2 3 4 2 5 2" xfId="42884"/>
    <cellStyle name="표준 4 2 2 2 3 4 2 6" xfId="27920"/>
    <cellStyle name="표준 4 2 2 2 3 4 2_Sheet4" xfId="5237"/>
    <cellStyle name="표준 4 2 2 2 3 4 3" xfId="5238"/>
    <cellStyle name="표준 4 2 2 2 3 4 3 2" xfId="5239"/>
    <cellStyle name="표준 4 2 2 2 3 4 3 2 2" xfId="12940"/>
    <cellStyle name="표준 4 2 2 2 3 4 3 2 2 2" xfId="35407"/>
    <cellStyle name="표준 4 2 2 2 3 4 3 2 3" xfId="20424"/>
    <cellStyle name="표준 4 2 2 2 3 4 3 2 3 2" xfId="42889"/>
    <cellStyle name="표준 4 2 2 2 3 4 3 2 4" xfId="27925"/>
    <cellStyle name="표준 4 2 2 2 3 4 3 3" xfId="12939"/>
    <cellStyle name="표준 4 2 2 2 3 4 3 3 2" xfId="35406"/>
    <cellStyle name="표준 4 2 2 2 3 4 3 4" xfId="20423"/>
    <cellStyle name="표준 4 2 2 2 3 4 3 4 2" xfId="42888"/>
    <cellStyle name="표준 4 2 2 2 3 4 3 5" xfId="27924"/>
    <cellStyle name="표준 4 2 2 2 3 4 3_Sheet4" xfId="5240"/>
    <cellStyle name="표준 4 2 2 2 3 4 4" xfId="5241"/>
    <cellStyle name="표준 4 2 2 2 3 4 4 2" xfId="12941"/>
    <cellStyle name="표준 4 2 2 2 3 4 4 2 2" xfId="35408"/>
    <cellStyle name="표준 4 2 2 2 3 4 4 3" xfId="20425"/>
    <cellStyle name="표준 4 2 2 2 3 4 4 3 2" xfId="42890"/>
    <cellStyle name="표준 4 2 2 2 3 4 4 4" xfId="27926"/>
    <cellStyle name="표준 4 2 2 2 3 4 5" xfId="12934"/>
    <cellStyle name="표준 4 2 2 2 3 4 5 2" xfId="35401"/>
    <cellStyle name="표준 4 2 2 2 3 4 6" xfId="20418"/>
    <cellStyle name="표준 4 2 2 2 3 4 6 2" xfId="42883"/>
    <cellStyle name="표준 4 2 2 2 3 4 7" xfId="27919"/>
    <cellStyle name="표준 4 2 2 2 3 4_Sheet4" xfId="5242"/>
    <cellStyle name="표준 4 2 2 2 3 5" xfId="5243"/>
    <cellStyle name="표준 4 2 2 2 3 5 2" xfId="5244"/>
    <cellStyle name="표준 4 2 2 2 3 5 2 2" xfId="5245"/>
    <cellStyle name="표준 4 2 2 2 3 5 2 2 2" xfId="12944"/>
    <cellStyle name="표준 4 2 2 2 3 5 2 2 2 2" xfId="35411"/>
    <cellStyle name="표준 4 2 2 2 3 5 2 2 3" xfId="20428"/>
    <cellStyle name="표준 4 2 2 2 3 5 2 2 3 2" xfId="42893"/>
    <cellStyle name="표준 4 2 2 2 3 5 2 2 4" xfId="27929"/>
    <cellStyle name="표준 4 2 2 2 3 5 2 3" xfId="12943"/>
    <cellStyle name="표준 4 2 2 2 3 5 2 3 2" xfId="35410"/>
    <cellStyle name="표준 4 2 2 2 3 5 2 4" xfId="20427"/>
    <cellStyle name="표준 4 2 2 2 3 5 2 4 2" xfId="42892"/>
    <cellStyle name="표준 4 2 2 2 3 5 2 5" xfId="27928"/>
    <cellStyle name="표준 4 2 2 2 3 5 2_Sheet4" xfId="5246"/>
    <cellStyle name="표준 4 2 2 2 3 5 3" xfId="5247"/>
    <cellStyle name="표준 4 2 2 2 3 5 3 2" xfId="12945"/>
    <cellStyle name="표준 4 2 2 2 3 5 3 2 2" xfId="35412"/>
    <cellStyle name="표준 4 2 2 2 3 5 3 3" xfId="20429"/>
    <cellStyle name="표준 4 2 2 2 3 5 3 3 2" xfId="42894"/>
    <cellStyle name="표준 4 2 2 2 3 5 3 4" xfId="27930"/>
    <cellStyle name="표준 4 2 2 2 3 5 4" xfId="12942"/>
    <cellStyle name="표준 4 2 2 2 3 5 4 2" xfId="35409"/>
    <cellStyle name="표준 4 2 2 2 3 5 5" xfId="20426"/>
    <cellStyle name="표준 4 2 2 2 3 5 5 2" xfId="42891"/>
    <cellStyle name="표준 4 2 2 2 3 5 6" xfId="27927"/>
    <cellStyle name="표준 4 2 2 2 3 5_Sheet4" xfId="5248"/>
    <cellStyle name="표준 4 2 2 2 3 6" xfId="5249"/>
    <cellStyle name="표준 4 2 2 2 3 6 2" xfId="5250"/>
    <cellStyle name="표준 4 2 2 2 3 6 2 2" xfId="12947"/>
    <cellStyle name="표준 4 2 2 2 3 6 2 2 2" xfId="35414"/>
    <cellStyle name="표준 4 2 2 2 3 6 2 3" xfId="20431"/>
    <cellStyle name="표준 4 2 2 2 3 6 2 3 2" xfId="42896"/>
    <cellStyle name="표준 4 2 2 2 3 6 2 4" xfId="27932"/>
    <cellStyle name="표준 4 2 2 2 3 6 3" xfId="12946"/>
    <cellStyle name="표준 4 2 2 2 3 6 3 2" xfId="35413"/>
    <cellStyle name="표준 4 2 2 2 3 6 4" xfId="20430"/>
    <cellStyle name="표준 4 2 2 2 3 6 4 2" xfId="42895"/>
    <cellStyle name="표준 4 2 2 2 3 6 5" xfId="27931"/>
    <cellStyle name="표준 4 2 2 2 3 6_Sheet4" xfId="5251"/>
    <cellStyle name="표준 4 2 2 2 3 7" xfId="5252"/>
    <cellStyle name="표준 4 2 2 2 3 7 2" xfId="12948"/>
    <cellStyle name="표준 4 2 2 2 3 7 2 2" xfId="35415"/>
    <cellStyle name="표준 4 2 2 2 3 7 3" xfId="20432"/>
    <cellStyle name="표준 4 2 2 2 3 7 3 2" xfId="42897"/>
    <cellStyle name="표준 4 2 2 2 3 7 4" xfId="27933"/>
    <cellStyle name="표준 4 2 2 2 3 8" xfId="12901"/>
    <cellStyle name="표준 4 2 2 2 3 8 2" xfId="35368"/>
    <cellStyle name="표준 4 2 2 2 3 9" xfId="20385"/>
    <cellStyle name="표준 4 2 2 2 3 9 2" xfId="42850"/>
    <cellStyle name="표준 4 2 2 2 3_Sheet4" xfId="5253"/>
    <cellStyle name="표준 4 2 2 2 4" xfId="5254"/>
    <cellStyle name="표준 4 2 2 2 4 2" xfId="5255"/>
    <cellStyle name="표준 4 2 2 2 4 2 2" xfId="5256"/>
    <cellStyle name="표준 4 2 2 2 4 2 2 2" xfId="5257"/>
    <cellStyle name="표준 4 2 2 2 4 2 2 2 2" xfId="5258"/>
    <cellStyle name="표준 4 2 2 2 4 2 2 2 2 2" xfId="12953"/>
    <cellStyle name="표준 4 2 2 2 4 2 2 2 2 2 2" xfId="35420"/>
    <cellStyle name="표준 4 2 2 2 4 2 2 2 2 3" xfId="20437"/>
    <cellStyle name="표준 4 2 2 2 4 2 2 2 2 3 2" xfId="42902"/>
    <cellStyle name="표준 4 2 2 2 4 2 2 2 2 4" xfId="27938"/>
    <cellStyle name="표준 4 2 2 2 4 2 2 2 3" xfId="12952"/>
    <cellStyle name="표준 4 2 2 2 4 2 2 2 3 2" xfId="35419"/>
    <cellStyle name="표준 4 2 2 2 4 2 2 2 4" xfId="20436"/>
    <cellStyle name="표준 4 2 2 2 4 2 2 2 4 2" xfId="42901"/>
    <cellStyle name="표준 4 2 2 2 4 2 2 2 5" xfId="27937"/>
    <cellStyle name="표준 4 2 2 2 4 2 2 2_Sheet4" xfId="5259"/>
    <cellStyle name="표준 4 2 2 2 4 2 2 3" xfId="5260"/>
    <cellStyle name="표준 4 2 2 2 4 2 2 3 2" xfId="12954"/>
    <cellStyle name="표준 4 2 2 2 4 2 2 3 2 2" xfId="35421"/>
    <cellStyle name="표준 4 2 2 2 4 2 2 3 3" xfId="20438"/>
    <cellStyle name="표준 4 2 2 2 4 2 2 3 3 2" xfId="42903"/>
    <cellStyle name="표준 4 2 2 2 4 2 2 3 4" xfId="27939"/>
    <cellStyle name="표준 4 2 2 2 4 2 2 4" xfId="12951"/>
    <cellStyle name="표준 4 2 2 2 4 2 2 4 2" xfId="35418"/>
    <cellStyle name="표준 4 2 2 2 4 2 2 5" xfId="20435"/>
    <cellStyle name="표준 4 2 2 2 4 2 2 5 2" xfId="42900"/>
    <cellStyle name="표준 4 2 2 2 4 2 2 6" xfId="27936"/>
    <cellStyle name="표준 4 2 2 2 4 2 2_Sheet4" xfId="5261"/>
    <cellStyle name="표준 4 2 2 2 4 2 3" xfId="5262"/>
    <cellStyle name="표준 4 2 2 2 4 2 3 2" xfId="5263"/>
    <cellStyle name="표준 4 2 2 2 4 2 3 2 2" xfId="12956"/>
    <cellStyle name="표준 4 2 2 2 4 2 3 2 2 2" xfId="35423"/>
    <cellStyle name="표준 4 2 2 2 4 2 3 2 3" xfId="20440"/>
    <cellStyle name="표준 4 2 2 2 4 2 3 2 3 2" xfId="42905"/>
    <cellStyle name="표준 4 2 2 2 4 2 3 2 4" xfId="27941"/>
    <cellStyle name="표준 4 2 2 2 4 2 3 3" xfId="12955"/>
    <cellStyle name="표준 4 2 2 2 4 2 3 3 2" xfId="35422"/>
    <cellStyle name="표준 4 2 2 2 4 2 3 4" xfId="20439"/>
    <cellStyle name="표준 4 2 2 2 4 2 3 4 2" xfId="42904"/>
    <cellStyle name="표준 4 2 2 2 4 2 3 5" xfId="27940"/>
    <cellStyle name="표준 4 2 2 2 4 2 3_Sheet4" xfId="5264"/>
    <cellStyle name="표준 4 2 2 2 4 2 4" xfId="5265"/>
    <cellStyle name="표준 4 2 2 2 4 2 4 2" xfId="12957"/>
    <cellStyle name="표준 4 2 2 2 4 2 4 2 2" xfId="35424"/>
    <cellStyle name="표준 4 2 2 2 4 2 4 3" xfId="20441"/>
    <cellStyle name="표준 4 2 2 2 4 2 4 3 2" xfId="42906"/>
    <cellStyle name="표준 4 2 2 2 4 2 4 4" xfId="27942"/>
    <cellStyle name="표준 4 2 2 2 4 2 5" xfId="12950"/>
    <cellStyle name="표준 4 2 2 2 4 2 5 2" xfId="35417"/>
    <cellStyle name="표준 4 2 2 2 4 2 6" xfId="20434"/>
    <cellStyle name="표준 4 2 2 2 4 2 6 2" xfId="42899"/>
    <cellStyle name="표준 4 2 2 2 4 2 7" xfId="27935"/>
    <cellStyle name="표준 4 2 2 2 4 2_Sheet4" xfId="5266"/>
    <cellStyle name="표준 4 2 2 2 4 3" xfId="5267"/>
    <cellStyle name="표준 4 2 2 2 4 3 2" xfId="5268"/>
    <cellStyle name="표준 4 2 2 2 4 3 2 2" xfId="5269"/>
    <cellStyle name="표준 4 2 2 2 4 3 2 2 2" xfId="12960"/>
    <cellStyle name="표준 4 2 2 2 4 3 2 2 2 2" xfId="35427"/>
    <cellStyle name="표준 4 2 2 2 4 3 2 2 3" xfId="20444"/>
    <cellStyle name="표준 4 2 2 2 4 3 2 2 3 2" xfId="42909"/>
    <cellStyle name="표준 4 2 2 2 4 3 2 2 4" xfId="27945"/>
    <cellStyle name="표준 4 2 2 2 4 3 2 3" xfId="12959"/>
    <cellStyle name="표준 4 2 2 2 4 3 2 3 2" xfId="35426"/>
    <cellStyle name="표준 4 2 2 2 4 3 2 4" xfId="20443"/>
    <cellStyle name="표준 4 2 2 2 4 3 2 4 2" xfId="42908"/>
    <cellStyle name="표준 4 2 2 2 4 3 2 5" xfId="27944"/>
    <cellStyle name="표준 4 2 2 2 4 3 2_Sheet4" xfId="5270"/>
    <cellStyle name="표준 4 2 2 2 4 3 3" xfId="5271"/>
    <cellStyle name="표준 4 2 2 2 4 3 3 2" xfId="12961"/>
    <cellStyle name="표준 4 2 2 2 4 3 3 2 2" xfId="35428"/>
    <cellStyle name="표준 4 2 2 2 4 3 3 3" xfId="20445"/>
    <cellStyle name="표준 4 2 2 2 4 3 3 3 2" xfId="42910"/>
    <cellStyle name="표준 4 2 2 2 4 3 3 4" xfId="27946"/>
    <cellStyle name="표준 4 2 2 2 4 3 4" xfId="12958"/>
    <cellStyle name="표준 4 2 2 2 4 3 4 2" xfId="35425"/>
    <cellStyle name="표준 4 2 2 2 4 3 5" xfId="20442"/>
    <cellStyle name="표준 4 2 2 2 4 3 5 2" xfId="42907"/>
    <cellStyle name="표준 4 2 2 2 4 3 6" xfId="27943"/>
    <cellStyle name="표준 4 2 2 2 4 3_Sheet4" xfId="5272"/>
    <cellStyle name="표준 4 2 2 2 4 4" xfId="5273"/>
    <cellStyle name="표준 4 2 2 2 4 4 2" xfId="5274"/>
    <cellStyle name="표준 4 2 2 2 4 4 2 2" xfId="12963"/>
    <cellStyle name="표준 4 2 2 2 4 4 2 2 2" xfId="35430"/>
    <cellStyle name="표준 4 2 2 2 4 4 2 3" xfId="20447"/>
    <cellStyle name="표준 4 2 2 2 4 4 2 3 2" xfId="42912"/>
    <cellStyle name="표준 4 2 2 2 4 4 2 4" xfId="27948"/>
    <cellStyle name="표준 4 2 2 2 4 4 3" xfId="12962"/>
    <cellStyle name="표준 4 2 2 2 4 4 3 2" xfId="35429"/>
    <cellStyle name="표준 4 2 2 2 4 4 4" xfId="20446"/>
    <cellStyle name="표준 4 2 2 2 4 4 4 2" xfId="42911"/>
    <cellStyle name="표준 4 2 2 2 4 4 5" xfId="27947"/>
    <cellStyle name="표준 4 2 2 2 4 4_Sheet4" xfId="5275"/>
    <cellStyle name="표준 4 2 2 2 4 5" xfId="5276"/>
    <cellStyle name="표준 4 2 2 2 4 5 2" xfId="12964"/>
    <cellStyle name="표준 4 2 2 2 4 5 2 2" xfId="35431"/>
    <cellStyle name="표준 4 2 2 2 4 5 3" xfId="20448"/>
    <cellStyle name="표준 4 2 2 2 4 5 3 2" xfId="42913"/>
    <cellStyle name="표준 4 2 2 2 4 5 4" xfId="27949"/>
    <cellStyle name="표준 4 2 2 2 4 6" xfId="12949"/>
    <cellStyle name="표준 4 2 2 2 4 6 2" xfId="35416"/>
    <cellStyle name="표준 4 2 2 2 4 7" xfId="20433"/>
    <cellStyle name="표준 4 2 2 2 4 7 2" xfId="42898"/>
    <cellStyle name="표준 4 2 2 2 4 8" xfId="27934"/>
    <cellStyle name="표준 4 2 2 2 4_Sheet4" xfId="5277"/>
    <cellStyle name="표준 4 2 2 2 5" xfId="5278"/>
    <cellStyle name="표준 4 2 2 2 5 2" xfId="5279"/>
    <cellStyle name="표준 4 2 2 2 5 2 2" xfId="5280"/>
    <cellStyle name="표준 4 2 2 2 5 2 2 2" xfId="5281"/>
    <cellStyle name="표준 4 2 2 2 5 2 2 2 2" xfId="5282"/>
    <cellStyle name="표준 4 2 2 2 5 2 2 2 2 2" xfId="12969"/>
    <cellStyle name="표준 4 2 2 2 5 2 2 2 2 2 2" xfId="35436"/>
    <cellStyle name="표준 4 2 2 2 5 2 2 2 2 3" xfId="20453"/>
    <cellStyle name="표준 4 2 2 2 5 2 2 2 2 3 2" xfId="42918"/>
    <cellStyle name="표준 4 2 2 2 5 2 2 2 2 4" xfId="27954"/>
    <cellStyle name="표준 4 2 2 2 5 2 2 2 3" xfId="12968"/>
    <cellStyle name="표준 4 2 2 2 5 2 2 2 3 2" xfId="35435"/>
    <cellStyle name="표준 4 2 2 2 5 2 2 2 4" xfId="20452"/>
    <cellStyle name="표준 4 2 2 2 5 2 2 2 4 2" xfId="42917"/>
    <cellStyle name="표준 4 2 2 2 5 2 2 2 5" xfId="27953"/>
    <cellStyle name="표준 4 2 2 2 5 2 2 2_Sheet4" xfId="5283"/>
    <cellStyle name="표준 4 2 2 2 5 2 2 3" xfId="5284"/>
    <cellStyle name="표준 4 2 2 2 5 2 2 3 2" xfId="12970"/>
    <cellStyle name="표준 4 2 2 2 5 2 2 3 2 2" xfId="35437"/>
    <cellStyle name="표준 4 2 2 2 5 2 2 3 3" xfId="20454"/>
    <cellStyle name="표준 4 2 2 2 5 2 2 3 3 2" xfId="42919"/>
    <cellStyle name="표준 4 2 2 2 5 2 2 3 4" xfId="27955"/>
    <cellStyle name="표준 4 2 2 2 5 2 2 4" xfId="12967"/>
    <cellStyle name="표준 4 2 2 2 5 2 2 4 2" xfId="35434"/>
    <cellStyle name="표준 4 2 2 2 5 2 2 5" xfId="20451"/>
    <cellStyle name="표준 4 2 2 2 5 2 2 5 2" xfId="42916"/>
    <cellStyle name="표준 4 2 2 2 5 2 2 6" xfId="27952"/>
    <cellStyle name="표준 4 2 2 2 5 2 2_Sheet4" xfId="5285"/>
    <cellStyle name="표준 4 2 2 2 5 2 3" xfId="5286"/>
    <cellStyle name="표준 4 2 2 2 5 2 3 2" xfId="5287"/>
    <cellStyle name="표준 4 2 2 2 5 2 3 2 2" xfId="12972"/>
    <cellStyle name="표준 4 2 2 2 5 2 3 2 2 2" xfId="35439"/>
    <cellStyle name="표준 4 2 2 2 5 2 3 2 3" xfId="20456"/>
    <cellStyle name="표준 4 2 2 2 5 2 3 2 3 2" xfId="42921"/>
    <cellStyle name="표준 4 2 2 2 5 2 3 2 4" xfId="27957"/>
    <cellStyle name="표준 4 2 2 2 5 2 3 3" xfId="12971"/>
    <cellStyle name="표준 4 2 2 2 5 2 3 3 2" xfId="35438"/>
    <cellStyle name="표준 4 2 2 2 5 2 3 4" xfId="20455"/>
    <cellStyle name="표준 4 2 2 2 5 2 3 4 2" xfId="42920"/>
    <cellStyle name="표준 4 2 2 2 5 2 3 5" xfId="27956"/>
    <cellStyle name="표준 4 2 2 2 5 2 3_Sheet4" xfId="5288"/>
    <cellStyle name="표준 4 2 2 2 5 2 4" xfId="5289"/>
    <cellStyle name="표준 4 2 2 2 5 2 4 2" xfId="12973"/>
    <cellStyle name="표준 4 2 2 2 5 2 4 2 2" xfId="35440"/>
    <cellStyle name="표준 4 2 2 2 5 2 4 3" xfId="20457"/>
    <cellStyle name="표준 4 2 2 2 5 2 4 3 2" xfId="42922"/>
    <cellStyle name="표준 4 2 2 2 5 2 4 4" xfId="27958"/>
    <cellStyle name="표준 4 2 2 2 5 2 5" xfId="12966"/>
    <cellStyle name="표준 4 2 2 2 5 2 5 2" xfId="35433"/>
    <cellStyle name="표준 4 2 2 2 5 2 6" xfId="20450"/>
    <cellStyle name="표준 4 2 2 2 5 2 6 2" xfId="42915"/>
    <cellStyle name="표준 4 2 2 2 5 2 7" xfId="27951"/>
    <cellStyle name="표준 4 2 2 2 5 2_Sheet4" xfId="5290"/>
    <cellStyle name="표준 4 2 2 2 5 3" xfId="5291"/>
    <cellStyle name="표준 4 2 2 2 5 3 2" xfId="5292"/>
    <cellStyle name="표준 4 2 2 2 5 3 2 2" xfId="5293"/>
    <cellStyle name="표준 4 2 2 2 5 3 2 2 2" xfId="12976"/>
    <cellStyle name="표준 4 2 2 2 5 3 2 2 2 2" xfId="35443"/>
    <cellStyle name="표준 4 2 2 2 5 3 2 2 3" xfId="20460"/>
    <cellStyle name="표준 4 2 2 2 5 3 2 2 3 2" xfId="42925"/>
    <cellStyle name="표준 4 2 2 2 5 3 2 2 4" xfId="27961"/>
    <cellStyle name="표준 4 2 2 2 5 3 2 3" xfId="12975"/>
    <cellStyle name="표준 4 2 2 2 5 3 2 3 2" xfId="35442"/>
    <cellStyle name="표준 4 2 2 2 5 3 2 4" xfId="20459"/>
    <cellStyle name="표준 4 2 2 2 5 3 2 4 2" xfId="42924"/>
    <cellStyle name="표준 4 2 2 2 5 3 2 5" xfId="27960"/>
    <cellStyle name="표준 4 2 2 2 5 3 2_Sheet4" xfId="5294"/>
    <cellStyle name="표준 4 2 2 2 5 3 3" xfId="5295"/>
    <cellStyle name="표준 4 2 2 2 5 3 3 2" xfId="12977"/>
    <cellStyle name="표준 4 2 2 2 5 3 3 2 2" xfId="35444"/>
    <cellStyle name="표준 4 2 2 2 5 3 3 3" xfId="20461"/>
    <cellStyle name="표준 4 2 2 2 5 3 3 3 2" xfId="42926"/>
    <cellStyle name="표준 4 2 2 2 5 3 3 4" xfId="27962"/>
    <cellStyle name="표준 4 2 2 2 5 3 4" xfId="12974"/>
    <cellStyle name="표준 4 2 2 2 5 3 4 2" xfId="35441"/>
    <cellStyle name="표준 4 2 2 2 5 3 5" xfId="20458"/>
    <cellStyle name="표준 4 2 2 2 5 3 5 2" xfId="42923"/>
    <cellStyle name="표준 4 2 2 2 5 3 6" xfId="27959"/>
    <cellStyle name="표준 4 2 2 2 5 3_Sheet4" xfId="5296"/>
    <cellStyle name="표준 4 2 2 2 5 4" xfId="5297"/>
    <cellStyle name="표준 4 2 2 2 5 4 2" xfId="5298"/>
    <cellStyle name="표준 4 2 2 2 5 4 2 2" xfId="12979"/>
    <cellStyle name="표준 4 2 2 2 5 4 2 2 2" xfId="35446"/>
    <cellStyle name="표준 4 2 2 2 5 4 2 3" xfId="20463"/>
    <cellStyle name="표준 4 2 2 2 5 4 2 3 2" xfId="42928"/>
    <cellStyle name="표준 4 2 2 2 5 4 2 4" xfId="27964"/>
    <cellStyle name="표준 4 2 2 2 5 4 3" xfId="12978"/>
    <cellStyle name="표준 4 2 2 2 5 4 3 2" xfId="35445"/>
    <cellStyle name="표준 4 2 2 2 5 4 4" xfId="20462"/>
    <cellStyle name="표준 4 2 2 2 5 4 4 2" xfId="42927"/>
    <cellStyle name="표준 4 2 2 2 5 4 5" xfId="27963"/>
    <cellStyle name="표준 4 2 2 2 5 4_Sheet4" xfId="5299"/>
    <cellStyle name="표준 4 2 2 2 5 5" xfId="5300"/>
    <cellStyle name="표준 4 2 2 2 5 5 2" xfId="12980"/>
    <cellStyle name="표준 4 2 2 2 5 5 2 2" xfId="35447"/>
    <cellStyle name="표준 4 2 2 2 5 5 3" xfId="20464"/>
    <cellStyle name="표준 4 2 2 2 5 5 3 2" xfId="42929"/>
    <cellStyle name="표준 4 2 2 2 5 5 4" xfId="27965"/>
    <cellStyle name="표준 4 2 2 2 5 6" xfId="12965"/>
    <cellStyle name="표준 4 2 2 2 5 6 2" xfId="35432"/>
    <cellStyle name="표준 4 2 2 2 5 7" xfId="20449"/>
    <cellStyle name="표준 4 2 2 2 5 7 2" xfId="42914"/>
    <cellStyle name="표준 4 2 2 2 5 8" xfId="27950"/>
    <cellStyle name="표준 4 2 2 2 5_Sheet4" xfId="5301"/>
    <cellStyle name="표준 4 2 2 2 6" xfId="5302"/>
    <cellStyle name="표준 4 2 2 2 6 2" xfId="5303"/>
    <cellStyle name="표준 4 2 2 2 6 2 2" xfId="5304"/>
    <cellStyle name="표준 4 2 2 2 6 2 2 2" xfId="5305"/>
    <cellStyle name="표준 4 2 2 2 6 2 2 2 2" xfId="12984"/>
    <cellStyle name="표준 4 2 2 2 6 2 2 2 2 2" xfId="35451"/>
    <cellStyle name="표준 4 2 2 2 6 2 2 2 3" xfId="20468"/>
    <cellStyle name="표준 4 2 2 2 6 2 2 2 3 2" xfId="42933"/>
    <cellStyle name="표준 4 2 2 2 6 2 2 2 4" xfId="27969"/>
    <cellStyle name="표준 4 2 2 2 6 2 2 3" xfId="12983"/>
    <cellStyle name="표준 4 2 2 2 6 2 2 3 2" xfId="35450"/>
    <cellStyle name="표준 4 2 2 2 6 2 2 4" xfId="20467"/>
    <cellStyle name="표준 4 2 2 2 6 2 2 4 2" xfId="42932"/>
    <cellStyle name="표준 4 2 2 2 6 2 2 5" xfId="27968"/>
    <cellStyle name="표준 4 2 2 2 6 2 2_Sheet4" xfId="5306"/>
    <cellStyle name="표준 4 2 2 2 6 2 3" xfId="5307"/>
    <cellStyle name="표준 4 2 2 2 6 2 3 2" xfId="12985"/>
    <cellStyle name="표준 4 2 2 2 6 2 3 2 2" xfId="35452"/>
    <cellStyle name="표준 4 2 2 2 6 2 3 3" xfId="20469"/>
    <cellStyle name="표준 4 2 2 2 6 2 3 3 2" xfId="42934"/>
    <cellStyle name="표준 4 2 2 2 6 2 3 4" xfId="27970"/>
    <cellStyle name="표준 4 2 2 2 6 2 4" xfId="12982"/>
    <cellStyle name="표준 4 2 2 2 6 2 4 2" xfId="35449"/>
    <cellStyle name="표준 4 2 2 2 6 2 5" xfId="20466"/>
    <cellStyle name="표준 4 2 2 2 6 2 5 2" xfId="42931"/>
    <cellStyle name="표준 4 2 2 2 6 2 6" xfId="27967"/>
    <cellStyle name="표준 4 2 2 2 6 2_Sheet4" xfId="5308"/>
    <cellStyle name="표준 4 2 2 2 6 3" xfId="5309"/>
    <cellStyle name="표준 4 2 2 2 6 3 2" xfId="5310"/>
    <cellStyle name="표준 4 2 2 2 6 3 2 2" xfId="12987"/>
    <cellStyle name="표준 4 2 2 2 6 3 2 2 2" xfId="35454"/>
    <cellStyle name="표준 4 2 2 2 6 3 2 3" xfId="20471"/>
    <cellStyle name="표준 4 2 2 2 6 3 2 3 2" xfId="42936"/>
    <cellStyle name="표준 4 2 2 2 6 3 2 4" xfId="27972"/>
    <cellStyle name="표준 4 2 2 2 6 3 3" xfId="12986"/>
    <cellStyle name="표준 4 2 2 2 6 3 3 2" xfId="35453"/>
    <cellStyle name="표준 4 2 2 2 6 3 4" xfId="20470"/>
    <cellStyle name="표준 4 2 2 2 6 3 4 2" xfId="42935"/>
    <cellStyle name="표준 4 2 2 2 6 3 5" xfId="27971"/>
    <cellStyle name="표준 4 2 2 2 6 3_Sheet4" xfId="5311"/>
    <cellStyle name="표준 4 2 2 2 6 4" xfId="5312"/>
    <cellStyle name="표준 4 2 2 2 6 4 2" xfId="12988"/>
    <cellStyle name="표준 4 2 2 2 6 4 2 2" xfId="35455"/>
    <cellStyle name="표준 4 2 2 2 6 4 3" xfId="20472"/>
    <cellStyle name="표준 4 2 2 2 6 4 3 2" xfId="42937"/>
    <cellStyle name="표준 4 2 2 2 6 4 4" xfId="27973"/>
    <cellStyle name="표준 4 2 2 2 6 5" xfId="12981"/>
    <cellStyle name="표준 4 2 2 2 6 5 2" xfId="35448"/>
    <cellStyle name="표준 4 2 2 2 6 6" xfId="20465"/>
    <cellStyle name="표준 4 2 2 2 6 6 2" xfId="42930"/>
    <cellStyle name="표준 4 2 2 2 6 7" xfId="27966"/>
    <cellStyle name="표준 4 2 2 2 6_Sheet4" xfId="5313"/>
    <cellStyle name="표준 4 2 2 2 7" xfId="5314"/>
    <cellStyle name="표준 4 2 2 2 7 2" xfId="5315"/>
    <cellStyle name="표준 4 2 2 2 7 2 2" xfId="5316"/>
    <cellStyle name="표준 4 2 2 2 7 2 2 2" xfId="5317"/>
    <cellStyle name="표준 4 2 2 2 7 2 2 2 2" xfId="12992"/>
    <cellStyle name="표준 4 2 2 2 7 2 2 2 2 2" xfId="35459"/>
    <cellStyle name="표준 4 2 2 2 7 2 2 2 3" xfId="20476"/>
    <cellStyle name="표준 4 2 2 2 7 2 2 2 3 2" xfId="42941"/>
    <cellStyle name="표준 4 2 2 2 7 2 2 2 4" xfId="27977"/>
    <cellStyle name="표준 4 2 2 2 7 2 2 3" xfId="12991"/>
    <cellStyle name="표준 4 2 2 2 7 2 2 3 2" xfId="35458"/>
    <cellStyle name="표준 4 2 2 2 7 2 2 4" xfId="20475"/>
    <cellStyle name="표준 4 2 2 2 7 2 2 4 2" xfId="42940"/>
    <cellStyle name="표준 4 2 2 2 7 2 2 5" xfId="27976"/>
    <cellStyle name="표준 4 2 2 2 7 2 2_Sheet4" xfId="5318"/>
    <cellStyle name="표준 4 2 2 2 7 2 3" xfId="5319"/>
    <cellStyle name="표준 4 2 2 2 7 2 3 2" xfId="12993"/>
    <cellStyle name="표준 4 2 2 2 7 2 3 2 2" xfId="35460"/>
    <cellStyle name="표준 4 2 2 2 7 2 3 3" xfId="20477"/>
    <cellStyle name="표준 4 2 2 2 7 2 3 3 2" xfId="42942"/>
    <cellStyle name="표준 4 2 2 2 7 2 3 4" xfId="27978"/>
    <cellStyle name="표준 4 2 2 2 7 2 4" xfId="12990"/>
    <cellStyle name="표준 4 2 2 2 7 2 4 2" xfId="35457"/>
    <cellStyle name="표준 4 2 2 2 7 2 5" xfId="20474"/>
    <cellStyle name="표준 4 2 2 2 7 2 5 2" xfId="42939"/>
    <cellStyle name="표준 4 2 2 2 7 2 6" xfId="27975"/>
    <cellStyle name="표준 4 2 2 2 7 2_Sheet4" xfId="5320"/>
    <cellStyle name="표준 4 2 2 2 7 3" xfId="5321"/>
    <cellStyle name="표준 4 2 2 2 7 3 2" xfId="5322"/>
    <cellStyle name="표준 4 2 2 2 7 3 2 2" xfId="12995"/>
    <cellStyle name="표준 4 2 2 2 7 3 2 2 2" xfId="35462"/>
    <cellStyle name="표준 4 2 2 2 7 3 2 3" xfId="20479"/>
    <cellStyle name="표준 4 2 2 2 7 3 2 3 2" xfId="42944"/>
    <cellStyle name="표준 4 2 2 2 7 3 2 4" xfId="27980"/>
    <cellStyle name="표준 4 2 2 2 7 3 3" xfId="12994"/>
    <cellStyle name="표준 4 2 2 2 7 3 3 2" xfId="35461"/>
    <cellStyle name="표준 4 2 2 2 7 3 4" xfId="20478"/>
    <cellStyle name="표준 4 2 2 2 7 3 4 2" xfId="42943"/>
    <cellStyle name="표준 4 2 2 2 7 3 5" xfId="27979"/>
    <cellStyle name="표준 4 2 2 2 7 3_Sheet4" xfId="5323"/>
    <cellStyle name="표준 4 2 2 2 7 4" xfId="5324"/>
    <cellStyle name="표준 4 2 2 2 7 4 2" xfId="12996"/>
    <cellStyle name="표준 4 2 2 2 7 4 2 2" xfId="35463"/>
    <cellStyle name="표준 4 2 2 2 7 4 3" xfId="20480"/>
    <cellStyle name="표준 4 2 2 2 7 4 3 2" xfId="42945"/>
    <cellStyle name="표준 4 2 2 2 7 4 4" xfId="27981"/>
    <cellStyle name="표준 4 2 2 2 7 5" xfId="12989"/>
    <cellStyle name="표준 4 2 2 2 7 5 2" xfId="35456"/>
    <cellStyle name="표준 4 2 2 2 7 6" xfId="20473"/>
    <cellStyle name="표준 4 2 2 2 7 6 2" xfId="42938"/>
    <cellStyle name="표준 4 2 2 2 7 7" xfId="27974"/>
    <cellStyle name="표준 4 2 2 2 7_Sheet4" xfId="5325"/>
    <cellStyle name="표준 4 2 2 2 8" xfId="5326"/>
    <cellStyle name="표준 4 2 2 2 8 2" xfId="5327"/>
    <cellStyle name="표준 4 2 2 2 8 2 2" xfId="5328"/>
    <cellStyle name="표준 4 2 2 2 8 2 2 2" xfId="5329"/>
    <cellStyle name="표준 4 2 2 2 8 2 2 2 2" xfId="13000"/>
    <cellStyle name="표준 4 2 2 2 8 2 2 2 2 2" xfId="35467"/>
    <cellStyle name="표준 4 2 2 2 8 2 2 2 3" xfId="20484"/>
    <cellStyle name="표준 4 2 2 2 8 2 2 2 3 2" xfId="42949"/>
    <cellStyle name="표준 4 2 2 2 8 2 2 2 4" xfId="27985"/>
    <cellStyle name="표준 4 2 2 2 8 2 2 3" xfId="12999"/>
    <cellStyle name="표준 4 2 2 2 8 2 2 3 2" xfId="35466"/>
    <cellStyle name="표준 4 2 2 2 8 2 2 4" xfId="20483"/>
    <cellStyle name="표준 4 2 2 2 8 2 2 4 2" xfId="42948"/>
    <cellStyle name="표준 4 2 2 2 8 2 2 5" xfId="27984"/>
    <cellStyle name="표준 4 2 2 2 8 2 2_Sheet4" xfId="5330"/>
    <cellStyle name="표준 4 2 2 2 8 2 3" xfId="5331"/>
    <cellStyle name="표준 4 2 2 2 8 2 3 2" xfId="13001"/>
    <cellStyle name="표준 4 2 2 2 8 2 3 2 2" xfId="35468"/>
    <cellStyle name="표준 4 2 2 2 8 2 3 3" xfId="20485"/>
    <cellStyle name="표준 4 2 2 2 8 2 3 3 2" xfId="42950"/>
    <cellStyle name="표준 4 2 2 2 8 2 3 4" xfId="27986"/>
    <cellStyle name="표준 4 2 2 2 8 2 4" xfId="12998"/>
    <cellStyle name="표준 4 2 2 2 8 2 4 2" xfId="35465"/>
    <cellStyle name="표준 4 2 2 2 8 2 5" xfId="20482"/>
    <cellStyle name="표준 4 2 2 2 8 2 5 2" xfId="42947"/>
    <cellStyle name="표준 4 2 2 2 8 2 6" xfId="27983"/>
    <cellStyle name="표준 4 2 2 2 8 2_Sheet4" xfId="5332"/>
    <cellStyle name="표준 4 2 2 2 8 3" xfId="5333"/>
    <cellStyle name="표준 4 2 2 2 8 3 2" xfId="5334"/>
    <cellStyle name="표준 4 2 2 2 8 3 2 2" xfId="13003"/>
    <cellStyle name="표준 4 2 2 2 8 3 2 2 2" xfId="35470"/>
    <cellStyle name="표준 4 2 2 2 8 3 2 3" xfId="20487"/>
    <cellStyle name="표준 4 2 2 2 8 3 2 3 2" xfId="42952"/>
    <cellStyle name="표준 4 2 2 2 8 3 2 4" xfId="27988"/>
    <cellStyle name="표준 4 2 2 2 8 3 3" xfId="13002"/>
    <cellStyle name="표준 4 2 2 2 8 3 3 2" xfId="35469"/>
    <cellStyle name="표준 4 2 2 2 8 3 4" xfId="20486"/>
    <cellStyle name="표준 4 2 2 2 8 3 4 2" xfId="42951"/>
    <cellStyle name="표준 4 2 2 2 8 3 5" xfId="27987"/>
    <cellStyle name="표준 4 2 2 2 8 3_Sheet4" xfId="5335"/>
    <cellStyle name="표준 4 2 2 2 8 4" xfId="5336"/>
    <cellStyle name="표준 4 2 2 2 8 4 2" xfId="13004"/>
    <cellStyle name="표준 4 2 2 2 8 4 2 2" xfId="35471"/>
    <cellStyle name="표준 4 2 2 2 8 4 3" xfId="20488"/>
    <cellStyle name="표준 4 2 2 2 8 4 3 2" xfId="42953"/>
    <cellStyle name="표준 4 2 2 2 8 4 4" xfId="27989"/>
    <cellStyle name="표준 4 2 2 2 8 5" xfId="12997"/>
    <cellStyle name="표준 4 2 2 2 8 5 2" xfId="35464"/>
    <cellStyle name="표준 4 2 2 2 8 6" xfId="20481"/>
    <cellStyle name="표준 4 2 2 2 8 6 2" xfId="42946"/>
    <cellStyle name="표준 4 2 2 2 8 7" xfId="27982"/>
    <cellStyle name="표준 4 2 2 2 8_Sheet4" xfId="5337"/>
    <cellStyle name="표준 4 2 2 2 9" xfId="5338"/>
    <cellStyle name="표준 4 2 2 2 9 2" xfId="5339"/>
    <cellStyle name="표준 4 2 2 2 9 2 2" xfId="5340"/>
    <cellStyle name="표준 4 2 2 2 9 2 2 2" xfId="13007"/>
    <cellStyle name="표준 4 2 2 2 9 2 2 2 2" xfId="35474"/>
    <cellStyle name="표준 4 2 2 2 9 2 2 3" xfId="20491"/>
    <cellStyle name="표준 4 2 2 2 9 2 2 3 2" xfId="42956"/>
    <cellStyle name="표준 4 2 2 2 9 2 2 4" xfId="27992"/>
    <cellStyle name="표준 4 2 2 2 9 2 3" xfId="13006"/>
    <cellStyle name="표준 4 2 2 2 9 2 3 2" xfId="35473"/>
    <cellStyle name="표준 4 2 2 2 9 2 4" xfId="20490"/>
    <cellStyle name="표준 4 2 2 2 9 2 4 2" xfId="42955"/>
    <cellStyle name="표준 4 2 2 2 9 2 5" xfId="27991"/>
    <cellStyle name="표준 4 2 2 2 9 2_Sheet4" xfId="5341"/>
    <cellStyle name="표준 4 2 2 2 9 3" xfId="5342"/>
    <cellStyle name="표준 4 2 2 2 9 3 2" xfId="13008"/>
    <cellStyle name="표준 4 2 2 2 9 3 2 2" xfId="35475"/>
    <cellStyle name="표준 4 2 2 2 9 3 3" xfId="20492"/>
    <cellStyle name="표준 4 2 2 2 9 3 3 2" xfId="42957"/>
    <cellStyle name="표준 4 2 2 2 9 3 4" xfId="27993"/>
    <cellStyle name="표준 4 2 2 2 9 4" xfId="13005"/>
    <cellStyle name="표준 4 2 2 2 9 4 2" xfId="35472"/>
    <cellStyle name="표준 4 2 2 2 9 5" xfId="20489"/>
    <cellStyle name="표준 4 2 2 2 9 5 2" xfId="42954"/>
    <cellStyle name="표준 4 2 2 2 9 6" xfId="27990"/>
    <cellStyle name="표준 4 2 2 2 9_Sheet4" xfId="5343"/>
    <cellStyle name="표준 4 2 2 2_Sheet4" xfId="5344"/>
    <cellStyle name="표준 4 2 2 20" xfId="27741"/>
    <cellStyle name="표준 4 2 2 3" xfId="5345"/>
    <cellStyle name="표준 4 2 2 3 10" xfId="13009"/>
    <cellStyle name="표준 4 2 2 3 10 2" xfId="35476"/>
    <cellStyle name="표준 4 2 2 3 11" xfId="20493"/>
    <cellStyle name="표준 4 2 2 3 11 2" xfId="42958"/>
    <cellStyle name="표준 4 2 2 3 12" xfId="27994"/>
    <cellStyle name="표준 4 2 2 3 2" xfId="5346"/>
    <cellStyle name="표준 4 2 2 3 2 10" xfId="27995"/>
    <cellStyle name="표준 4 2 2 3 2 2" xfId="5347"/>
    <cellStyle name="표준 4 2 2 3 2 2 2" xfId="5348"/>
    <cellStyle name="표준 4 2 2 3 2 2 2 2" xfId="5349"/>
    <cellStyle name="표준 4 2 2 3 2 2 2 2 2" xfId="5350"/>
    <cellStyle name="표준 4 2 2 3 2 2 2 2 2 2" xfId="5351"/>
    <cellStyle name="표준 4 2 2 3 2 2 2 2 2 2 2" xfId="13015"/>
    <cellStyle name="표준 4 2 2 3 2 2 2 2 2 2 2 2" xfId="35482"/>
    <cellStyle name="표준 4 2 2 3 2 2 2 2 2 2 3" xfId="20499"/>
    <cellStyle name="표준 4 2 2 3 2 2 2 2 2 2 3 2" xfId="42964"/>
    <cellStyle name="표준 4 2 2 3 2 2 2 2 2 2 4" xfId="28000"/>
    <cellStyle name="표준 4 2 2 3 2 2 2 2 2 3" xfId="13014"/>
    <cellStyle name="표준 4 2 2 3 2 2 2 2 2 3 2" xfId="35481"/>
    <cellStyle name="표준 4 2 2 3 2 2 2 2 2 4" xfId="20498"/>
    <cellStyle name="표준 4 2 2 3 2 2 2 2 2 4 2" xfId="42963"/>
    <cellStyle name="표준 4 2 2 3 2 2 2 2 2 5" xfId="27999"/>
    <cellStyle name="표준 4 2 2 3 2 2 2 2 2_Sheet4" xfId="5352"/>
    <cellStyle name="표준 4 2 2 3 2 2 2 2 3" xfId="5353"/>
    <cellStyle name="표준 4 2 2 3 2 2 2 2 3 2" xfId="13016"/>
    <cellStyle name="표준 4 2 2 3 2 2 2 2 3 2 2" xfId="35483"/>
    <cellStyle name="표준 4 2 2 3 2 2 2 2 3 3" xfId="20500"/>
    <cellStyle name="표준 4 2 2 3 2 2 2 2 3 3 2" xfId="42965"/>
    <cellStyle name="표준 4 2 2 3 2 2 2 2 3 4" xfId="28001"/>
    <cellStyle name="표준 4 2 2 3 2 2 2 2 4" xfId="13013"/>
    <cellStyle name="표준 4 2 2 3 2 2 2 2 4 2" xfId="35480"/>
    <cellStyle name="표준 4 2 2 3 2 2 2 2 5" xfId="20497"/>
    <cellStyle name="표준 4 2 2 3 2 2 2 2 5 2" xfId="42962"/>
    <cellStyle name="표준 4 2 2 3 2 2 2 2 6" xfId="27998"/>
    <cellStyle name="표준 4 2 2 3 2 2 2 2_Sheet4" xfId="5354"/>
    <cellStyle name="표준 4 2 2 3 2 2 2 3" xfId="5355"/>
    <cellStyle name="표준 4 2 2 3 2 2 2 3 2" xfId="5356"/>
    <cellStyle name="표준 4 2 2 3 2 2 2 3 2 2" xfId="13018"/>
    <cellStyle name="표준 4 2 2 3 2 2 2 3 2 2 2" xfId="35485"/>
    <cellStyle name="표준 4 2 2 3 2 2 2 3 2 3" xfId="20502"/>
    <cellStyle name="표준 4 2 2 3 2 2 2 3 2 3 2" xfId="42967"/>
    <cellStyle name="표준 4 2 2 3 2 2 2 3 2 4" xfId="28003"/>
    <cellStyle name="표준 4 2 2 3 2 2 2 3 3" xfId="13017"/>
    <cellStyle name="표준 4 2 2 3 2 2 2 3 3 2" xfId="35484"/>
    <cellStyle name="표준 4 2 2 3 2 2 2 3 4" xfId="20501"/>
    <cellStyle name="표준 4 2 2 3 2 2 2 3 4 2" xfId="42966"/>
    <cellStyle name="표준 4 2 2 3 2 2 2 3 5" xfId="28002"/>
    <cellStyle name="표준 4 2 2 3 2 2 2 3_Sheet4" xfId="5357"/>
    <cellStyle name="표준 4 2 2 3 2 2 2 4" xfId="5358"/>
    <cellStyle name="표준 4 2 2 3 2 2 2 4 2" xfId="13019"/>
    <cellStyle name="표준 4 2 2 3 2 2 2 4 2 2" xfId="35486"/>
    <cellStyle name="표준 4 2 2 3 2 2 2 4 3" xfId="20503"/>
    <cellStyle name="표준 4 2 2 3 2 2 2 4 3 2" xfId="42968"/>
    <cellStyle name="표준 4 2 2 3 2 2 2 4 4" xfId="28004"/>
    <cellStyle name="표준 4 2 2 3 2 2 2 5" xfId="13012"/>
    <cellStyle name="표준 4 2 2 3 2 2 2 5 2" xfId="35479"/>
    <cellStyle name="표준 4 2 2 3 2 2 2 6" xfId="20496"/>
    <cellStyle name="표준 4 2 2 3 2 2 2 6 2" xfId="42961"/>
    <cellStyle name="표준 4 2 2 3 2 2 2 7" xfId="27997"/>
    <cellStyle name="표준 4 2 2 3 2 2 2_Sheet4" xfId="5359"/>
    <cellStyle name="표준 4 2 2 3 2 2 3" xfId="5360"/>
    <cellStyle name="표준 4 2 2 3 2 2 3 2" xfId="5361"/>
    <cellStyle name="표준 4 2 2 3 2 2 3 2 2" xfId="5362"/>
    <cellStyle name="표준 4 2 2 3 2 2 3 2 2 2" xfId="13022"/>
    <cellStyle name="표준 4 2 2 3 2 2 3 2 2 2 2" xfId="35489"/>
    <cellStyle name="표준 4 2 2 3 2 2 3 2 2 3" xfId="20506"/>
    <cellStyle name="표준 4 2 2 3 2 2 3 2 2 3 2" xfId="42971"/>
    <cellStyle name="표준 4 2 2 3 2 2 3 2 2 4" xfId="28007"/>
    <cellStyle name="표준 4 2 2 3 2 2 3 2 3" xfId="13021"/>
    <cellStyle name="표준 4 2 2 3 2 2 3 2 3 2" xfId="35488"/>
    <cellStyle name="표준 4 2 2 3 2 2 3 2 4" xfId="20505"/>
    <cellStyle name="표준 4 2 2 3 2 2 3 2 4 2" xfId="42970"/>
    <cellStyle name="표준 4 2 2 3 2 2 3 2 5" xfId="28006"/>
    <cellStyle name="표준 4 2 2 3 2 2 3 2_Sheet4" xfId="5363"/>
    <cellStyle name="표준 4 2 2 3 2 2 3 3" xfId="5364"/>
    <cellStyle name="표준 4 2 2 3 2 2 3 3 2" xfId="13023"/>
    <cellStyle name="표준 4 2 2 3 2 2 3 3 2 2" xfId="35490"/>
    <cellStyle name="표준 4 2 2 3 2 2 3 3 3" xfId="20507"/>
    <cellStyle name="표준 4 2 2 3 2 2 3 3 3 2" xfId="42972"/>
    <cellStyle name="표준 4 2 2 3 2 2 3 3 4" xfId="28008"/>
    <cellStyle name="표준 4 2 2 3 2 2 3 4" xfId="13020"/>
    <cellStyle name="표준 4 2 2 3 2 2 3 4 2" xfId="35487"/>
    <cellStyle name="표준 4 2 2 3 2 2 3 5" xfId="20504"/>
    <cellStyle name="표준 4 2 2 3 2 2 3 5 2" xfId="42969"/>
    <cellStyle name="표준 4 2 2 3 2 2 3 6" xfId="28005"/>
    <cellStyle name="표준 4 2 2 3 2 2 3_Sheet4" xfId="5365"/>
    <cellStyle name="표준 4 2 2 3 2 2 4" xfId="5366"/>
    <cellStyle name="표준 4 2 2 3 2 2 4 2" xfId="5367"/>
    <cellStyle name="표준 4 2 2 3 2 2 4 2 2" xfId="13025"/>
    <cellStyle name="표준 4 2 2 3 2 2 4 2 2 2" xfId="35492"/>
    <cellStyle name="표준 4 2 2 3 2 2 4 2 3" xfId="20509"/>
    <cellStyle name="표준 4 2 2 3 2 2 4 2 3 2" xfId="42974"/>
    <cellStyle name="표준 4 2 2 3 2 2 4 2 4" xfId="28010"/>
    <cellStyle name="표준 4 2 2 3 2 2 4 3" xfId="13024"/>
    <cellStyle name="표준 4 2 2 3 2 2 4 3 2" xfId="35491"/>
    <cellStyle name="표준 4 2 2 3 2 2 4 4" xfId="20508"/>
    <cellStyle name="표준 4 2 2 3 2 2 4 4 2" xfId="42973"/>
    <cellStyle name="표준 4 2 2 3 2 2 4 5" xfId="28009"/>
    <cellStyle name="표준 4 2 2 3 2 2 4_Sheet4" xfId="5368"/>
    <cellStyle name="표준 4 2 2 3 2 2 5" xfId="5369"/>
    <cellStyle name="표준 4 2 2 3 2 2 5 2" xfId="13026"/>
    <cellStyle name="표준 4 2 2 3 2 2 5 2 2" xfId="35493"/>
    <cellStyle name="표준 4 2 2 3 2 2 5 3" xfId="20510"/>
    <cellStyle name="표준 4 2 2 3 2 2 5 3 2" xfId="42975"/>
    <cellStyle name="표준 4 2 2 3 2 2 5 4" xfId="28011"/>
    <cellStyle name="표준 4 2 2 3 2 2 6" xfId="13011"/>
    <cellStyle name="표준 4 2 2 3 2 2 6 2" xfId="35478"/>
    <cellStyle name="표준 4 2 2 3 2 2 7" xfId="20495"/>
    <cellStyle name="표준 4 2 2 3 2 2 7 2" xfId="42960"/>
    <cellStyle name="표준 4 2 2 3 2 2 8" xfId="27996"/>
    <cellStyle name="표준 4 2 2 3 2 2_Sheet4" xfId="5370"/>
    <cellStyle name="표준 4 2 2 3 2 3" xfId="5371"/>
    <cellStyle name="표준 4 2 2 3 2 3 2" xfId="5372"/>
    <cellStyle name="표준 4 2 2 3 2 3 2 2" xfId="5373"/>
    <cellStyle name="표준 4 2 2 3 2 3 2 2 2" xfId="5374"/>
    <cellStyle name="표준 4 2 2 3 2 3 2 2 2 2" xfId="5375"/>
    <cellStyle name="표준 4 2 2 3 2 3 2 2 2 2 2" xfId="13031"/>
    <cellStyle name="표준 4 2 2 3 2 3 2 2 2 2 2 2" xfId="35498"/>
    <cellStyle name="표준 4 2 2 3 2 3 2 2 2 2 3" xfId="20515"/>
    <cellStyle name="표준 4 2 2 3 2 3 2 2 2 2 3 2" xfId="42980"/>
    <cellStyle name="표준 4 2 2 3 2 3 2 2 2 2 4" xfId="28016"/>
    <cellStyle name="표준 4 2 2 3 2 3 2 2 2 3" xfId="13030"/>
    <cellStyle name="표준 4 2 2 3 2 3 2 2 2 3 2" xfId="35497"/>
    <cellStyle name="표준 4 2 2 3 2 3 2 2 2 4" xfId="20514"/>
    <cellStyle name="표준 4 2 2 3 2 3 2 2 2 4 2" xfId="42979"/>
    <cellStyle name="표준 4 2 2 3 2 3 2 2 2 5" xfId="28015"/>
    <cellStyle name="표준 4 2 2 3 2 3 2 2 2_Sheet4" xfId="5376"/>
    <cellStyle name="표준 4 2 2 3 2 3 2 2 3" xfId="5377"/>
    <cellStyle name="표준 4 2 2 3 2 3 2 2 3 2" xfId="13032"/>
    <cellStyle name="표준 4 2 2 3 2 3 2 2 3 2 2" xfId="35499"/>
    <cellStyle name="표준 4 2 2 3 2 3 2 2 3 3" xfId="20516"/>
    <cellStyle name="표준 4 2 2 3 2 3 2 2 3 3 2" xfId="42981"/>
    <cellStyle name="표준 4 2 2 3 2 3 2 2 3 4" xfId="28017"/>
    <cellStyle name="표준 4 2 2 3 2 3 2 2 4" xfId="13029"/>
    <cellStyle name="표준 4 2 2 3 2 3 2 2 4 2" xfId="35496"/>
    <cellStyle name="표준 4 2 2 3 2 3 2 2 5" xfId="20513"/>
    <cellStyle name="표준 4 2 2 3 2 3 2 2 5 2" xfId="42978"/>
    <cellStyle name="표준 4 2 2 3 2 3 2 2 6" xfId="28014"/>
    <cellStyle name="표준 4 2 2 3 2 3 2 2_Sheet4" xfId="5378"/>
    <cellStyle name="표준 4 2 2 3 2 3 2 3" xfId="5379"/>
    <cellStyle name="표준 4 2 2 3 2 3 2 3 2" xfId="5380"/>
    <cellStyle name="표준 4 2 2 3 2 3 2 3 2 2" xfId="13034"/>
    <cellStyle name="표준 4 2 2 3 2 3 2 3 2 2 2" xfId="35501"/>
    <cellStyle name="표준 4 2 2 3 2 3 2 3 2 3" xfId="20518"/>
    <cellStyle name="표준 4 2 2 3 2 3 2 3 2 3 2" xfId="42983"/>
    <cellStyle name="표준 4 2 2 3 2 3 2 3 2 4" xfId="28019"/>
    <cellStyle name="표준 4 2 2 3 2 3 2 3 3" xfId="13033"/>
    <cellStyle name="표준 4 2 2 3 2 3 2 3 3 2" xfId="35500"/>
    <cellStyle name="표준 4 2 2 3 2 3 2 3 4" xfId="20517"/>
    <cellStyle name="표준 4 2 2 3 2 3 2 3 4 2" xfId="42982"/>
    <cellStyle name="표준 4 2 2 3 2 3 2 3 5" xfId="28018"/>
    <cellStyle name="표준 4 2 2 3 2 3 2 3_Sheet4" xfId="5381"/>
    <cellStyle name="표준 4 2 2 3 2 3 2 4" xfId="5382"/>
    <cellStyle name="표준 4 2 2 3 2 3 2 4 2" xfId="13035"/>
    <cellStyle name="표준 4 2 2 3 2 3 2 4 2 2" xfId="35502"/>
    <cellStyle name="표준 4 2 2 3 2 3 2 4 3" xfId="20519"/>
    <cellStyle name="표준 4 2 2 3 2 3 2 4 3 2" xfId="42984"/>
    <cellStyle name="표준 4 2 2 3 2 3 2 4 4" xfId="28020"/>
    <cellStyle name="표준 4 2 2 3 2 3 2 5" xfId="13028"/>
    <cellStyle name="표준 4 2 2 3 2 3 2 5 2" xfId="35495"/>
    <cellStyle name="표준 4 2 2 3 2 3 2 6" xfId="20512"/>
    <cellStyle name="표준 4 2 2 3 2 3 2 6 2" xfId="42977"/>
    <cellStyle name="표준 4 2 2 3 2 3 2 7" xfId="28013"/>
    <cellStyle name="표준 4 2 2 3 2 3 2_Sheet4" xfId="5383"/>
    <cellStyle name="표준 4 2 2 3 2 3 3" xfId="5384"/>
    <cellStyle name="표준 4 2 2 3 2 3 3 2" xfId="5385"/>
    <cellStyle name="표준 4 2 2 3 2 3 3 2 2" xfId="5386"/>
    <cellStyle name="표준 4 2 2 3 2 3 3 2 2 2" xfId="13038"/>
    <cellStyle name="표준 4 2 2 3 2 3 3 2 2 2 2" xfId="35505"/>
    <cellStyle name="표준 4 2 2 3 2 3 3 2 2 3" xfId="20522"/>
    <cellStyle name="표준 4 2 2 3 2 3 3 2 2 3 2" xfId="42987"/>
    <cellStyle name="표준 4 2 2 3 2 3 3 2 2 4" xfId="28023"/>
    <cellStyle name="표준 4 2 2 3 2 3 3 2 3" xfId="13037"/>
    <cellStyle name="표준 4 2 2 3 2 3 3 2 3 2" xfId="35504"/>
    <cellStyle name="표준 4 2 2 3 2 3 3 2 4" xfId="20521"/>
    <cellStyle name="표준 4 2 2 3 2 3 3 2 4 2" xfId="42986"/>
    <cellStyle name="표준 4 2 2 3 2 3 3 2 5" xfId="28022"/>
    <cellStyle name="표준 4 2 2 3 2 3 3 2_Sheet4" xfId="5387"/>
    <cellStyle name="표준 4 2 2 3 2 3 3 3" xfId="5388"/>
    <cellStyle name="표준 4 2 2 3 2 3 3 3 2" xfId="13039"/>
    <cellStyle name="표준 4 2 2 3 2 3 3 3 2 2" xfId="35506"/>
    <cellStyle name="표준 4 2 2 3 2 3 3 3 3" xfId="20523"/>
    <cellStyle name="표준 4 2 2 3 2 3 3 3 3 2" xfId="42988"/>
    <cellStyle name="표준 4 2 2 3 2 3 3 3 4" xfId="28024"/>
    <cellStyle name="표준 4 2 2 3 2 3 3 4" xfId="13036"/>
    <cellStyle name="표준 4 2 2 3 2 3 3 4 2" xfId="35503"/>
    <cellStyle name="표준 4 2 2 3 2 3 3 5" xfId="20520"/>
    <cellStyle name="표준 4 2 2 3 2 3 3 5 2" xfId="42985"/>
    <cellStyle name="표준 4 2 2 3 2 3 3 6" xfId="28021"/>
    <cellStyle name="표준 4 2 2 3 2 3 3_Sheet4" xfId="5389"/>
    <cellStyle name="표준 4 2 2 3 2 3 4" xfId="5390"/>
    <cellStyle name="표준 4 2 2 3 2 3 4 2" xfId="5391"/>
    <cellStyle name="표준 4 2 2 3 2 3 4 2 2" xfId="13041"/>
    <cellStyle name="표준 4 2 2 3 2 3 4 2 2 2" xfId="35508"/>
    <cellStyle name="표준 4 2 2 3 2 3 4 2 3" xfId="20525"/>
    <cellStyle name="표준 4 2 2 3 2 3 4 2 3 2" xfId="42990"/>
    <cellStyle name="표준 4 2 2 3 2 3 4 2 4" xfId="28026"/>
    <cellStyle name="표준 4 2 2 3 2 3 4 3" xfId="13040"/>
    <cellStyle name="표준 4 2 2 3 2 3 4 3 2" xfId="35507"/>
    <cellStyle name="표준 4 2 2 3 2 3 4 4" xfId="20524"/>
    <cellStyle name="표준 4 2 2 3 2 3 4 4 2" xfId="42989"/>
    <cellStyle name="표준 4 2 2 3 2 3 4 5" xfId="28025"/>
    <cellStyle name="표준 4 2 2 3 2 3 4_Sheet4" xfId="5392"/>
    <cellStyle name="표준 4 2 2 3 2 3 5" xfId="5393"/>
    <cellStyle name="표준 4 2 2 3 2 3 5 2" xfId="13042"/>
    <cellStyle name="표준 4 2 2 3 2 3 5 2 2" xfId="35509"/>
    <cellStyle name="표준 4 2 2 3 2 3 5 3" xfId="20526"/>
    <cellStyle name="표준 4 2 2 3 2 3 5 3 2" xfId="42991"/>
    <cellStyle name="표준 4 2 2 3 2 3 5 4" xfId="28027"/>
    <cellStyle name="표준 4 2 2 3 2 3 6" xfId="13027"/>
    <cellStyle name="표준 4 2 2 3 2 3 6 2" xfId="35494"/>
    <cellStyle name="표준 4 2 2 3 2 3 7" xfId="20511"/>
    <cellStyle name="표준 4 2 2 3 2 3 7 2" xfId="42976"/>
    <cellStyle name="표준 4 2 2 3 2 3 8" xfId="28012"/>
    <cellStyle name="표준 4 2 2 3 2 3_Sheet4" xfId="5394"/>
    <cellStyle name="표준 4 2 2 3 2 4" xfId="5395"/>
    <cellStyle name="표준 4 2 2 3 2 4 2" xfId="5396"/>
    <cellStyle name="표준 4 2 2 3 2 4 2 2" xfId="5397"/>
    <cellStyle name="표준 4 2 2 3 2 4 2 2 2" xfId="5398"/>
    <cellStyle name="표준 4 2 2 3 2 4 2 2 2 2" xfId="13046"/>
    <cellStyle name="표준 4 2 2 3 2 4 2 2 2 2 2" xfId="35513"/>
    <cellStyle name="표준 4 2 2 3 2 4 2 2 2 3" xfId="20530"/>
    <cellStyle name="표준 4 2 2 3 2 4 2 2 2 3 2" xfId="42995"/>
    <cellStyle name="표준 4 2 2 3 2 4 2 2 2 4" xfId="28031"/>
    <cellStyle name="표준 4 2 2 3 2 4 2 2 3" xfId="13045"/>
    <cellStyle name="표준 4 2 2 3 2 4 2 2 3 2" xfId="35512"/>
    <cellStyle name="표준 4 2 2 3 2 4 2 2 4" xfId="20529"/>
    <cellStyle name="표준 4 2 2 3 2 4 2 2 4 2" xfId="42994"/>
    <cellStyle name="표준 4 2 2 3 2 4 2 2 5" xfId="28030"/>
    <cellStyle name="표준 4 2 2 3 2 4 2 2_Sheet4" xfId="5399"/>
    <cellStyle name="표준 4 2 2 3 2 4 2 3" xfId="5400"/>
    <cellStyle name="표준 4 2 2 3 2 4 2 3 2" xfId="13047"/>
    <cellStyle name="표준 4 2 2 3 2 4 2 3 2 2" xfId="35514"/>
    <cellStyle name="표준 4 2 2 3 2 4 2 3 3" xfId="20531"/>
    <cellStyle name="표준 4 2 2 3 2 4 2 3 3 2" xfId="42996"/>
    <cellStyle name="표준 4 2 2 3 2 4 2 3 4" xfId="28032"/>
    <cellStyle name="표준 4 2 2 3 2 4 2 4" xfId="13044"/>
    <cellStyle name="표준 4 2 2 3 2 4 2 4 2" xfId="35511"/>
    <cellStyle name="표준 4 2 2 3 2 4 2 5" xfId="20528"/>
    <cellStyle name="표준 4 2 2 3 2 4 2 5 2" xfId="42993"/>
    <cellStyle name="표준 4 2 2 3 2 4 2 6" xfId="28029"/>
    <cellStyle name="표준 4 2 2 3 2 4 2_Sheet4" xfId="5401"/>
    <cellStyle name="표준 4 2 2 3 2 4 3" xfId="5402"/>
    <cellStyle name="표준 4 2 2 3 2 4 3 2" xfId="5403"/>
    <cellStyle name="표준 4 2 2 3 2 4 3 2 2" xfId="13049"/>
    <cellStyle name="표준 4 2 2 3 2 4 3 2 2 2" xfId="35516"/>
    <cellStyle name="표준 4 2 2 3 2 4 3 2 3" xfId="20533"/>
    <cellStyle name="표준 4 2 2 3 2 4 3 2 3 2" xfId="42998"/>
    <cellStyle name="표준 4 2 2 3 2 4 3 2 4" xfId="28034"/>
    <cellStyle name="표준 4 2 2 3 2 4 3 3" xfId="13048"/>
    <cellStyle name="표준 4 2 2 3 2 4 3 3 2" xfId="35515"/>
    <cellStyle name="표준 4 2 2 3 2 4 3 4" xfId="20532"/>
    <cellStyle name="표준 4 2 2 3 2 4 3 4 2" xfId="42997"/>
    <cellStyle name="표준 4 2 2 3 2 4 3 5" xfId="28033"/>
    <cellStyle name="표준 4 2 2 3 2 4 3_Sheet4" xfId="5404"/>
    <cellStyle name="표준 4 2 2 3 2 4 4" xfId="5405"/>
    <cellStyle name="표준 4 2 2 3 2 4 4 2" xfId="13050"/>
    <cellStyle name="표준 4 2 2 3 2 4 4 2 2" xfId="35517"/>
    <cellStyle name="표준 4 2 2 3 2 4 4 3" xfId="20534"/>
    <cellStyle name="표준 4 2 2 3 2 4 4 3 2" xfId="42999"/>
    <cellStyle name="표준 4 2 2 3 2 4 4 4" xfId="28035"/>
    <cellStyle name="표준 4 2 2 3 2 4 5" xfId="13043"/>
    <cellStyle name="표준 4 2 2 3 2 4 5 2" xfId="35510"/>
    <cellStyle name="표준 4 2 2 3 2 4 6" xfId="20527"/>
    <cellStyle name="표준 4 2 2 3 2 4 6 2" xfId="42992"/>
    <cellStyle name="표준 4 2 2 3 2 4 7" xfId="28028"/>
    <cellStyle name="표준 4 2 2 3 2 4_Sheet4" xfId="5406"/>
    <cellStyle name="표준 4 2 2 3 2 5" xfId="5407"/>
    <cellStyle name="표준 4 2 2 3 2 5 2" xfId="5408"/>
    <cellStyle name="표준 4 2 2 3 2 5 2 2" xfId="5409"/>
    <cellStyle name="표준 4 2 2 3 2 5 2 2 2" xfId="13053"/>
    <cellStyle name="표준 4 2 2 3 2 5 2 2 2 2" xfId="35520"/>
    <cellStyle name="표준 4 2 2 3 2 5 2 2 3" xfId="20537"/>
    <cellStyle name="표준 4 2 2 3 2 5 2 2 3 2" xfId="43002"/>
    <cellStyle name="표준 4 2 2 3 2 5 2 2 4" xfId="28038"/>
    <cellStyle name="표준 4 2 2 3 2 5 2 3" xfId="13052"/>
    <cellStyle name="표준 4 2 2 3 2 5 2 3 2" xfId="35519"/>
    <cellStyle name="표준 4 2 2 3 2 5 2 4" xfId="20536"/>
    <cellStyle name="표준 4 2 2 3 2 5 2 4 2" xfId="43001"/>
    <cellStyle name="표준 4 2 2 3 2 5 2 5" xfId="28037"/>
    <cellStyle name="표준 4 2 2 3 2 5 2_Sheet4" xfId="5410"/>
    <cellStyle name="표준 4 2 2 3 2 5 3" xfId="5411"/>
    <cellStyle name="표준 4 2 2 3 2 5 3 2" xfId="13054"/>
    <cellStyle name="표준 4 2 2 3 2 5 3 2 2" xfId="35521"/>
    <cellStyle name="표준 4 2 2 3 2 5 3 3" xfId="20538"/>
    <cellStyle name="표준 4 2 2 3 2 5 3 3 2" xfId="43003"/>
    <cellStyle name="표준 4 2 2 3 2 5 3 4" xfId="28039"/>
    <cellStyle name="표준 4 2 2 3 2 5 4" xfId="13051"/>
    <cellStyle name="표준 4 2 2 3 2 5 4 2" xfId="35518"/>
    <cellStyle name="표준 4 2 2 3 2 5 5" xfId="20535"/>
    <cellStyle name="표준 4 2 2 3 2 5 5 2" xfId="43000"/>
    <cellStyle name="표준 4 2 2 3 2 5 6" xfId="28036"/>
    <cellStyle name="표준 4 2 2 3 2 5_Sheet4" xfId="5412"/>
    <cellStyle name="표준 4 2 2 3 2 6" xfId="5413"/>
    <cellStyle name="표준 4 2 2 3 2 6 2" xfId="5414"/>
    <cellStyle name="표준 4 2 2 3 2 6 2 2" xfId="13056"/>
    <cellStyle name="표준 4 2 2 3 2 6 2 2 2" xfId="35523"/>
    <cellStyle name="표준 4 2 2 3 2 6 2 3" xfId="20540"/>
    <cellStyle name="표준 4 2 2 3 2 6 2 3 2" xfId="43005"/>
    <cellStyle name="표준 4 2 2 3 2 6 2 4" xfId="28041"/>
    <cellStyle name="표준 4 2 2 3 2 6 3" xfId="13055"/>
    <cellStyle name="표준 4 2 2 3 2 6 3 2" xfId="35522"/>
    <cellStyle name="표준 4 2 2 3 2 6 4" xfId="20539"/>
    <cellStyle name="표준 4 2 2 3 2 6 4 2" xfId="43004"/>
    <cellStyle name="표준 4 2 2 3 2 6 5" xfId="28040"/>
    <cellStyle name="표준 4 2 2 3 2 6_Sheet4" xfId="5415"/>
    <cellStyle name="표준 4 2 2 3 2 7" xfId="5416"/>
    <cellStyle name="표준 4 2 2 3 2 7 2" xfId="13057"/>
    <cellStyle name="표준 4 2 2 3 2 7 2 2" xfId="35524"/>
    <cellStyle name="표준 4 2 2 3 2 7 3" xfId="20541"/>
    <cellStyle name="표준 4 2 2 3 2 7 3 2" xfId="43006"/>
    <cellStyle name="표준 4 2 2 3 2 7 4" xfId="28042"/>
    <cellStyle name="표준 4 2 2 3 2 8" xfId="13010"/>
    <cellStyle name="표준 4 2 2 3 2 8 2" xfId="35477"/>
    <cellStyle name="표준 4 2 2 3 2 9" xfId="20494"/>
    <cellStyle name="표준 4 2 2 3 2 9 2" xfId="42959"/>
    <cellStyle name="표준 4 2 2 3 2_Sheet4" xfId="5417"/>
    <cellStyle name="표준 4 2 2 3 3" xfId="5418"/>
    <cellStyle name="표준 4 2 2 3 3 2" xfId="5419"/>
    <cellStyle name="표준 4 2 2 3 3 2 2" xfId="5420"/>
    <cellStyle name="표준 4 2 2 3 3 2 2 2" xfId="5421"/>
    <cellStyle name="표준 4 2 2 3 3 2 2 2 2" xfId="5422"/>
    <cellStyle name="표준 4 2 2 3 3 2 2 2 2 2" xfId="13062"/>
    <cellStyle name="표준 4 2 2 3 3 2 2 2 2 2 2" xfId="35529"/>
    <cellStyle name="표준 4 2 2 3 3 2 2 2 2 3" xfId="20546"/>
    <cellStyle name="표준 4 2 2 3 3 2 2 2 2 3 2" xfId="43011"/>
    <cellStyle name="표준 4 2 2 3 3 2 2 2 2 4" xfId="28047"/>
    <cellStyle name="표준 4 2 2 3 3 2 2 2 3" xfId="13061"/>
    <cellStyle name="표준 4 2 2 3 3 2 2 2 3 2" xfId="35528"/>
    <cellStyle name="표준 4 2 2 3 3 2 2 2 4" xfId="20545"/>
    <cellStyle name="표준 4 2 2 3 3 2 2 2 4 2" xfId="43010"/>
    <cellStyle name="표준 4 2 2 3 3 2 2 2 5" xfId="28046"/>
    <cellStyle name="표준 4 2 2 3 3 2 2 2_Sheet4" xfId="5423"/>
    <cellStyle name="표준 4 2 2 3 3 2 2 3" xfId="5424"/>
    <cellStyle name="표준 4 2 2 3 3 2 2 3 2" xfId="13063"/>
    <cellStyle name="표준 4 2 2 3 3 2 2 3 2 2" xfId="35530"/>
    <cellStyle name="표준 4 2 2 3 3 2 2 3 3" xfId="20547"/>
    <cellStyle name="표준 4 2 2 3 3 2 2 3 3 2" xfId="43012"/>
    <cellStyle name="표준 4 2 2 3 3 2 2 3 4" xfId="28048"/>
    <cellStyle name="표준 4 2 2 3 3 2 2 4" xfId="13060"/>
    <cellStyle name="표준 4 2 2 3 3 2 2 4 2" xfId="35527"/>
    <cellStyle name="표준 4 2 2 3 3 2 2 5" xfId="20544"/>
    <cellStyle name="표준 4 2 2 3 3 2 2 5 2" xfId="43009"/>
    <cellStyle name="표준 4 2 2 3 3 2 2 6" xfId="28045"/>
    <cellStyle name="표준 4 2 2 3 3 2 2_Sheet4" xfId="5425"/>
    <cellStyle name="표준 4 2 2 3 3 2 3" xfId="5426"/>
    <cellStyle name="표준 4 2 2 3 3 2 3 2" xfId="5427"/>
    <cellStyle name="표준 4 2 2 3 3 2 3 2 2" xfId="13065"/>
    <cellStyle name="표준 4 2 2 3 3 2 3 2 2 2" xfId="35532"/>
    <cellStyle name="표준 4 2 2 3 3 2 3 2 3" xfId="20549"/>
    <cellStyle name="표준 4 2 2 3 3 2 3 2 3 2" xfId="43014"/>
    <cellStyle name="표준 4 2 2 3 3 2 3 2 4" xfId="28050"/>
    <cellStyle name="표준 4 2 2 3 3 2 3 3" xfId="13064"/>
    <cellStyle name="표준 4 2 2 3 3 2 3 3 2" xfId="35531"/>
    <cellStyle name="표준 4 2 2 3 3 2 3 4" xfId="20548"/>
    <cellStyle name="표준 4 2 2 3 3 2 3 4 2" xfId="43013"/>
    <cellStyle name="표준 4 2 2 3 3 2 3 5" xfId="28049"/>
    <cellStyle name="표준 4 2 2 3 3 2 3_Sheet4" xfId="5428"/>
    <cellStyle name="표준 4 2 2 3 3 2 4" xfId="5429"/>
    <cellStyle name="표준 4 2 2 3 3 2 4 2" xfId="13066"/>
    <cellStyle name="표준 4 2 2 3 3 2 4 2 2" xfId="35533"/>
    <cellStyle name="표준 4 2 2 3 3 2 4 3" xfId="20550"/>
    <cellStyle name="표준 4 2 2 3 3 2 4 3 2" xfId="43015"/>
    <cellStyle name="표준 4 2 2 3 3 2 4 4" xfId="28051"/>
    <cellStyle name="표준 4 2 2 3 3 2 5" xfId="13059"/>
    <cellStyle name="표준 4 2 2 3 3 2 5 2" xfId="35526"/>
    <cellStyle name="표준 4 2 2 3 3 2 6" xfId="20543"/>
    <cellStyle name="표준 4 2 2 3 3 2 6 2" xfId="43008"/>
    <cellStyle name="표준 4 2 2 3 3 2 7" xfId="28044"/>
    <cellStyle name="표준 4 2 2 3 3 2_Sheet4" xfId="5430"/>
    <cellStyle name="표준 4 2 2 3 3 3" xfId="5431"/>
    <cellStyle name="표준 4 2 2 3 3 3 2" xfId="5432"/>
    <cellStyle name="표준 4 2 2 3 3 3 2 2" xfId="5433"/>
    <cellStyle name="표준 4 2 2 3 3 3 2 2 2" xfId="13069"/>
    <cellStyle name="표준 4 2 2 3 3 3 2 2 2 2" xfId="35536"/>
    <cellStyle name="표준 4 2 2 3 3 3 2 2 3" xfId="20553"/>
    <cellStyle name="표준 4 2 2 3 3 3 2 2 3 2" xfId="43018"/>
    <cellStyle name="표준 4 2 2 3 3 3 2 2 4" xfId="28054"/>
    <cellStyle name="표준 4 2 2 3 3 3 2 3" xfId="13068"/>
    <cellStyle name="표준 4 2 2 3 3 3 2 3 2" xfId="35535"/>
    <cellStyle name="표준 4 2 2 3 3 3 2 4" xfId="20552"/>
    <cellStyle name="표준 4 2 2 3 3 3 2 4 2" xfId="43017"/>
    <cellStyle name="표준 4 2 2 3 3 3 2 5" xfId="28053"/>
    <cellStyle name="표준 4 2 2 3 3 3 2_Sheet4" xfId="5434"/>
    <cellStyle name="표준 4 2 2 3 3 3 3" xfId="5435"/>
    <cellStyle name="표준 4 2 2 3 3 3 3 2" xfId="13070"/>
    <cellStyle name="표준 4 2 2 3 3 3 3 2 2" xfId="35537"/>
    <cellStyle name="표준 4 2 2 3 3 3 3 3" xfId="20554"/>
    <cellStyle name="표준 4 2 2 3 3 3 3 3 2" xfId="43019"/>
    <cellStyle name="표준 4 2 2 3 3 3 3 4" xfId="28055"/>
    <cellStyle name="표준 4 2 2 3 3 3 4" xfId="13067"/>
    <cellStyle name="표준 4 2 2 3 3 3 4 2" xfId="35534"/>
    <cellStyle name="표준 4 2 2 3 3 3 5" xfId="20551"/>
    <cellStyle name="표준 4 2 2 3 3 3 5 2" xfId="43016"/>
    <cellStyle name="표준 4 2 2 3 3 3 6" xfId="28052"/>
    <cellStyle name="표준 4 2 2 3 3 3_Sheet4" xfId="5436"/>
    <cellStyle name="표준 4 2 2 3 3 4" xfId="5437"/>
    <cellStyle name="표준 4 2 2 3 3 4 2" xfId="5438"/>
    <cellStyle name="표준 4 2 2 3 3 4 2 2" xfId="13072"/>
    <cellStyle name="표준 4 2 2 3 3 4 2 2 2" xfId="35539"/>
    <cellStyle name="표준 4 2 2 3 3 4 2 3" xfId="20556"/>
    <cellStyle name="표준 4 2 2 3 3 4 2 3 2" xfId="43021"/>
    <cellStyle name="표준 4 2 2 3 3 4 2 4" xfId="28057"/>
    <cellStyle name="표준 4 2 2 3 3 4 3" xfId="13071"/>
    <cellStyle name="표준 4 2 2 3 3 4 3 2" xfId="35538"/>
    <cellStyle name="표준 4 2 2 3 3 4 4" xfId="20555"/>
    <cellStyle name="표준 4 2 2 3 3 4 4 2" xfId="43020"/>
    <cellStyle name="표준 4 2 2 3 3 4 5" xfId="28056"/>
    <cellStyle name="표준 4 2 2 3 3 4_Sheet4" xfId="5439"/>
    <cellStyle name="표준 4 2 2 3 3 5" xfId="5440"/>
    <cellStyle name="표준 4 2 2 3 3 5 2" xfId="13073"/>
    <cellStyle name="표준 4 2 2 3 3 5 2 2" xfId="35540"/>
    <cellStyle name="표준 4 2 2 3 3 5 3" xfId="20557"/>
    <cellStyle name="표준 4 2 2 3 3 5 3 2" xfId="43022"/>
    <cellStyle name="표준 4 2 2 3 3 5 4" xfId="28058"/>
    <cellStyle name="표준 4 2 2 3 3 6" xfId="13058"/>
    <cellStyle name="표준 4 2 2 3 3 6 2" xfId="35525"/>
    <cellStyle name="표준 4 2 2 3 3 7" xfId="20542"/>
    <cellStyle name="표준 4 2 2 3 3 7 2" xfId="43007"/>
    <cellStyle name="표준 4 2 2 3 3 8" xfId="28043"/>
    <cellStyle name="표준 4 2 2 3 3_Sheet4" xfId="5441"/>
    <cellStyle name="표준 4 2 2 3 4" xfId="5442"/>
    <cellStyle name="표준 4 2 2 3 4 2" xfId="5443"/>
    <cellStyle name="표준 4 2 2 3 4 2 2" xfId="5444"/>
    <cellStyle name="표준 4 2 2 3 4 2 2 2" xfId="5445"/>
    <cellStyle name="표준 4 2 2 3 4 2 2 2 2" xfId="5446"/>
    <cellStyle name="표준 4 2 2 3 4 2 2 2 2 2" xfId="13078"/>
    <cellStyle name="표준 4 2 2 3 4 2 2 2 2 2 2" xfId="35545"/>
    <cellStyle name="표준 4 2 2 3 4 2 2 2 2 3" xfId="20562"/>
    <cellStyle name="표준 4 2 2 3 4 2 2 2 2 3 2" xfId="43027"/>
    <cellStyle name="표준 4 2 2 3 4 2 2 2 2 4" xfId="28063"/>
    <cellStyle name="표준 4 2 2 3 4 2 2 2 3" xfId="13077"/>
    <cellStyle name="표준 4 2 2 3 4 2 2 2 3 2" xfId="35544"/>
    <cellStyle name="표준 4 2 2 3 4 2 2 2 4" xfId="20561"/>
    <cellStyle name="표준 4 2 2 3 4 2 2 2 4 2" xfId="43026"/>
    <cellStyle name="표준 4 2 2 3 4 2 2 2 5" xfId="28062"/>
    <cellStyle name="표준 4 2 2 3 4 2 2 2_Sheet4" xfId="5447"/>
    <cellStyle name="표준 4 2 2 3 4 2 2 3" xfId="5448"/>
    <cellStyle name="표준 4 2 2 3 4 2 2 3 2" xfId="13079"/>
    <cellStyle name="표준 4 2 2 3 4 2 2 3 2 2" xfId="35546"/>
    <cellStyle name="표준 4 2 2 3 4 2 2 3 3" xfId="20563"/>
    <cellStyle name="표준 4 2 2 3 4 2 2 3 3 2" xfId="43028"/>
    <cellStyle name="표준 4 2 2 3 4 2 2 3 4" xfId="28064"/>
    <cellStyle name="표준 4 2 2 3 4 2 2 4" xfId="13076"/>
    <cellStyle name="표준 4 2 2 3 4 2 2 4 2" xfId="35543"/>
    <cellStyle name="표준 4 2 2 3 4 2 2 5" xfId="20560"/>
    <cellStyle name="표준 4 2 2 3 4 2 2 5 2" xfId="43025"/>
    <cellStyle name="표준 4 2 2 3 4 2 2 6" xfId="28061"/>
    <cellStyle name="표준 4 2 2 3 4 2 2_Sheet4" xfId="5449"/>
    <cellStyle name="표준 4 2 2 3 4 2 3" xfId="5450"/>
    <cellStyle name="표준 4 2 2 3 4 2 3 2" xfId="5451"/>
    <cellStyle name="표준 4 2 2 3 4 2 3 2 2" xfId="13081"/>
    <cellStyle name="표준 4 2 2 3 4 2 3 2 2 2" xfId="35548"/>
    <cellStyle name="표준 4 2 2 3 4 2 3 2 3" xfId="20565"/>
    <cellStyle name="표준 4 2 2 3 4 2 3 2 3 2" xfId="43030"/>
    <cellStyle name="표준 4 2 2 3 4 2 3 2 4" xfId="28066"/>
    <cellStyle name="표준 4 2 2 3 4 2 3 3" xfId="13080"/>
    <cellStyle name="표준 4 2 2 3 4 2 3 3 2" xfId="35547"/>
    <cellStyle name="표준 4 2 2 3 4 2 3 4" xfId="20564"/>
    <cellStyle name="표준 4 2 2 3 4 2 3 4 2" xfId="43029"/>
    <cellStyle name="표준 4 2 2 3 4 2 3 5" xfId="28065"/>
    <cellStyle name="표준 4 2 2 3 4 2 3_Sheet4" xfId="5452"/>
    <cellStyle name="표준 4 2 2 3 4 2 4" xfId="5453"/>
    <cellStyle name="표준 4 2 2 3 4 2 4 2" xfId="13082"/>
    <cellStyle name="표준 4 2 2 3 4 2 4 2 2" xfId="35549"/>
    <cellStyle name="표준 4 2 2 3 4 2 4 3" xfId="20566"/>
    <cellStyle name="표준 4 2 2 3 4 2 4 3 2" xfId="43031"/>
    <cellStyle name="표준 4 2 2 3 4 2 4 4" xfId="28067"/>
    <cellStyle name="표준 4 2 2 3 4 2 5" xfId="13075"/>
    <cellStyle name="표준 4 2 2 3 4 2 5 2" xfId="35542"/>
    <cellStyle name="표준 4 2 2 3 4 2 6" xfId="20559"/>
    <cellStyle name="표준 4 2 2 3 4 2 6 2" xfId="43024"/>
    <cellStyle name="표준 4 2 2 3 4 2 7" xfId="28060"/>
    <cellStyle name="표준 4 2 2 3 4 2_Sheet4" xfId="5454"/>
    <cellStyle name="표준 4 2 2 3 4 3" xfId="5455"/>
    <cellStyle name="표준 4 2 2 3 4 3 2" xfId="5456"/>
    <cellStyle name="표준 4 2 2 3 4 3 2 2" xfId="5457"/>
    <cellStyle name="표준 4 2 2 3 4 3 2 2 2" xfId="13085"/>
    <cellStyle name="표준 4 2 2 3 4 3 2 2 2 2" xfId="35552"/>
    <cellStyle name="표준 4 2 2 3 4 3 2 2 3" xfId="20569"/>
    <cellStyle name="표준 4 2 2 3 4 3 2 2 3 2" xfId="43034"/>
    <cellStyle name="표준 4 2 2 3 4 3 2 2 4" xfId="28070"/>
    <cellStyle name="표준 4 2 2 3 4 3 2 3" xfId="13084"/>
    <cellStyle name="표준 4 2 2 3 4 3 2 3 2" xfId="35551"/>
    <cellStyle name="표준 4 2 2 3 4 3 2 4" xfId="20568"/>
    <cellStyle name="표준 4 2 2 3 4 3 2 4 2" xfId="43033"/>
    <cellStyle name="표준 4 2 2 3 4 3 2 5" xfId="28069"/>
    <cellStyle name="표준 4 2 2 3 4 3 2_Sheet4" xfId="5458"/>
    <cellStyle name="표준 4 2 2 3 4 3 3" xfId="5459"/>
    <cellStyle name="표준 4 2 2 3 4 3 3 2" xfId="13086"/>
    <cellStyle name="표준 4 2 2 3 4 3 3 2 2" xfId="35553"/>
    <cellStyle name="표준 4 2 2 3 4 3 3 3" xfId="20570"/>
    <cellStyle name="표준 4 2 2 3 4 3 3 3 2" xfId="43035"/>
    <cellStyle name="표준 4 2 2 3 4 3 3 4" xfId="28071"/>
    <cellStyle name="표준 4 2 2 3 4 3 4" xfId="13083"/>
    <cellStyle name="표준 4 2 2 3 4 3 4 2" xfId="35550"/>
    <cellStyle name="표준 4 2 2 3 4 3 5" xfId="20567"/>
    <cellStyle name="표준 4 2 2 3 4 3 5 2" xfId="43032"/>
    <cellStyle name="표준 4 2 2 3 4 3 6" xfId="28068"/>
    <cellStyle name="표준 4 2 2 3 4 3_Sheet4" xfId="5460"/>
    <cellStyle name="표준 4 2 2 3 4 4" xfId="5461"/>
    <cellStyle name="표준 4 2 2 3 4 4 2" xfId="5462"/>
    <cellStyle name="표준 4 2 2 3 4 4 2 2" xfId="13088"/>
    <cellStyle name="표준 4 2 2 3 4 4 2 2 2" xfId="35555"/>
    <cellStyle name="표준 4 2 2 3 4 4 2 3" xfId="20572"/>
    <cellStyle name="표준 4 2 2 3 4 4 2 3 2" xfId="43037"/>
    <cellStyle name="표준 4 2 2 3 4 4 2 4" xfId="28073"/>
    <cellStyle name="표준 4 2 2 3 4 4 3" xfId="13087"/>
    <cellStyle name="표준 4 2 2 3 4 4 3 2" xfId="35554"/>
    <cellStyle name="표준 4 2 2 3 4 4 4" xfId="20571"/>
    <cellStyle name="표준 4 2 2 3 4 4 4 2" xfId="43036"/>
    <cellStyle name="표준 4 2 2 3 4 4 5" xfId="28072"/>
    <cellStyle name="표준 4 2 2 3 4 4_Sheet4" xfId="5463"/>
    <cellStyle name="표준 4 2 2 3 4 5" xfId="5464"/>
    <cellStyle name="표준 4 2 2 3 4 5 2" xfId="13089"/>
    <cellStyle name="표준 4 2 2 3 4 5 2 2" xfId="35556"/>
    <cellStyle name="표준 4 2 2 3 4 5 3" xfId="20573"/>
    <cellStyle name="표준 4 2 2 3 4 5 3 2" xfId="43038"/>
    <cellStyle name="표준 4 2 2 3 4 5 4" xfId="28074"/>
    <cellStyle name="표준 4 2 2 3 4 6" xfId="13074"/>
    <cellStyle name="표준 4 2 2 3 4 6 2" xfId="35541"/>
    <cellStyle name="표준 4 2 2 3 4 7" xfId="20558"/>
    <cellStyle name="표준 4 2 2 3 4 7 2" xfId="43023"/>
    <cellStyle name="표준 4 2 2 3 4 8" xfId="28059"/>
    <cellStyle name="표준 4 2 2 3 4_Sheet4" xfId="5465"/>
    <cellStyle name="표준 4 2 2 3 5" xfId="5466"/>
    <cellStyle name="표준 4 2 2 3 5 2" xfId="5467"/>
    <cellStyle name="표준 4 2 2 3 5 2 2" xfId="5468"/>
    <cellStyle name="표준 4 2 2 3 5 2 2 2" xfId="5469"/>
    <cellStyle name="표준 4 2 2 3 5 2 2 2 2" xfId="13093"/>
    <cellStyle name="표준 4 2 2 3 5 2 2 2 2 2" xfId="35560"/>
    <cellStyle name="표준 4 2 2 3 5 2 2 2 3" xfId="20577"/>
    <cellStyle name="표준 4 2 2 3 5 2 2 2 3 2" xfId="43042"/>
    <cellStyle name="표준 4 2 2 3 5 2 2 2 4" xfId="28078"/>
    <cellStyle name="표준 4 2 2 3 5 2 2 3" xfId="13092"/>
    <cellStyle name="표준 4 2 2 3 5 2 2 3 2" xfId="35559"/>
    <cellStyle name="표준 4 2 2 3 5 2 2 4" xfId="20576"/>
    <cellStyle name="표준 4 2 2 3 5 2 2 4 2" xfId="43041"/>
    <cellStyle name="표준 4 2 2 3 5 2 2 5" xfId="28077"/>
    <cellStyle name="표준 4 2 2 3 5 2 2_Sheet4" xfId="5470"/>
    <cellStyle name="표준 4 2 2 3 5 2 3" xfId="5471"/>
    <cellStyle name="표준 4 2 2 3 5 2 3 2" xfId="13094"/>
    <cellStyle name="표준 4 2 2 3 5 2 3 2 2" xfId="35561"/>
    <cellStyle name="표준 4 2 2 3 5 2 3 3" xfId="20578"/>
    <cellStyle name="표준 4 2 2 3 5 2 3 3 2" xfId="43043"/>
    <cellStyle name="표준 4 2 2 3 5 2 3 4" xfId="28079"/>
    <cellStyle name="표준 4 2 2 3 5 2 4" xfId="13091"/>
    <cellStyle name="표준 4 2 2 3 5 2 4 2" xfId="35558"/>
    <cellStyle name="표준 4 2 2 3 5 2 5" xfId="20575"/>
    <cellStyle name="표준 4 2 2 3 5 2 5 2" xfId="43040"/>
    <cellStyle name="표준 4 2 2 3 5 2 6" xfId="28076"/>
    <cellStyle name="표준 4 2 2 3 5 2_Sheet4" xfId="5472"/>
    <cellStyle name="표준 4 2 2 3 5 3" xfId="5473"/>
    <cellStyle name="표준 4 2 2 3 5 3 2" xfId="5474"/>
    <cellStyle name="표준 4 2 2 3 5 3 2 2" xfId="13096"/>
    <cellStyle name="표준 4 2 2 3 5 3 2 2 2" xfId="35563"/>
    <cellStyle name="표준 4 2 2 3 5 3 2 3" xfId="20580"/>
    <cellStyle name="표준 4 2 2 3 5 3 2 3 2" xfId="43045"/>
    <cellStyle name="표준 4 2 2 3 5 3 2 4" xfId="28081"/>
    <cellStyle name="표준 4 2 2 3 5 3 3" xfId="13095"/>
    <cellStyle name="표준 4 2 2 3 5 3 3 2" xfId="35562"/>
    <cellStyle name="표준 4 2 2 3 5 3 4" xfId="20579"/>
    <cellStyle name="표준 4 2 2 3 5 3 4 2" xfId="43044"/>
    <cellStyle name="표준 4 2 2 3 5 3 5" xfId="28080"/>
    <cellStyle name="표준 4 2 2 3 5 3_Sheet4" xfId="5475"/>
    <cellStyle name="표준 4 2 2 3 5 4" xfId="5476"/>
    <cellStyle name="표준 4 2 2 3 5 4 2" xfId="13097"/>
    <cellStyle name="표준 4 2 2 3 5 4 2 2" xfId="35564"/>
    <cellStyle name="표준 4 2 2 3 5 4 3" xfId="20581"/>
    <cellStyle name="표준 4 2 2 3 5 4 3 2" xfId="43046"/>
    <cellStyle name="표준 4 2 2 3 5 4 4" xfId="28082"/>
    <cellStyle name="표준 4 2 2 3 5 5" xfId="13090"/>
    <cellStyle name="표준 4 2 2 3 5 5 2" xfId="35557"/>
    <cellStyle name="표준 4 2 2 3 5 6" xfId="20574"/>
    <cellStyle name="표준 4 2 2 3 5 6 2" xfId="43039"/>
    <cellStyle name="표준 4 2 2 3 5 7" xfId="28075"/>
    <cellStyle name="표준 4 2 2 3 5_Sheet4" xfId="5477"/>
    <cellStyle name="표준 4 2 2 3 6" xfId="5478"/>
    <cellStyle name="표준 4 2 2 3 6 2" xfId="5479"/>
    <cellStyle name="표준 4 2 2 3 6 2 2" xfId="5480"/>
    <cellStyle name="표준 4 2 2 3 6 2 2 2" xfId="13100"/>
    <cellStyle name="표준 4 2 2 3 6 2 2 2 2" xfId="35567"/>
    <cellStyle name="표준 4 2 2 3 6 2 2 3" xfId="20584"/>
    <cellStyle name="표준 4 2 2 3 6 2 2 3 2" xfId="43049"/>
    <cellStyle name="표준 4 2 2 3 6 2 2 4" xfId="28085"/>
    <cellStyle name="표준 4 2 2 3 6 2 3" xfId="13099"/>
    <cellStyle name="표준 4 2 2 3 6 2 3 2" xfId="35566"/>
    <cellStyle name="표준 4 2 2 3 6 2 4" xfId="20583"/>
    <cellStyle name="표준 4 2 2 3 6 2 4 2" xfId="43048"/>
    <cellStyle name="표준 4 2 2 3 6 2 5" xfId="28084"/>
    <cellStyle name="표준 4 2 2 3 6 2_Sheet4" xfId="5481"/>
    <cellStyle name="표준 4 2 2 3 6 3" xfId="5482"/>
    <cellStyle name="표준 4 2 2 3 6 3 2" xfId="13101"/>
    <cellStyle name="표준 4 2 2 3 6 3 2 2" xfId="35568"/>
    <cellStyle name="표준 4 2 2 3 6 3 3" xfId="20585"/>
    <cellStyle name="표준 4 2 2 3 6 3 3 2" xfId="43050"/>
    <cellStyle name="표준 4 2 2 3 6 3 4" xfId="28086"/>
    <cellStyle name="표준 4 2 2 3 6 4" xfId="13098"/>
    <cellStyle name="표준 4 2 2 3 6 4 2" xfId="35565"/>
    <cellStyle name="표준 4 2 2 3 6 5" xfId="20582"/>
    <cellStyle name="표준 4 2 2 3 6 5 2" xfId="43047"/>
    <cellStyle name="표준 4 2 2 3 6 6" xfId="28083"/>
    <cellStyle name="표준 4 2 2 3 6_Sheet4" xfId="5483"/>
    <cellStyle name="표준 4 2 2 3 7" xfId="5484"/>
    <cellStyle name="표준 4 2 2 3 7 2" xfId="5485"/>
    <cellStyle name="표준 4 2 2 3 7 2 2" xfId="5486"/>
    <cellStyle name="표준 4 2 2 3 7 2 2 2" xfId="13104"/>
    <cellStyle name="표준 4 2 2 3 7 2 2 2 2" xfId="35571"/>
    <cellStyle name="표준 4 2 2 3 7 2 2 3" xfId="20588"/>
    <cellStyle name="표준 4 2 2 3 7 2 2 3 2" xfId="43053"/>
    <cellStyle name="표준 4 2 2 3 7 2 2 4" xfId="28089"/>
    <cellStyle name="표준 4 2 2 3 7 2 3" xfId="13103"/>
    <cellStyle name="표준 4 2 2 3 7 2 3 2" xfId="35570"/>
    <cellStyle name="표준 4 2 2 3 7 2 4" xfId="20587"/>
    <cellStyle name="표준 4 2 2 3 7 2 4 2" xfId="43052"/>
    <cellStyle name="표준 4 2 2 3 7 2 5" xfId="28088"/>
    <cellStyle name="표준 4 2 2 3 7 2_Sheet4" xfId="5487"/>
    <cellStyle name="표준 4 2 2 3 7 3" xfId="5488"/>
    <cellStyle name="표준 4 2 2 3 7 3 2" xfId="13105"/>
    <cellStyle name="표준 4 2 2 3 7 3 2 2" xfId="35572"/>
    <cellStyle name="표준 4 2 2 3 7 3 3" xfId="20589"/>
    <cellStyle name="표준 4 2 2 3 7 3 3 2" xfId="43054"/>
    <cellStyle name="표준 4 2 2 3 7 3 4" xfId="28090"/>
    <cellStyle name="표준 4 2 2 3 7 4" xfId="13102"/>
    <cellStyle name="표준 4 2 2 3 7 4 2" xfId="35569"/>
    <cellStyle name="표준 4 2 2 3 7 5" xfId="20586"/>
    <cellStyle name="표준 4 2 2 3 7 5 2" xfId="43051"/>
    <cellStyle name="표준 4 2 2 3 7 6" xfId="28087"/>
    <cellStyle name="표준 4 2 2 3 7_Sheet4" xfId="5489"/>
    <cellStyle name="표준 4 2 2 3 8" xfId="5490"/>
    <cellStyle name="표준 4 2 2 3 8 2" xfId="5491"/>
    <cellStyle name="표준 4 2 2 3 8 2 2" xfId="13107"/>
    <cellStyle name="표준 4 2 2 3 8 2 2 2" xfId="35574"/>
    <cellStyle name="표준 4 2 2 3 8 2 3" xfId="20591"/>
    <cellStyle name="표준 4 2 2 3 8 2 3 2" xfId="43056"/>
    <cellStyle name="표준 4 2 2 3 8 2 4" xfId="28092"/>
    <cellStyle name="표준 4 2 2 3 8 3" xfId="13106"/>
    <cellStyle name="표준 4 2 2 3 8 3 2" xfId="35573"/>
    <cellStyle name="표준 4 2 2 3 8 4" xfId="20590"/>
    <cellStyle name="표준 4 2 2 3 8 4 2" xfId="43055"/>
    <cellStyle name="표준 4 2 2 3 8 5" xfId="28091"/>
    <cellStyle name="표준 4 2 2 3 8_Sheet4" xfId="5492"/>
    <cellStyle name="표준 4 2 2 3 9" xfId="5493"/>
    <cellStyle name="표준 4 2 2 3 9 2" xfId="13108"/>
    <cellStyle name="표준 4 2 2 3 9 2 2" xfId="35575"/>
    <cellStyle name="표준 4 2 2 3 9 3" xfId="20592"/>
    <cellStyle name="표준 4 2 2 3 9 3 2" xfId="43057"/>
    <cellStyle name="표준 4 2 2 3 9 4" xfId="28093"/>
    <cellStyle name="표준 4 2 2 3_Sheet4" xfId="5494"/>
    <cellStyle name="표준 4 2 2 4" xfId="5495"/>
    <cellStyle name="표준 4 2 2 4 10" xfId="20593"/>
    <cellStyle name="표준 4 2 2 4 10 2" xfId="43058"/>
    <cellStyle name="표준 4 2 2 4 11" xfId="28094"/>
    <cellStyle name="표준 4 2 2 4 2" xfId="5496"/>
    <cellStyle name="표준 4 2 2 4 2 10" xfId="28095"/>
    <cellStyle name="표준 4 2 2 4 2 2" xfId="5497"/>
    <cellStyle name="표준 4 2 2 4 2 2 2" xfId="5498"/>
    <cellStyle name="표준 4 2 2 4 2 2 2 2" xfId="5499"/>
    <cellStyle name="표준 4 2 2 4 2 2 2 2 2" xfId="5500"/>
    <cellStyle name="표준 4 2 2 4 2 2 2 2 2 2" xfId="5501"/>
    <cellStyle name="표준 4 2 2 4 2 2 2 2 2 2 2" xfId="13115"/>
    <cellStyle name="표준 4 2 2 4 2 2 2 2 2 2 2 2" xfId="35582"/>
    <cellStyle name="표준 4 2 2 4 2 2 2 2 2 2 3" xfId="20599"/>
    <cellStyle name="표준 4 2 2 4 2 2 2 2 2 2 3 2" xfId="43064"/>
    <cellStyle name="표준 4 2 2 4 2 2 2 2 2 2 4" xfId="28100"/>
    <cellStyle name="표준 4 2 2 4 2 2 2 2 2 3" xfId="13114"/>
    <cellStyle name="표준 4 2 2 4 2 2 2 2 2 3 2" xfId="35581"/>
    <cellStyle name="표준 4 2 2 4 2 2 2 2 2 4" xfId="20598"/>
    <cellStyle name="표준 4 2 2 4 2 2 2 2 2 4 2" xfId="43063"/>
    <cellStyle name="표준 4 2 2 4 2 2 2 2 2 5" xfId="28099"/>
    <cellStyle name="표준 4 2 2 4 2 2 2 2 2_Sheet4" xfId="5502"/>
    <cellStyle name="표준 4 2 2 4 2 2 2 2 3" xfId="5503"/>
    <cellStyle name="표준 4 2 2 4 2 2 2 2 3 2" xfId="13116"/>
    <cellStyle name="표준 4 2 2 4 2 2 2 2 3 2 2" xfId="35583"/>
    <cellStyle name="표준 4 2 2 4 2 2 2 2 3 3" xfId="20600"/>
    <cellStyle name="표준 4 2 2 4 2 2 2 2 3 3 2" xfId="43065"/>
    <cellStyle name="표준 4 2 2 4 2 2 2 2 3 4" xfId="28101"/>
    <cellStyle name="표준 4 2 2 4 2 2 2 2 4" xfId="13113"/>
    <cellStyle name="표준 4 2 2 4 2 2 2 2 4 2" xfId="35580"/>
    <cellStyle name="표준 4 2 2 4 2 2 2 2 5" xfId="20597"/>
    <cellStyle name="표준 4 2 2 4 2 2 2 2 5 2" xfId="43062"/>
    <cellStyle name="표준 4 2 2 4 2 2 2 2 6" xfId="28098"/>
    <cellStyle name="표준 4 2 2 4 2 2 2 2_Sheet4" xfId="5504"/>
    <cellStyle name="표준 4 2 2 4 2 2 2 3" xfId="5505"/>
    <cellStyle name="표준 4 2 2 4 2 2 2 3 2" xfId="5506"/>
    <cellStyle name="표준 4 2 2 4 2 2 2 3 2 2" xfId="13118"/>
    <cellStyle name="표준 4 2 2 4 2 2 2 3 2 2 2" xfId="35585"/>
    <cellStyle name="표준 4 2 2 4 2 2 2 3 2 3" xfId="20602"/>
    <cellStyle name="표준 4 2 2 4 2 2 2 3 2 3 2" xfId="43067"/>
    <cellStyle name="표준 4 2 2 4 2 2 2 3 2 4" xfId="28103"/>
    <cellStyle name="표준 4 2 2 4 2 2 2 3 3" xfId="13117"/>
    <cellStyle name="표준 4 2 2 4 2 2 2 3 3 2" xfId="35584"/>
    <cellStyle name="표준 4 2 2 4 2 2 2 3 4" xfId="20601"/>
    <cellStyle name="표준 4 2 2 4 2 2 2 3 4 2" xfId="43066"/>
    <cellStyle name="표준 4 2 2 4 2 2 2 3 5" xfId="28102"/>
    <cellStyle name="표준 4 2 2 4 2 2 2 3_Sheet4" xfId="5507"/>
    <cellStyle name="표준 4 2 2 4 2 2 2 4" xfId="5508"/>
    <cellStyle name="표준 4 2 2 4 2 2 2 4 2" xfId="13119"/>
    <cellStyle name="표준 4 2 2 4 2 2 2 4 2 2" xfId="35586"/>
    <cellStyle name="표준 4 2 2 4 2 2 2 4 3" xfId="20603"/>
    <cellStyle name="표준 4 2 2 4 2 2 2 4 3 2" xfId="43068"/>
    <cellStyle name="표준 4 2 2 4 2 2 2 4 4" xfId="28104"/>
    <cellStyle name="표준 4 2 2 4 2 2 2 5" xfId="13112"/>
    <cellStyle name="표준 4 2 2 4 2 2 2 5 2" xfId="35579"/>
    <cellStyle name="표준 4 2 2 4 2 2 2 6" xfId="20596"/>
    <cellStyle name="표준 4 2 2 4 2 2 2 6 2" xfId="43061"/>
    <cellStyle name="표준 4 2 2 4 2 2 2 7" xfId="28097"/>
    <cellStyle name="표준 4 2 2 4 2 2 2_Sheet4" xfId="5509"/>
    <cellStyle name="표준 4 2 2 4 2 2 3" xfId="5510"/>
    <cellStyle name="표준 4 2 2 4 2 2 3 2" xfId="5511"/>
    <cellStyle name="표준 4 2 2 4 2 2 3 2 2" xfId="5512"/>
    <cellStyle name="표준 4 2 2 4 2 2 3 2 2 2" xfId="13122"/>
    <cellStyle name="표준 4 2 2 4 2 2 3 2 2 2 2" xfId="35589"/>
    <cellStyle name="표준 4 2 2 4 2 2 3 2 2 3" xfId="20606"/>
    <cellStyle name="표준 4 2 2 4 2 2 3 2 2 3 2" xfId="43071"/>
    <cellStyle name="표준 4 2 2 4 2 2 3 2 2 4" xfId="28107"/>
    <cellStyle name="표준 4 2 2 4 2 2 3 2 3" xfId="13121"/>
    <cellStyle name="표준 4 2 2 4 2 2 3 2 3 2" xfId="35588"/>
    <cellStyle name="표준 4 2 2 4 2 2 3 2 4" xfId="20605"/>
    <cellStyle name="표준 4 2 2 4 2 2 3 2 4 2" xfId="43070"/>
    <cellStyle name="표준 4 2 2 4 2 2 3 2 5" xfId="28106"/>
    <cellStyle name="표준 4 2 2 4 2 2 3 2_Sheet4" xfId="5513"/>
    <cellStyle name="표준 4 2 2 4 2 2 3 3" xfId="5514"/>
    <cellStyle name="표준 4 2 2 4 2 2 3 3 2" xfId="13123"/>
    <cellStyle name="표준 4 2 2 4 2 2 3 3 2 2" xfId="35590"/>
    <cellStyle name="표준 4 2 2 4 2 2 3 3 3" xfId="20607"/>
    <cellStyle name="표준 4 2 2 4 2 2 3 3 3 2" xfId="43072"/>
    <cellStyle name="표준 4 2 2 4 2 2 3 3 4" xfId="28108"/>
    <cellStyle name="표준 4 2 2 4 2 2 3 4" xfId="13120"/>
    <cellStyle name="표준 4 2 2 4 2 2 3 4 2" xfId="35587"/>
    <cellStyle name="표준 4 2 2 4 2 2 3 5" xfId="20604"/>
    <cellStyle name="표준 4 2 2 4 2 2 3 5 2" xfId="43069"/>
    <cellStyle name="표준 4 2 2 4 2 2 3 6" xfId="28105"/>
    <cellStyle name="표준 4 2 2 4 2 2 3_Sheet4" xfId="5515"/>
    <cellStyle name="표준 4 2 2 4 2 2 4" xfId="5516"/>
    <cellStyle name="표준 4 2 2 4 2 2 4 2" xfId="5517"/>
    <cellStyle name="표준 4 2 2 4 2 2 4 2 2" xfId="13125"/>
    <cellStyle name="표준 4 2 2 4 2 2 4 2 2 2" xfId="35592"/>
    <cellStyle name="표준 4 2 2 4 2 2 4 2 3" xfId="20609"/>
    <cellStyle name="표준 4 2 2 4 2 2 4 2 3 2" xfId="43074"/>
    <cellStyle name="표준 4 2 2 4 2 2 4 2 4" xfId="28110"/>
    <cellStyle name="표준 4 2 2 4 2 2 4 3" xfId="13124"/>
    <cellStyle name="표준 4 2 2 4 2 2 4 3 2" xfId="35591"/>
    <cellStyle name="표준 4 2 2 4 2 2 4 4" xfId="20608"/>
    <cellStyle name="표준 4 2 2 4 2 2 4 4 2" xfId="43073"/>
    <cellStyle name="표준 4 2 2 4 2 2 4 5" xfId="28109"/>
    <cellStyle name="표준 4 2 2 4 2 2 4_Sheet4" xfId="5518"/>
    <cellStyle name="표준 4 2 2 4 2 2 5" xfId="5519"/>
    <cellStyle name="표준 4 2 2 4 2 2 5 2" xfId="13126"/>
    <cellStyle name="표준 4 2 2 4 2 2 5 2 2" xfId="35593"/>
    <cellStyle name="표준 4 2 2 4 2 2 5 3" xfId="20610"/>
    <cellStyle name="표준 4 2 2 4 2 2 5 3 2" xfId="43075"/>
    <cellStyle name="표준 4 2 2 4 2 2 5 4" xfId="28111"/>
    <cellStyle name="표준 4 2 2 4 2 2 6" xfId="13111"/>
    <cellStyle name="표준 4 2 2 4 2 2 6 2" xfId="35578"/>
    <cellStyle name="표준 4 2 2 4 2 2 7" xfId="20595"/>
    <cellStyle name="표준 4 2 2 4 2 2 7 2" xfId="43060"/>
    <cellStyle name="표준 4 2 2 4 2 2 8" xfId="28096"/>
    <cellStyle name="표준 4 2 2 4 2 2_Sheet4" xfId="5520"/>
    <cellStyle name="표준 4 2 2 4 2 3" xfId="5521"/>
    <cellStyle name="표준 4 2 2 4 2 3 2" xfId="5522"/>
    <cellStyle name="표준 4 2 2 4 2 3 2 2" xfId="5523"/>
    <cellStyle name="표준 4 2 2 4 2 3 2 2 2" xfId="5524"/>
    <cellStyle name="표준 4 2 2 4 2 3 2 2 2 2" xfId="5525"/>
    <cellStyle name="표준 4 2 2 4 2 3 2 2 2 2 2" xfId="13131"/>
    <cellStyle name="표준 4 2 2 4 2 3 2 2 2 2 2 2" xfId="35598"/>
    <cellStyle name="표준 4 2 2 4 2 3 2 2 2 2 3" xfId="20615"/>
    <cellStyle name="표준 4 2 2 4 2 3 2 2 2 2 3 2" xfId="43080"/>
    <cellStyle name="표준 4 2 2 4 2 3 2 2 2 2 4" xfId="28116"/>
    <cellStyle name="표준 4 2 2 4 2 3 2 2 2 3" xfId="13130"/>
    <cellStyle name="표준 4 2 2 4 2 3 2 2 2 3 2" xfId="35597"/>
    <cellStyle name="표준 4 2 2 4 2 3 2 2 2 4" xfId="20614"/>
    <cellStyle name="표준 4 2 2 4 2 3 2 2 2 4 2" xfId="43079"/>
    <cellStyle name="표준 4 2 2 4 2 3 2 2 2 5" xfId="28115"/>
    <cellStyle name="표준 4 2 2 4 2 3 2 2 2_Sheet4" xfId="5526"/>
    <cellStyle name="표준 4 2 2 4 2 3 2 2 3" xfId="5527"/>
    <cellStyle name="표준 4 2 2 4 2 3 2 2 3 2" xfId="13132"/>
    <cellStyle name="표준 4 2 2 4 2 3 2 2 3 2 2" xfId="35599"/>
    <cellStyle name="표준 4 2 2 4 2 3 2 2 3 3" xfId="20616"/>
    <cellStyle name="표준 4 2 2 4 2 3 2 2 3 3 2" xfId="43081"/>
    <cellStyle name="표준 4 2 2 4 2 3 2 2 3 4" xfId="28117"/>
    <cellStyle name="표준 4 2 2 4 2 3 2 2 4" xfId="13129"/>
    <cellStyle name="표준 4 2 2 4 2 3 2 2 4 2" xfId="35596"/>
    <cellStyle name="표준 4 2 2 4 2 3 2 2 5" xfId="20613"/>
    <cellStyle name="표준 4 2 2 4 2 3 2 2 5 2" xfId="43078"/>
    <cellStyle name="표준 4 2 2 4 2 3 2 2 6" xfId="28114"/>
    <cellStyle name="표준 4 2 2 4 2 3 2 2_Sheet4" xfId="5528"/>
    <cellStyle name="표준 4 2 2 4 2 3 2 3" xfId="5529"/>
    <cellStyle name="표준 4 2 2 4 2 3 2 3 2" xfId="5530"/>
    <cellStyle name="표준 4 2 2 4 2 3 2 3 2 2" xfId="13134"/>
    <cellStyle name="표준 4 2 2 4 2 3 2 3 2 2 2" xfId="35601"/>
    <cellStyle name="표준 4 2 2 4 2 3 2 3 2 3" xfId="20618"/>
    <cellStyle name="표준 4 2 2 4 2 3 2 3 2 3 2" xfId="43083"/>
    <cellStyle name="표준 4 2 2 4 2 3 2 3 2 4" xfId="28119"/>
    <cellStyle name="표준 4 2 2 4 2 3 2 3 3" xfId="13133"/>
    <cellStyle name="표준 4 2 2 4 2 3 2 3 3 2" xfId="35600"/>
    <cellStyle name="표준 4 2 2 4 2 3 2 3 4" xfId="20617"/>
    <cellStyle name="표준 4 2 2 4 2 3 2 3 4 2" xfId="43082"/>
    <cellStyle name="표준 4 2 2 4 2 3 2 3 5" xfId="28118"/>
    <cellStyle name="표준 4 2 2 4 2 3 2 3_Sheet4" xfId="5531"/>
    <cellStyle name="표준 4 2 2 4 2 3 2 4" xfId="5532"/>
    <cellStyle name="표준 4 2 2 4 2 3 2 4 2" xfId="13135"/>
    <cellStyle name="표준 4 2 2 4 2 3 2 4 2 2" xfId="35602"/>
    <cellStyle name="표준 4 2 2 4 2 3 2 4 3" xfId="20619"/>
    <cellStyle name="표준 4 2 2 4 2 3 2 4 3 2" xfId="43084"/>
    <cellStyle name="표준 4 2 2 4 2 3 2 4 4" xfId="28120"/>
    <cellStyle name="표준 4 2 2 4 2 3 2 5" xfId="13128"/>
    <cellStyle name="표준 4 2 2 4 2 3 2 5 2" xfId="35595"/>
    <cellStyle name="표준 4 2 2 4 2 3 2 6" xfId="20612"/>
    <cellStyle name="표준 4 2 2 4 2 3 2 6 2" xfId="43077"/>
    <cellStyle name="표준 4 2 2 4 2 3 2 7" xfId="28113"/>
    <cellStyle name="표준 4 2 2 4 2 3 2_Sheet4" xfId="5533"/>
    <cellStyle name="표준 4 2 2 4 2 3 3" xfId="5534"/>
    <cellStyle name="표준 4 2 2 4 2 3 3 2" xfId="5535"/>
    <cellStyle name="표준 4 2 2 4 2 3 3 2 2" xfId="5536"/>
    <cellStyle name="표준 4 2 2 4 2 3 3 2 2 2" xfId="13138"/>
    <cellStyle name="표준 4 2 2 4 2 3 3 2 2 2 2" xfId="35605"/>
    <cellStyle name="표준 4 2 2 4 2 3 3 2 2 3" xfId="20622"/>
    <cellStyle name="표준 4 2 2 4 2 3 3 2 2 3 2" xfId="43087"/>
    <cellStyle name="표준 4 2 2 4 2 3 3 2 2 4" xfId="28123"/>
    <cellStyle name="표준 4 2 2 4 2 3 3 2 3" xfId="13137"/>
    <cellStyle name="표준 4 2 2 4 2 3 3 2 3 2" xfId="35604"/>
    <cellStyle name="표준 4 2 2 4 2 3 3 2 4" xfId="20621"/>
    <cellStyle name="표준 4 2 2 4 2 3 3 2 4 2" xfId="43086"/>
    <cellStyle name="표준 4 2 2 4 2 3 3 2 5" xfId="28122"/>
    <cellStyle name="표준 4 2 2 4 2 3 3 2_Sheet4" xfId="5537"/>
    <cellStyle name="표준 4 2 2 4 2 3 3 3" xfId="5538"/>
    <cellStyle name="표준 4 2 2 4 2 3 3 3 2" xfId="13139"/>
    <cellStyle name="표준 4 2 2 4 2 3 3 3 2 2" xfId="35606"/>
    <cellStyle name="표준 4 2 2 4 2 3 3 3 3" xfId="20623"/>
    <cellStyle name="표준 4 2 2 4 2 3 3 3 3 2" xfId="43088"/>
    <cellStyle name="표준 4 2 2 4 2 3 3 3 4" xfId="28124"/>
    <cellStyle name="표준 4 2 2 4 2 3 3 4" xfId="13136"/>
    <cellStyle name="표준 4 2 2 4 2 3 3 4 2" xfId="35603"/>
    <cellStyle name="표준 4 2 2 4 2 3 3 5" xfId="20620"/>
    <cellStyle name="표준 4 2 2 4 2 3 3 5 2" xfId="43085"/>
    <cellStyle name="표준 4 2 2 4 2 3 3 6" xfId="28121"/>
    <cellStyle name="표준 4 2 2 4 2 3 3_Sheet4" xfId="5539"/>
    <cellStyle name="표준 4 2 2 4 2 3 4" xfId="5540"/>
    <cellStyle name="표준 4 2 2 4 2 3 4 2" xfId="5541"/>
    <cellStyle name="표준 4 2 2 4 2 3 4 2 2" xfId="13141"/>
    <cellStyle name="표준 4 2 2 4 2 3 4 2 2 2" xfId="35608"/>
    <cellStyle name="표준 4 2 2 4 2 3 4 2 3" xfId="20625"/>
    <cellStyle name="표준 4 2 2 4 2 3 4 2 3 2" xfId="43090"/>
    <cellStyle name="표준 4 2 2 4 2 3 4 2 4" xfId="28126"/>
    <cellStyle name="표준 4 2 2 4 2 3 4 3" xfId="13140"/>
    <cellStyle name="표준 4 2 2 4 2 3 4 3 2" xfId="35607"/>
    <cellStyle name="표준 4 2 2 4 2 3 4 4" xfId="20624"/>
    <cellStyle name="표준 4 2 2 4 2 3 4 4 2" xfId="43089"/>
    <cellStyle name="표준 4 2 2 4 2 3 4 5" xfId="28125"/>
    <cellStyle name="표준 4 2 2 4 2 3 4_Sheet4" xfId="5542"/>
    <cellStyle name="표준 4 2 2 4 2 3 5" xfId="5543"/>
    <cellStyle name="표준 4 2 2 4 2 3 5 2" xfId="13142"/>
    <cellStyle name="표준 4 2 2 4 2 3 5 2 2" xfId="35609"/>
    <cellStyle name="표준 4 2 2 4 2 3 5 3" xfId="20626"/>
    <cellStyle name="표준 4 2 2 4 2 3 5 3 2" xfId="43091"/>
    <cellStyle name="표준 4 2 2 4 2 3 5 4" xfId="28127"/>
    <cellStyle name="표준 4 2 2 4 2 3 6" xfId="13127"/>
    <cellStyle name="표준 4 2 2 4 2 3 6 2" xfId="35594"/>
    <cellStyle name="표준 4 2 2 4 2 3 7" xfId="20611"/>
    <cellStyle name="표준 4 2 2 4 2 3 7 2" xfId="43076"/>
    <cellStyle name="표준 4 2 2 4 2 3 8" xfId="28112"/>
    <cellStyle name="표준 4 2 2 4 2 3_Sheet4" xfId="5544"/>
    <cellStyle name="표준 4 2 2 4 2 4" xfId="5545"/>
    <cellStyle name="표준 4 2 2 4 2 4 2" xfId="5546"/>
    <cellStyle name="표준 4 2 2 4 2 4 2 2" xfId="5547"/>
    <cellStyle name="표준 4 2 2 4 2 4 2 2 2" xfId="5548"/>
    <cellStyle name="표준 4 2 2 4 2 4 2 2 2 2" xfId="13146"/>
    <cellStyle name="표준 4 2 2 4 2 4 2 2 2 2 2" xfId="35613"/>
    <cellStyle name="표준 4 2 2 4 2 4 2 2 2 3" xfId="20630"/>
    <cellStyle name="표준 4 2 2 4 2 4 2 2 2 3 2" xfId="43095"/>
    <cellStyle name="표준 4 2 2 4 2 4 2 2 2 4" xfId="28131"/>
    <cellStyle name="표준 4 2 2 4 2 4 2 2 3" xfId="13145"/>
    <cellStyle name="표준 4 2 2 4 2 4 2 2 3 2" xfId="35612"/>
    <cellStyle name="표준 4 2 2 4 2 4 2 2 4" xfId="20629"/>
    <cellStyle name="표준 4 2 2 4 2 4 2 2 4 2" xfId="43094"/>
    <cellStyle name="표준 4 2 2 4 2 4 2 2 5" xfId="28130"/>
    <cellStyle name="표준 4 2 2 4 2 4 2 2_Sheet4" xfId="5549"/>
    <cellStyle name="표준 4 2 2 4 2 4 2 3" xfId="5550"/>
    <cellStyle name="표준 4 2 2 4 2 4 2 3 2" xfId="13147"/>
    <cellStyle name="표준 4 2 2 4 2 4 2 3 2 2" xfId="35614"/>
    <cellStyle name="표준 4 2 2 4 2 4 2 3 3" xfId="20631"/>
    <cellStyle name="표준 4 2 2 4 2 4 2 3 3 2" xfId="43096"/>
    <cellStyle name="표준 4 2 2 4 2 4 2 3 4" xfId="28132"/>
    <cellStyle name="표준 4 2 2 4 2 4 2 4" xfId="13144"/>
    <cellStyle name="표준 4 2 2 4 2 4 2 4 2" xfId="35611"/>
    <cellStyle name="표준 4 2 2 4 2 4 2 5" xfId="20628"/>
    <cellStyle name="표준 4 2 2 4 2 4 2 5 2" xfId="43093"/>
    <cellStyle name="표준 4 2 2 4 2 4 2 6" xfId="28129"/>
    <cellStyle name="표준 4 2 2 4 2 4 2_Sheet4" xfId="5551"/>
    <cellStyle name="표준 4 2 2 4 2 4 3" xfId="5552"/>
    <cellStyle name="표준 4 2 2 4 2 4 3 2" xfId="5553"/>
    <cellStyle name="표준 4 2 2 4 2 4 3 2 2" xfId="13149"/>
    <cellStyle name="표준 4 2 2 4 2 4 3 2 2 2" xfId="35616"/>
    <cellStyle name="표준 4 2 2 4 2 4 3 2 3" xfId="20633"/>
    <cellStyle name="표준 4 2 2 4 2 4 3 2 3 2" xfId="43098"/>
    <cellStyle name="표준 4 2 2 4 2 4 3 2 4" xfId="28134"/>
    <cellStyle name="표준 4 2 2 4 2 4 3 3" xfId="13148"/>
    <cellStyle name="표준 4 2 2 4 2 4 3 3 2" xfId="35615"/>
    <cellStyle name="표준 4 2 2 4 2 4 3 4" xfId="20632"/>
    <cellStyle name="표준 4 2 2 4 2 4 3 4 2" xfId="43097"/>
    <cellStyle name="표준 4 2 2 4 2 4 3 5" xfId="28133"/>
    <cellStyle name="표준 4 2 2 4 2 4 3_Sheet4" xfId="5554"/>
    <cellStyle name="표준 4 2 2 4 2 4 4" xfId="5555"/>
    <cellStyle name="표준 4 2 2 4 2 4 4 2" xfId="13150"/>
    <cellStyle name="표준 4 2 2 4 2 4 4 2 2" xfId="35617"/>
    <cellStyle name="표준 4 2 2 4 2 4 4 3" xfId="20634"/>
    <cellStyle name="표준 4 2 2 4 2 4 4 3 2" xfId="43099"/>
    <cellStyle name="표준 4 2 2 4 2 4 4 4" xfId="28135"/>
    <cellStyle name="표준 4 2 2 4 2 4 5" xfId="13143"/>
    <cellStyle name="표준 4 2 2 4 2 4 5 2" xfId="35610"/>
    <cellStyle name="표준 4 2 2 4 2 4 6" xfId="20627"/>
    <cellStyle name="표준 4 2 2 4 2 4 6 2" xfId="43092"/>
    <cellStyle name="표준 4 2 2 4 2 4 7" xfId="28128"/>
    <cellStyle name="표준 4 2 2 4 2 4_Sheet4" xfId="5556"/>
    <cellStyle name="표준 4 2 2 4 2 5" xfId="5557"/>
    <cellStyle name="표준 4 2 2 4 2 5 2" xfId="5558"/>
    <cellStyle name="표준 4 2 2 4 2 5 2 2" xfId="5559"/>
    <cellStyle name="표준 4 2 2 4 2 5 2 2 2" xfId="13153"/>
    <cellStyle name="표준 4 2 2 4 2 5 2 2 2 2" xfId="35620"/>
    <cellStyle name="표준 4 2 2 4 2 5 2 2 3" xfId="20637"/>
    <cellStyle name="표준 4 2 2 4 2 5 2 2 3 2" xfId="43102"/>
    <cellStyle name="표준 4 2 2 4 2 5 2 2 4" xfId="28138"/>
    <cellStyle name="표준 4 2 2 4 2 5 2 3" xfId="13152"/>
    <cellStyle name="표준 4 2 2 4 2 5 2 3 2" xfId="35619"/>
    <cellStyle name="표준 4 2 2 4 2 5 2 4" xfId="20636"/>
    <cellStyle name="표준 4 2 2 4 2 5 2 4 2" xfId="43101"/>
    <cellStyle name="표준 4 2 2 4 2 5 2 5" xfId="28137"/>
    <cellStyle name="표준 4 2 2 4 2 5 2_Sheet4" xfId="5560"/>
    <cellStyle name="표준 4 2 2 4 2 5 3" xfId="5561"/>
    <cellStyle name="표준 4 2 2 4 2 5 3 2" xfId="13154"/>
    <cellStyle name="표준 4 2 2 4 2 5 3 2 2" xfId="35621"/>
    <cellStyle name="표준 4 2 2 4 2 5 3 3" xfId="20638"/>
    <cellStyle name="표준 4 2 2 4 2 5 3 3 2" xfId="43103"/>
    <cellStyle name="표준 4 2 2 4 2 5 3 4" xfId="28139"/>
    <cellStyle name="표준 4 2 2 4 2 5 4" xfId="13151"/>
    <cellStyle name="표준 4 2 2 4 2 5 4 2" xfId="35618"/>
    <cellStyle name="표준 4 2 2 4 2 5 5" xfId="20635"/>
    <cellStyle name="표준 4 2 2 4 2 5 5 2" xfId="43100"/>
    <cellStyle name="표준 4 2 2 4 2 5 6" xfId="28136"/>
    <cellStyle name="표준 4 2 2 4 2 5_Sheet4" xfId="5562"/>
    <cellStyle name="표준 4 2 2 4 2 6" xfId="5563"/>
    <cellStyle name="표준 4 2 2 4 2 6 2" xfId="5564"/>
    <cellStyle name="표준 4 2 2 4 2 6 2 2" xfId="13156"/>
    <cellStyle name="표준 4 2 2 4 2 6 2 2 2" xfId="35623"/>
    <cellStyle name="표준 4 2 2 4 2 6 2 3" xfId="20640"/>
    <cellStyle name="표준 4 2 2 4 2 6 2 3 2" xfId="43105"/>
    <cellStyle name="표준 4 2 2 4 2 6 2 4" xfId="28141"/>
    <cellStyle name="표준 4 2 2 4 2 6 3" xfId="13155"/>
    <cellStyle name="표준 4 2 2 4 2 6 3 2" xfId="35622"/>
    <cellStyle name="표준 4 2 2 4 2 6 4" xfId="20639"/>
    <cellStyle name="표준 4 2 2 4 2 6 4 2" xfId="43104"/>
    <cellStyle name="표준 4 2 2 4 2 6 5" xfId="28140"/>
    <cellStyle name="표준 4 2 2 4 2 6_Sheet4" xfId="5565"/>
    <cellStyle name="표준 4 2 2 4 2 7" xfId="5566"/>
    <cellStyle name="표준 4 2 2 4 2 7 2" xfId="13157"/>
    <cellStyle name="표준 4 2 2 4 2 7 2 2" xfId="35624"/>
    <cellStyle name="표준 4 2 2 4 2 7 3" xfId="20641"/>
    <cellStyle name="표준 4 2 2 4 2 7 3 2" xfId="43106"/>
    <cellStyle name="표준 4 2 2 4 2 7 4" xfId="28142"/>
    <cellStyle name="표준 4 2 2 4 2 8" xfId="13110"/>
    <cellStyle name="표준 4 2 2 4 2 8 2" xfId="35577"/>
    <cellStyle name="표준 4 2 2 4 2 9" xfId="20594"/>
    <cellStyle name="표준 4 2 2 4 2 9 2" xfId="43059"/>
    <cellStyle name="표준 4 2 2 4 2_Sheet4" xfId="5567"/>
    <cellStyle name="표준 4 2 2 4 3" xfId="5568"/>
    <cellStyle name="표준 4 2 2 4 3 2" xfId="5569"/>
    <cellStyle name="표준 4 2 2 4 3 2 2" xfId="5570"/>
    <cellStyle name="표준 4 2 2 4 3 2 2 2" xfId="5571"/>
    <cellStyle name="표준 4 2 2 4 3 2 2 2 2" xfId="5572"/>
    <cellStyle name="표준 4 2 2 4 3 2 2 2 2 2" xfId="13162"/>
    <cellStyle name="표준 4 2 2 4 3 2 2 2 2 2 2" xfId="35629"/>
    <cellStyle name="표준 4 2 2 4 3 2 2 2 2 3" xfId="20646"/>
    <cellStyle name="표준 4 2 2 4 3 2 2 2 2 3 2" xfId="43111"/>
    <cellStyle name="표준 4 2 2 4 3 2 2 2 2 4" xfId="28147"/>
    <cellStyle name="표준 4 2 2 4 3 2 2 2 3" xfId="13161"/>
    <cellStyle name="표준 4 2 2 4 3 2 2 2 3 2" xfId="35628"/>
    <cellStyle name="표준 4 2 2 4 3 2 2 2 4" xfId="20645"/>
    <cellStyle name="표준 4 2 2 4 3 2 2 2 4 2" xfId="43110"/>
    <cellStyle name="표준 4 2 2 4 3 2 2 2 5" xfId="28146"/>
    <cellStyle name="표준 4 2 2 4 3 2 2 2_Sheet4" xfId="5573"/>
    <cellStyle name="표준 4 2 2 4 3 2 2 3" xfId="5574"/>
    <cellStyle name="표준 4 2 2 4 3 2 2 3 2" xfId="13163"/>
    <cellStyle name="표준 4 2 2 4 3 2 2 3 2 2" xfId="35630"/>
    <cellStyle name="표준 4 2 2 4 3 2 2 3 3" xfId="20647"/>
    <cellStyle name="표준 4 2 2 4 3 2 2 3 3 2" xfId="43112"/>
    <cellStyle name="표준 4 2 2 4 3 2 2 3 4" xfId="28148"/>
    <cellStyle name="표준 4 2 2 4 3 2 2 4" xfId="13160"/>
    <cellStyle name="표준 4 2 2 4 3 2 2 4 2" xfId="35627"/>
    <cellStyle name="표준 4 2 2 4 3 2 2 5" xfId="20644"/>
    <cellStyle name="표준 4 2 2 4 3 2 2 5 2" xfId="43109"/>
    <cellStyle name="표준 4 2 2 4 3 2 2 6" xfId="28145"/>
    <cellStyle name="표준 4 2 2 4 3 2 2_Sheet4" xfId="5575"/>
    <cellStyle name="표준 4 2 2 4 3 2 3" xfId="5576"/>
    <cellStyle name="표준 4 2 2 4 3 2 3 2" xfId="5577"/>
    <cellStyle name="표준 4 2 2 4 3 2 3 2 2" xfId="13165"/>
    <cellStyle name="표준 4 2 2 4 3 2 3 2 2 2" xfId="35632"/>
    <cellStyle name="표준 4 2 2 4 3 2 3 2 3" xfId="20649"/>
    <cellStyle name="표준 4 2 2 4 3 2 3 2 3 2" xfId="43114"/>
    <cellStyle name="표준 4 2 2 4 3 2 3 2 4" xfId="28150"/>
    <cellStyle name="표준 4 2 2 4 3 2 3 3" xfId="13164"/>
    <cellStyle name="표준 4 2 2 4 3 2 3 3 2" xfId="35631"/>
    <cellStyle name="표준 4 2 2 4 3 2 3 4" xfId="20648"/>
    <cellStyle name="표준 4 2 2 4 3 2 3 4 2" xfId="43113"/>
    <cellStyle name="표준 4 2 2 4 3 2 3 5" xfId="28149"/>
    <cellStyle name="표준 4 2 2 4 3 2 3_Sheet4" xfId="5578"/>
    <cellStyle name="표준 4 2 2 4 3 2 4" xfId="5579"/>
    <cellStyle name="표준 4 2 2 4 3 2 4 2" xfId="13166"/>
    <cellStyle name="표준 4 2 2 4 3 2 4 2 2" xfId="35633"/>
    <cellStyle name="표준 4 2 2 4 3 2 4 3" xfId="20650"/>
    <cellStyle name="표준 4 2 2 4 3 2 4 3 2" xfId="43115"/>
    <cellStyle name="표준 4 2 2 4 3 2 4 4" xfId="28151"/>
    <cellStyle name="표준 4 2 2 4 3 2 5" xfId="13159"/>
    <cellStyle name="표준 4 2 2 4 3 2 5 2" xfId="35626"/>
    <cellStyle name="표준 4 2 2 4 3 2 6" xfId="20643"/>
    <cellStyle name="표준 4 2 2 4 3 2 6 2" xfId="43108"/>
    <cellStyle name="표준 4 2 2 4 3 2 7" xfId="28144"/>
    <cellStyle name="표준 4 2 2 4 3 2_Sheet4" xfId="5580"/>
    <cellStyle name="표준 4 2 2 4 3 3" xfId="5581"/>
    <cellStyle name="표준 4 2 2 4 3 3 2" xfId="5582"/>
    <cellStyle name="표준 4 2 2 4 3 3 2 2" xfId="5583"/>
    <cellStyle name="표준 4 2 2 4 3 3 2 2 2" xfId="13169"/>
    <cellStyle name="표준 4 2 2 4 3 3 2 2 2 2" xfId="35636"/>
    <cellStyle name="표준 4 2 2 4 3 3 2 2 3" xfId="20653"/>
    <cellStyle name="표준 4 2 2 4 3 3 2 2 3 2" xfId="43118"/>
    <cellStyle name="표준 4 2 2 4 3 3 2 2 4" xfId="28154"/>
    <cellStyle name="표준 4 2 2 4 3 3 2 3" xfId="13168"/>
    <cellStyle name="표준 4 2 2 4 3 3 2 3 2" xfId="35635"/>
    <cellStyle name="표준 4 2 2 4 3 3 2 4" xfId="20652"/>
    <cellStyle name="표준 4 2 2 4 3 3 2 4 2" xfId="43117"/>
    <cellStyle name="표준 4 2 2 4 3 3 2 5" xfId="28153"/>
    <cellStyle name="표준 4 2 2 4 3 3 2_Sheet4" xfId="5584"/>
    <cellStyle name="표준 4 2 2 4 3 3 3" xfId="5585"/>
    <cellStyle name="표준 4 2 2 4 3 3 3 2" xfId="13170"/>
    <cellStyle name="표준 4 2 2 4 3 3 3 2 2" xfId="35637"/>
    <cellStyle name="표준 4 2 2 4 3 3 3 3" xfId="20654"/>
    <cellStyle name="표준 4 2 2 4 3 3 3 3 2" xfId="43119"/>
    <cellStyle name="표준 4 2 2 4 3 3 3 4" xfId="28155"/>
    <cellStyle name="표준 4 2 2 4 3 3 4" xfId="13167"/>
    <cellStyle name="표준 4 2 2 4 3 3 4 2" xfId="35634"/>
    <cellStyle name="표준 4 2 2 4 3 3 5" xfId="20651"/>
    <cellStyle name="표준 4 2 2 4 3 3 5 2" xfId="43116"/>
    <cellStyle name="표준 4 2 2 4 3 3 6" xfId="28152"/>
    <cellStyle name="표준 4 2 2 4 3 3_Sheet4" xfId="5586"/>
    <cellStyle name="표준 4 2 2 4 3 4" xfId="5587"/>
    <cellStyle name="표준 4 2 2 4 3 4 2" xfId="5588"/>
    <cellStyle name="표준 4 2 2 4 3 4 2 2" xfId="13172"/>
    <cellStyle name="표준 4 2 2 4 3 4 2 2 2" xfId="35639"/>
    <cellStyle name="표준 4 2 2 4 3 4 2 3" xfId="20656"/>
    <cellStyle name="표준 4 2 2 4 3 4 2 3 2" xfId="43121"/>
    <cellStyle name="표준 4 2 2 4 3 4 2 4" xfId="28157"/>
    <cellStyle name="표준 4 2 2 4 3 4 3" xfId="13171"/>
    <cellStyle name="표준 4 2 2 4 3 4 3 2" xfId="35638"/>
    <cellStyle name="표준 4 2 2 4 3 4 4" xfId="20655"/>
    <cellStyle name="표준 4 2 2 4 3 4 4 2" xfId="43120"/>
    <cellStyle name="표준 4 2 2 4 3 4 5" xfId="28156"/>
    <cellStyle name="표준 4 2 2 4 3 4_Sheet4" xfId="5589"/>
    <cellStyle name="표준 4 2 2 4 3 5" xfId="5590"/>
    <cellStyle name="표준 4 2 2 4 3 5 2" xfId="13173"/>
    <cellStyle name="표준 4 2 2 4 3 5 2 2" xfId="35640"/>
    <cellStyle name="표준 4 2 2 4 3 5 3" xfId="20657"/>
    <cellStyle name="표준 4 2 2 4 3 5 3 2" xfId="43122"/>
    <cellStyle name="표준 4 2 2 4 3 5 4" xfId="28158"/>
    <cellStyle name="표준 4 2 2 4 3 6" xfId="13158"/>
    <cellStyle name="표준 4 2 2 4 3 6 2" xfId="35625"/>
    <cellStyle name="표준 4 2 2 4 3 7" xfId="20642"/>
    <cellStyle name="표준 4 2 2 4 3 7 2" xfId="43107"/>
    <cellStyle name="표준 4 2 2 4 3 8" xfId="28143"/>
    <cellStyle name="표준 4 2 2 4 3_Sheet4" xfId="5591"/>
    <cellStyle name="표준 4 2 2 4 4" xfId="5592"/>
    <cellStyle name="표준 4 2 2 4 4 2" xfId="5593"/>
    <cellStyle name="표준 4 2 2 4 4 2 2" xfId="5594"/>
    <cellStyle name="표준 4 2 2 4 4 2 2 2" xfId="5595"/>
    <cellStyle name="표준 4 2 2 4 4 2 2 2 2" xfId="5596"/>
    <cellStyle name="표준 4 2 2 4 4 2 2 2 2 2" xfId="13178"/>
    <cellStyle name="표준 4 2 2 4 4 2 2 2 2 2 2" xfId="35645"/>
    <cellStyle name="표준 4 2 2 4 4 2 2 2 2 3" xfId="20662"/>
    <cellStyle name="표준 4 2 2 4 4 2 2 2 2 3 2" xfId="43127"/>
    <cellStyle name="표준 4 2 2 4 4 2 2 2 2 4" xfId="28163"/>
    <cellStyle name="표준 4 2 2 4 4 2 2 2 3" xfId="13177"/>
    <cellStyle name="표준 4 2 2 4 4 2 2 2 3 2" xfId="35644"/>
    <cellStyle name="표준 4 2 2 4 4 2 2 2 4" xfId="20661"/>
    <cellStyle name="표준 4 2 2 4 4 2 2 2 4 2" xfId="43126"/>
    <cellStyle name="표준 4 2 2 4 4 2 2 2 5" xfId="28162"/>
    <cellStyle name="표준 4 2 2 4 4 2 2 2_Sheet4" xfId="5597"/>
    <cellStyle name="표준 4 2 2 4 4 2 2 3" xfId="5598"/>
    <cellStyle name="표준 4 2 2 4 4 2 2 3 2" xfId="13179"/>
    <cellStyle name="표준 4 2 2 4 4 2 2 3 2 2" xfId="35646"/>
    <cellStyle name="표준 4 2 2 4 4 2 2 3 3" xfId="20663"/>
    <cellStyle name="표준 4 2 2 4 4 2 2 3 3 2" xfId="43128"/>
    <cellStyle name="표준 4 2 2 4 4 2 2 3 4" xfId="28164"/>
    <cellStyle name="표준 4 2 2 4 4 2 2 4" xfId="13176"/>
    <cellStyle name="표준 4 2 2 4 4 2 2 4 2" xfId="35643"/>
    <cellStyle name="표준 4 2 2 4 4 2 2 5" xfId="20660"/>
    <cellStyle name="표준 4 2 2 4 4 2 2 5 2" xfId="43125"/>
    <cellStyle name="표준 4 2 2 4 4 2 2 6" xfId="28161"/>
    <cellStyle name="표준 4 2 2 4 4 2 2_Sheet4" xfId="5599"/>
    <cellStyle name="표준 4 2 2 4 4 2 3" xfId="5600"/>
    <cellStyle name="표준 4 2 2 4 4 2 3 2" xfId="5601"/>
    <cellStyle name="표준 4 2 2 4 4 2 3 2 2" xfId="13181"/>
    <cellStyle name="표준 4 2 2 4 4 2 3 2 2 2" xfId="35648"/>
    <cellStyle name="표준 4 2 2 4 4 2 3 2 3" xfId="20665"/>
    <cellStyle name="표준 4 2 2 4 4 2 3 2 3 2" xfId="43130"/>
    <cellStyle name="표준 4 2 2 4 4 2 3 2 4" xfId="28166"/>
    <cellStyle name="표준 4 2 2 4 4 2 3 3" xfId="13180"/>
    <cellStyle name="표준 4 2 2 4 4 2 3 3 2" xfId="35647"/>
    <cellStyle name="표준 4 2 2 4 4 2 3 4" xfId="20664"/>
    <cellStyle name="표준 4 2 2 4 4 2 3 4 2" xfId="43129"/>
    <cellStyle name="표준 4 2 2 4 4 2 3 5" xfId="28165"/>
    <cellStyle name="표준 4 2 2 4 4 2 3_Sheet4" xfId="5602"/>
    <cellStyle name="표준 4 2 2 4 4 2 4" xfId="5603"/>
    <cellStyle name="표준 4 2 2 4 4 2 4 2" xfId="13182"/>
    <cellStyle name="표준 4 2 2 4 4 2 4 2 2" xfId="35649"/>
    <cellStyle name="표준 4 2 2 4 4 2 4 3" xfId="20666"/>
    <cellStyle name="표준 4 2 2 4 4 2 4 3 2" xfId="43131"/>
    <cellStyle name="표준 4 2 2 4 4 2 4 4" xfId="28167"/>
    <cellStyle name="표준 4 2 2 4 4 2 5" xfId="13175"/>
    <cellStyle name="표준 4 2 2 4 4 2 5 2" xfId="35642"/>
    <cellStyle name="표준 4 2 2 4 4 2 6" xfId="20659"/>
    <cellStyle name="표준 4 2 2 4 4 2 6 2" xfId="43124"/>
    <cellStyle name="표준 4 2 2 4 4 2 7" xfId="28160"/>
    <cellStyle name="표준 4 2 2 4 4 2_Sheet4" xfId="5604"/>
    <cellStyle name="표준 4 2 2 4 4 3" xfId="5605"/>
    <cellStyle name="표준 4 2 2 4 4 3 2" xfId="5606"/>
    <cellStyle name="표준 4 2 2 4 4 3 2 2" xfId="5607"/>
    <cellStyle name="표준 4 2 2 4 4 3 2 2 2" xfId="13185"/>
    <cellStyle name="표준 4 2 2 4 4 3 2 2 2 2" xfId="35652"/>
    <cellStyle name="표준 4 2 2 4 4 3 2 2 3" xfId="20669"/>
    <cellStyle name="표준 4 2 2 4 4 3 2 2 3 2" xfId="43134"/>
    <cellStyle name="표준 4 2 2 4 4 3 2 2 4" xfId="28170"/>
    <cellStyle name="표준 4 2 2 4 4 3 2 3" xfId="13184"/>
    <cellStyle name="표준 4 2 2 4 4 3 2 3 2" xfId="35651"/>
    <cellStyle name="표준 4 2 2 4 4 3 2 4" xfId="20668"/>
    <cellStyle name="표준 4 2 2 4 4 3 2 4 2" xfId="43133"/>
    <cellStyle name="표준 4 2 2 4 4 3 2 5" xfId="28169"/>
    <cellStyle name="표준 4 2 2 4 4 3 2_Sheet4" xfId="5608"/>
    <cellStyle name="표준 4 2 2 4 4 3 3" xfId="5609"/>
    <cellStyle name="표준 4 2 2 4 4 3 3 2" xfId="13186"/>
    <cellStyle name="표준 4 2 2 4 4 3 3 2 2" xfId="35653"/>
    <cellStyle name="표준 4 2 2 4 4 3 3 3" xfId="20670"/>
    <cellStyle name="표준 4 2 2 4 4 3 3 3 2" xfId="43135"/>
    <cellStyle name="표준 4 2 2 4 4 3 3 4" xfId="28171"/>
    <cellStyle name="표준 4 2 2 4 4 3 4" xfId="13183"/>
    <cellStyle name="표준 4 2 2 4 4 3 4 2" xfId="35650"/>
    <cellStyle name="표준 4 2 2 4 4 3 5" xfId="20667"/>
    <cellStyle name="표준 4 2 2 4 4 3 5 2" xfId="43132"/>
    <cellStyle name="표준 4 2 2 4 4 3 6" xfId="28168"/>
    <cellStyle name="표준 4 2 2 4 4 3_Sheet4" xfId="5610"/>
    <cellStyle name="표준 4 2 2 4 4 4" xfId="5611"/>
    <cellStyle name="표준 4 2 2 4 4 4 2" xfId="5612"/>
    <cellStyle name="표준 4 2 2 4 4 4 2 2" xfId="13188"/>
    <cellStyle name="표준 4 2 2 4 4 4 2 2 2" xfId="35655"/>
    <cellStyle name="표준 4 2 2 4 4 4 2 3" xfId="20672"/>
    <cellStyle name="표준 4 2 2 4 4 4 2 3 2" xfId="43137"/>
    <cellStyle name="표준 4 2 2 4 4 4 2 4" xfId="28173"/>
    <cellStyle name="표준 4 2 2 4 4 4 3" xfId="13187"/>
    <cellStyle name="표준 4 2 2 4 4 4 3 2" xfId="35654"/>
    <cellStyle name="표준 4 2 2 4 4 4 4" xfId="20671"/>
    <cellStyle name="표준 4 2 2 4 4 4 4 2" xfId="43136"/>
    <cellStyle name="표준 4 2 2 4 4 4 5" xfId="28172"/>
    <cellStyle name="표준 4 2 2 4 4 4_Sheet4" xfId="5613"/>
    <cellStyle name="표준 4 2 2 4 4 5" xfId="5614"/>
    <cellStyle name="표준 4 2 2 4 4 5 2" xfId="13189"/>
    <cellStyle name="표준 4 2 2 4 4 5 2 2" xfId="35656"/>
    <cellStyle name="표준 4 2 2 4 4 5 3" xfId="20673"/>
    <cellStyle name="표준 4 2 2 4 4 5 3 2" xfId="43138"/>
    <cellStyle name="표준 4 2 2 4 4 5 4" xfId="28174"/>
    <cellStyle name="표준 4 2 2 4 4 6" xfId="13174"/>
    <cellStyle name="표준 4 2 2 4 4 6 2" xfId="35641"/>
    <cellStyle name="표준 4 2 2 4 4 7" xfId="20658"/>
    <cellStyle name="표준 4 2 2 4 4 7 2" xfId="43123"/>
    <cellStyle name="표준 4 2 2 4 4 8" xfId="28159"/>
    <cellStyle name="표준 4 2 2 4 4_Sheet4" xfId="5615"/>
    <cellStyle name="표준 4 2 2 4 5" xfId="5616"/>
    <cellStyle name="표준 4 2 2 4 5 2" xfId="5617"/>
    <cellStyle name="표준 4 2 2 4 5 2 2" xfId="5618"/>
    <cellStyle name="표준 4 2 2 4 5 2 2 2" xfId="5619"/>
    <cellStyle name="표준 4 2 2 4 5 2 2 2 2" xfId="13193"/>
    <cellStyle name="표준 4 2 2 4 5 2 2 2 2 2" xfId="35660"/>
    <cellStyle name="표준 4 2 2 4 5 2 2 2 3" xfId="20677"/>
    <cellStyle name="표준 4 2 2 4 5 2 2 2 3 2" xfId="43142"/>
    <cellStyle name="표준 4 2 2 4 5 2 2 2 4" xfId="28178"/>
    <cellStyle name="표준 4 2 2 4 5 2 2 3" xfId="13192"/>
    <cellStyle name="표준 4 2 2 4 5 2 2 3 2" xfId="35659"/>
    <cellStyle name="표준 4 2 2 4 5 2 2 4" xfId="20676"/>
    <cellStyle name="표준 4 2 2 4 5 2 2 4 2" xfId="43141"/>
    <cellStyle name="표준 4 2 2 4 5 2 2 5" xfId="28177"/>
    <cellStyle name="표준 4 2 2 4 5 2 2_Sheet4" xfId="5620"/>
    <cellStyle name="표준 4 2 2 4 5 2 3" xfId="5621"/>
    <cellStyle name="표준 4 2 2 4 5 2 3 2" xfId="13194"/>
    <cellStyle name="표준 4 2 2 4 5 2 3 2 2" xfId="35661"/>
    <cellStyle name="표준 4 2 2 4 5 2 3 3" xfId="20678"/>
    <cellStyle name="표준 4 2 2 4 5 2 3 3 2" xfId="43143"/>
    <cellStyle name="표준 4 2 2 4 5 2 3 4" xfId="28179"/>
    <cellStyle name="표준 4 2 2 4 5 2 4" xfId="13191"/>
    <cellStyle name="표준 4 2 2 4 5 2 4 2" xfId="35658"/>
    <cellStyle name="표준 4 2 2 4 5 2 5" xfId="20675"/>
    <cellStyle name="표준 4 2 2 4 5 2 5 2" xfId="43140"/>
    <cellStyle name="표준 4 2 2 4 5 2 6" xfId="28176"/>
    <cellStyle name="표준 4 2 2 4 5 2_Sheet4" xfId="5622"/>
    <cellStyle name="표준 4 2 2 4 5 3" xfId="5623"/>
    <cellStyle name="표준 4 2 2 4 5 3 2" xfId="5624"/>
    <cellStyle name="표준 4 2 2 4 5 3 2 2" xfId="13196"/>
    <cellStyle name="표준 4 2 2 4 5 3 2 2 2" xfId="35663"/>
    <cellStyle name="표준 4 2 2 4 5 3 2 3" xfId="20680"/>
    <cellStyle name="표준 4 2 2 4 5 3 2 3 2" xfId="43145"/>
    <cellStyle name="표준 4 2 2 4 5 3 2 4" xfId="28181"/>
    <cellStyle name="표준 4 2 2 4 5 3 3" xfId="13195"/>
    <cellStyle name="표준 4 2 2 4 5 3 3 2" xfId="35662"/>
    <cellStyle name="표준 4 2 2 4 5 3 4" xfId="20679"/>
    <cellStyle name="표준 4 2 2 4 5 3 4 2" xfId="43144"/>
    <cellStyle name="표준 4 2 2 4 5 3 5" xfId="28180"/>
    <cellStyle name="표준 4 2 2 4 5 3_Sheet4" xfId="5625"/>
    <cellStyle name="표준 4 2 2 4 5 4" xfId="5626"/>
    <cellStyle name="표준 4 2 2 4 5 4 2" xfId="13197"/>
    <cellStyle name="표준 4 2 2 4 5 4 2 2" xfId="35664"/>
    <cellStyle name="표준 4 2 2 4 5 4 3" xfId="20681"/>
    <cellStyle name="표준 4 2 2 4 5 4 3 2" xfId="43146"/>
    <cellStyle name="표준 4 2 2 4 5 4 4" xfId="28182"/>
    <cellStyle name="표준 4 2 2 4 5 5" xfId="13190"/>
    <cellStyle name="표준 4 2 2 4 5 5 2" xfId="35657"/>
    <cellStyle name="표준 4 2 2 4 5 6" xfId="20674"/>
    <cellStyle name="표준 4 2 2 4 5 6 2" xfId="43139"/>
    <cellStyle name="표준 4 2 2 4 5 7" xfId="28175"/>
    <cellStyle name="표준 4 2 2 4 5_Sheet4" xfId="5627"/>
    <cellStyle name="표준 4 2 2 4 6" xfId="5628"/>
    <cellStyle name="표준 4 2 2 4 6 2" xfId="5629"/>
    <cellStyle name="표준 4 2 2 4 6 2 2" xfId="5630"/>
    <cellStyle name="표준 4 2 2 4 6 2 2 2" xfId="13200"/>
    <cellStyle name="표준 4 2 2 4 6 2 2 2 2" xfId="35667"/>
    <cellStyle name="표준 4 2 2 4 6 2 2 3" xfId="20684"/>
    <cellStyle name="표준 4 2 2 4 6 2 2 3 2" xfId="43149"/>
    <cellStyle name="표준 4 2 2 4 6 2 2 4" xfId="28185"/>
    <cellStyle name="표준 4 2 2 4 6 2 3" xfId="13199"/>
    <cellStyle name="표준 4 2 2 4 6 2 3 2" xfId="35666"/>
    <cellStyle name="표준 4 2 2 4 6 2 4" xfId="20683"/>
    <cellStyle name="표준 4 2 2 4 6 2 4 2" xfId="43148"/>
    <cellStyle name="표준 4 2 2 4 6 2 5" xfId="28184"/>
    <cellStyle name="표준 4 2 2 4 6 2_Sheet4" xfId="5631"/>
    <cellStyle name="표준 4 2 2 4 6 3" xfId="5632"/>
    <cellStyle name="표준 4 2 2 4 6 3 2" xfId="13201"/>
    <cellStyle name="표준 4 2 2 4 6 3 2 2" xfId="35668"/>
    <cellStyle name="표준 4 2 2 4 6 3 3" xfId="20685"/>
    <cellStyle name="표준 4 2 2 4 6 3 3 2" xfId="43150"/>
    <cellStyle name="표준 4 2 2 4 6 3 4" xfId="28186"/>
    <cellStyle name="표준 4 2 2 4 6 4" xfId="13198"/>
    <cellStyle name="표준 4 2 2 4 6 4 2" xfId="35665"/>
    <cellStyle name="표준 4 2 2 4 6 5" xfId="20682"/>
    <cellStyle name="표준 4 2 2 4 6 5 2" xfId="43147"/>
    <cellStyle name="표준 4 2 2 4 6 6" xfId="28183"/>
    <cellStyle name="표준 4 2 2 4 6_Sheet4" xfId="5633"/>
    <cellStyle name="표준 4 2 2 4 7" xfId="5634"/>
    <cellStyle name="표준 4 2 2 4 7 2" xfId="5635"/>
    <cellStyle name="표준 4 2 2 4 7 2 2" xfId="13203"/>
    <cellStyle name="표준 4 2 2 4 7 2 2 2" xfId="35670"/>
    <cellStyle name="표준 4 2 2 4 7 2 3" xfId="20687"/>
    <cellStyle name="표준 4 2 2 4 7 2 3 2" xfId="43152"/>
    <cellStyle name="표준 4 2 2 4 7 2 4" xfId="28188"/>
    <cellStyle name="표준 4 2 2 4 7 3" xfId="13202"/>
    <cellStyle name="표준 4 2 2 4 7 3 2" xfId="35669"/>
    <cellStyle name="표준 4 2 2 4 7 4" xfId="20686"/>
    <cellStyle name="표준 4 2 2 4 7 4 2" xfId="43151"/>
    <cellStyle name="표준 4 2 2 4 7 5" xfId="28187"/>
    <cellStyle name="표준 4 2 2 4 7_Sheet4" xfId="5636"/>
    <cellStyle name="표준 4 2 2 4 8" xfId="5637"/>
    <cellStyle name="표준 4 2 2 4 8 2" xfId="13204"/>
    <cellStyle name="표준 4 2 2 4 8 2 2" xfId="35671"/>
    <cellStyle name="표준 4 2 2 4 8 3" xfId="20688"/>
    <cellStyle name="표준 4 2 2 4 8 3 2" xfId="43153"/>
    <cellStyle name="표준 4 2 2 4 8 4" xfId="28189"/>
    <cellStyle name="표준 4 2 2 4 9" xfId="13109"/>
    <cellStyle name="표준 4 2 2 4 9 2" xfId="35576"/>
    <cellStyle name="표준 4 2 2 4_Sheet4" xfId="5638"/>
    <cellStyle name="표준 4 2 2 5" xfId="5639"/>
    <cellStyle name="표준 4 2 2 5 10" xfId="28190"/>
    <cellStyle name="표준 4 2 2 5 2" xfId="5640"/>
    <cellStyle name="표준 4 2 2 5 2 2" xfId="5641"/>
    <cellStyle name="표준 4 2 2 5 2 2 2" xfId="5642"/>
    <cellStyle name="표준 4 2 2 5 2 2 2 2" xfId="5643"/>
    <cellStyle name="표준 4 2 2 5 2 2 2 2 2" xfId="5644"/>
    <cellStyle name="표준 4 2 2 5 2 2 2 2 2 2" xfId="13210"/>
    <cellStyle name="표준 4 2 2 5 2 2 2 2 2 2 2" xfId="35677"/>
    <cellStyle name="표준 4 2 2 5 2 2 2 2 2 3" xfId="20694"/>
    <cellStyle name="표준 4 2 2 5 2 2 2 2 2 3 2" xfId="43159"/>
    <cellStyle name="표준 4 2 2 5 2 2 2 2 2 4" xfId="28195"/>
    <cellStyle name="표준 4 2 2 5 2 2 2 2 3" xfId="13209"/>
    <cellStyle name="표준 4 2 2 5 2 2 2 2 3 2" xfId="35676"/>
    <cellStyle name="표준 4 2 2 5 2 2 2 2 4" xfId="20693"/>
    <cellStyle name="표준 4 2 2 5 2 2 2 2 4 2" xfId="43158"/>
    <cellStyle name="표준 4 2 2 5 2 2 2 2 5" xfId="28194"/>
    <cellStyle name="표준 4 2 2 5 2 2 2 2_Sheet4" xfId="5645"/>
    <cellStyle name="표준 4 2 2 5 2 2 2 3" xfId="5646"/>
    <cellStyle name="표준 4 2 2 5 2 2 2 3 2" xfId="13211"/>
    <cellStyle name="표준 4 2 2 5 2 2 2 3 2 2" xfId="35678"/>
    <cellStyle name="표준 4 2 2 5 2 2 2 3 3" xfId="20695"/>
    <cellStyle name="표준 4 2 2 5 2 2 2 3 3 2" xfId="43160"/>
    <cellStyle name="표준 4 2 2 5 2 2 2 3 4" xfId="28196"/>
    <cellStyle name="표준 4 2 2 5 2 2 2 4" xfId="13208"/>
    <cellStyle name="표준 4 2 2 5 2 2 2 4 2" xfId="35675"/>
    <cellStyle name="표준 4 2 2 5 2 2 2 5" xfId="20692"/>
    <cellStyle name="표준 4 2 2 5 2 2 2 5 2" xfId="43157"/>
    <cellStyle name="표준 4 2 2 5 2 2 2 6" xfId="28193"/>
    <cellStyle name="표준 4 2 2 5 2 2 2_Sheet4" xfId="5647"/>
    <cellStyle name="표준 4 2 2 5 2 2 3" xfId="5648"/>
    <cellStyle name="표준 4 2 2 5 2 2 3 2" xfId="5649"/>
    <cellStyle name="표준 4 2 2 5 2 2 3 2 2" xfId="13213"/>
    <cellStyle name="표준 4 2 2 5 2 2 3 2 2 2" xfId="35680"/>
    <cellStyle name="표준 4 2 2 5 2 2 3 2 3" xfId="20697"/>
    <cellStyle name="표준 4 2 2 5 2 2 3 2 3 2" xfId="43162"/>
    <cellStyle name="표준 4 2 2 5 2 2 3 2 4" xfId="28198"/>
    <cellStyle name="표준 4 2 2 5 2 2 3 3" xfId="13212"/>
    <cellStyle name="표준 4 2 2 5 2 2 3 3 2" xfId="35679"/>
    <cellStyle name="표준 4 2 2 5 2 2 3 4" xfId="20696"/>
    <cellStyle name="표준 4 2 2 5 2 2 3 4 2" xfId="43161"/>
    <cellStyle name="표준 4 2 2 5 2 2 3 5" xfId="28197"/>
    <cellStyle name="표준 4 2 2 5 2 2 3_Sheet4" xfId="5650"/>
    <cellStyle name="표준 4 2 2 5 2 2 4" xfId="5651"/>
    <cellStyle name="표준 4 2 2 5 2 2 4 2" xfId="13214"/>
    <cellStyle name="표준 4 2 2 5 2 2 4 2 2" xfId="35681"/>
    <cellStyle name="표준 4 2 2 5 2 2 4 3" xfId="20698"/>
    <cellStyle name="표준 4 2 2 5 2 2 4 3 2" xfId="43163"/>
    <cellStyle name="표준 4 2 2 5 2 2 4 4" xfId="28199"/>
    <cellStyle name="표준 4 2 2 5 2 2 5" xfId="13207"/>
    <cellStyle name="표준 4 2 2 5 2 2 5 2" xfId="35674"/>
    <cellStyle name="표준 4 2 2 5 2 2 6" xfId="20691"/>
    <cellStyle name="표준 4 2 2 5 2 2 6 2" xfId="43156"/>
    <cellStyle name="표준 4 2 2 5 2 2 7" xfId="28192"/>
    <cellStyle name="표준 4 2 2 5 2 2_Sheet4" xfId="5652"/>
    <cellStyle name="표준 4 2 2 5 2 3" xfId="5653"/>
    <cellStyle name="표준 4 2 2 5 2 3 2" xfId="5654"/>
    <cellStyle name="표준 4 2 2 5 2 3 2 2" xfId="5655"/>
    <cellStyle name="표준 4 2 2 5 2 3 2 2 2" xfId="13217"/>
    <cellStyle name="표준 4 2 2 5 2 3 2 2 2 2" xfId="35684"/>
    <cellStyle name="표준 4 2 2 5 2 3 2 2 3" xfId="20701"/>
    <cellStyle name="표준 4 2 2 5 2 3 2 2 3 2" xfId="43166"/>
    <cellStyle name="표준 4 2 2 5 2 3 2 2 4" xfId="28202"/>
    <cellStyle name="표준 4 2 2 5 2 3 2 3" xfId="13216"/>
    <cellStyle name="표준 4 2 2 5 2 3 2 3 2" xfId="35683"/>
    <cellStyle name="표준 4 2 2 5 2 3 2 4" xfId="20700"/>
    <cellStyle name="표준 4 2 2 5 2 3 2 4 2" xfId="43165"/>
    <cellStyle name="표준 4 2 2 5 2 3 2 5" xfId="28201"/>
    <cellStyle name="표준 4 2 2 5 2 3 2_Sheet4" xfId="5656"/>
    <cellStyle name="표준 4 2 2 5 2 3 3" xfId="5657"/>
    <cellStyle name="표준 4 2 2 5 2 3 3 2" xfId="13218"/>
    <cellStyle name="표준 4 2 2 5 2 3 3 2 2" xfId="35685"/>
    <cellStyle name="표준 4 2 2 5 2 3 3 3" xfId="20702"/>
    <cellStyle name="표준 4 2 2 5 2 3 3 3 2" xfId="43167"/>
    <cellStyle name="표준 4 2 2 5 2 3 3 4" xfId="28203"/>
    <cellStyle name="표준 4 2 2 5 2 3 4" xfId="13215"/>
    <cellStyle name="표준 4 2 2 5 2 3 4 2" xfId="35682"/>
    <cellStyle name="표준 4 2 2 5 2 3 5" xfId="20699"/>
    <cellStyle name="표준 4 2 2 5 2 3 5 2" xfId="43164"/>
    <cellStyle name="표준 4 2 2 5 2 3 6" xfId="28200"/>
    <cellStyle name="표준 4 2 2 5 2 3_Sheet4" xfId="5658"/>
    <cellStyle name="표준 4 2 2 5 2 4" xfId="5659"/>
    <cellStyle name="표준 4 2 2 5 2 4 2" xfId="5660"/>
    <cellStyle name="표준 4 2 2 5 2 4 2 2" xfId="13220"/>
    <cellStyle name="표준 4 2 2 5 2 4 2 2 2" xfId="35687"/>
    <cellStyle name="표준 4 2 2 5 2 4 2 3" xfId="20704"/>
    <cellStyle name="표준 4 2 2 5 2 4 2 3 2" xfId="43169"/>
    <cellStyle name="표준 4 2 2 5 2 4 2 4" xfId="28205"/>
    <cellStyle name="표준 4 2 2 5 2 4 3" xfId="13219"/>
    <cellStyle name="표준 4 2 2 5 2 4 3 2" xfId="35686"/>
    <cellStyle name="표준 4 2 2 5 2 4 4" xfId="20703"/>
    <cellStyle name="표준 4 2 2 5 2 4 4 2" xfId="43168"/>
    <cellStyle name="표준 4 2 2 5 2 4 5" xfId="28204"/>
    <cellStyle name="표준 4 2 2 5 2 4_Sheet4" xfId="5661"/>
    <cellStyle name="표준 4 2 2 5 2 5" xfId="5662"/>
    <cellStyle name="표준 4 2 2 5 2 5 2" xfId="13221"/>
    <cellStyle name="표준 4 2 2 5 2 5 2 2" xfId="35688"/>
    <cellStyle name="표준 4 2 2 5 2 5 3" xfId="20705"/>
    <cellStyle name="표준 4 2 2 5 2 5 3 2" xfId="43170"/>
    <cellStyle name="표준 4 2 2 5 2 5 4" xfId="28206"/>
    <cellStyle name="표준 4 2 2 5 2 6" xfId="13206"/>
    <cellStyle name="표준 4 2 2 5 2 6 2" xfId="35673"/>
    <cellStyle name="표준 4 2 2 5 2 7" xfId="20690"/>
    <cellStyle name="표준 4 2 2 5 2 7 2" xfId="43155"/>
    <cellStyle name="표준 4 2 2 5 2 8" xfId="28191"/>
    <cellStyle name="표준 4 2 2 5 2_Sheet4" xfId="5663"/>
    <cellStyle name="표준 4 2 2 5 3" xfId="5664"/>
    <cellStyle name="표준 4 2 2 5 3 2" xfId="5665"/>
    <cellStyle name="표준 4 2 2 5 3 2 2" xfId="5666"/>
    <cellStyle name="표준 4 2 2 5 3 2 2 2" xfId="5667"/>
    <cellStyle name="표준 4 2 2 5 3 2 2 2 2" xfId="5668"/>
    <cellStyle name="표준 4 2 2 5 3 2 2 2 2 2" xfId="13226"/>
    <cellStyle name="표준 4 2 2 5 3 2 2 2 2 2 2" xfId="35693"/>
    <cellStyle name="표준 4 2 2 5 3 2 2 2 2 3" xfId="20710"/>
    <cellStyle name="표준 4 2 2 5 3 2 2 2 2 3 2" xfId="43175"/>
    <cellStyle name="표준 4 2 2 5 3 2 2 2 2 4" xfId="28211"/>
    <cellStyle name="표준 4 2 2 5 3 2 2 2 3" xfId="13225"/>
    <cellStyle name="표준 4 2 2 5 3 2 2 2 3 2" xfId="35692"/>
    <cellStyle name="표준 4 2 2 5 3 2 2 2 4" xfId="20709"/>
    <cellStyle name="표준 4 2 2 5 3 2 2 2 4 2" xfId="43174"/>
    <cellStyle name="표준 4 2 2 5 3 2 2 2 5" xfId="28210"/>
    <cellStyle name="표준 4 2 2 5 3 2 2 2_Sheet4" xfId="5669"/>
    <cellStyle name="표준 4 2 2 5 3 2 2 3" xfId="5670"/>
    <cellStyle name="표준 4 2 2 5 3 2 2 3 2" xfId="13227"/>
    <cellStyle name="표준 4 2 2 5 3 2 2 3 2 2" xfId="35694"/>
    <cellStyle name="표준 4 2 2 5 3 2 2 3 3" xfId="20711"/>
    <cellStyle name="표준 4 2 2 5 3 2 2 3 3 2" xfId="43176"/>
    <cellStyle name="표준 4 2 2 5 3 2 2 3 4" xfId="28212"/>
    <cellStyle name="표준 4 2 2 5 3 2 2 4" xfId="13224"/>
    <cellStyle name="표준 4 2 2 5 3 2 2 4 2" xfId="35691"/>
    <cellStyle name="표준 4 2 2 5 3 2 2 5" xfId="20708"/>
    <cellStyle name="표준 4 2 2 5 3 2 2 5 2" xfId="43173"/>
    <cellStyle name="표준 4 2 2 5 3 2 2 6" xfId="28209"/>
    <cellStyle name="표준 4 2 2 5 3 2 2_Sheet4" xfId="5671"/>
    <cellStyle name="표준 4 2 2 5 3 2 3" xfId="5672"/>
    <cellStyle name="표준 4 2 2 5 3 2 3 2" xfId="5673"/>
    <cellStyle name="표준 4 2 2 5 3 2 3 2 2" xfId="13229"/>
    <cellStyle name="표준 4 2 2 5 3 2 3 2 2 2" xfId="35696"/>
    <cellStyle name="표준 4 2 2 5 3 2 3 2 3" xfId="20713"/>
    <cellStyle name="표준 4 2 2 5 3 2 3 2 3 2" xfId="43178"/>
    <cellStyle name="표준 4 2 2 5 3 2 3 2 4" xfId="28214"/>
    <cellStyle name="표준 4 2 2 5 3 2 3 3" xfId="13228"/>
    <cellStyle name="표준 4 2 2 5 3 2 3 3 2" xfId="35695"/>
    <cellStyle name="표준 4 2 2 5 3 2 3 4" xfId="20712"/>
    <cellStyle name="표준 4 2 2 5 3 2 3 4 2" xfId="43177"/>
    <cellStyle name="표준 4 2 2 5 3 2 3 5" xfId="28213"/>
    <cellStyle name="표준 4 2 2 5 3 2 3_Sheet4" xfId="5674"/>
    <cellStyle name="표준 4 2 2 5 3 2 4" xfId="5675"/>
    <cellStyle name="표준 4 2 2 5 3 2 4 2" xfId="13230"/>
    <cellStyle name="표준 4 2 2 5 3 2 4 2 2" xfId="35697"/>
    <cellStyle name="표준 4 2 2 5 3 2 4 3" xfId="20714"/>
    <cellStyle name="표준 4 2 2 5 3 2 4 3 2" xfId="43179"/>
    <cellStyle name="표준 4 2 2 5 3 2 4 4" xfId="28215"/>
    <cellStyle name="표준 4 2 2 5 3 2 5" xfId="13223"/>
    <cellStyle name="표준 4 2 2 5 3 2 5 2" xfId="35690"/>
    <cellStyle name="표준 4 2 2 5 3 2 6" xfId="20707"/>
    <cellStyle name="표준 4 2 2 5 3 2 6 2" xfId="43172"/>
    <cellStyle name="표준 4 2 2 5 3 2 7" xfId="28208"/>
    <cellStyle name="표준 4 2 2 5 3 2_Sheet4" xfId="5676"/>
    <cellStyle name="표준 4 2 2 5 3 3" xfId="5677"/>
    <cellStyle name="표준 4 2 2 5 3 3 2" xfId="5678"/>
    <cellStyle name="표준 4 2 2 5 3 3 2 2" xfId="5679"/>
    <cellStyle name="표준 4 2 2 5 3 3 2 2 2" xfId="13233"/>
    <cellStyle name="표준 4 2 2 5 3 3 2 2 2 2" xfId="35700"/>
    <cellStyle name="표준 4 2 2 5 3 3 2 2 3" xfId="20717"/>
    <cellStyle name="표준 4 2 2 5 3 3 2 2 3 2" xfId="43182"/>
    <cellStyle name="표준 4 2 2 5 3 3 2 2 4" xfId="28218"/>
    <cellStyle name="표준 4 2 2 5 3 3 2 3" xfId="13232"/>
    <cellStyle name="표준 4 2 2 5 3 3 2 3 2" xfId="35699"/>
    <cellStyle name="표준 4 2 2 5 3 3 2 4" xfId="20716"/>
    <cellStyle name="표준 4 2 2 5 3 3 2 4 2" xfId="43181"/>
    <cellStyle name="표준 4 2 2 5 3 3 2 5" xfId="28217"/>
    <cellStyle name="표준 4 2 2 5 3 3 2_Sheet4" xfId="5680"/>
    <cellStyle name="표준 4 2 2 5 3 3 3" xfId="5681"/>
    <cellStyle name="표준 4 2 2 5 3 3 3 2" xfId="13234"/>
    <cellStyle name="표준 4 2 2 5 3 3 3 2 2" xfId="35701"/>
    <cellStyle name="표준 4 2 2 5 3 3 3 3" xfId="20718"/>
    <cellStyle name="표준 4 2 2 5 3 3 3 3 2" xfId="43183"/>
    <cellStyle name="표준 4 2 2 5 3 3 3 4" xfId="28219"/>
    <cellStyle name="표준 4 2 2 5 3 3 4" xfId="13231"/>
    <cellStyle name="표준 4 2 2 5 3 3 4 2" xfId="35698"/>
    <cellStyle name="표준 4 2 2 5 3 3 5" xfId="20715"/>
    <cellStyle name="표준 4 2 2 5 3 3 5 2" xfId="43180"/>
    <cellStyle name="표준 4 2 2 5 3 3 6" xfId="28216"/>
    <cellStyle name="표준 4 2 2 5 3 3_Sheet4" xfId="5682"/>
    <cellStyle name="표준 4 2 2 5 3 4" xfId="5683"/>
    <cellStyle name="표준 4 2 2 5 3 4 2" xfId="5684"/>
    <cellStyle name="표준 4 2 2 5 3 4 2 2" xfId="13236"/>
    <cellStyle name="표준 4 2 2 5 3 4 2 2 2" xfId="35703"/>
    <cellStyle name="표준 4 2 2 5 3 4 2 3" xfId="20720"/>
    <cellStyle name="표준 4 2 2 5 3 4 2 3 2" xfId="43185"/>
    <cellStyle name="표준 4 2 2 5 3 4 2 4" xfId="28221"/>
    <cellStyle name="표준 4 2 2 5 3 4 3" xfId="13235"/>
    <cellStyle name="표준 4 2 2 5 3 4 3 2" xfId="35702"/>
    <cellStyle name="표준 4 2 2 5 3 4 4" xfId="20719"/>
    <cellStyle name="표준 4 2 2 5 3 4 4 2" xfId="43184"/>
    <cellStyle name="표준 4 2 2 5 3 4 5" xfId="28220"/>
    <cellStyle name="표준 4 2 2 5 3 4_Sheet4" xfId="5685"/>
    <cellStyle name="표준 4 2 2 5 3 5" xfId="5686"/>
    <cellStyle name="표준 4 2 2 5 3 5 2" xfId="13237"/>
    <cellStyle name="표준 4 2 2 5 3 5 2 2" xfId="35704"/>
    <cellStyle name="표준 4 2 2 5 3 5 3" xfId="20721"/>
    <cellStyle name="표준 4 2 2 5 3 5 3 2" xfId="43186"/>
    <cellStyle name="표준 4 2 2 5 3 5 4" xfId="28222"/>
    <cellStyle name="표준 4 2 2 5 3 6" xfId="13222"/>
    <cellStyle name="표준 4 2 2 5 3 6 2" xfId="35689"/>
    <cellStyle name="표준 4 2 2 5 3 7" xfId="20706"/>
    <cellStyle name="표준 4 2 2 5 3 7 2" xfId="43171"/>
    <cellStyle name="표준 4 2 2 5 3 8" xfId="28207"/>
    <cellStyle name="표준 4 2 2 5 3_Sheet4" xfId="5687"/>
    <cellStyle name="표준 4 2 2 5 4" xfId="5688"/>
    <cellStyle name="표준 4 2 2 5 4 2" xfId="5689"/>
    <cellStyle name="표준 4 2 2 5 4 2 2" xfId="5690"/>
    <cellStyle name="표준 4 2 2 5 4 2 2 2" xfId="5691"/>
    <cellStyle name="표준 4 2 2 5 4 2 2 2 2" xfId="13241"/>
    <cellStyle name="표준 4 2 2 5 4 2 2 2 2 2" xfId="35708"/>
    <cellStyle name="표준 4 2 2 5 4 2 2 2 3" xfId="20725"/>
    <cellStyle name="표준 4 2 2 5 4 2 2 2 3 2" xfId="43190"/>
    <cellStyle name="표준 4 2 2 5 4 2 2 2 4" xfId="28226"/>
    <cellStyle name="표준 4 2 2 5 4 2 2 3" xfId="13240"/>
    <cellStyle name="표준 4 2 2 5 4 2 2 3 2" xfId="35707"/>
    <cellStyle name="표준 4 2 2 5 4 2 2 4" xfId="20724"/>
    <cellStyle name="표준 4 2 2 5 4 2 2 4 2" xfId="43189"/>
    <cellStyle name="표준 4 2 2 5 4 2 2 5" xfId="28225"/>
    <cellStyle name="표준 4 2 2 5 4 2 2_Sheet4" xfId="5692"/>
    <cellStyle name="표준 4 2 2 5 4 2 3" xfId="5693"/>
    <cellStyle name="표준 4 2 2 5 4 2 3 2" xfId="13242"/>
    <cellStyle name="표준 4 2 2 5 4 2 3 2 2" xfId="35709"/>
    <cellStyle name="표준 4 2 2 5 4 2 3 3" xfId="20726"/>
    <cellStyle name="표준 4 2 2 5 4 2 3 3 2" xfId="43191"/>
    <cellStyle name="표준 4 2 2 5 4 2 3 4" xfId="28227"/>
    <cellStyle name="표준 4 2 2 5 4 2 4" xfId="13239"/>
    <cellStyle name="표준 4 2 2 5 4 2 4 2" xfId="35706"/>
    <cellStyle name="표준 4 2 2 5 4 2 5" xfId="20723"/>
    <cellStyle name="표준 4 2 2 5 4 2 5 2" xfId="43188"/>
    <cellStyle name="표준 4 2 2 5 4 2 6" xfId="28224"/>
    <cellStyle name="표준 4 2 2 5 4 2_Sheet4" xfId="5694"/>
    <cellStyle name="표준 4 2 2 5 4 3" xfId="5695"/>
    <cellStyle name="표준 4 2 2 5 4 3 2" xfId="5696"/>
    <cellStyle name="표준 4 2 2 5 4 3 2 2" xfId="13244"/>
    <cellStyle name="표준 4 2 2 5 4 3 2 2 2" xfId="35711"/>
    <cellStyle name="표준 4 2 2 5 4 3 2 3" xfId="20728"/>
    <cellStyle name="표준 4 2 2 5 4 3 2 3 2" xfId="43193"/>
    <cellStyle name="표준 4 2 2 5 4 3 2 4" xfId="28229"/>
    <cellStyle name="표준 4 2 2 5 4 3 3" xfId="13243"/>
    <cellStyle name="표준 4 2 2 5 4 3 3 2" xfId="35710"/>
    <cellStyle name="표준 4 2 2 5 4 3 4" xfId="20727"/>
    <cellStyle name="표준 4 2 2 5 4 3 4 2" xfId="43192"/>
    <cellStyle name="표준 4 2 2 5 4 3 5" xfId="28228"/>
    <cellStyle name="표준 4 2 2 5 4 3_Sheet4" xfId="5697"/>
    <cellStyle name="표준 4 2 2 5 4 4" xfId="5698"/>
    <cellStyle name="표준 4 2 2 5 4 4 2" xfId="13245"/>
    <cellStyle name="표준 4 2 2 5 4 4 2 2" xfId="35712"/>
    <cellStyle name="표준 4 2 2 5 4 4 3" xfId="20729"/>
    <cellStyle name="표준 4 2 2 5 4 4 3 2" xfId="43194"/>
    <cellStyle name="표준 4 2 2 5 4 4 4" xfId="28230"/>
    <cellStyle name="표준 4 2 2 5 4 5" xfId="13238"/>
    <cellStyle name="표준 4 2 2 5 4 5 2" xfId="35705"/>
    <cellStyle name="표준 4 2 2 5 4 6" xfId="20722"/>
    <cellStyle name="표준 4 2 2 5 4 6 2" xfId="43187"/>
    <cellStyle name="표준 4 2 2 5 4 7" xfId="28223"/>
    <cellStyle name="표준 4 2 2 5 4_Sheet4" xfId="5699"/>
    <cellStyle name="표준 4 2 2 5 5" xfId="5700"/>
    <cellStyle name="표준 4 2 2 5 5 2" xfId="5701"/>
    <cellStyle name="표준 4 2 2 5 5 2 2" xfId="5702"/>
    <cellStyle name="표준 4 2 2 5 5 2 2 2" xfId="13248"/>
    <cellStyle name="표준 4 2 2 5 5 2 2 2 2" xfId="35715"/>
    <cellStyle name="표준 4 2 2 5 5 2 2 3" xfId="20732"/>
    <cellStyle name="표준 4 2 2 5 5 2 2 3 2" xfId="43197"/>
    <cellStyle name="표준 4 2 2 5 5 2 2 4" xfId="28233"/>
    <cellStyle name="표준 4 2 2 5 5 2 3" xfId="13247"/>
    <cellStyle name="표준 4 2 2 5 5 2 3 2" xfId="35714"/>
    <cellStyle name="표준 4 2 2 5 5 2 4" xfId="20731"/>
    <cellStyle name="표준 4 2 2 5 5 2 4 2" xfId="43196"/>
    <cellStyle name="표준 4 2 2 5 5 2 5" xfId="28232"/>
    <cellStyle name="표준 4 2 2 5 5 2_Sheet4" xfId="5703"/>
    <cellStyle name="표준 4 2 2 5 5 3" xfId="5704"/>
    <cellStyle name="표준 4 2 2 5 5 3 2" xfId="13249"/>
    <cellStyle name="표준 4 2 2 5 5 3 2 2" xfId="35716"/>
    <cellStyle name="표준 4 2 2 5 5 3 3" xfId="20733"/>
    <cellStyle name="표준 4 2 2 5 5 3 3 2" xfId="43198"/>
    <cellStyle name="표준 4 2 2 5 5 3 4" xfId="28234"/>
    <cellStyle name="표준 4 2 2 5 5 4" xfId="13246"/>
    <cellStyle name="표준 4 2 2 5 5 4 2" xfId="35713"/>
    <cellStyle name="표준 4 2 2 5 5 5" xfId="20730"/>
    <cellStyle name="표준 4 2 2 5 5 5 2" xfId="43195"/>
    <cellStyle name="표준 4 2 2 5 5 6" xfId="28231"/>
    <cellStyle name="표준 4 2 2 5 5_Sheet4" xfId="5705"/>
    <cellStyle name="표준 4 2 2 5 6" xfId="5706"/>
    <cellStyle name="표준 4 2 2 5 6 2" xfId="5707"/>
    <cellStyle name="표준 4 2 2 5 6 2 2" xfId="13251"/>
    <cellStyle name="표준 4 2 2 5 6 2 2 2" xfId="35718"/>
    <cellStyle name="표준 4 2 2 5 6 2 3" xfId="20735"/>
    <cellStyle name="표준 4 2 2 5 6 2 3 2" xfId="43200"/>
    <cellStyle name="표준 4 2 2 5 6 2 4" xfId="28236"/>
    <cellStyle name="표준 4 2 2 5 6 3" xfId="13250"/>
    <cellStyle name="표준 4 2 2 5 6 3 2" xfId="35717"/>
    <cellStyle name="표준 4 2 2 5 6 4" xfId="20734"/>
    <cellStyle name="표준 4 2 2 5 6 4 2" xfId="43199"/>
    <cellStyle name="표준 4 2 2 5 6 5" xfId="28235"/>
    <cellStyle name="표준 4 2 2 5 6_Sheet4" xfId="5708"/>
    <cellStyle name="표준 4 2 2 5 7" xfId="5709"/>
    <cellStyle name="표준 4 2 2 5 7 2" xfId="13252"/>
    <cellStyle name="표준 4 2 2 5 7 2 2" xfId="35719"/>
    <cellStyle name="표준 4 2 2 5 7 3" xfId="20736"/>
    <cellStyle name="표준 4 2 2 5 7 3 2" xfId="43201"/>
    <cellStyle name="표준 4 2 2 5 7 4" xfId="28237"/>
    <cellStyle name="표준 4 2 2 5 8" xfId="13205"/>
    <cellStyle name="표준 4 2 2 5 8 2" xfId="35672"/>
    <cellStyle name="표준 4 2 2 5 9" xfId="20689"/>
    <cellStyle name="표준 4 2 2 5 9 2" xfId="43154"/>
    <cellStyle name="표준 4 2 2 5_Sheet4" xfId="5710"/>
    <cellStyle name="표준 4 2 2 6" xfId="5711"/>
    <cellStyle name="표준 4 2 2 6 2" xfId="5712"/>
    <cellStyle name="표준 4 2 2 6 2 2" xfId="5713"/>
    <cellStyle name="표준 4 2 2 6 2 2 2" xfId="5714"/>
    <cellStyle name="표준 4 2 2 6 2 2 2 2" xfId="5715"/>
    <cellStyle name="표준 4 2 2 6 2 2 2 2 2" xfId="13257"/>
    <cellStyle name="표준 4 2 2 6 2 2 2 2 2 2" xfId="35724"/>
    <cellStyle name="표준 4 2 2 6 2 2 2 2 3" xfId="20741"/>
    <cellStyle name="표준 4 2 2 6 2 2 2 2 3 2" xfId="43206"/>
    <cellStyle name="표준 4 2 2 6 2 2 2 2 4" xfId="28242"/>
    <cellStyle name="표준 4 2 2 6 2 2 2 3" xfId="13256"/>
    <cellStyle name="표준 4 2 2 6 2 2 2 3 2" xfId="35723"/>
    <cellStyle name="표준 4 2 2 6 2 2 2 4" xfId="20740"/>
    <cellStyle name="표준 4 2 2 6 2 2 2 4 2" xfId="43205"/>
    <cellStyle name="표준 4 2 2 6 2 2 2 5" xfId="28241"/>
    <cellStyle name="표준 4 2 2 6 2 2 2_Sheet4" xfId="5716"/>
    <cellStyle name="표준 4 2 2 6 2 2 3" xfId="5717"/>
    <cellStyle name="표준 4 2 2 6 2 2 3 2" xfId="13258"/>
    <cellStyle name="표준 4 2 2 6 2 2 3 2 2" xfId="35725"/>
    <cellStyle name="표준 4 2 2 6 2 2 3 3" xfId="20742"/>
    <cellStyle name="표준 4 2 2 6 2 2 3 3 2" xfId="43207"/>
    <cellStyle name="표준 4 2 2 6 2 2 3 4" xfId="28243"/>
    <cellStyle name="표준 4 2 2 6 2 2 4" xfId="13255"/>
    <cellStyle name="표준 4 2 2 6 2 2 4 2" xfId="35722"/>
    <cellStyle name="표준 4 2 2 6 2 2 5" xfId="20739"/>
    <cellStyle name="표준 4 2 2 6 2 2 5 2" xfId="43204"/>
    <cellStyle name="표준 4 2 2 6 2 2 6" xfId="28240"/>
    <cellStyle name="표준 4 2 2 6 2 2_Sheet4" xfId="5718"/>
    <cellStyle name="표준 4 2 2 6 2 3" xfId="5719"/>
    <cellStyle name="표준 4 2 2 6 2 3 2" xfId="5720"/>
    <cellStyle name="표준 4 2 2 6 2 3 2 2" xfId="13260"/>
    <cellStyle name="표준 4 2 2 6 2 3 2 2 2" xfId="35727"/>
    <cellStyle name="표준 4 2 2 6 2 3 2 3" xfId="20744"/>
    <cellStyle name="표준 4 2 2 6 2 3 2 3 2" xfId="43209"/>
    <cellStyle name="표준 4 2 2 6 2 3 2 4" xfId="28245"/>
    <cellStyle name="표준 4 2 2 6 2 3 3" xfId="13259"/>
    <cellStyle name="표준 4 2 2 6 2 3 3 2" xfId="35726"/>
    <cellStyle name="표준 4 2 2 6 2 3 4" xfId="20743"/>
    <cellStyle name="표준 4 2 2 6 2 3 4 2" xfId="43208"/>
    <cellStyle name="표준 4 2 2 6 2 3 5" xfId="28244"/>
    <cellStyle name="표준 4 2 2 6 2 3_Sheet4" xfId="5721"/>
    <cellStyle name="표준 4 2 2 6 2 4" xfId="5722"/>
    <cellStyle name="표준 4 2 2 6 2 4 2" xfId="13261"/>
    <cellStyle name="표준 4 2 2 6 2 4 2 2" xfId="35728"/>
    <cellStyle name="표준 4 2 2 6 2 4 3" xfId="20745"/>
    <cellStyle name="표준 4 2 2 6 2 4 3 2" xfId="43210"/>
    <cellStyle name="표준 4 2 2 6 2 4 4" xfId="28246"/>
    <cellStyle name="표준 4 2 2 6 2 5" xfId="13254"/>
    <cellStyle name="표준 4 2 2 6 2 5 2" xfId="35721"/>
    <cellStyle name="표준 4 2 2 6 2 6" xfId="20738"/>
    <cellStyle name="표준 4 2 2 6 2 6 2" xfId="43203"/>
    <cellStyle name="표준 4 2 2 6 2 7" xfId="28239"/>
    <cellStyle name="표준 4 2 2 6 2_Sheet4" xfId="5723"/>
    <cellStyle name="표준 4 2 2 6 3" xfId="5724"/>
    <cellStyle name="표준 4 2 2 6 3 2" xfId="5725"/>
    <cellStyle name="표준 4 2 2 6 3 2 2" xfId="5726"/>
    <cellStyle name="표준 4 2 2 6 3 2 2 2" xfId="13264"/>
    <cellStyle name="표준 4 2 2 6 3 2 2 2 2" xfId="35731"/>
    <cellStyle name="표준 4 2 2 6 3 2 2 3" xfId="20748"/>
    <cellStyle name="표준 4 2 2 6 3 2 2 3 2" xfId="43213"/>
    <cellStyle name="표준 4 2 2 6 3 2 2 4" xfId="28249"/>
    <cellStyle name="표준 4 2 2 6 3 2 3" xfId="13263"/>
    <cellStyle name="표준 4 2 2 6 3 2 3 2" xfId="35730"/>
    <cellStyle name="표준 4 2 2 6 3 2 4" xfId="20747"/>
    <cellStyle name="표준 4 2 2 6 3 2 4 2" xfId="43212"/>
    <cellStyle name="표준 4 2 2 6 3 2 5" xfId="28248"/>
    <cellStyle name="표준 4 2 2 6 3 2_Sheet4" xfId="5727"/>
    <cellStyle name="표준 4 2 2 6 3 3" xfId="5728"/>
    <cellStyle name="표준 4 2 2 6 3 3 2" xfId="13265"/>
    <cellStyle name="표준 4 2 2 6 3 3 2 2" xfId="35732"/>
    <cellStyle name="표준 4 2 2 6 3 3 3" xfId="20749"/>
    <cellStyle name="표준 4 2 2 6 3 3 3 2" xfId="43214"/>
    <cellStyle name="표준 4 2 2 6 3 3 4" xfId="28250"/>
    <cellStyle name="표준 4 2 2 6 3 4" xfId="13262"/>
    <cellStyle name="표준 4 2 2 6 3 4 2" xfId="35729"/>
    <cellStyle name="표준 4 2 2 6 3 5" xfId="20746"/>
    <cellStyle name="표준 4 2 2 6 3 5 2" xfId="43211"/>
    <cellStyle name="표준 4 2 2 6 3 6" xfId="28247"/>
    <cellStyle name="표준 4 2 2 6 3_Sheet4" xfId="5729"/>
    <cellStyle name="표준 4 2 2 6 4" xfId="5730"/>
    <cellStyle name="표준 4 2 2 6 4 2" xfId="5731"/>
    <cellStyle name="표준 4 2 2 6 4 2 2" xfId="13267"/>
    <cellStyle name="표준 4 2 2 6 4 2 2 2" xfId="35734"/>
    <cellStyle name="표준 4 2 2 6 4 2 3" xfId="20751"/>
    <cellStyle name="표준 4 2 2 6 4 2 3 2" xfId="43216"/>
    <cellStyle name="표준 4 2 2 6 4 2 4" xfId="28252"/>
    <cellStyle name="표준 4 2 2 6 4 3" xfId="13266"/>
    <cellStyle name="표준 4 2 2 6 4 3 2" xfId="35733"/>
    <cellStyle name="표준 4 2 2 6 4 4" xfId="20750"/>
    <cellStyle name="표준 4 2 2 6 4 4 2" xfId="43215"/>
    <cellStyle name="표준 4 2 2 6 4 5" xfId="28251"/>
    <cellStyle name="표준 4 2 2 6 4_Sheet4" xfId="5732"/>
    <cellStyle name="표준 4 2 2 6 5" xfId="5733"/>
    <cellStyle name="표준 4 2 2 6 5 2" xfId="13268"/>
    <cellStyle name="표준 4 2 2 6 5 2 2" xfId="35735"/>
    <cellStyle name="표준 4 2 2 6 5 3" xfId="20752"/>
    <cellStyle name="표준 4 2 2 6 5 3 2" xfId="43217"/>
    <cellStyle name="표준 4 2 2 6 5 4" xfId="28253"/>
    <cellStyle name="표준 4 2 2 6 6" xfId="13253"/>
    <cellStyle name="표준 4 2 2 6 6 2" xfId="35720"/>
    <cellStyle name="표준 4 2 2 6 7" xfId="20737"/>
    <cellStyle name="표준 4 2 2 6 7 2" xfId="43202"/>
    <cellStyle name="표준 4 2 2 6 8" xfId="28238"/>
    <cellStyle name="표준 4 2 2 6_Sheet4" xfId="5734"/>
    <cellStyle name="표준 4 2 2 7" xfId="5735"/>
    <cellStyle name="표준 4 2 2 7 2" xfId="5736"/>
    <cellStyle name="표준 4 2 2 7 2 2" xfId="5737"/>
    <cellStyle name="표준 4 2 2 7 2 2 2" xfId="5738"/>
    <cellStyle name="표준 4 2 2 7 2 2 2 2" xfId="5739"/>
    <cellStyle name="표준 4 2 2 7 2 2 2 2 2" xfId="13273"/>
    <cellStyle name="표준 4 2 2 7 2 2 2 2 2 2" xfId="35740"/>
    <cellStyle name="표준 4 2 2 7 2 2 2 2 3" xfId="20757"/>
    <cellStyle name="표준 4 2 2 7 2 2 2 2 3 2" xfId="43222"/>
    <cellStyle name="표준 4 2 2 7 2 2 2 2 4" xfId="28258"/>
    <cellStyle name="표준 4 2 2 7 2 2 2 3" xfId="13272"/>
    <cellStyle name="표준 4 2 2 7 2 2 2 3 2" xfId="35739"/>
    <cellStyle name="표준 4 2 2 7 2 2 2 4" xfId="20756"/>
    <cellStyle name="표준 4 2 2 7 2 2 2 4 2" xfId="43221"/>
    <cellStyle name="표준 4 2 2 7 2 2 2 5" xfId="28257"/>
    <cellStyle name="표준 4 2 2 7 2 2 2_Sheet4" xfId="5740"/>
    <cellStyle name="표준 4 2 2 7 2 2 3" xfId="5741"/>
    <cellStyle name="표준 4 2 2 7 2 2 3 2" xfId="13274"/>
    <cellStyle name="표준 4 2 2 7 2 2 3 2 2" xfId="35741"/>
    <cellStyle name="표준 4 2 2 7 2 2 3 3" xfId="20758"/>
    <cellStyle name="표준 4 2 2 7 2 2 3 3 2" xfId="43223"/>
    <cellStyle name="표준 4 2 2 7 2 2 3 4" xfId="28259"/>
    <cellStyle name="표준 4 2 2 7 2 2 4" xfId="13271"/>
    <cellStyle name="표준 4 2 2 7 2 2 4 2" xfId="35738"/>
    <cellStyle name="표준 4 2 2 7 2 2 5" xfId="20755"/>
    <cellStyle name="표준 4 2 2 7 2 2 5 2" xfId="43220"/>
    <cellStyle name="표준 4 2 2 7 2 2 6" xfId="28256"/>
    <cellStyle name="표준 4 2 2 7 2 2_Sheet4" xfId="5742"/>
    <cellStyle name="표준 4 2 2 7 2 3" xfId="5743"/>
    <cellStyle name="표준 4 2 2 7 2 3 2" xfId="5744"/>
    <cellStyle name="표준 4 2 2 7 2 3 2 2" xfId="13276"/>
    <cellStyle name="표준 4 2 2 7 2 3 2 2 2" xfId="35743"/>
    <cellStyle name="표준 4 2 2 7 2 3 2 3" xfId="20760"/>
    <cellStyle name="표준 4 2 2 7 2 3 2 3 2" xfId="43225"/>
    <cellStyle name="표준 4 2 2 7 2 3 2 4" xfId="28261"/>
    <cellStyle name="표준 4 2 2 7 2 3 3" xfId="13275"/>
    <cellStyle name="표준 4 2 2 7 2 3 3 2" xfId="35742"/>
    <cellStyle name="표준 4 2 2 7 2 3 4" xfId="20759"/>
    <cellStyle name="표준 4 2 2 7 2 3 4 2" xfId="43224"/>
    <cellStyle name="표준 4 2 2 7 2 3 5" xfId="28260"/>
    <cellStyle name="표준 4 2 2 7 2 3_Sheet4" xfId="5745"/>
    <cellStyle name="표준 4 2 2 7 2 4" xfId="5746"/>
    <cellStyle name="표준 4 2 2 7 2 4 2" xfId="13277"/>
    <cellStyle name="표준 4 2 2 7 2 4 2 2" xfId="35744"/>
    <cellStyle name="표준 4 2 2 7 2 4 3" xfId="20761"/>
    <cellStyle name="표준 4 2 2 7 2 4 3 2" xfId="43226"/>
    <cellStyle name="표준 4 2 2 7 2 4 4" xfId="28262"/>
    <cellStyle name="표준 4 2 2 7 2 5" xfId="13270"/>
    <cellStyle name="표준 4 2 2 7 2 5 2" xfId="35737"/>
    <cellStyle name="표준 4 2 2 7 2 6" xfId="20754"/>
    <cellStyle name="표준 4 2 2 7 2 6 2" xfId="43219"/>
    <cellStyle name="표준 4 2 2 7 2 7" xfId="28255"/>
    <cellStyle name="표준 4 2 2 7 2_Sheet4" xfId="5747"/>
    <cellStyle name="표준 4 2 2 7 3" xfId="5748"/>
    <cellStyle name="표준 4 2 2 7 3 2" xfId="5749"/>
    <cellStyle name="표준 4 2 2 7 3 2 2" xfId="5750"/>
    <cellStyle name="표준 4 2 2 7 3 2 2 2" xfId="13280"/>
    <cellStyle name="표준 4 2 2 7 3 2 2 2 2" xfId="35747"/>
    <cellStyle name="표준 4 2 2 7 3 2 2 3" xfId="20764"/>
    <cellStyle name="표준 4 2 2 7 3 2 2 3 2" xfId="43229"/>
    <cellStyle name="표준 4 2 2 7 3 2 2 4" xfId="28265"/>
    <cellStyle name="표준 4 2 2 7 3 2 3" xfId="13279"/>
    <cellStyle name="표준 4 2 2 7 3 2 3 2" xfId="35746"/>
    <cellStyle name="표준 4 2 2 7 3 2 4" xfId="20763"/>
    <cellStyle name="표준 4 2 2 7 3 2 4 2" xfId="43228"/>
    <cellStyle name="표준 4 2 2 7 3 2 5" xfId="28264"/>
    <cellStyle name="표준 4 2 2 7 3 2_Sheet4" xfId="5751"/>
    <cellStyle name="표준 4 2 2 7 3 3" xfId="5752"/>
    <cellStyle name="표준 4 2 2 7 3 3 2" xfId="13281"/>
    <cellStyle name="표준 4 2 2 7 3 3 2 2" xfId="35748"/>
    <cellStyle name="표준 4 2 2 7 3 3 3" xfId="20765"/>
    <cellStyle name="표준 4 2 2 7 3 3 3 2" xfId="43230"/>
    <cellStyle name="표준 4 2 2 7 3 3 4" xfId="28266"/>
    <cellStyle name="표준 4 2 2 7 3 4" xfId="13278"/>
    <cellStyle name="표준 4 2 2 7 3 4 2" xfId="35745"/>
    <cellStyle name="표준 4 2 2 7 3 5" xfId="20762"/>
    <cellStyle name="표준 4 2 2 7 3 5 2" xfId="43227"/>
    <cellStyle name="표준 4 2 2 7 3 6" xfId="28263"/>
    <cellStyle name="표준 4 2 2 7 3_Sheet4" xfId="5753"/>
    <cellStyle name="표준 4 2 2 7 4" xfId="5754"/>
    <cellStyle name="표준 4 2 2 7 4 2" xfId="5755"/>
    <cellStyle name="표준 4 2 2 7 4 2 2" xfId="13283"/>
    <cellStyle name="표준 4 2 2 7 4 2 2 2" xfId="35750"/>
    <cellStyle name="표준 4 2 2 7 4 2 3" xfId="20767"/>
    <cellStyle name="표준 4 2 2 7 4 2 3 2" xfId="43232"/>
    <cellStyle name="표준 4 2 2 7 4 2 4" xfId="28268"/>
    <cellStyle name="표준 4 2 2 7 4 3" xfId="13282"/>
    <cellStyle name="표준 4 2 2 7 4 3 2" xfId="35749"/>
    <cellStyle name="표준 4 2 2 7 4 4" xfId="20766"/>
    <cellStyle name="표준 4 2 2 7 4 4 2" xfId="43231"/>
    <cellStyle name="표준 4 2 2 7 4 5" xfId="28267"/>
    <cellStyle name="표준 4 2 2 7 4_Sheet4" xfId="5756"/>
    <cellStyle name="표준 4 2 2 7 5" xfId="5757"/>
    <cellStyle name="표준 4 2 2 7 5 2" xfId="13284"/>
    <cellStyle name="표준 4 2 2 7 5 2 2" xfId="35751"/>
    <cellStyle name="표준 4 2 2 7 5 3" xfId="20768"/>
    <cellStyle name="표준 4 2 2 7 5 3 2" xfId="43233"/>
    <cellStyle name="표준 4 2 2 7 5 4" xfId="28269"/>
    <cellStyle name="표준 4 2 2 7 6" xfId="13269"/>
    <cellStyle name="표준 4 2 2 7 6 2" xfId="35736"/>
    <cellStyle name="표준 4 2 2 7 7" xfId="20753"/>
    <cellStyle name="표준 4 2 2 7 7 2" xfId="43218"/>
    <cellStyle name="표준 4 2 2 7 8" xfId="28254"/>
    <cellStyle name="표준 4 2 2 7_Sheet4" xfId="5758"/>
    <cellStyle name="표준 4 2 2 8" xfId="5759"/>
    <cellStyle name="표준 4 2 2 8 2" xfId="5760"/>
    <cellStyle name="표준 4 2 2 8 2 2" xfId="5761"/>
    <cellStyle name="표준 4 2 2 8 2 2 2" xfId="5762"/>
    <cellStyle name="표준 4 2 2 8 2 2 2 2" xfId="13288"/>
    <cellStyle name="표준 4 2 2 8 2 2 2 2 2" xfId="35755"/>
    <cellStyle name="표준 4 2 2 8 2 2 2 3" xfId="20772"/>
    <cellStyle name="표준 4 2 2 8 2 2 2 3 2" xfId="43237"/>
    <cellStyle name="표준 4 2 2 8 2 2 2 4" xfId="28273"/>
    <cellStyle name="표준 4 2 2 8 2 2 3" xfId="13287"/>
    <cellStyle name="표준 4 2 2 8 2 2 3 2" xfId="35754"/>
    <cellStyle name="표준 4 2 2 8 2 2 4" xfId="20771"/>
    <cellStyle name="표준 4 2 2 8 2 2 4 2" xfId="43236"/>
    <cellStyle name="표준 4 2 2 8 2 2 5" xfId="28272"/>
    <cellStyle name="표준 4 2 2 8 2 2_Sheet4" xfId="5763"/>
    <cellStyle name="표준 4 2 2 8 2 3" xfId="5764"/>
    <cellStyle name="표준 4 2 2 8 2 3 2" xfId="13289"/>
    <cellStyle name="표준 4 2 2 8 2 3 2 2" xfId="35756"/>
    <cellStyle name="표준 4 2 2 8 2 3 3" xfId="20773"/>
    <cellStyle name="표준 4 2 2 8 2 3 3 2" xfId="43238"/>
    <cellStyle name="표준 4 2 2 8 2 3 4" xfId="28274"/>
    <cellStyle name="표준 4 2 2 8 2 4" xfId="13286"/>
    <cellStyle name="표준 4 2 2 8 2 4 2" xfId="35753"/>
    <cellStyle name="표준 4 2 2 8 2 5" xfId="20770"/>
    <cellStyle name="표준 4 2 2 8 2 5 2" xfId="43235"/>
    <cellStyle name="표준 4 2 2 8 2 6" xfId="28271"/>
    <cellStyle name="표준 4 2 2 8 2_Sheet4" xfId="5765"/>
    <cellStyle name="표준 4 2 2 8 3" xfId="5766"/>
    <cellStyle name="표준 4 2 2 8 3 2" xfId="5767"/>
    <cellStyle name="표준 4 2 2 8 3 2 2" xfId="13291"/>
    <cellStyle name="표준 4 2 2 8 3 2 2 2" xfId="35758"/>
    <cellStyle name="표준 4 2 2 8 3 2 3" xfId="20775"/>
    <cellStyle name="표준 4 2 2 8 3 2 3 2" xfId="43240"/>
    <cellStyle name="표준 4 2 2 8 3 2 4" xfId="28276"/>
    <cellStyle name="표준 4 2 2 8 3 3" xfId="13290"/>
    <cellStyle name="표준 4 2 2 8 3 3 2" xfId="35757"/>
    <cellStyle name="표준 4 2 2 8 3 4" xfId="20774"/>
    <cellStyle name="표준 4 2 2 8 3 4 2" xfId="43239"/>
    <cellStyle name="표준 4 2 2 8 3 5" xfId="28275"/>
    <cellStyle name="표준 4 2 2 8 3_Sheet4" xfId="5768"/>
    <cellStyle name="표준 4 2 2 8 4" xfId="5769"/>
    <cellStyle name="표준 4 2 2 8 4 2" xfId="13292"/>
    <cellStyle name="표준 4 2 2 8 4 2 2" xfId="35759"/>
    <cellStyle name="표준 4 2 2 8 4 3" xfId="20776"/>
    <cellStyle name="표준 4 2 2 8 4 3 2" xfId="43241"/>
    <cellStyle name="표준 4 2 2 8 4 4" xfId="28277"/>
    <cellStyle name="표준 4 2 2 8 5" xfId="13285"/>
    <cellStyle name="표준 4 2 2 8 5 2" xfId="35752"/>
    <cellStyle name="표준 4 2 2 8 6" xfId="20769"/>
    <cellStyle name="표준 4 2 2 8 6 2" xfId="43234"/>
    <cellStyle name="표준 4 2 2 8 7" xfId="28270"/>
    <cellStyle name="표준 4 2 2 8_Sheet4" xfId="5770"/>
    <cellStyle name="표준 4 2 2 9" xfId="5771"/>
    <cellStyle name="표준 4 2 2 9 2" xfId="5772"/>
    <cellStyle name="표준 4 2 2 9 2 2" xfId="5773"/>
    <cellStyle name="표준 4 2 2 9 2 2 2" xfId="5774"/>
    <cellStyle name="표준 4 2 2 9 2 2 2 2" xfId="13296"/>
    <cellStyle name="표준 4 2 2 9 2 2 2 2 2" xfId="35763"/>
    <cellStyle name="표준 4 2 2 9 2 2 2 3" xfId="20780"/>
    <cellStyle name="표준 4 2 2 9 2 2 2 3 2" xfId="43245"/>
    <cellStyle name="표준 4 2 2 9 2 2 2 4" xfId="28281"/>
    <cellStyle name="표준 4 2 2 9 2 2 3" xfId="13295"/>
    <cellStyle name="표준 4 2 2 9 2 2 3 2" xfId="35762"/>
    <cellStyle name="표준 4 2 2 9 2 2 4" xfId="20779"/>
    <cellStyle name="표준 4 2 2 9 2 2 4 2" xfId="43244"/>
    <cellStyle name="표준 4 2 2 9 2 2 5" xfId="28280"/>
    <cellStyle name="표준 4 2 2 9 2 2_Sheet4" xfId="5775"/>
    <cellStyle name="표준 4 2 2 9 2 3" xfId="5776"/>
    <cellStyle name="표준 4 2 2 9 2 3 2" xfId="13297"/>
    <cellStyle name="표준 4 2 2 9 2 3 2 2" xfId="35764"/>
    <cellStyle name="표준 4 2 2 9 2 3 3" xfId="20781"/>
    <cellStyle name="표준 4 2 2 9 2 3 3 2" xfId="43246"/>
    <cellStyle name="표준 4 2 2 9 2 3 4" xfId="28282"/>
    <cellStyle name="표준 4 2 2 9 2 4" xfId="13294"/>
    <cellStyle name="표준 4 2 2 9 2 4 2" xfId="35761"/>
    <cellStyle name="표준 4 2 2 9 2 5" xfId="20778"/>
    <cellStyle name="표준 4 2 2 9 2 5 2" xfId="43243"/>
    <cellStyle name="표준 4 2 2 9 2 6" xfId="28279"/>
    <cellStyle name="표준 4 2 2 9 2_Sheet4" xfId="5777"/>
    <cellStyle name="표준 4 2 2 9 3" xfId="5778"/>
    <cellStyle name="표준 4 2 2 9 3 2" xfId="5779"/>
    <cellStyle name="표준 4 2 2 9 3 2 2" xfId="13299"/>
    <cellStyle name="표준 4 2 2 9 3 2 2 2" xfId="35766"/>
    <cellStyle name="표준 4 2 2 9 3 2 3" xfId="20783"/>
    <cellStyle name="표준 4 2 2 9 3 2 3 2" xfId="43248"/>
    <cellStyle name="표준 4 2 2 9 3 2 4" xfId="28284"/>
    <cellStyle name="표준 4 2 2 9 3 3" xfId="13298"/>
    <cellStyle name="표준 4 2 2 9 3 3 2" xfId="35765"/>
    <cellStyle name="표준 4 2 2 9 3 4" xfId="20782"/>
    <cellStyle name="표준 4 2 2 9 3 4 2" xfId="43247"/>
    <cellStyle name="표준 4 2 2 9 3 5" xfId="28283"/>
    <cellStyle name="표준 4 2 2 9 3_Sheet4" xfId="5780"/>
    <cellStyle name="표준 4 2 2 9 4" xfId="5781"/>
    <cellStyle name="표준 4 2 2 9 4 2" xfId="13300"/>
    <cellStyle name="표준 4 2 2 9 4 2 2" xfId="35767"/>
    <cellStyle name="표준 4 2 2 9 4 3" xfId="20784"/>
    <cellStyle name="표준 4 2 2 9 4 3 2" xfId="43249"/>
    <cellStyle name="표준 4 2 2 9 4 4" xfId="28285"/>
    <cellStyle name="표준 4 2 2 9 5" xfId="13293"/>
    <cellStyle name="표준 4 2 2 9 5 2" xfId="35760"/>
    <cellStyle name="표준 4 2 2 9 6" xfId="20777"/>
    <cellStyle name="표준 4 2 2 9 6 2" xfId="43242"/>
    <cellStyle name="표준 4 2 2 9 7" xfId="28278"/>
    <cellStyle name="표준 4 2 2 9_Sheet4" xfId="5782"/>
    <cellStyle name="표준 4 2 2_Sheet4" xfId="5783"/>
    <cellStyle name="표준 4 2 20" xfId="20203"/>
    <cellStyle name="표준 4 2 20 2" xfId="42668"/>
    <cellStyle name="표준 4 2 21" xfId="27704"/>
    <cellStyle name="표준 4 2 3" xfId="5784"/>
    <cellStyle name="표준 4 2 3 10" xfId="5785"/>
    <cellStyle name="표준 4 2 3 10 2" xfId="5786"/>
    <cellStyle name="표준 4 2 3 10 2 2" xfId="5787"/>
    <cellStyle name="표준 4 2 3 10 2 2 2" xfId="13304"/>
    <cellStyle name="표준 4 2 3 10 2 2 2 2" xfId="35771"/>
    <cellStyle name="표준 4 2 3 10 2 2 3" xfId="20788"/>
    <cellStyle name="표준 4 2 3 10 2 2 3 2" xfId="43253"/>
    <cellStyle name="표준 4 2 3 10 2 2 4" xfId="28289"/>
    <cellStyle name="표준 4 2 3 10 2 3" xfId="13303"/>
    <cellStyle name="표준 4 2 3 10 2 3 2" xfId="35770"/>
    <cellStyle name="표준 4 2 3 10 2 4" xfId="20787"/>
    <cellStyle name="표준 4 2 3 10 2 4 2" xfId="43252"/>
    <cellStyle name="표준 4 2 3 10 2 5" xfId="28288"/>
    <cellStyle name="표준 4 2 3 10 2_Sheet4" xfId="5788"/>
    <cellStyle name="표준 4 2 3 10 3" xfId="5789"/>
    <cellStyle name="표준 4 2 3 10 3 2" xfId="13305"/>
    <cellStyle name="표준 4 2 3 10 3 2 2" xfId="35772"/>
    <cellStyle name="표준 4 2 3 10 3 3" xfId="20789"/>
    <cellStyle name="표준 4 2 3 10 3 3 2" xfId="43254"/>
    <cellStyle name="표준 4 2 3 10 3 4" xfId="28290"/>
    <cellStyle name="표준 4 2 3 10 4" xfId="13302"/>
    <cellStyle name="표준 4 2 3 10 4 2" xfId="35769"/>
    <cellStyle name="표준 4 2 3 10 5" xfId="20786"/>
    <cellStyle name="표준 4 2 3 10 5 2" xfId="43251"/>
    <cellStyle name="표준 4 2 3 10 6" xfId="28287"/>
    <cellStyle name="표준 4 2 3 10_Sheet4" xfId="5790"/>
    <cellStyle name="표준 4 2 3 11" xfId="5791"/>
    <cellStyle name="표준 4 2 3 11 2" xfId="5792"/>
    <cellStyle name="표준 4 2 3 11 2 2" xfId="5793"/>
    <cellStyle name="표준 4 2 3 11 2 2 2" xfId="13308"/>
    <cellStyle name="표준 4 2 3 11 2 2 2 2" xfId="35775"/>
    <cellStyle name="표준 4 2 3 11 2 2 3" xfId="20792"/>
    <cellStyle name="표준 4 2 3 11 2 2 3 2" xfId="43257"/>
    <cellStyle name="표준 4 2 3 11 2 2 4" xfId="28293"/>
    <cellStyle name="표준 4 2 3 11 2 3" xfId="13307"/>
    <cellStyle name="표준 4 2 3 11 2 3 2" xfId="35774"/>
    <cellStyle name="표준 4 2 3 11 2 4" xfId="20791"/>
    <cellStyle name="표준 4 2 3 11 2 4 2" xfId="43256"/>
    <cellStyle name="표준 4 2 3 11 2 5" xfId="28292"/>
    <cellStyle name="표준 4 2 3 11 2_Sheet4" xfId="5794"/>
    <cellStyle name="표준 4 2 3 11 3" xfId="5795"/>
    <cellStyle name="표준 4 2 3 11 3 2" xfId="13309"/>
    <cellStyle name="표준 4 2 3 11 3 2 2" xfId="35776"/>
    <cellStyle name="표준 4 2 3 11 3 3" xfId="20793"/>
    <cellStyle name="표준 4 2 3 11 3 3 2" xfId="43258"/>
    <cellStyle name="표준 4 2 3 11 3 4" xfId="28294"/>
    <cellStyle name="표준 4 2 3 11 4" xfId="13306"/>
    <cellStyle name="표준 4 2 3 11 4 2" xfId="35773"/>
    <cellStyle name="표준 4 2 3 11 5" xfId="20790"/>
    <cellStyle name="표준 4 2 3 11 5 2" xfId="43255"/>
    <cellStyle name="표준 4 2 3 11 6" xfId="28291"/>
    <cellStyle name="표준 4 2 3 11_Sheet4" xfId="5796"/>
    <cellStyle name="표준 4 2 3 12" xfId="5797"/>
    <cellStyle name="표준 4 2 3 12 2" xfId="5798"/>
    <cellStyle name="표준 4 2 3 12 2 2" xfId="5799"/>
    <cellStyle name="표준 4 2 3 12 2 2 2" xfId="13312"/>
    <cellStyle name="표준 4 2 3 12 2 2 2 2" xfId="35779"/>
    <cellStyle name="표준 4 2 3 12 2 2 3" xfId="20796"/>
    <cellStyle name="표준 4 2 3 12 2 2 3 2" xfId="43261"/>
    <cellStyle name="표준 4 2 3 12 2 2 4" xfId="28297"/>
    <cellStyle name="표준 4 2 3 12 2 3" xfId="13311"/>
    <cellStyle name="표준 4 2 3 12 2 3 2" xfId="35778"/>
    <cellStyle name="표준 4 2 3 12 2 4" xfId="20795"/>
    <cellStyle name="표준 4 2 3 12 2 4 2" xfId="43260"/>
    <cellStyle name="표준 4 2 3 12 2 5" xfId="28296"/>
    <cellStyle name="표준 4 2 3 12 2_Sheet4" xfId="5800"/>
    <cellStyle name="표준 4 2 3 12 3" xfId="5801"/>
    <cellStyle name="표준 4 2 3 12 3 2" xfId="13313"/>
    <cellStyle name="표준 4 2 3 12 3 2 2" xfId="35780"/>
    <cellStyle name="표준 4 2 3 12 3 3" xfId="20797"/>
    <cellStyle name="표준 4 2 3 12 3 3 2" xfId="43262"/>
    <cellStyle name="표준 4 2 3 12 3 4" xfId="28298"/>
    <cellStyle name="표준 4 2 3 12 4" xfId="13310"/>
    <cellStyle name="표준 4 2 3 12 4 2" xfId="35777"/>
    <cellStyle name="표준 4 2 3 12 5" xfId="20794"/>
    <cellStyle name="표준 4 2 3 12 5 2" xfId="43259"/>
    <cellStyle name="표준 4 2 3 12 6" xfId="28295"/>
    <cellStyle name="표준 4 2 3 12_Sheet4" xfId="5802"/>
    <cellStyle name="표준 4 2 3 13" xfId="5803"/>
    <cellStyle name="표준 4 2 3 13 2" xfId="5804"/>
    <cellStyle name="표준 4 2 3 13 2 2" xfId="13315"/>
    <cellStyle name="표준 4 2 3 13 2 2 2" xfId="35782"/>
    <cellStyle name="표준 4 2 3 13 2 3" xfId="20799"/>
    <cellStyle name="표준 4 2 3 13 2 3 2" xfId="43264"/>
    <cellStyle name="표준 4 2 3 13 2 4" xfId="28300"/>
    <cellStyle name="표준 4 2 3 13 3" xfId="13314"/>
    <cellStyle name="표준 4 2 3 13 3 2" xfId="35781"/>
    <cellStyle name="표준 4 2 3 13 4" xfId="20798"/>
    <cellStyle name="표준 4 2 3 13 4 2" xfId="43263"/>
    <cellStyle name="표준 4 2 3 13 5" xfId="28299"/>
    <cellStyle name="표준 4 2 3 13_Sheet4" xfId="5805"/>
    <cellStyle name="표준 4 2 3 14" xfId="5806"/>
    <cellStyle name="표준 4 2 3 14 2" xfId="13316"/>
    <cellStyle name="표준 4 2 3 14 2 2" xfId="35783"/>
    <cellStyle name="표준 4 2 3 14 3" xfId="20800"/>
    <cellStyle name="표준 4 2 3 14 3 2" xfId="43265"/>
    <cellStyle name="표준 4 2 3 14 4" xfId="28301"/>
    <cellStyle name="표준 4 2 3 15" xfId="13301"/>
    <cellStyle name="표준 4 2 3 15 2" xfId="35768"/>
    <cellStyle name="표준 4 2 3 16" xfId="20785"/>
    <cellStyle name="표준 4 2 3 16 2" xfId="43250"/>
    <cellStyle name="표준 4 2 3 17" xfId="28286"/>
    <cellStyle name="표준 4 2 3 2" xfId="5807"/>
    <cellStyle name="표준 4 2 3 2 10" xfId="13317"/>
    <cellStyle name="표준 4 2 3 2 10 2" xfId="35784"/>
    <cellStyle name="표준 4 2 3 2 11" xfId="20801"/>
    <cellStyle name="표준 4 2 3 2 11 2" xfId="43266"/>
    <cellStyle name="표준 4 2 3 2 12" xfId="28302"/>
    <cellStyle name="표준 4 2 3 2 2" xfId="5808"/>
    <cellStyle name="표준 4 2 3 2 2 10" xfId="28303"/>
    <cellStyle name="표준 4 2 3 2 2 2" xfId="5809"/>
    <cellStyle name="표준 4 2 3 2 2 2 2" xfId="5810"/>
    <cellStyle name="표준 4 2 3 2 2 2 2 2" xfId="5811"/>
    <cellStyle name="표준 4 2 3 2 2 2 2 2 2" xfId="5812"/>
    <cellStyle name="표준 4 2 3 2 2 2 2 2 2 2" xfId="5813"/>
    <cellStyle name="표준 4 2 3 2 2 2 2 2 2 2 2" xfId="13323"/>
    <cellStyle name="표준 4 2 3 2 2 2 2 2 2 2 2 2" xfId="35790"/>
    <cellStyle name="표준 4 2 3 2 2 2 2 2 2 2 3" xfId="20807"/>
    <cellStyle name="표준 4 2 3 2 2 2 2 2 2 2 3 2" xfId="43272"/>
    <cellStyle name="표준 4 2 3 2 2 2 2 2 2 2 4" xfId="28308"/>
    <cellStyle name="표준 4 2 3 2 2 2 2 2 2 3" xfId="13322"/>
    <cellStyle name="표준 4 2 3 2 2 2 2 2 2 3 2" xfId="35789"/>
    <cellStyle name="표준 4 2 3 2 2 2 2 2 2 4" xfId="20806"/>
    <cellStyle name="표준 4 2 3 2 2 2 2 2 2 4 2" xfId="43271"/>
    <cellStyle name="표준 4 2 3 2 2 2 2 2 2 5" xfId="28307"/>
    <cellStyle name="표준 4 2 3 2 2 2 2 2 2_Sheet4" xfId="5814"/>
    <cellStyle name="표준 4 2 3 2 2 2 2 2 3" xfId="5815"/>
    <cellStyle name="표준 4 2 3 2 2 2 2 2 3 2" xfId="13324"/>
    <cellStyle name="표준 4 2 3 2 2 2 2 2 3 2 2" xfId="35791"/>
    <cellStyle name="표준 4 2 3 2 2 2 2 2 3 3" xfId="20808"/>
    <cellStyle name="표준 4 2 3 2 2 2 2 2 3 3 2" xfId="43273"/>
    <cellStyle name="표준 4 2 3 2 2 2 2 2 3 4" xfId="28309"/>
    <cellStyle name="표준 4 2 3 2 2 2 2 2 4" xfId="13321"/>
    <cellStyle name="표준 4 2 3 2 2 2 2 2 4 2" xfId="35788"/>
    <cellStyle name="표준 4 2 3 2 2 2 2 2 5" xfId="20805"/>
    <cellStyle name="표준 4 2 3 2 2 2 2 2 5 2" xfId="43270"/>
    <cellStyle name="표준 4 2 3 2 2 2 2 2 6" xfId="28306"/>
    <cellStyle name="표준 4 2 3 2 2 2 2 2_Sheet4" xfId="5816"/>
    <cellStyle name="표준 4 2 3 2 2 2 2 3" xfId="5817"/>
    <cellStyle name="표준 4 2 3 2 2 2 2 3 2" xfId="5818"/>
    <cellStyle name="표준 4 2 3 2 2 2 2 3 2 2" xfId="13326"/>
    <cellStyle name="표준 4 2 3 2 2 2 2 3 2 2 2" xfId="35793"/>
    <cellStyle name="표준 4 2 3 2 2 2 2 3 2 3" xfId="20810"/>
    <cellStyle name="표준 4 2 3 2 2 2 2 3 2 3 2" xfId="43275"/>
    <cellStyle name="표준 4 2 3 2 2 2 2 3 2 4" xfId="28311"/>
    <cellStyle name="표준 4 2 3 2 2 2 2 3 3" xfId="13325"/>
    <cellStyle name="표준 4 2 3 2 2 2 2 3 3 2" xfId="35792"/>
    <cellStyle name="표준 4 2 3 2 2 2 2 3 4" xfId="20809"/>
    <cellStyle name="표준 4 2 3 2 2 2 2 3 4 2" xfId="43274"/>
    <cellStyle name="표준 4 2 3 2 2 2 2 3 5" xfId="28310"/>
    <cellStyle name="표준 4 2 3 2 2 2 2 3_Sheet4" xfId="5819"/>
    <cellStyle name="표준 4 2 3 2 2 2 2 4" xfId="5820"/>
    <cellStyle name="표준 4 2 3 2 2 2 2 4 2" xfId="13327"/>
    <cellStyle name="표준 4 2 3 2 2 2 2 4 2 2" xfId="35794"/>
    <cellStyle name="표준 4 2 3 2 2 2 2 4 3" xfId="20811"/>
    <cellStyle name="표준 4 2 3 2 2 2 2 4 3 2" xfId="43276"/>
    <cellStyle name="표준 4 2 3 2 2 2 2 4 4" xfId="28312"/>
    <cellStyle name="표준 4 2 3 2 2 2 2 5" xfId="13320"/>
    <cellStyle name="표준 4 2 3 2 2 2 2 5 2" xfId="35787"/>
    <cellStyle name="표준 4 2 3 2 2 2 2 6" xfId="20804"/>
    <cellStyle name="표준 4 2 3 2 2 2 2 6 2" xfId="43269"/>
    <cellStyle name="표준 4 2 3 2 2 2 2 7" xfId="28305"/>
    <cellStyle name="표준 4 2 3 2 2 2 2_Sheet4" xfId="5821"/>
    <cellStyle name="표준 4 2 3 2 2 2 3" xfId="5822"/>
    <cellStyle name="표준 4 2 3 2 2 2 3 2" xfId="5823"/>
    <cellStyle name="표준 4 2 3 2 2 2 3 2 2" xfId="5824"/>
    <cellStyle name="표준 4 2 3 2 2 2 3 2 2 2" xfId="13330"/>
    <cellStyle name="표준 4 2 3 2 2 2 3 2 2 2 2" xfId="35797"/>
    <cellStyle name="표준 4 2 3 2 2 2 3 2 2 3" xfId="20814"/>
    <cellStyle name="표준 4 2 3 2 2 2 3 2 2 3 2" xfId="43279"/>
    <cellStyle name="표준 4 2 3 2 2 2 3 2 2 4" xfId="28315"/>
    <cellStyle name="표준 4 2 3 2 2 2 3 2 3" xfId="13329"/>
    <cellStyle name="표준 4 2 3 2 2 2 3 2 3 2" xfId="35796"/>
    <cellStyle name="표준 4 2 3 2 2 2 3 2 4" xfId="20813"/>
    <cellStyle name="표준 4 2 3 2 2 2 3 2 4 2" xfId="43278"/>
    <cellStyle name="표준 4 2 3 2 2 2 3 2 5" xfId="28314"/>
    <cellStyle name="표준 4 2 3 2 2 2 3 2_Sheet4" xfId="5825"/>
    <cellStyle name="표준 4 2 3 2 2 2 3 3" xfId="5826"/>
    <cellStyle name="표준 4 2 3 2 2 2 3 3 2" xfId="13331"/>
    <cellStyle name="표준 4 2 3 2 2 2 3 3 2 2" xfId="35798"/>
    <cellStyle name="표준 4 2 3 2 2 2 3 3 3" xfId="20815"/>
    <cellStyle name="표준 4 2 3 2 2 2 3 3 3 2" xfId="43280"/>
    <cellStyle name="표준 4 2 3 2 2 2 3 3 4" xfId="28316"/>
    <cellStyle name="표준 4 2 3 2 2 2 3 4" xfId="13328"/>
    <cellStyle name="표준 4 2 3 2 2 2 3 4 2" xfId="35795"/>
    <cellStyle name="표준 4 2 3 2 2 2 3 5" xfId="20812"/>
    <cellStyle name="표준 4 2 3 2 2 2 3 5 2" xfId="43277"/>
    <cellStyle name="표준 4 2 3 2 2 2 3 6" xfId="28313"/>
    <cellStyle name="표준 4 2 3 2 2 2 3_Sheet4" xfId="5827"/>
    <cellStyle name="표준 4 2 3 2 2 2 4" xfId="5828"/>
    <cellStyle name="표준 4 2 3 2 2 2 4 2" xfId="5829"/>
    <cellStyle name="표준 4 2 3 2 2 2 4 2 2" xfId="13333"/>
    <cellStyle name="표준 4 2 3 2 2 2 4 2 2 2" xfId="35800"/>
    <cellStyle name="표준 4 2 3 2 2 2 4 2 3" xfId="20817"/>
    <cellStyle name="표준 4 2 3 2 2 2 4 2 3 2" xfId="43282"/>
    <cellStyle name="표준 4 2 3 2 2 2 4 2 4" xfId="28318"/>
    <cellStyle name="표준 4 2 3 2 2 2 4 3" xfId="13332"/>
    <cellStyle name="표준 4 2 3 2 2 2 4 3 2" xfId="35799"/>
    <cellStyle name="표준 4 2 3 2 2 2 4 4" xfId="20816"/>
    <cellStyle name="표준 4 2 3 2 2 2 4 4 2" xfId="43281"/>
    <cellStyle name="표준 4 2 3 2 2 2 4 5" xfId="28317"/>
    <cellStyle name="표준 4 2 3 2 2 2 4_Sheet4" xfId="5830"/>
    <cellStyle name="표준 4 2 3 2 2 2 5" xfId="5831"/>
    <cellStyle name="표준 4 2 3 2 2 2 5 2" xfId="13334"/>
    <cellStyle name="표준 4 2 3 2 2 2 5 2 2" xfId="35801"/>
    <cellStyle name="표준 4 2 3 2 2 2 5 3" xfId="20818"/>
    <cellStyle name="표준 4 2 3 2 2 2 5 3 2" xfId="43283"/>
    <cellStyle name="표준 4 2 3 2 2 2 5 4" xfId="28319"/>
    <cellStyle name="표준 4 2 3 2 2 2 6" xfId="13319"/>
    <cellStyle name="표준 4 2 3 2 2 2 6 2" xfId="35786"/>
    <cellStyle name="표준 4 2 3 2 2 2 7" xfId="20803"/>
    <cellStyle name="표준 4 2 3 2 2 2 7 2" xfId="43268"/>
    <cellStyle name="표준 4 2 3 2 2 2 8" xfId="28304"/>
    <cellStyle name="표준 4 2 3 2 2 2_Sheet4" xfId="5832"/>
    <cellStyle name="표준 4 2 3 2 2 3" xfId="5833"/>
    <cellStyle name="표준 4 2 3 2 2 3 2" xfId="5834"/>
    <cellStyle name="표준 4 2 3 2 2 3 2 2" xfId="5835"/>
    <cellStyle name="표준 4 2 3 2 2 3 2 2 2" xfId="5836"/>
    <cellStyle name="표준 4 2 3 2 2 3 2 2 2 2" xfId="5837"/>
    <cellStyle name="표준 4 2 3 2 2 3 2 2 2 2 2" xfId="13339"/>
    <cellStyle name="표준 4 2 3 2 2 3 2 2 2 2 2 2" xfId="35806"/>
    <cellStyle name="표준 4 2 3 2 2 3 2 2 2 2 3" xfId="20823"/>
    <cellStyle name="표준 4 2 3 2 2 3 2 2 2 2 3 2" xfId="43288"/>
    <cellStyle name="표준 4 2 3 2 2 3 2 2 2 2 4" xfId="28324"/>
    <cellStyle name="표준 4 2 3 2 2 3 2 2 2 3" xfId="13338"/>
    <cellStyle name="표준 4 2 3 2 2 3 2 2 2 3 2" xfId="35805"/>
    <cellStyle name="표준 4 2 3 2 2 3 2 2 2 4" xfId="20822"/>
    <cellStyle name="표준 4 2 3 2 2 3 2 2 2 4 2" xfId="43287"/>
    <cellStyle name="표준 4 2 3 2 2 3 2 2 2 5" xfId="28323"/>
    <cellStyle name="표준 4 2 3 2 2 3 2 2 2_Sheet4" xfId="5838"/>
    <cellStyle name="표준 4 2 3 2 2 3 2 2 3" xfId="5839"/>
    <cellStyle name="표준 4 2 3 2 2 3 2 2 3 2" xfId="13340"/>
    <cellStyle name="표준 4 2 3 2 2 3 2 2 3 2 2" xfId="35807"/>
    <cellStyle name="표준 4 2 3 2 2 3 2 2 3 3" xfId="20824"/>
    <cellStyle name="표준 4 2 3 2 2 3 2 2 3 3 2" xfId="43289"/>
    <cellStyle name="표준 4 2 3 2 2 3 2 2 3 4" xfId="28325"/>
    <cellStyle name="표준 4 2 3 2 2 3 2 2 4" xfId="13337"/>
    <cellStyle name="표준 4 2 3 2 2 3 2 2 4 2" xfId="35804"/>
    <cellStyle name="표준 4 2 3 2 2 3 2 2 5" xfId="20821"/>
    <cellStyle name="표준 4 2 3 2 2 3 2 2 5 2" xfId="43286"/>
    <cellStyle name="표준 4 2 3 2 2 3 2 2 6" xfId="28322"/>
    <cellStyle name="표준 4 2 3 2 2 3 2 2_Sheet4" xfId="5840"/>
    <cellStyle name="표준 4 2 3 2 2 3 2 3" xfId="5841"/>
    <cellStyle name="표준 4 2 3 2 2 3 2 3 2" xfId="5842"/>
    <cellStyle name="표준 4 2 3 2 2 3 2 3 2 2" xfId="13342"/>
    <cellStyle name="표준 4 2 3 2 2 3 2 3 2 2 2" xfId="35809"/>
    <cellStyle name="표준 4 2 3 2 2 3 2 3 2 3" xfId="20826"/>
    <cellStyle name="표준 4 2 3 2 2 3 2 3 2 3 2" xfId="43291"/>
    <cellStyle name="표준 4 2 3 2 2 3 2 3 2 4" xfId="28327"/>
    <cellStyle name="표준 4 2 3 2 2 3 2 3 3" xfId="13341"/>
    <cellStyle name="표준 4 2 3 2 2 3 2 3 3 2" xfId="35808"/>
    <cellStyle name="표준 4 2 3 2 2 3 2 3 4" xfId="20825"/>
    <cellStyle name="표준 4 2 3 2 2 3 2 3 4 2" xfId="43290"/>
    <cellStyle name="표준 4 2 3 2 2 3 2 3 5" xfId="28326"/>
    <cellStyle name="표준 4 2 3 2 2 3 2 3_Sheet4" xfId="5843"/>
    <cellStyle name="표준 4 2 3 2 2 3 2 4" xfId="5844"/>
    <cellStyle name="표준 4 2 3 2 2 3 2 4 2" xfId="13343"/>
    <cellStyle name="표준 4 2 3 2 2 3 2 4 2 2" xfId="35810"/>
    <cellStyle name="표준 4 2 3 2 2 3 2 4 3" xfId="20827"/>
    <cellStyle name="표준 4 2 3 2 2 3 2 4 3 2" xfId="43292"/>
    <cellStyle name="표준 4 2 3 2 2 3 2 4 4" xfId="28328"/>
    <cellStyle name="표준 4 2 3 2 2 3 2 5" xfId="13336"/>
    <cellStyle name="표준 4 2 3 2 2 3 2 5 2" xfId="35803"/>
    <cellStyle name="표준 4 2 3 2 2 3 2 6" xfId="20820"/>
    <cellStyle name="표준 4 2 3 2 2 3 2 6 2" xfId="43285"/>
    <cellStyle name="표준 4 2 3 2 2 3 2 7" xfId="28321"/>
    <cellStyle name="표준 4 2 3 2 2 3 2_Sheet4" xfId="5845"/>
    <cellStyle name="표준 4 2 3 2 2 3 3" xfId="5846"/>
    <cellStyle name="표준 4 2 3 2 2 3 3 2" xfId="5847"/>
    <cellStyle name="표준 4 2 3 2 2 3 3 2 2" xfId="5848"/>
    <cellStyle name="표준 4 2 3 2 2 3 3 2 2 2" xfId="13346"/>
    <cellStyle name="표준 4 2 3 2 2 3 3 2 2 2 2" xfId="35813"/>
    <cellStyle name="표준 4 2 3 2 2 3 3 2 2 3" xfId="20830"/>
    <cellStyle name="표준 4 2 3 2 2 3 3 2 2 3 2" xfId="43295"/>
    <cellStyle name="표준 4 2 3 2 2 3 3 2 2 4" xfId="28331"/>
    <cellStyle name="표준 4 2 3 2 2 3 3 2 3" xfId="13345"/>
    <cellStyle name="표준 4 2 3 2 2 3 3 2 3 2" xfId="35812"/>
    <cellStyle name="표준 4 2 3 2 2 3 3 2 4" xfId="20829"/>
    <cellStyle name="표준 4 2 3 2 2 3 3 2 4 2" xfId="43294"/>
    <cellStyle name="표준 4 2 3 2 2 3 3 2 5" xfId="28330"/>
    <cellStyle name="표준 4 2 3 2 2 3 3 2_Sheet4" xfId="5849"/>
    <cellStyle name="표준 4 2 3 2 2 3 3 3" xfId="5850"/>
    <cellStyle name="표준 4 2 3 2 2 3 3 3 2" xfId="13347"/>
    <cellStyle name="표준 4 2 3 2 2 3 3 3 2 2" xfId="35814"/>
    <cellStyle name="표준 4 2 3 2 2 3 3 3 3" xfId="20831"/>
    <cellStyle name="표준 4 2 3 2 2 3 3 3 3 2" xfId="43296"/>
    <cellStyle name="표준 4 2 3 2 2 3 3 3 4" xfId="28332"/>
    <cellStyle name="표준 4 2 3 2 2 3 3 4" xfId="13344"/>
    <cellStyle name="표준 4 2 3 2 2 3 3 4 2" xfId="35811"/>
    <cellStyle name="표준 4 2 3 2 2 3 3 5" xfId="20828"/>
    <cellStyle name="표준 4 2 3 2 2 3 3 5 2" xfId="43293"/>
    <cellStyle name="표준 4 2 3 2 2 3 3 6" xfId="28329"/>
    <cellStyle name="표준 4 2 3 2 2 3 3_Sheet4" xfId="5851"/>
    <cellStyle name="표준 4 2 3 2 2 3 4" xfId="5852"/>
    <cellStyle name="표준 4 2 3 2 2 3 4 2" xfId="5853"/>
    <cellStyle name="표준 4 2 3 2 2 3 4 2 2" xfId="13349"/>
    <cellStyle name="표준 4 2 3 2 2 3 4 2 2 2" xfId="35816"/>
    <cellStyle name="표준 4 2 3 2 2 3 4 2 3" xfId="20833"/>
    <cellStyle name="표준 4 2 3 2 2 3 4 2 3 2" xfId="43298"/>
    <cellStyle name="표준 4 2 3 2 2 3 4 2 4" xfId="28334"/>
    <cellStyle name="표준 4 2 3 2 2 3 4 3" xfId="13348"/>
    <cellStyle name="표준 4 2 3 2 2 3 4 3 2" xfId="35815"/>
    <cellStyle name="표준 4 2 3 2 2 3 4 4" xfId="20832"/>
    <cellStyle name="표준 4 2 3 2 2 3 4 4 2" xfId="43297"/>
    <cellStyle name="표준 4 2 3 2 2 3 4 5" xfId="28333"/>
    <cellStyle name="표준 4 2 3 2 2 3 4_Sheet4" xfId="5854"/>
    <cellStyle name="표준 4 2 3 2 2 3 5" xfId="5855"/>
    <cellStyle name="표준 4 2 3 2 2 3 5 2" xfId="13350"/>
    <cellStyle name="표준 4 2 3 2 2 3 5 2 2" xfId="35817"/>
    <cellStyle name="표준 4 2 3 2 2 3 5 3" xfId="20834"/>
    <cellStyle name="표준 4 2 3 2 2 3 5 3 2" xfId="43299"/>
    <cellStyle name="표준 4 2 3 2 2 3 5 4" xfId="28335"/>
    <cellStyle name="표준 4 2 3 2 2 3 6" xfId="13335"/>
    <cellStyle name="표준 4 2 3 2 2 3 6 2" xfId="35802"/>
    <cellStyle name="표준 4 2 3 2 2 3 7" xfId="20819"/>
    <cellStyle name="표준 4 2 3 2 2 3 7 2" xfId="43284"/>
    <cellStyle name="표준 4 2 3 2 2 3 8" xfId="28320"/>
    <cellStyle name="표준 4 2 3 2 2 3_Sheet4" xfId="5856"/>
    <cellStyle name="표준 4 2 3 2 2 4" xfId="5857"/>
    <cellStyle name="표준 4 2 3 2 2 4 2" xfId="5858"/>
    <cellStyle name="표준 4 2 3 2 2 4 2 2" xfId="5859"/>
    <cellStyle name="표준 4 2 3 2 2 4 2 2 2" xfId="5860"/>
    <cellStyle name="표준 4 2 3 2 2 4 2 2 2 2" xfId="13354"/>
    <cellStyle name="표준 4 2 3 2 2 4 2 2 2 2 2" xfId="35821"/>
    <cellStyle name="표준 4 2 3 2 2 4 2 2 2 3" xfId="20838"/>
    <cellStyle name="표준 4 2 3 2 2 4 2 2 2 3 2" xfId="43303"/>
    <cellStyle name="표준 4 2 3 2 2 4 2 2 2 4" xfId="28339"/>
    <cellStyle name="표준 4 2 3 2 2 4 2 2 3" xfId="13353"/>
    <cellStyle name="표준 4 2 3 2 2 4 2 2 3 2" xfId="35820"/>
    <cellStyle name="표준 4 2 3 2 2 4 2 2 4" xfId="20837"/>
    <cellStyle name="표준 4 2 3 2 2 4 2 2 4 2" xfId="43302"/>
    <cellStyle name="표준 4 2 3 2 2 4 2 2 5" xfId="28338"/>
    <cellStyle name="표준 4 2 3 2 2 4 2 3" xfId="5861"/>
    <cellStyle name="표준 4 2 3 2 2 4 2 3 2" xfId="13355"/>
    <cellStyle name="표준 4 2 3 2 2 4 2 3 2 2" xfId="35822"/>
    <cellStyle name="표준 4 2 3 2 2 4 2 3 3" xfId="20839"/>
    <cellStyle name="표준 4 2 3 2 2 4 2 3 3 2" xfId="43304"/>
    <cellStyle name="표준 4 2 3 2 2 4 2 3 4" xfId="28340"/>
    <cellStyle name="표준 4 2 3 2 2 4 2 4" xfId="13352"/>
    <cellStyle name="표준 4 2 3 2 2 4 2 4 2" xfId="35819"/>
    <cellStyle name="표준 4 2 3 2 2 4 2 5" xfId="20836"/>
    <cellStyle name="표준 4 2 3 2 2 4 2 5 2" xfId="43301"/>
    <cellStyle name="표준 4 2 3 2 2 4 2 6" xfId="28337"/>
    <cellStyle name="표준 4 2 3 2 2 4 2_Sheet4" xfId="5862"/>
    <cellStyle name="표준 4 2 3 2 2 4 3" xfId="5863"/>
    <cellStyle name="표준 4 2 3 2 2 4 3 2" xfId="5864"/>
    <cellStyle name="표준 4 2 3 2 2 4 3 2 2" xfId="13357"/>
    <cellStyle name="표준 4 2 3 2 2 4 3 2 2 2" xfId="35824"/>
    <cellStyle name="표준 4 2 3 2 2 4 3 2 3" xfId="20841"/>
    <cellStyle name="표준 4 2 3 2 2 4 3 2 3 2" xfId="43306"/>
    <cellStyle name="표준 4 2 3 2 2 4 3 2 4" xfId="28342"/>
    <cellStyle name="표준 4 2 3 2 2 4 3 3" xfId="13356"/>
    <cellStyle name="표준 4 2 3 2 2 4 3 3 2" xfId="35823"/>
    <cellStyle name="표준 4 2 3 2 2 4 3 4" xfId="20840"/>
    <cellStyle name="표준 4 2 3 2 2 4 3 4 2" xfId="43305"/>
    <cellStyle name="표준 4 2 3 2 2 4 3 5" xfId="28341"/>
    <cellStyle name="표준 4 2 3 2 2 4 4" xfId="5865"/>
    <cellStyle name="표준 4 2 3 2 2 4 4 2" xfId="13358"/>
    <cellStyle name="표준 4 2 3 2 2 4 4 2 2" xfId="35825"/>
    <cellStyle name="표준 4 2 3 2 2 4 4 3" xfId="20842"/>
    <cellStyle name="표준 4 2 3 2 2 4 4 3 2" xfId="43307"/>
    <cellStyle name="표준 4 2 3 2 2 4 4 4" xfId="28343"/>
    <cellStyle name="표준 4 2 3 2 2 4 5" xfId="13351"/>
    <cellStyle name="표준 4 2 3 2 2 4 5 2" xfId="35818"/>
    <cellStyle name="표준 4 2 3 2 2 4 6" xfId="20835"/>
    <cellStyle name="표준 4 2 3 2 2 4 6 2" xfId="43300"/>
    <cellStyle name="표준 4 2 3 2 2 4 7" xfId="28336"/>
    <cellStyle name="표준 4 2 3 2 2 4_Sheet4" xfId="5866"/>
    <cellStyle name="표준 4 2 3 2 2 5" xfId="5867"/>
    <cellStyle name="표준 4 2 3 2 2 5 2" xfId="5868"/>
    <cellStyle name="표준 4 2 3 2 2 5 2 2" xfId="5869"/>
    <cellStyle name="표준 4 2 3 2 2 5 2 2 2" xfId="13361"/>
    <cellStyle name="표준 4 2 3 2 2 5 2 2 2 2" xfId="35828"/>
    <cellStyle name="표준 4 2 3 2 2 5 2 2 3" xfId="20845"/>
    <cellStyle name="표준 4 2 3 2 2 5 2 2 3 2" xfId="43310"/>
    <cellStyle name="표준 4 2 3 2 2 5 2 2 4" xfId="28346"/>
    <cellStyle name="표준 4 2 3 2 2 5 2 3" xfId="13360"/>
    <cellStyle name="표준 4 2 3 2 2 5 2 3 2" xfId="35827"/>
    <cellStyle name="표준 4 2 3 2 2 5 2 4" xfId="20844"/>
    <cellStyle name="표준 4 2 3 2 2 5 2 4 2" xfId="43309"/>
    <cellStyle name="표준 4 2 3 2 2 5 2 5" xfId="28345"/>
    <cellStyle name="표준 4 2 3 2 2 5 3" xfId="5870"/>
    <cellStyle name="표준 4 2 3 2 2 5 3 2" xfId="13362"/>
    <cellStyle name="표준 4 2 3 2 2 5 3 2 2" xfId="35829"/>
    <cellStyle name="표준 4 2 3 2 2 5 3 3" xfId="20846"/>
    <cellStyle name="표준 4 2 3 2 2 5 3 3 2" xfId="43311"/>
    <cellStyle name="표준 4 2 3 2 2 5 3 4" xfId="28347"/>
    <cellStyle name="표준 4 2 3 2 2 5 4" xfId="13359"/>
    <cellStyle name="표준 4 2 3 2 2 5 4 2" xfId="35826"/>
    <cellStyle name="표준 4 2 3 2 2 5 5" xfId="20843"/>
    <cellStyle name="표준 4 2 3 2 2 5 5 2" xfId="43308"/>
    <cellStyle name="표준 4 2 3 2 2 5 6" xfId="28344"/>
    <cellStyle name="표준 4 2 3 2 2 6" xfId="5871"/>
    <cellStyle name="표준 4 2 3 2 2 6 2" xfId="5872"/>
    <cellStyle name="표준 4 2 3 2 2 6 2 2" xfId="13364"/>
    <cellStyle name="표준 4 2 3 2 2 6 2 2 2" xfId="35831"/>
    <cellStyle name="표준 4 2 3 2 2 6 2 3" xfId="20848"/>
    <cellStyle name="표준 4 2 3 2 2 6 2 3 2" xfId="43313"/>
    <cellStyle name="표준 4 2 3 2 2 6 2 4" xfId="28349"/>
    <cellStyle name="표준 4 2 3 2 2 6 3" xfId="13363"/>
    <cellStyle name="표준 4 2 3 2 2 6 3 2" xfId="35830"/>
    <cellStyle name="표준 4 2 3 2 2 6 4" xfId="20847"/>
    <cellStyle name="표준 4 2 3 2 2 6 4 2" xfId="43312"/>
    <cellStyle name="표준 4 2 3 2 2 6 5" xfId="28348"/>
    <cellStyle name="표준 4 2 3 2 2 7" xfId="5873"/>
    <cellStyle name="표준 4 2 3 2 2 7 2" xfId="13365"/>
    <cellStyle name="표준 4 2 3 2 2 7 2 2" xfId="35832"/>
    <cellStyle name="표준 4 2 3 2 2 7 3" xfId="20849"/>
    <cellStyle name="표준 4 2 3 2 2 7 3 2" xfId="43314"/>
    <cellStyle name="표준 4 2 3 2 2 7 4" xfId="28350"/>
    <cellStyle name="표준 4 2 3 2 2 8" xfId="13318"/>
    <cellStyle name="표준 4 2 3 2 2 8 2" xfId="35785"/>
    <cellStyle name="표준 4 2 3 2 2 9" xfId="20802"/>
    <cellStyle name="표준 4 2 3 2 2 9 2" xfId="43267"/>
    <cellStyle name="표준 4 2 3 2 2_Sheet4" xfId="5874"/>
    <cellStyle name="표준 4 2 3 2 3" xfId="5875"/>
    <cellStyle name="표준 4 2 3 2 3 2" xfId="5876"/>
    <cellStyle name="표준 4 2 3 2 3 2 2" xfId="5877"/>
    <cellStyle name="표준 4 2 3 2 3 2 2 2" xfId="5878"/>
    <cellStyle name="표준 4 2 3 2 3 2 2 2 2" xfId="5879"/>
    <cellStyle name="표준 4 2 3 2 3 2 2 2 2 2" xfId="13370"/>
    <cellStyle name="표준 4 2 3 2 3 2 2 2 2 2 2" xfId="35837"/>
    <cellStyle name="표준 4 2 3 2 3 2 2 2 2 3" xfId="20854"/>
    <cellStyle name="표준 4 2 3 2 3 2 2 2 2 3 2" xfId="43319"/>
    <cellStyle name="표준 4 2 3 2 3 2 2 2 2 4" xfId="28355"/>
    <cellStyle name="표준 4 2 3 2 3 2 2 2 3" xfId="13369"/>
    <cellStyle name="표준 4 2 3 2 3 2 2 2 3 2" xfId="35836"/>
    <cellStyle name="표준 4 2 3 2 3 2 2 2 4" xfId="20853"/>
    <cellStyle name="표준 4 2 3 2 3 2 2 2 4 2" xfId="43318"/>
    <cellStyle name="표준 4 2 3 2 3 2 2 2 5" xfId="28354"/>
    <cellStyle name="표준 4 2 3 2 3 2 2 3" xfId="5880"/>
    <cellStyle name="표준 4 2 3 2 3 2 2 3 2" xfId="13371"/>
    <cellStyle name="표준 4 2 3 2 3 2 2 3 2 2" xfId="35838"/>
    <cellStyle name="표준 4 2 3 2 3 2 2 3 3" xfId="20855"/>
    <cellStyle name="표준 4 2 3 2 3 2 2 3 3 2" xfId="43320"/>
    <cellStyle name="표준 4 2 3 2 3 2 2 3 4" xfId="28356"/>
    <cellStyle name="표준 4 2 3 2 3 2 2 4" xfId="13368"/>
    <cellStyle name="표준 4 2 3 2 3 2 2 4 2" xfId="35835"/>
    <cellStyle name="표준 4 2 3 2 3 2 2 5" xfId="20852"/>
    <cellStyle name="표준 4 2 3 2 3 2 2 5 2" xfId="43317"/>
    <cellStyle name="표준 4 2 3 2 3 2 2 6" xfId="28353"/>
    <cellStyle name="표준 4 2 3 2 3 2 3" xfId="5881"/>
    <cellStyle name="표준 4 2 3 2 3 2 3 2" xfId="5882"/>
    <cellStyle name="표준 4 2 3 2 3 2 3 2 2" xfId="13373"/>
    <cellStyle name="표준 4 2 3 2 3 2 3 2 2 2" xfId="35840"/>
    <cellStyle name="표준 4 2 3 2 3 2 3 2 3" xfId="20857"/>
    <cellStyle name="표준 4 2 3 2 3 2 3 2 3 2" xfId="43322"/>
    <cellStyle name="표준 4 2 3 2 3 2 3 2 4" xfId="28358"/>
    <cellStyle name="표준 4 2 3 2 3 2 3 3" xfId="13372"/>
    <cellStyle name="표준 4 2 3 2 3 2 3 3 2" xfId="35839"/>
    <cellStyle name="표준 4 2 3 2 3 2 3 4" xfId="20856"/>
    <cellStyle name="표준 4 2 3 2 3 2 3 4 2" xfId="43321"/>
    <cellStyle name="표준 4 2 3 2 3 2 3 5" xfId="28357"/>
    <cellStyle name="표준 4 2 3 2 3 2 4" xfId="5883"/>
    <cellStyle name="표준 4 2 3 2 3 2 4 2" xfId="13374"/>
    <cellStyle name="표준 4 2 3 2 3 2 4 2 2" xfId="35841"/>
    <cellStyle name="표준 4 2 3 2 3 2 4 3" xfId="20858"/>
    <cellStyle name="표준 4 2 3 2 3 2 4 3 2" xfId="43323"/>
    <cellStyle name="표준 4 2 3 2 3 2 4 4" xfId="28359"/>
    <cellStyle name="표준 4 2 3 2 3 2 5" xfId="13367"/>
    <cellStyle name="표준 4 2 3 2 3 2 5 2" xfId="35834"/>
    <cellStyle name="표준 4 2 3 2 3 2 6" xfId="20851"/>
    <cellStyle name="표준 4 2 3 2 3 2 6 2" xfId="43316"/>
    <cellStyle name="표준 4 2 3 2 3 2 7" xfId="28352"/>
    <cellStyle name="표준 4 2 3 2 3 3" xfId="5884"/>
    <cellStyle name="표준 4 2 3 2 3 3 2" xfId="5885"/>
    <cellStyle name="표준 4 2 3 2 3 3 2 2" xfId="5886"/>
    <cellStyle name="표준 4 2 3 2 3 3 2 2 2" xfId="13377"/>
    <cellStyle name="표준 4 2 3 2 3 3 2 2 2 2" xfId="35844"/>
    <cellStyle name="표준 4 2 3 2 3 3 2 2 3" xfId="20861"/>
    <cellStyle name="표준 4 2 3 2 3 3 2 2 3 2" xfId="43326"/>
    <cellStyle name="표준 4 2 3 2 3 3 2 2 4" xfId="28362"/>
    <cellStyle name="표준 4 2 3 2 3 3 2 3" xfId="13376"/>
    <cellStyle name="표준 4 2 3 2 3 3 2 3 2" xfId="35843"/>
    <cellStyle name="표준 4 2 3 2 3 3 2 4" xfId="20860"/>
    <cellStyle name="표준 4 2 3 2 3 3 2 4 2" xfId="43325"/>
    <cellStyle name="표준 4 2 3 2 3 3 2 5" xfId="28361"/>
    <cellStyle name="표준 4 2 3 2 3 3 3" xfId="5887"/>
    <cellStyle name="표준 4 2 3 2 3 3 3 2" xfId="13378"/>
    <cellStyle name="표준 4 2 3 2 3 3 3 2 2" xfId="35845"/>
    <cellStyle name="표준 4 2 3 2 3 3 3 3" xfId="20862"/>
    <cellStyle name="표준 4 2 3 2 3 3 3 3 2" xfId="43327"/>
    <cellStyle name="표준 4 2 3 2 3 3 3 4" xfId="28363"/>
    <cellStyle name="표준 4 2 3 2 3 3 4" xfId="13375"/>
    <cellStyle name="표준 4 2 3 2 3 3 4 2" xfId="35842"/>
    <cellStyle name="표준 4 2 3 2 3 3 5" xfId="20859"/>
    <cellStyle name="표준 4 2 3 2 3 3 5 2" xfId="43324"/>
    <cellStyle name="표준 4 2 3 2 3 3 6" xfId="28360"/>
    <cellStyle name="표준 4 2 3 2 3 4" xfId="5888"/>
    <cellStyle name="표준 4 2 3 2 3 4 2" xfId="5889"/>
    <cellStyle name="표준 4 2 3 2 3 4 2 2" xfId="13380"/>
    <cellStyle name="표준 4 2 3 2 3 4 2 2 2" xfId="35847"/>
    <cellStyle name="표준 4 2 3 2 3 4 2 3" xfId="20864"/>
    <cellStyle name="표준 4 2 3 2 3 4 2 3 2" xfId="43329"/>
    <cellStyle name="표준 4 2 3 2 3 4 2 4" xfId="28365"/>
    <cellStyle name="표준 4 2 3 2 3 4 3" xfId="13379"/>
    <cellStyle name="표준 4 2 3 2 3 4 3 2" xfId="35846"/>
    <cellStyle name="표준 4 2 3 2 3 4 4" xfId="20863"/>
    <cellStyle name="표준 4 2 3 2 3 4 4 2" xfId="43328"/>
    <cellStyle name="표준 4 2 3 2 3 4 5" xfId="28364"/>
    <cellStyle name="표준 4 2 3 2 3 5" xfId="5890"/>
    <cellStyle name="표준 4 2 3 2 3 5 2" xfId="13381"/>
    <cellStyle name="표준 4 2 3 2 3 5 2 2" xfId="35848"/>
    <cellStyle name="표준 4 2 3 2 3 5 3" xfId="20865"/>
    <cellStyle name="표준 4 2 3 2 3 5 3 2" xfId="43330"/>
    <cellStyle name="표준 4 2 3 2 3 5 4" xfId="28366"/>
    <cellStyle name="표준 4 2 3 2 3 6" xfId="13366"/>
    <cellStyle name="표준 4 2 3 2 3 6 2" xfId="35833"/>
    <cellStyle name="표준 4 2 3 2 3 7" xfId="20850"/>
    <cellStyle name="표준 4 2 3 2 3 7 2" xfId="43315"/>
    <cellStyle name="표준 4 2 3 2 3 8" xfId="28351"/>
    <cellStyle name="표준 4 2 3 2 4" xfId="5891"/>
    <cellStyle name="표준 4 2 3 2 4 2" xfId="5892"/>
    <cellStyle name="표준 4 2 3 2 4 2 2" xfId="5893"/>
    <cellStyle name="표준 4 2 3 2 4 2 2 2" xfId="5894"/>
    <cellStyle name="표준 4 2 3 2 4 2 2 2 2" xfId="5895"/>
    <cellStyle name="표준 4 2 3 2 4 2 2 2 2 2" xfId="13386"/>
    <cellStyle name="표준 4 2 3 2 4 2 2 2 2 2 2" xfId="35853"/>
    <cellStyle name="표준 4 2 3 2 4 2 2 2 2 3" xfId="20870"/>
    <cellStyle name="표준 4 2 3 2 4 2 2 2 2 3 2" xfId="43335"/>
    <cellStyle name="표준 4 2 3 2 4 2 2 2 2 4" xfId="28371"/>
    <cellStyle name="표준 4 2 3 2 4 2 2 2 3" xfId="13385"/>
    <cellStyle name="표준 4 2 3 2 4 2 2 2 3 2" xfId="35852"/>
    <cellStyle name="표준 4 2 3 2 4 2 2 2 4" xfId="20869"/>
    <cellStyle name="표준 4 2 3 2 4 2 2 2 4 2" xfId="43334"/>
    <cellStyle name="표준 4 2 3 2 4 2 2 2 5" xfId="28370"/>
    <cellStyle name="표준 4 2 3 2 4 2 2 3" xfId="5896"/>
    <cellStyle name="표준 4 2 3 2 4 2 2 3 2" xfId="13387"/>
    <cellStyle name="표준 4 2 3 2 4 2 2 3 2 2" xfId="35854"/>
    <cellStyle name="표준 4 2 3 2 4 2 2 3 3" xfId="20871"/>
    <cellStyle name="표준 4 2 3 2 4 2 2 3 3 2" xfId="43336"/>
    <cellStyle name="표준 4 2 3 2 4 2 2 3 4" xfId="28372"/>
    <cellStyle name="표준 4 2 3 2 4 2 2 4" xfId="13384"/>
    <cellStyle name="표준 4 2 3 2 4 2 2 4 2" xfId="35851"/>
    <cellStyle name="표준 4 2 3 2 4 2 2 5" xfId="20868"/>
    <cellStyle name="표준 4 2 3 2 4 2 2 5 2" xfId="43333"/>
    <cellStyle name="표준 4 2 3 2 4 2 2 6" xfId="28369"/>
    <cellStyle name="표준 4 2 3 2 4 2 3" xfId="5897"/>
    <cellStyle name="표준 4 2 3 2 4 2 3 2" xfId="5898"/>
    <cellStyle name="표준 4 2 3 2 4 2 3 2 2" xfId="13389"/>
    <cellStyle name="표준 4 2 3 2 4 2 3 2 2 2" xfId="35856"/>
    <cellStyle name="표준 4 2 3 2 4 2 3 2 3" xfId="20873"/>
    <cellStyle name="표준 4 2 3 2 4 2 3 2 3 2" xfId="43338"/>
    <cellStyle name="표준 4 2 3 2 4 2 3 2 4" xfId="28374"/>
    <cellStyle name="표준 4 2 3 2 4 2 3 3" xfId="13388"/>
    <cellStyle name="표준 4 2 3 2 4 2 3 3 2" xfId="35855"/>
    <cellStyle name="표준 4 2 3 2 4 2 3 4" xfId="20872"/>
    <cellStyle name="표준 4 2 3 2 4 2 3 4 2" xfId="43337"/>
    <cellStyle name="표준 4 2 3 2 4 2 3 5" xfId="28373"/>
    <cellStyle name="표준 4 2 3 2 4 2 4" xfId="5899"/>
    <cellStyle name="표준 4 2 3 2 4 2 4 2" xfId="13390"/>
    <cellStyle name="표준 4 2 3 2 4 2 4 2 2" xfId="35857"/>
    <cellStyle name="표준 4 2 3 2 4 2 4 3" xfId="20874"/>
    <cellStyle name="표준 4 2 3 2 4 2 4 3 2" xfId="43339"/>
    <cellStyle name="표준 4 2 3 2 4 2 4 4" xfId="28375"/>
    <cellStyle name="표준 4 2 3 2 4 2 5" xfId="13383"/>
    <cellStyle name="표준 4 2 3 2 4 2 5 2" xfId="35850"/>
    <cellStyle name="표준 4 2 3 2 4 2 6" xfId="20867"/>
    <cellStyle name="표준 4 2 3 2 4 2 6 2" xfId="43332"/>
    <cellStyle name="표준 4 2 3 2 4 2 7" xfId="28368"/>
    <cellStyle name="표준 4 2 3 2 4 3" xfId="5900"/>
    <cellStyle name="표준 4 2 3 2 4 3 2" xfId="5901"/>
    <cellStyle name="표준 4 2 3 2 4 3 2 2" xfId="5902"/>
    <cellStyle name="표준 4 2 3 2 4 3 2 2 2" xfId="13393"/>
    <cellStyle name="표준 4 2 3 2 4 3 2 2 2 2" xfId="35860"/>
    <cellStyle name="표준 4 2 3 2 4 3 2 2 3" xfId="20877"/>
    <cellStyle name="표준 4 2 3 2 4 3 2 2 3 2" xfId="43342"/>
    <cellStyle name="표준 4 2 3 2 4 3 2 2 4" xfId="28378"/>
    <cellStyle name="표준 4 2 3 2 4 3 2 3" xfId="13392"/>
    <cellStyle name="표준 4 2 3 2 4 3 2 3 2" xfId="35859"/>
    <cellStyle name="표준 4 2 3 2 4 3 2 4" xfId="20876"/>
    <cellStyle name="표준 4 2 3 2 4 3 2 4 2" xfId="43341"/>
    <cellStyle name="표준 4 2 3 2 4 3 2 5" xfId="28377"/>
    <cellStyle name="표준 4 2 3 2 4 3 3" xfId="5903"/>
    <cellStyle name="표준 4 2 3 2 4 3 3 2" xfId="13394"/>
    <cellStyle name="표준 4 2 3 2 4 3 3 2 2" xfId="35861"/>
    <cellStyle name="표준 4 2 3 2 4 3 3 3" xfId="20878"/>
    <cellStyle name="표준 4 2 3 2 4 3 3 3 2" xfId="43343"/>
    <cellStyle name="표준 4 2 3 2 4 3 3 4" xfId="28379"/>
    <cellStyle name="표준 4 2 3 2 4 3 4" xfId="13391"/>
    <cellStyle name="표준 4 2 3 2 4 3 4 2" xfId="35858"/>
    <cellStyle name="표준 4 2 3 2 4 3 5" xfId="20875"/>
    <cellStyle name="표준 4 2 3 2 4 3 5 2" xfId="43340"/>
    <cellStyle name="표준 4 2 3 2 4 3 6" xfId="28376"/>
    <cellStyle name="표준 4 2 3 2 4 4" xfId="5904"/>
    <cellStyle name="표준 4 2 3 2 4 4 2" xfId="5905"/>
    <cellStyle name="표준 4 2 3 2 4 4 2 2" xfId="13396"/>
    <cellStyle name="표준 4 2 3 2 4 4 2 2 2" xfId="35863"/>
    <cellStyle name="표준 4 2 3 2 4 4 2 3" xfId="20880"/>
    <cellStyle name="표준 4 2 3 2 4 4 2 3 2" xfId="43345"/>
    <cellStyle name="표준 4 2 3 2 4 4 2 4" xfId="28381"/>
    <cellStyle name="표준 4 2 3 2 4 4 3" xfId="13395"/>
    <cellStyle name="표준 4 2 3 2 4 4 3 2" xfId="35862"/>
    <cellStyle name="표준 4 2 3 2 4 4 4" xfId="20879"/>
    <cellStyle name="표준 4 2 3 2 4 4 4 2" xfId="43344"/>
    <cellStyle name="표준 4 2 3 2 4 4 5" xfId="28380"/>
    <cellStyle name="표준 4 2 3 2 4 5" xfId="5906"/>
    <cellStyle name="표준 4 2 3 2 4 5 2" xfId="13397"/>
    <cellStyle name="표준 4 2 3 2 4 5 2 2" xfId="35864"/>
    <cellStyle name="표준 4 2 3 2 4 5 3" xfId="20881"/>
    <cellStyle name="표준 4 2 3 2 4 5 3 2" xfId="43346"/>
    <cellStyle name="표준 4 2 3 2 4 5 4" xfId="28382"/>
    <cellStyle name="표준 4 2 3 2 4 6" xfId="13382"/>
    <cellStyle name="표준 4 2 3 2 4 6 2" xfId="35849"/>
    <cellStyle name="표준 4 2 3 2 4 7" xfId="20866"/>
    <cellStyle name="표준 4 2 3 2 4 7 2" xfId="43331"/>
    <cellStyle name="표준 4 2 3 2 4 8" xfId="28367"/>
    <cellStyle name="표준 4 2 3 2 5" xfId="5907"/>
    <cellStyle name="표준 4 2 3 2 5 2" xfId="5908"/>
    <cellStyle name="표준 4 2 3 2 5 2 2" xfId="5909"/>
    <cellStyle name="표준 4 2 3 2 5 2 2 2" xfId="5910"/>
    <cellStyle name="표준 4 2 3 2 5 2 2 2 2" xfId="13401"/>
    <cellStyle name="표준 4 2 3 2 5 2 2 2 2 2" xfId="35868"/>
    <cellStyle name="표준 4 2 3 2 5 2 2 2 3" xfId="20885"/>
    <cellStyle name="표준 4 2 3 2 5 2 2 2 3 2" xfId="43350"/>
    <cellStyle name="표준 4 2 3 2 5 2 2 2 4" xfId="28386"/>
    <cellStyle name="표준 4 2 3 2 5 2 2 3" xfId="13400"/>
    <cellStyle name="표준 4 2 3 2 5 2 2 3 2" xfId="35867"/>
    <cellStyle name="표준 4 2 3 2 5 2 2 4" xfId="20884"/>
    <cellStyle name="표준 4 2 3 2 5 2 2 4 2" xfId="43349"/>
    <cellStyle name="표준 4 2 3 2 5 2 2 5" xfId="28385"/>
    <cellStyle name="표준 4 2 3 2 5 2 3" xfId="5911"/>
    <cellStyle name="표준 4 2 3 2 5 2 3 2" xfId="13402"/>
    <cellStyle name="표준 4 2 3 2 5 2 3 2 2" xfId="35869"/>
    <cellStyle name="표준 4 2 3 2 5 2 3 3" xfId="20886"/>
    <cellStyle name="표준 4 2 3 2 5 2 3 3 2" xfId="43351"/>
    <cellStyle name="표준 4 2 3 2 5 2 3 4" xfId="28387"/>
    <cellStyle name="표준 4 2 3 2 5 2 4" xfId="13399"/>
    <cellStyle name="표준 4 2 3 2 5 2 4 2" xfId="35866"/>
    <cellStyle name="표준 4 2 3 2 5 2 5" xfId="20883"/>
    <cellStyle name="표준 4 2 3 2 5 2 5 2" xfId="43348"/>
    <cellStyle name="표준 4 2 3 2 5 2 6" xfId="28384"/>
    <cellStyle name="표준 4 2 3 2 5 3" xfId="5912"/>
    <cellStyle name="표준 4 2 3 2 5 3 2" xfId="5913"/>
    <cellStyle name="표준 4 2 3 2 5 3 2 2" xfId="13404"/>
    <cellStyle name="표준 4 2 3 2 5 3 2 2 2" xfId="35871"/>
    <cellStyle name="표준 4 2 3 2 5 3 2 3" xfId="20888"/>
    <cellStyle name="표준 4 2 3 2 5 3 2 3 2" xfId="43353"/>
    <cellStyle name="표준 4 2 3 2 5 3 2 4" xfId="28389"/>
    <cellStyle name="표준 4 2 3 2 5 3 3" xfId="13403"/>
    <cellStyle name="표준 4 2 3 2 5 3 3 2" xfId="35870"/>
    <cellStyle name="표준 4 2 3 2 5 3 4" xfId="20887"/>
    <cellStyle name="표준 4 2 3 2 5 3 4 2" xfId="43352"/>
    <cellStyle name="표준 4 2 3 2 5 3 5" xfId="28388"/>
    <cellStyle name="표준 4 2 3 2 5 4" xfId="5914"/>
    <cellStyle name="표준 4 2 3 2 5 4 2" xfId="13405"/>
    <cellStyle name="표준 4 2 3 2 5 4 2 2" xfId="35872"/>
    <cellStyle name="표준 4 2 3 2 5 4 3" xfId="20889"/>
    <cellStyle name="표준 4 2 3 2 5 4 3 2" xfId="43354"/>
    <cellStyle name="표준 4 2 3 2 5 4 4" xfId="28390"/>
    <cellStyle name="표준 4 2 3 2 5 5" xfId="13398"/>
    <cellStyle name="표준 4 2 3 2 5 5 2" xfId="35865"/>
    <cellStyle name="표준 4 2 3 2 5 6" xfId="20882"/>
    <cellStyle name="표준 4 2 3 2 5 6 2" xfId="43347"/>
    <cellStyle name="표준 4 2 3 2 5 7" xfId="28383"/>
    <cellStyle name="표준 4 2 3 2 6" xfId="5915"/>
    <cellStyle name="표준 4 2 3 2 6 2" xfId="5916"/>
    <cellStyle name="표준 4 2 3 2 6 2 2" xfId="5917"/>
    <cellStyle name="표준 4 2 3 2 6 2 2 2" xfId="13408"/>
    <cellStyle name="표준 4 2 3 2 6 2 2 2 2" xfId="35875"/>
    <cellStyle name="표준 4 2 3 2 6 2 2 3" xfId="20892"/>
    <cellStyle name="표준 4 2 3 2 6 2 2 3 2" xfId="43357"/>
    <cellStyle name="표준 4 2 3 2 6 2 2 4" xfId="28393"/>
    <cellStyle name="표준 4 2 3 2 6 2 3" xfId="13407"/>
    <cellStyle name="표준 4 2 3 2 6 2 3 2" xfId="35874"/>
    <cellStyle name="표준 4 2 3 2 6 2 4" xfId="20891"/>
    <cellStyle name="표준 4 2 3 2 6 2 4 2" xfId="43356"/>
    <cellStyle name="표준 4 2 3 2 6 2 5" xfId="28392"/>
    <cellStyle name="표준 4 2 3 2 6 3" xfId="5918"/>
    <cellStyle name="표준 4 2 3 2 6 3 2" xfId="13409"/>
    <cellStyle name="표준 4 2 3 2 6 3 2 2" xfId="35876"/>
    <cellStyle name="표준 4 2 3 2 6 3 3" xfId="20893"/>
    <cellStyle name="표준 4 2 3 2 6 3 3 2" xfId="43358"/>
    <cellStyle name="표준 4 2 3 2 6 3 4" xfId="28394"/>
    <cellStyle name="표준 4 2 3 2 6 4" xfId="13406"/>
    <cellStyle name="표준 4 2 3 2 6 4 2" xfId="35873"/>
    <cellStyle name="표준 4 2 3 2 6 5" xfId="20890"/>
    <cellStyle name="표준 4 2 3 2 6 5 2" xfId="43355"/>
    <cellStyle name="표준 4 2 3 2 6 6" xfId="28391"/>
    <cellStyle name="표준 4 2 3 2 7" xfId="5919"/>
    <cellStyle name="표준 4 2 3 2 7 2" xfId="5920"/>
    <cellStyle name="표준 4 2 3 2 7 2 2" xfId="5921"/>
    <cellStyle name="표준 4 2 3 2 7 2 2 2" xfId="13412"/>
    <cellStyle name="표준 4 2 3 2 7 2 2 2 2" xfId="35879"/>
    <cellStyle name="표준 4 2 3 2 7 2 2 3" xfId="20896"/>
    <cellStyle name="표준 4 2 3 2 7 2 2 3 2" xfId="43361"/>
    <cellStyle name="표준 4 2 3 2 7 2 2 4" xfId="28397"/>
    <cellStyle name="표준 4 2 3 2 7 2 3" xfId="13411"/>
    <cellStyle name="표준 4 2 3 2 7 2 3 2" xfId="35878"/>
    <cellStyle name="표준 4 2 3 2 7 2 4" xfId="20895"/>
    <cellStyle name="표준 4 2 3 2 7 2 4 2" xfId="43360"/>
    <cellStyle name="표준 4 2 3 2 7 2 5" xfId="28396"/>
    <cellStyle name="표준 4 2 3 2 7 3" xfId="5922"/>
    <cellStyle name="표준 4 2 3 2 7 3 2" xfId="13413"/>
    <cellStyle name="표준 4 2 3 2 7 3 2 2" xfId="35880"/>
    <cellStyle name="표준 4 2 3 2 7 3 3" xfId="20897"/>
    <cellStyle name="표준 4 2 3 2 7 3 3 2" xfId="43362"/>
    <cellStyle name="표준 4 2 3 2 7 3 4" xfId="28398"/>
    <cellStyle name="표준 4 2 3 2 7 4" xfId="13410"/>
    <cellStyle name="표준 4 2 3 2 7 4 2" xfId="35877"/>
    <cellStyle name="표준 4 2 3 2 7 5" xfId="20894"/>
    <cellStyle name="표준 4 2 3 2 7 5 2" xfId="43359"/>
    <cellStyle name="표준 4 2 3 2 7 6" xfId="28395"/>
    <cellStyle name="표준 4 2 3 2 8" xfId="5923"/>
    <cellStyle name="표준 4 2 3 2 8 2" xfId="5924"/>
    <cellStyle name="표준 4 2 3 2 8 2 2" xfId="13415"/>
    <cellStyle name="표준 4 2 3 2 8 2 2 2" xfId="35882"/>
    <cellStyle name="표준 4 2 3 2 8 2 3" xfId="20899"/>
    <cellStyle name="표준 4 2 3 2 8 2 3 2" xfId="43364"/>
    <cellStyle name="표준 4 2 3 2 8 2 4" xfId="28400"/>
    <cellStyle name="표준 4 2 3 2 8 3" xfId="13414"/>
    <cellStyle name="표준 4 2 3 2 8 3 2" xfId="35881"/>
    <cellStyle name="표준 4 2 3 2 8 4" xfId="20898"/>
    <cellStyle name="표준 4 2 3 2 8 4 2" xfId="43363"/>
    <cellStyle name="표준 4 2 3 2 8 5" xfId="28399"/>
    <cellStyle name="표준 4 2 3 2 9" xfId="5925"/>
    <cellStyle name="표준 4 2 3 2 9 2" xfId="13416"/>
    <cellStyle name="표준 4 2 3 2 9 2 2" xfId="35883"/>
    <cellStyle name="표준 4 2 3 2 9 3" xfId="20900"/>
    <cellStyle name="표준 4 2 3 2 9 3 2" xfId="43365"/>
    <cellStyle name="표준 4 2 3 2 9 4" xfId="28401"/>
    <cellStyle name="표준 4 2 3 2_Sheet4" xfId="5926"/>
    <cellStyle name="표준 4 2 3 3" xfId="5927"/>
    <cellStyle name="표준 4 2 3 3 10" xfId="28402"/>
    <cellStyle name="표준 4 2 3 3 2" xfId="5928"/>
    <cellStyle name="표준 4 2 3 3 2 2" xfId="5929"/>
    <cellStyle name="표준 4 2 3 3 2 2 2" xfId="5930"/>
    <cellStyle name="표준 4 2 3 3 2 2 2 2" xfId="5931"/>
    <cellStyle name="표준 4 2 3 3 2 2 2 2 2" xfId="5932"/>
    <cellStyle name="표준 4 2 3 3 2 2 2 2 2 2" xfId="13422"/>
    <cellStyle name="표준 4 2 3 3 2 2 2 2 2 2 2" xfId="35889"/>
    <cellStyle name="표준 4 2 3 3 2 2 2 2 2 3" xfId="20906"/>
    <cellStyle name="표준 4 2 3 3 2 2 2 2 2 3 2" xfId="43371"/>
    <cellStyle name="표준 4 2 3 3 2 2 2 2 2 4" xfId="28407"/>
    <cellStyle name="표준 4 2 3 3 2 2 2 2 3" xfId="13421"/>
    <cellStyle name="표준 4 2 3 3 2 2 2 2 3 2" xfId="35888"/>
    <cellStyle name="표준 4 2 3 3 2 2 2 2 4" xfId="20905"/>
    <cellStyle name="표준 4 2 3 3 2 2 2 2 4 2" xfId="43370"/>
    <cellStyle name="표준 4 2 3 3 2 2 2 2 5" xfId="28406"/>
    <cellStyle name="표준 4 2 3 3 2 2 2 3" xfId="5933"/>
    <cellStyle name="표준 4 2 3 3 2 2 2 3 2" xfId="13423"/>
    <cellStyle name="표준 4 2 3 3 2 2 2 3 2 2" xfId="35890"/>
    <cellStyle name="표준 4 2 3 3 2 2 2 3 3" xfId="20907"/>
    <cellStyle name="표준 4 2 3 3 2 2 2 3 3 2" xfId="43372"/>
    <cellStyle name="표준 4 2 3 3 2 2 2 3 4" xfId="28408"/>
    <cellStyle name="표준 4 2 3 3 2 2 2 4" xfId="13420"/>
    <cellStyle name="표준 4 2 3 3 2 2 2 4 2" xfId="35887"/>
    <cellStyle name="표준 4 2 3 3 2 2 2 5" xfId="20904"/>
    <cellStyle name="표준 4 2 3 3 2 2 2 5 2" xfId="43369"/>
    <cellStyle name="표준 4 2 3 3 2 2 2 6" xfId="28405"/>
    <cellStyle name="표준 4 2 3 3 2 2 3" xfId="5934"/>
    <cellStyle name="표준 4 2 3 3 2 2 3 2" xfId="5935"/>
    <cellStyle name="표준 4 2 3 3 2 2 3 2 2" xfId="13425"/>
    <cellStyle name="표준 4 2 3 3 2 2 3 2 2 2" xfId="35892"/>
    <cellStyle name="표준 4 2 3 3 2 2 3 2 3" xfId="20909"/>
    <cellStyle name="표준 4 2 3 3 2 2 3 2 3 2" xfId="43374"/>
    <cellStyle name="표준 4 2 3 3 2 2 3 2 4" xfId="28410"/>
    <cellStyle name="표준 4 2 3 3 2 2 3 3" xfId="13424"/>
    <cellStyle name="표준 4 2 3 3 2 2 3 3 2" xfId="35891"/>
    <cellStyle name="표준 4 2 3 3 2 2 3 4" xfId="20908"/>
    <cellStyle name="표준 4 2 3 3 2 2 3 4 2" xfId="43373"/>
    <cellStyle name="표준 4 2 3 3 2 2 3 5" xfId="28409"/>
    <cellStyle name="표준 4 2 3 3 2 2 4" xfId="5936"/>
    <cellStyle name="표준 4 2 3 3 2 2 4 2" xfId="13426"/>
    <cellStyle name="표준 4 2 3 3 2 2 4 2 2" xfId="35893"/>
    <cellStyle name="표준 4 2 3 3 2 2 4 3" xfId="20910"/>
    <cellStyle name="표준 4 2 3 3 2 2 4 3 2" xfId="43375"/>
    <cellStyle name="표준 4 2 3 3 2 2 4 4" xfId="28411"/>
    <cellStyle name="표준 4 2 3 3 2 2 5" xfId="13419"/>
    <cellStyle name="표준 4 2 3 3 2 2 5 2" xfId="35886"/>
    <cellStyle name="표준 4 2 3 3 2 2 6" xfId="20903"/>
    <cellStyle name="표준 4 2 3 3 2 2 6 2" xfId="43368"/>
    <cellStyle name="표준 4 2 3 3 2 2 7" xfId="28404"/>
    <cellStyle name="표준 4 2 3 3 2 3" xfId="5937"/>
    <cellStyle name="표준 4 2 3 3 2 3 2" xfId="5938"/>
    <cellStyle name="표준 4 2 3 3 2 3 2 2" xfId="5939"/>
    <cellStyle name="표준 4 2 3 3 2 3 2 2 2" xfId="13429"/>
    <cellStyle name="표준 4 2 3 3 2 3 2 2 2 2" xfId="35896"/>
    <cellStyle name="표준 4 2 3 3 2 3 2 2 3" xfId="20913"/>
    <cellStyle name="표준 4 2 3 3 2 3 2 2 3 2" xfId="43378"/>
    <cellStyle name="표준 4 2 3 3 2 3 2 2 4" xfId="28414"/>
    <cellStyle name="표준 4 2 3 3 2 3 2 3" xfId="13428"/>
    <cellStyle name="표준 4 2 3 3 2 3 2 3 2" xfId="35895"/>
    <cellStyle name="표준 4 2 3 3 2 3 2 4" xfId="20912"/>
    <cellStyle name="표준 4 2 3 3 2 3 2 4 2" xfId="43377"/>
    <cellStyle name="표준 4 2 3 3 2 3 2 5" xfId="28413"/>
    <cellStyle name="표준 4 2 3 3 2 3 3" xfId="5940"/>
    <cellStyle name="표준 4 2 3 3 2 3 3 2" xfId="13430"/>
    <cellStyle name="표준 4 2 3 3 2 3 3 2 2" xfId="35897"/>
    <cellStyle name="표준 4 2 3 3 2 3 3 3" xfId="20914"/>
    <cellStyle name="표준 4 2 3 3 2 3 3 3 2" xfId="43379"/>
    <cellStyle name="표준 4 2 3 3 2 3 3 4" xfId="28415"/>
    <cellStyle name="표준 4 2 3 3 2 3 4" xfId="13427"/>
    <cellStyle name="표준 4 2 3 3 2 3 4 2" xfId="35894"/>
    <cellStyle name="표준 4 2 3 3 2 3 5" xfId="20911"/>
    <cellStyle name="표준 4 2 3 3 2 3 5 2" xfId="43376"/>
    <cellStyle name="표준 4 2 3 3 2 3 6" xfId="28412"/>
    <cellStyle name="표준 4 2 3 3 2 4" xfId="5941"/>
    <cellStyle name="표준 4 2 3 3 2 4 2" xfId="5942"/>
    <cellStyle name="표준 4 2 3 3 2 4 2 2" xfId="13432"/>
    <cellStyle name="표준 4 2 3 3 2 4 2 2 2" xfId="35899"/>
    <cellStyle name="표준 4 2 3 3 2 4 2 3" xfId="20916"/>
    <cellStyle name="표준 4 2 3 3 2 4 2 3 2" xfId="43381"/>
    <cellStyle name="표준 4 2 3 3 2 4 2 4" xfId="28417"/>
    <cellStyle name="표준 4 2 3 3 2 4 3" xfId="13431"/>
    <cellStyle name="표준 4 2 3 3 2 4 3 2" xfId="35898"/>
    <cellStyle name="표준 4 2 3 3 2 4 4" xfId="20915"/>
    <cellStyle name="표준 4 2 3 3 2 4 4 2" xfId="43380"/>
    <cellStyle name="표준 4 2 3 3 2 4 5" xfId="28416"/>
    <cellStyle name="표준 4 2 3 3 2 5" xfId="5943"/>
    <cellStyle name="표준 4 2 3 3 2 5 2" xfId="13433"/>
    <cellStyle name="표준 4 2 3 3 2 5 2 2" xfId="35900"/>
    <cellStyle name="표준 4 2 3 3 2 5 3" xfId="20917"/>
    <cellStyle name="표준 4 2 3 3 2 5 3 2" xfId="43382"/>
    <cellStyle name="표준 4 2 3 3 2 5 4" xfId="28418"/>
    <cellStyle name="표준 4 2 3 3 2 6" xfId="13418"/>
    <cellStyle name="표준 4 2 3 3 2 6 2" xfId="35885"/>
    <cellStyle name="표준 4 2 3 3 2 7" xfId="20902"/>
    <cellStyle name="표준 4 2 3 3 2 7 2" xfId="43367"/>
    <cellStyle name="표준 4 2 3 3 2 8" xfId="28403"/>
    <cellStyle name="표준 4 2 3 3 3" xfId="5944"/>
    <cellStyle name="표준 4 2 3 3 3 2" xfId="5945"/>
    <cellStyle name="표준 4 2 3 3 3 2 2" xfId="5946"/>
    <cellStyle name="표준 4 2 3 3 3 2 2 2" xfId="5947"/>
    <cellStyle name="표준 4 2 3 3 3 2 2 2 2" xfId="5948"/>
    <cellStyle name="표준 4 2 3 3 3 2 2 2 2 2" xfId="13438"/>
    <cellStyle name="표준 4 2 3 3 3 2 2 2 2 2 2" xfId="35905"/>
    <cellStyle name="표준 4 2 3 3 3 2 2 2 2 3" xfId="20922"/>
    <cellStyle name="표준 4 2 3 3 3 2 2 2 2 3 2" xfId="43387"/>
    <cellStyle name="표준 4 2 3 3 3 2 2 2 2 4" xfId="28423"/>
    <cellStyle name="표준 4 2 3 3 3 2 2 2 3" xfId="13437"/>
    <cellStyle name="표준 4 2 3 3 3 2 2 2 3 2" xfId="35904"/>
    <cellStyle name="표준 4 2 3 3 3 2 2 2 4" xfId="20921"/>
    <cellStyle name="표준 4 2 3 3 3 2 2 2 4 2" xfId="43386"/>
    <cellStyle name="표준 4 2 3 3 3 2 2 2 5" xfId="28422"/>
    <cellStyle name="표준 4 2 3 3 3 2 2 3" xfId="5949"/>
    <cellStyle name="표준 4 2 3 3 3 2 2 3 2" xfId="13439"/>
    <cellStyle name="표준 4 2 3 3 3 2 2 3 2 2" xfId="35906"/>
    <cellStyle name="표준 4 2 3 3 3 2 2 3 3" xfId="20923"/>
    <cellStyle name="표준 4 2 3 3 3 2 2 3 3 2" xfId="43388"/>
    <cellStyle name="표준 4 2 3 3 3 2 2 3 4" xfId="28424"/>
    <cellStyle name="표준 4 2 3 3 3 2 2 4" xfId="13436"/>
    <cellStyle name="표준 4 2 3 3 3 2 2 4 2" xfId="35903"/>
    <cellStyle name="표준 4 2 3 3 3 2 2 5" xfId="20920"/>
    <cellStyle name="표준 4 2 3 3 3 2 2 5 2" xfId="43385"/>
    <cellStyle name="표준 4 2 3 3 3 2 2 6" xfId="28421"/>
    <cellStyle name="표준 4 2 3 3 3 2 3" xfId="5950"/>
    <cellStyle name="표준 4 2 3 3 3 2 3 2" xfId="5951"/>
    <cellStyle name="표준 4 2 3 3 3 2 3 2 2" xfId="13441"/>
    <cellStyle name="표준 4 2 3 3 3 2 3 2 2 2" xfId="35908"/>
    <cellStyle name="표준 4 2 3 3 3 2 3 2 3" xfId="20925"/>
    <cellStyle name="표준 4 2 3 3 3 2 3 2 3 2" xfId="43390"/>
    <cellStyle name="표준 4 2 3 3 3 2 3 2 4" xfId="28426"/>
    <cellStyle name="표준 4 2 3 3 3 2 3 3" xfId="13440"/>
    <cellStyle name="표준 4 2 3 3 3 2 3 3 2" xfId="35907"/>
    <cellStyle name="표준 4 2 3 3 3 2 3 4" xfId="20924"/>
    <cellStyle name="표준 4 2 3 3 3 2 3 4 2" xfId="43389"/>
    <cellStyle name="표준 4 2 3 3 3 2 3 5" xfId="28425"/>
    <cellStyle name="표준 4 2 3 3 3 2 4" xfId="5952"/>
    <cellStyle name="표준 4 2 3 3 3 2 4 2" xfId="13442"/>
    <cellStyle name="표준 4 2 3 3 3 2 4 2 2" xfId="35909"/>
    <cellStyle name="표준 4 2 3 3 3 2 4 3" xfId="20926"/>
    <cellStyle name="표준 4 2 3 3 3 2 4 3 2" xfId="43391"/>
    <cellStyle name="표준 4 2 3 3 3 2 4 4" xfId="28427"/>
    <cellStyle name="표준 4 2 3 3 3 2 5" xfId="13435"/>
    <cellStyle name="표준 4 2 3 3 3 2 5 2" xfId="35902"/>
    <cellStyle name="표준 4 2 3 3 3 2 6" xfId="20919"/>
    <cellStyle name="표준 4 2 3 3 3 2 6 2" xfId="43384"/>
    <cellStyle name="표준 4 2 3 3 3 2 7" xfId="28420"/>
    <cellStyle name="표준 4 2 3 3 3 3" xfId="5953"/>
    <cellStyle name="표준 4 2 3 3 3 3 2" xfId="5954"/>
    <cellStyle name="표준 4 2 3 3 3 3 2 2" xfId="5955"/>
    <cellStyle name="표준 4 2 3 3 3 3 2 2 2" xfId="13445"/>
    <cellStyle name="표준 4 2 3 3 3 3 2 2 2 2" xfId="35912"/>
    <cellStyle name="표준 4 2 3 3 3 3 2 2 3" xfId="20929"/>
    <cellStyle name="표준 4 2 3 3 3 3 2 2 3 2" xfId="43394"/>
    <cellStyle name="표준 4 2 3 3 3 3 2 2 4" xfId="28430"/>
    <cellStyle name="표준 4 2 3 3 3 3 2 3" xfId="13444"/>
    <cellStyle name="표준 4 2 3 3 3 3 2 3 2" xfId="35911"/>
    <cellStyle name="표준 4 2 3 3 3 3 2 4" xfId="20928"/>
    <cellStyle name="표준 4 2 3 3 3 3 2 4 2" xfId="43393"/>
    <cellStyle name="표준 4 2 3 3 3 3 2 5" xfId="28429"/>
    <cellStyle name="표준 4 2 3 3 3 3 3" xfId="5956"/>
    <cellStyle name="표준 4 2 3 3 3 3 3 2" xfId="13446"/>
    <cellStyle name="표준 4 2 3 3 3 3 3 2 2" xfId="35913"/>
    <cellStyle name="표준 4 2 3 3 3 3 3 3" xfId="20930"/>
    <cellStyle name="표준 4 2 3 3 3 3 3 3 2" xfId="43395"/>
    <cellStyle name="표준 4 2 3 3 3 3 3 4" xfId="28431"/>
    <cellStyle name="표준 4 2 3 3 3 3 4" xfId="13443"/>
    <cellStyle name="표준 4 2 3 3 3 3 4 2" xfId="35910"/>
    <cellStyle name="표준 4 2 3 3 3 3 5" xfId="20927"/>
    <cellStyle name="표준 4 2 3 3 3 3 5 2" xfId="43392"/>
    <cellStyle name="표준 4 2 3 3 3 3 6" xfId="28428"/>
    <cellStyle name="표준 4 2 3 3 3 4" xfId="5957"/>
    <cellStyle name="표준 4 2 3 3 3 4 2" xfId="5958"/>
    <cellStyle name="표준 4 2 3 3 3 4 2 2" xfId="13448"/>
    <cellStyle name="표준 4 2 3 3 3 4 2 2 2" xfId="35915"/>
    <cellStyle name="표준 4 2 3 3 3 4 2 3" xfId="20932"/>
    <cellStyle name="표준 4 2 3 3 3 4 2 3 2" xfId="43397"/>
    <cellStyle name="표준 4 2 3 3 3 4 2 4" xfId="28433"/>
    <cellStyle name="표준 4 2 3 3 3 4 3" xfId="13447"/>
    <cellStyle name="표준 4 2 3 3 3 4 3 2" xfId="35914"/>
    <cellStyle name="표준 4 2 3 3 3 4 4" xfId="20931"/>
    <cellStyle name="표준 4 2 3 3 3 4 4 2" xfId="43396"/>
    <cellStyle name="표준 4 2 3 3 3 4 5" xfId="28432"/>
    <cellStyle name="표준 4 2 3 3 3 5" xfId="5959"/>
    <cellStyle name="표준 4 2 3 3 3 5 2" xfId="13449"/>
    <cellStyle name="표준 4 2 3 3 3 5 2 2" xfId="35916"/>
    <cellStyle name="표준 4 2 3 3 3 5 3" xfId="20933"/>
    <cellStyle name="표준 4 2 3 3 3 5 3 2" xfId="43398"/>
    <cellStyle name="표준 4 2 3 3 3 5 4" xfId="28434"/>
    <cellStyle name="표준 4 2 3 3 3 6" xfId="13434"/>
    <cellStyle name="표준 4 2 3 3 3 6 2" xfId="35901"/>
    <cellStyle name="표준 4 2 3 3 3 7" xfId="20918"/>
    <cellStyle name="표준 4 2 3 3 3 7 2" xfId="43383"/>
    <cellStyle name="표준 4 2 3 3 3 8" xfId="28419"/>
    <cellStyle name="표준 4 2 3 3 4" xfId="5960"/>
    <cellStyle name="표준 4 2 3 3 4 2" xfId="5961"/>
    <cellStyle name="표준 4 2 3 3 4 2 2" xfId="5962"/>
    <cellStyle name="표준 4 2 3 3 4 2 2 2" xfId="5963"/>
    <cellStyle name="표준 4 2 3 3 4 2 2 2 2" xfId="13453"/>
    <cellStyle name="표준 4 2 3 3 4 2 2 2 2 2" xfId="35920"/>
    <cellStyle name="표준 4 2 3 3 4 2 2 2 3" xfId="20937"/>
    <cellStyle name="표준 4 2 3 3 4 2 2 2 3 2" xfId="43402"/>
    <cellStyle name="표준 4 2 3 3 4 2 2 2 4" xfId="28438"/>
    <cellStyle name="표준 4 2 3 3 4 2 2 3" xfId="13452"/>
    <cellStyle name="표준 4 2 3 3 4 2 2 3 2" xfId="35919"/>
    <cellStyle name="표준 4 2 3 3 4 2 2 4" xfId="20936"/>
    <cellStyle name="표준 4 2 3 3 4 2 2 4 2" xfId="43401"/>
    <cellStyle name="표준 4 2 3 3 4 2 2 5" xfId="28437"/>
    <cellStyle name="표준 4 2 3 3 4 2 3" xfId="5964"/>
    <cellStyle name="표준 4 2 3 3 4 2 3 2" xfId="13454"/>
    <cellStyle name="표준 4 2 3 3 4 2 3 2 2" xfId="35921"/>
    <cellStyle name="표준 4 2 3 3 4 2 3 3" xfId="20938"/>
    <cellStyle name="표준 4 2 3 3 4 2 3 3 2" xfId="43403"/>
    <cellStyle name="표준 4 2 3 3 4 2 3 4" xfId="28439"/>
    <cellStyle name="표준 4 2 3 3 4 2 4" xfId="13451"/>
    <cellStyle name="표준 4 2 3 3 4 2 4 2" xfId="35918"/>
    <cellStyle name="표준 4 2 3 3 4 2 5" xfId="20935"/>
    <cellStyle name="표준 4 2 3 3 4 2 5 2" xfId="43400"/>
    <cellStyle name="표준 4 2 3 3 4 2 6" xfId="28436"/>
    <cellStyle name="표준 4 2 3 3 4 3" xfId="5965"/>
    <cellStyle name="표준 4 2 3 3 4 3 2" xfId="5966"/>
    <cellStyle name="표준 4 2 3 3 4 3 2 2" xfId="13456"/>
    <cellStyle name="표준 4 2 3 3 4 3 2 2 2" xfId="35923"/>
    <cellStyle name="표준 4 2 3 3 4 3 2 3" xfId="20940"/>
    <cellStyle name="표준 4 2 3 3 4 3 2 3 2" xfId="43405"/>
    <cellStyle name="표준 4 2 3 3 4 3 2 4" xfId="28441"/>
    <cellStyle name="표준 4 2 3 3 4 3 3" xfId="13455"/>
    <cellStyle name="표준 4 2 3 3 4 3 3 2" xfId="35922"/>
    <cellStyle name="표준 4 2 3 3 4 3 4" xfId="20939"/>
    <cellStyle name="표준 4 2 3 3 4 3 4 2" xfId="43404"/>
    <cellStyle name="표준 4 2 3 3 4 3 5" xfId="28440"/>
    <cellStyle name="표준 4 2 3 3 4 4" xfId="5967"/>
    <cellStyle name="표준 4 2 3 3 4 4 2" xfId="13457"/>
    <cellStyle name="표준 4 2 3 3 4 4 2 2" xfId="35924"/>
    <cellStyle name="표준 4 2 3 3 4 4 3" xfId="20941"/>
    <cellStyle name="표준 4 2 3 3 4 4 3 2" xfId="43406"/>
    <cellStyle name="표준 4 2 3 3 4 4 4" xfId="28442"/>
    <cellStyle name="표준 4 2 3 3 4 5" xfId="13450"/>
    <cellStyle name="표준 4 2 3 3 4 5 2" xfId="35917"/>
    <cellStyle name="표준 4 2 3 3 4 6" xfId="20934"/>
    <cellStyle name="표준 4 2 3 3 4 6 2" xfId="43399"/>
    <cellStyle name="표준 4 2 3 3 4 7" xfId="28435"/>
    <cellStyle name="표준 4 2 3 3 5" xfId="5968"/>
    <cellStyle name="표준 4 2 3 3 5 2" xfId="5969"/>
    <cellStyle name="표준 4 2 3 3 5 2 2" xfId="5970"/>
    <cellStyle name="표준 4 2 3 3 5 2 2 2" xfId="13460"/>
    <cellStyle name="표준 4 2 3 3 5 2 2 2 2" xfId="35927"/>
    <cellStyle name="표준 4 2 3 3 5 2 2 3" xfId="20944"/>
    <cellStyle name="표준 4 2 3 3 5 2 2 3 2" xfId="43409"/>
    <cellStyle name="표준 4 2 3 3 5 2 2 4" xfId="28445"/>
    <cellStyle name="표준 4 2 3 3 5 2 3" xfId="13459"/>
    <cellStyle name="표준 4 2 3 3 5 2 3 2" xfId="35926"/>
    <cellStyle name="표준 4 2 3 3 5 2 4" xfId="20943"/>
    <cellStyle name="표준 4 2 3 3 5 2 4 2" xfId="43408"/>
    <cellStyle name="표준 4 2 3 3 5 2 5" xfId="28444"/>
    <cellStyle name="표준 4 2 3 3 5 3" xfId="5971"/>
    <cellStyle name="표준 4 2 3 3 5 3 2" xfId="13461"/>
    <cellStyle name="표준 4 2 3 3 5 3 2 2" xfId="35928"/>
    <cellStyle name="표준 4 2 3 3 5 3 3" xfId="20945"/>
    <cellStyle name="표준 4 2 3 3 5 3 3 2" xfId="43410"/>
    <cellStyle name="표준 4 2 3 3 5 3 4" xfId="28446"/>
    <cellStyle name="표준 4 2 3 3 5 4" xfId="13458"/>
    <cellStyle name="표준 4 2 3 3 5 4 2" xfId="35925"/>
    <cellStyle name="표준 4 2 3 3 5 5" xfId="20942"/>
    <cellStyle name="표준 4 2 3 3 5 5 2" xfId="43407"/>
    <cellStyle name="표준 4 2 3 3 5 6" xfId="28443"/>
    <cellStyle name="표준 4 2 3 3 6" xfId="5972"/>
    <cellStyle name="표준 4 2 3 3 6 2" xfId="5973"/>
    <cellStyle name="표준 4 2 3 3 6 2 2" xfId="13463"/>
    <cellStyle name="표준 4 2 3 3 6 2 2 2" xfId="35930"/>
    <cellStyle name="표준 4 2 3 3 6 2 3" xfId="20947"/>
    <cellStyle name="표준 4 2 3 3 6 2 3 2" xfId="43412"/>
    <cellStyle name="표준 4 2 3 3 6 2 4" xfId="28448"/>
    <cellStyle name="표준 4 2 3 3 6 3" xfId="13462"/>
    <cellStyle name="표준 4 2 3 3 6 3 2" xfId="35929"/>
    <cellStyle name="표준 4 2 3 3 6 4" xfId="20946"/>
    <cellStyle name="표준 4 2 3 3 6 4 2" xfId="43411"/>
    <cellStyle name="표준 4 2 3 3 6 5" xfId="28447"/>
    <cellStyle name="표준 4 2 3 3 7" xfId="5974"/>
    <cellStyle name="표준 4 2 3 3 7 2" xfId="13464"/>
    <cellStyle name="표준 4 2 3 3 7 2 2" xfId="35931"/>
    <cellStyle name="표준 4 2 3 3 7 3" xfId="20948"/>
    <cellStyle name="표준 4 2 3 3 7 3 2" xfId="43413"/>
    <cellStyle name="표준 4 2 3 3 7 4" xfId="28449"/>
    <cellStyle name="표준 4 2 3 3 8" xfId="13417"/>
    <cellStyle name="표준 4 2 3 3 8 2" xfId="35884"/>
    <cellStyle name="표준 4 2 3 3 9" xfId="20901"/>
    <cellStyle name="표준 4 2 3 3 9 2" xfId="43366"/>
    <cellStyle name="표준 4 2 3 4" xfId="5975"/>
    <cellStyle name="표준 4 2 3 4 2" xfId="5976"/>
    <cellStyle name="표준 4 2 3 4 2 2" xfId="5977"/>
    <cellStyle name="표준 4 2 3 4 2 2 2" xfId="5978"/>
    <cellStyle name="표준 4 2 3 4 2 2 2 2" xfId="5979"/>
    <cellStyle name="표준 4 2 3 4 2 2 2 2 2" xfId="13469"/>
    <cellStyle name="표준 4 2 3 4 2 2 2 2 2 2" xfId="35936"/>
    <cellStyle name="표준 4 2 3 4 2 2 2 2 3" xfId="20953"/>
    <cellStyle name="표준 4 2 3 4 2 2 2 2 3 2" xfId="43418"/>
    <cellStyle name="표준 4 2 3 4 2 2 2 2 4" xfId="28454"/>
    <cellStyle name="표준 4 2 3 4 2 2 2 3" xfId="13468"/>
    <cellStyle name="표준 4 2 3 4 2 2 2 3 2" xfId="35935"/>
    <cellStyle name="표준 4 2 3 4 2 2 2 4" xfId="20952"/>
    <cellStyle name="표준 4 2 3 4 2 2 2 4 2" xfId="43417"/>
    <cellStyle name="표준 4 2 3 4 2 2 2 5" xfId="28453"/>
    <cellStyle name="표준 4 2 3 4 2 2 3" xfId="5980"/>
    <cellStyle name="표준 4 2 3 4 2 2 3 2" xfId="13470"/>
    <cellStyle name="표준 4 2 3 4 2 2 3 2 2" xfId="35937"/>
    <cellStyle name="표준 4 2 3 4 2 2 3 3" xfId="20954"/>
    <cellStyle name="표준 4 2 3 4 2 2 3 3 2" xfId="43419"/>
    <cellStyle name="표준 4 2 3 4 2 2 3 4" xfId="28455"/>
    <cellStyle name="표준 4 2 3 4 2 2 4" xfId="13467"/>
    <cellStyle name="표준 4 2 3 4 2 2 4 2" xfId="35934"/>
    <cellStyle name="표준 4 2 3 4 2 2 5" xfId="20951"/>
    <cellStyle name="표준 4 2 3 4 2 2 5 2" xfId="43416"/>
    <cellStyle name="표준 4 2 3 4 2 2 6" xfId="28452"/>
    <cellStyle name="표준 4 2 3 4 2 3" xfId="5981"/>
    <cellStyle name="표준 4 2 3 4 2 3 2" xfId="5982"/>
    <cellStyle name="표준 4 2 3 4 2 3 2 2" xfId="13472"/>
    <cellStyle name="표준 4 2 3 4 2 3 2 2 2" xfId="35939"/>
    <cellStyle name="표준 4 2 3 4 2 3 2 3" xfId="20956"/>
    <cellStyle name="표준 4 2 3 4 2 3 2 3 2" xfId="43421"/>
    <cellStyle name="표준 4 2 3 4 2 3 2 4" xfId="28457"/>
    <cellStyle name="표준 4 2 3 4 2 3 3" xfId="13471"/>
    <cellStyle name="표준 4 2 3 4 2 3 3 2" xfId="35938"/>
    <cellStyle name="표준 4 2 3 4 2 3 4" xfId="20955"/>
    <cellStyle name="표준 4 2 3 4 2 3 4 2" xfId="43420"/>
    <cellStyle name="표준 4 2 3 4 2 3 5" xfId="28456"/>
    <cellStyle name="표준 4 2 3 4 2 4" xfId="5983"/>
    <cellStyle name="표준 4 2 3 4 2 4 2" xfId="13473"/>
    <cellStyle name="표준 4 2 3 4 2 4 2 2" xfId="35940"/>
    <cellStyle name="표준 4 2 3 4 2 4 3" xfId="20957"/>
    <cellStyle name="표준 4 2 3 4 2 4 3 2" xfId="43422"/>
    <cellStyle name="표준 4 2 3 4 2 4 4" xfId="28458"/>
    <cellStyle name="표준 4 2 3 4 2 5" xfId="13466"/>
    <cellStyle name="표준 4 2 3 4 2 5 2" xfId="35933"/>
    <cellStyle name="표준 4 2 3 4 2 6" xfId="20950"/>
    <cellStyle name="표준 4 2 3 4 2 6 2" xfId="43415"/>
    <cellStyle name="표준 4 2 3 4 2 7" xfId="28451"/>
    <cellStyle name="표준 4 2 3 4 3" xfId="5984"/>
    <cellStyle name="표준 4 2 3 4 3 2" xfId="5985"/>
    <cellStyle name="표준 4 2 3 4 3 2 2" xfId="5986"/>
    <cellStyle name="표준 4 2 3 4 3 2 2 2" xfId="13476"/>
    <cellStyle name="표준 4 2 3 4 3 2 2 2 2" xfId="35943"/>
    <cellStyle name="표준 4 2 3 4 3 2 2 3" xfId="20960"/>
    <cellStyle name="표준 4 2 3 4 3 2 2 3 2" xfId="43425"/>
    <cellStyle name="표준 4 2 3 4 3 2 2 4" xfId="28461"/>
    <cellStyle name="표준 4 2 3 4 3 2 3" xfId="13475"/>
    <cellStyle name="표준 4 2 3 4 3 2 3 2" xfId="35942"/>
    <cellStyle name="표준 4 2 3 4 3 2 4" xfId="20959"/>
    <cellStyle name="표준 4 2 3 4 3 2 4 2" xfId="43424"/>
    <cellStyle name="표준 4 2 3 4 3 2 5" xfId="28460"/>
    <cellStyle name="표준 4 2 3 4 3 3" xfId="5987"/>
    <cellStyle name="표준 4 2 3 4 3 3 2" xfId="13477"/>
    <cellStyle name="표준 4 2 3 4 3 3 2 2" xfId="35944"/>
    <cellStyle name="표준 4 2 3 4 3 3 3" xfId="20961"/>
    <cellStyle name="표준 4 2 3 4 3 3 3 2" xfId="43426"/>
    <cellStyle name="표준 4 2 3 4 3 3 4" xfId="28462"/>
    <cellStyle name="표준 4 2 3 4 3 4" xfId="13474"/>
    <cellStyle name="표준 4 2 3 4 3 4 2" xfId="35941"/>
    <cellStyle name="표준 4 2 3 4 3 5" xfId="20958"/>
    <cellStyle name="표준 4 2 3 4 3 5 2" xfId="43423"/>
    <cellStyle name="표준 4 2 3 4 3 6" xfId="28459"/>
    <cellStyle name="표준 4 2 3 4 4" xfId="5988"/>
    <cellStyle name="표준 4 2 3 4 4 2" xfId="5989"/>
    <cellStyle name="표준 4 2 3 4 4 2 2" xfId="13479"/>
    <cellStyle name="표준 4 2 3 4 4 2 2 2" xfId="35946"/>
    <cellStyle name="표준 4 2 3 4 4 2 3" xfId="20963"/>
    <cellStyle name="표준 4 2 3 4 4 2 3 2" xfId="43428"/>
    <cellStyle name="표준 4 2 3 4 4 2 4" xfId="28464"/>
    <cellStyle name="표준 4 2 3 4 4 3" xfId="13478"/>
    <cellStyle name="표준 4 2 3 4 4 3 2" xfId="35945"/>
    <cellStyle name="표준 4 2 3 4 4 4" xfId="20962"/>
    <cellStyle name="표준 4 2 3 4 4 4 2" xfId="43427"/>
    <cellStyle name="표준 4 2 3 4 4 5" xfId="28463"/>
    <cellStyle name="표준 4 2 3 4 5" xfId="5990"/>
    <cellStyle name="표준 4 2 3 4 5 2" xfId="13480"/>
    <cellStyle name="표준 4 2 3 4 5 2 2" xfId="35947"/>
    <cellStyle name="표준 4 2 3 4 5 3" xfId="20964"/>
    <cellStyle name="표준 4 2 3 4 5 3 2" xfId="43429"/>
    <cellStyle name="표준 4 2 3 4 5 4" xfId="28465"/>
    <cellStyle name="표준 4 2 3 4 6" xfId="13465"/>
    <cellStyle name="표준 4 2 3 4 6 2" xfId="35932"/>
    <cellStyle name="표준 4 2 3 4 7" xfId="20949"/>
    <cellStyle name="표준 4 2 3 4 7 2" xfId="43414"/>
    <cellStyle name="표준 4 2 3 4 8" xfId="28450"/>
    <cellStyle name="표준 4 2 3 5" xfId="5991"/>
    <cellStyle name="표준 4 2 3 5 2" xfId="5992"/>
    <cellStyle name="표준 4 2 3 5 2 2" xfId="5993"/>
    <cellStyle name="표준 4 2 3 5 2 2 2" xfId="5994"/>
    <cellStyle name="표준 4 2 3 5 2 2 2 2" xfId="5995"/>
    <cellStyle name="표준 4 2 3 5 2 2 2 2 2" xfId="13485"/>
    <cellStyle name="표준 4 2 3 5 2 2 2 2 2 2" xfId="35952"/>
    <cellStyle name="표준 4 2 3 5 2 2 2 2 3" xfId="20969"/>
    <cellStyle name="표준 4 2 3 5 2 2 2 2 3 2" xfId="43434"/>
    <cellStyle name="표준 4 2 3 5 2 2 2 2 4" xfId="28470"/>
    <cellStyle name="표준 4 2 3 5 2 2 2 3" xfId="13484"/>
    <cellStyle name="표준 4 2 3 5 2 2 2 3 2" xfId="35951"/>
    <cellStyle name="표준 4 2 3 5 2 2 2 4" xfId="20968"/>
    <cellStyle name="표준 4 2 3 5 2 2 2 4 2" xfId="43433"/>
    <cellStyle name="표준 4 2 3 5 2 2 2 5" xfId="28469"/>
    <cellStyle name="표준 4 2 3 5 2 2 3" xfId="5996"/>
    <cellStyle name="표준 4 2 3 5 2 2 3 2" xfId="13486"/>
    <cellStyle name="표준 4 2 3 5 2 2 3 2 2" xfId="35953"/>
    <cellStyle name="표준 4 2 3 5 2 2 3 3" xfId="20970"/>
    <cellStyle name="표준 4 2 3 5 2 2 3 3 2" xfId="43435"/>
    <cellStyle name="표준 4 2 3 5 2 2 3 4" xfId="28471"/>
    <cellStyle name="표준 4 2 3 5 2 2 4" xfId="13483"/>
    <cellStyle name="표준 4 2 3 5 2 2 4 2" xfId="35950"/>
    <cellStyle name="표준 4 2 3 5 2 2 5" xfId="20967"/>
    <cellStyle name="표준 4 2 3 5 2 2 5 2" xfId="43432"/>
    <cellStyle name="표준 4 2 3 5 2 2 6" xfId="28468"/>
    <cellStyle name="표준 4 2 3 5 2 3" xfId="5997"/>
    <cellStyle name="표준 4 2 3 5 2 3 2" xfId="5998"/>
    <cellStyle name="표준 4 2 3 5 2 3 2 2" xfId="13488"/>
    <cellStyle name="표준 4 2 3 5 2 3 2 2 2" xfId="35955"/>
    <cellStyle name="표준 4 2 3 5 2 3 2 3" xfId="20972"/>
    <cellStyle name="표준 4 2 3 5 2 3 2 3 2" xfId="43437"/>
    <cellStyle name="표준 4 2 3 5 2 3 2 4" xfId="28473"/>
    <cellStyle name="표준 4 2 3 5 2 3 3" xfId="13487"/>
    <cellStyle name="표준 4 2 3 5 2 3 3 2" xfId="35954"/>
    <cellStyle name="표준 4 2 3 5 2 3 4" xfId="20971"/>
    <cellStyle name="표준 4 2 3 5 2 3 4 2" xfId="43436"/>
    <cellStyle name="표준 4 2 3 5 2 3 5" xfId="28472"/>
    <cellStyle name="표준 4 2 3 5 2 4" xfId="5999"/>
    <cellStyle name="표준 4 2 3 5 2 4 2" xfId="13489"/>
    <cellStyle name="표준 4 2 3 5 2 4 2 2" xfId="35956"/>
    <cellStyle name="표준 4 2 3 5 2 4 3" xfId="20973"/>
    <cellStyle name="표준 4 2 3 5 2 4 3 2" xfId="43438"/>
    <cellStyle name="표준 4 2 3 5 2 4 4" xfId="28474"/>
    <cellStyle name="표준 4 2 3 5 2 5" xfId="13482"/>
    <cellStyle name="표준 4 2 3 5 2 5 2" xfId="35949"/>
    <cellStyle name="표준 4 2 3 5 2 6" xfId="20966"/>
    <cellStyle name="표준 4 2 3 5 2 6 2" xfId="43431"/>
    <cellStyle name="표준 4 2 3 5 2 7" xfId="28467"/>
    <cellStyle name="표준 4 2 3 5 3" xfId="6000"/>
    <cellStyle name="표준 4 2 3 5 3 2" xfId="6001"/>
    <cellStyle name="표준 4 2 3 5 3 2 2" xfId="6002"/>
    <cellStyle name="표준 4 2 3 5 3 2 2 2" xfId="13492"/>
    <cellStyle name="표준 4 2 3 5 3 2 2 2 2" xfId="35959"/>
    <cellStyle name="표준 4 2 3 5 3 2 2 3" xfId="20976"/>
    <cellStyle name="표준 4 2 3 5 3 2 2 3 2" xfId="43441"/>
    <cellStyle name="표준 4 2 3 5 3 2 2 4" xfId="28477"/>
    <cellStyle name="표준 4 2 3 5 3 2 3" xfId="13491"/>
    <cellStyle name="표준 4 2 3 5 3 2 3 2" xfId="35958"/>
    <cellStyle name="표준 4 2 3 5 3 2 4" xfId="20975"/>
    <cellStyle name="표준 4 2 3 5 3 2 4 2" xfId="43440"/>
    <cellStyle name="표준 4 2 3 5 3 2 5" xfId="28476"/>
    <cellStyle name="표준 4 2 3 5 3 3" xfId="6003"/>
    <cellStyle name="표준 4 2 3 5 3 3 2" xfId="13493"/>
    <cellStyle name="표준 4 2 3 5 3 3 2 2" xfId="35960"/>
    <cellStyle name="표준 4 2 3 5 3 3 3" xfId="20977"/>
    <cellStyle name="표준 4 2 3 5 3 3 3 2" xfId="43442"/>
    <cellStyle name="표준 4 2 3 5 3 3 4" xfId="28478"/>
    <cellStyle name="표준 4 2 3 5 3 4" xfId="13490"/>
    <cellStyle name="표준 4 2 3 5 3 4 2" xfId="35957"/>
    <cellStyle name="표준 4 2 3 5 3 5" xfId="20974"/>
    <cellStyle name="표준 4 2 3 5 3 5 2" xfId="43439"/>
    <cellStyle name="표준 4 2 3 5 3 6" xfId="28475"/>
    <cellStyle name="표준 4 2 3 5 4" xfId="6004"/>
    <cellStyle name="표준 4 2 3 5 4 2" xfId="6005"/>
    <cellStyle name="표준 4 2 3 5 4 2 2" xfId="13495"/>
    <cellStyle name="표준 4 2 3 5 4 2 2 2" xfId="35962"/>
    <cellStyle name="표준 4 2 3 5 4 2 3" xfId="20979"/>
    <cellStyle name="표준 4 2 3 5 4 2 3 2" xfId="43444"/>
    <cellStyle name="표준 4 2 3 5 4 2 4" xfId="28480"/>
    <cellStyle name="표준 4 2 3 5 4 3" xfId="13494"/>
    <cellStyle name="표준 4 2 3 5 4 3 2" xfId="35961"/>
    <cellStyle name="표준 4 2 3 5 4 4" xfId="20978"/>
    <cellStyle name="표준 4 2 3 5 4 4 2" xfId="43443"/>
    <cellStyle name="표준 4 2 3 5 4 5" xfId="28479"/>
    <cellStyle name="표준 4 2 3 5 5" xfId="6006"/>
    <cellStyle name="표준 4 2 3 5 5 2" xfId="13496"/>
    <cellStyle name="표준 4 2 3 5 5 2 2" xfId="35963"/>
    <cellStyle name="표준 4 2 3 5 5 3" xfId="20980"/>
    <cellStyle name="표준 4 2 3 5 5 3 2" xfId="43445"/>
    <cellStyle name="표준 4 2 3 5 5 4" xfId="28481"/>
    <cellStyle name="표준 4 2 3 5 6" xfId="13481"/>
    <cellStyle name="표준 4 2 3 5 6 2" xfId="35948"/>
    <cellStyle name="표준 4 2 3 5 7" xfId="20965"/>
    <cellStyle name="표준 4 2 3 5 7 2" xfId="43430"/>
    <cellStyle name="표준 4 2 3 5 8" xfId="28466"/>
    <cellStyle name="표준 4 2 3 6" xfId="6007"/>
    <cellStyle name="표준 4 2 3 6 2" xfId="6008"/>
    <cellStyle name="표준 4 2 3 6 2 2" xfId="6009"/>
    <cellStyle name="표준 4 2 3 6 2 2 2" xfId="6010"/>
    <cellStyle name="표준 4 2 3 6 2 2 2 2" xfId="13500"/>
    <cellStyle name="표준 4 2 3 6 2 2 2 2 2" xfId="35967"/>
    <cellStyle name="표준 4 2 3 6 2 2 2 3" xfId="20984"/>
    <cellStyle name="표준 4 2 3 6 2 2 2 3 2" xfId="43449"/>
    <cellStyle name="표준 4 2 3 6 2 2 2 4" xfId="28485"/>
    <cellStyle name="표준 4 2 3 6 2 2 3" xfId="13499"/>
    <cellStyle name="표준 4 2 3 6 2 2 3 2" xfId="35966"/>
    <cellStyle name="표준 4 2 3 6 2 2 4" xfId="20983"/>
    <cellStyle name="표준 4 2 3 6 2 2 4 2" xfId="43448"/>
    <cellStyle name="표준 4 2 3 6 2 2 5" xfId="28484"/>
    <cellStyle name="표준 4 2 3 6 2 3" xfId="6011"/>
    <cellStyle name="표준 4 2 3 6 2 3 2" xfId="13501"/>
    <cellStyle name="표준 4 2 3 6 2 3 2 2" xfId="35968"/>
    <cellStyle name="표준 4 2 3 6 2 3 3" xfId="20985"/>
    <cellStyle name="표준 4 2 3 6 2 3 3 2" xfId="43450"/>
    <cellStyle name="표준 4 2 3 6 2 3 4" xfId="28486"/>
    <cellStyle name="표준 4 2 3 6 2 4" xfId="13498"/>
    <cellStyle name="표준 4 2 3 6 2 4 2" xfId="35965"/>
    <cellStyle name="표준 4 2 3 6 2 5" xfId="20982"/>
    <cellStyle name="표준 4 2 3 6 2 5 2" xfId="43447"/>
    <cellStyle name="표준 4 2 3 6 2 6" xfId="28483"/>
    <cellStyle name="표준 4 2 3 6 3" xfId="6012"/>
    <cellStyle name="표준 4 2 3 6 3 2" xfId="6013"/>
    <cellStyle name="표준 4 2 3 6 3 2 2" xfId="13503"/>
    <cellStyle name="표준 4 2 3 6 3 2 2 2" xfId="35970"/>
    <cellStyle name="표준 4 2 3 6 3 2 3" xfId="20987"/>
    <cellStyle name="표준 4 2 3 6 3 2 3 2" xfId="43452"/>
    <cellStyle name="표준 4 2 3 6 3 2 4" xfId="28488"/>
    <cellStyle name="표준 4 2 3 6 3 3" xfId="13502"/>
    <cellStyle name="표준 4 2 3 6 3 3 2" xfId="35969"/>
    <cellStyle name="표준 4 2 3 6 3 4" xfId="20986"/>
    <cellStyle name="표준 4 2 3 6 3 4 2" xfId="43451"/>
    <cellStyle name="표준 4 2 3 6 3 5" xfId="28487"/>
    <cellStyle name="표준 4 2 3 6 4" xfId="6014"/>
    <cellStyle name="표준 4 2 3 6 4 2" xfId="13504"/>
    <cellStyle name="표준 4 2 3 6 4 2 2" xfId="35971"/>
    <cellStyle name="표준 4 2 3 6 4 3" xfId="20988"/>
    <cellStyle name="표준 4 2 3 6 4 3 2" xfId="43453"/>
    <cellStyle name="표준 4 2 3 6 4 4" xfId="28489"/>
    <cellStyle name="표준 4 2 3 6 5" xfId="13497"/>
    <cellStyle name="표준 4 2 3 6 5 2" xfId="35964"/>
    <cellStyle name="표준 4 2 3 6 6" xfId="20981"/>
    <cellStyle name="표준 4 2 3 6 6 2" xfId="43446"/>
    <cellStyle name="표준 4 2 3 6 7" xfId="28482"/>
    <cellStyle name="표준 4 2 3 7" xfId="6015"/>
    <cellStyle name="표준 4 2 3 7 2" xfId="6016"/>
    <cellStyle name="표준 4 2 3 7 2 2" xfId="6017"/>
    <cellStyle name="표준 4 2 3 7 2 2 2" xfId="6018"/>
    <cellStyle name="표준 4 2 3 7 2 2 2 2" xfId="13508"/>
    <cellStyle name="표준 4 2 3 7 2 2 2 2 2" xfId="35975"/>
    <cellStyle name="표준 4 2 3 7 2 2 2 3" xfId="20992"/>
    <cellStyle name="표준 4 2 3 7 2 2 2 3 2" xfId="43457"/>
    <cellStyle name="표준 4 2 3 7 2 2 2 4" xfId="28493"/>
    <cellStyle name="표준 4 2 3 7 2 2 3" xfId="13507"/>
    <cellStyle name="표준 4 2 3 7 2 2 3 2" xfId="35974"/>
    <cellStyle name="표준 4 2 3 7 2 2 4" xfId="20991"/>
    <cellStyle name="표준 4 2 3 7 2 2 4 2" xfId="43456"/>
    <cellStyle name="표준 4 2 3 7 2 2 5" xfId="28492"/>
    <cellStyle name="표준 4 2 3 7 2 3" xfId="6019"/>
    <cellStyle name="표준 4 2 3 7 2 3 2" xfId="13509"/>
    <cellStyle name="표준 4 2 3 7 2 3 2 2" xfId="35976"/>
    <cellStyle name="표준 4 2 3 7 2 3 3" xfId="20993"/>
    <cellStyle name="표준 4 2 3 7 2 3 3 2" xfId="43458"/>
    <cellStyle name="표준 4 2 3 7 2 3 4" xfId="28494"/>
    <cellStyle name="표준 4 2 3 7 2 4" xfId="13506"/>
    <cellStyle name="표준 4 2 3 7 2 4 2" xfId="35973"/>
    <cellStyle name="표준 4 2 3 7 2 5" xfId="20990"/>
    <cellStyle name="표준 4 2 3 7 2 5 2" xfId="43455"/>
    <cellStyle name="표준 4 2 3 7 2 6" xfId="28491"/>
    <cellStyle name="표준 4 2 3 7 3" xfId="6020"/>
    <cellStyle name="표준 4 2 3 7 3 2" xfId="6021"/>
    <cellStyle name="표준 4 2 3 7 3 2 2" xfId="13511"/>
    <cellStyle name="표준 4 2 3 7 3 2 2 2" xfId="35978"/>
    <cellStyle name="표준 4 2 3 7 3 2 3" xfId="20995"/>
    <cellStyle name="표준 4 2 3 7 3 2 3 2" xfId="43460"/>
    <cellStyle name="표준 4 2 3 7 3 2 4" xfId="28496"/>
    <cellStyle name="표준 4 2 3 7 3 3" xfId="13510"/>
    <cellStyle name="표준 4 2 3 7 3 3 2" xfId="35977"/>
    <cellStyle name="표준 4 2 3 7 3 4" xfId="20994"/>
    <cellStyle name="표준 4 2 3 7 3 4 2" xfId="43459"/>
    <cellStyle name="표준 4 2 3 7 3 5" xfId="28495"/>
    <cellStyle name="표준 4 2 3 7 4" xfId="6022"/>
    <cellStyle name="표준 4 2 3 7 4 2" xfId="13512"/>
    <cellStyle name="표준 4 2 3 7 4 2 2" xfId="35979"/>
    <cellStyle name="표준 4 2 3 7 4 3" xfId="20996"/>
    <cellStyle name="표준 4 2 3 7 4 3 2" xfId="43461"/>
    <cellStyle name="표준 4 2 3 7 4 4" xfId="28497"/>
    <cellStyle name="표준 4 2 3 7 5" xfId="13505"/>
    <cellStyle name="표준 4 2 3 7 5 2" xfId="35972"/>
    <cellStyle name="표준 4 2 3 7 6" xfId="20989"/>
    <cellStyle name="표준 4 2 3 7 6 2" xfId="43454"/>
    <cellStyle name="표준 4 2 3 7 7" xfId="28490"/>
    <cellStyle name="표준 4 2 3 8" xfId="6023"/>
    <cellStyle name="표준 4 2 3 8 2" xfId="6024"/>
    <cellStyle name="표준 4 2 3 8 2 2" xfId="6025"/>
    <cellStyle name="표준 4 2 3 8 2 2 2" xfId="6026"/>
    <cellStyle name="표준 4 2 3 8 2 2 2 2" xfId="13516"/>
    <cellStyle name="표준 4 2 3 8 2 2 2 2 2" xfId="35983"/>
    <cellStyle name="표준 4 2 3 8 2 2 2 3" xfId="21000"/>
    <cellStyle name="표준 4 2 3 8 2 2 2 3 2" xfId="43465"/>
    <cellStyle name="표준 4 2 3 8 2 2 2 4" xfId="28501"/>
    <cellStyle name="표준 4 2 3 8 2 2 3" xfId="13515"/>
    <cellStyle name="표준 4 2 3 8 2 2 3 2" xfId="35982"/>
    <cellStyle name="표준 4 2 3 8 2 2 4" xfId="20999"/>
    <cellStyle name="표준 4 2 3 8 2 2 4 2" xfId="43464"/>
    <cellStyle name="표준 4 2 3 8 2 2 5" xfId="28500"/>
    <cellStyle name="표준 4 2 3 8 2 3" xfId="6027"/>
    <cellStyle name="표준 4 2 3 8 2 3 2" xfId="13517"/>
    <cellStyle name="표준 4 2 3 8 2 3 2 2" xfId="35984"/>
    <cellStyle name="표준 4 2 3 8 2 3 3" xfId="21001"/>
    <cellStyle name="표준 4 2 3 8 2 3 3 2" xfId="43466"/>
    <cellStyle name="표준 4 2 3 8 2 3 4" xfId="28502"/>
    <cellStyle name="표준 4 2 3 8 2 4" xfId="13514"/>
    <cellStyle name="표준 4 2 3 8 2 4 2" xfId="35981"/>
    <cellStyle name="표준 4 2 3 8 2 5" xfId="20998"/>
    <cellStyle name="표준 4 2 3 8 2 5 2" xfId="43463"/>
    <cellStyle name="표준 4 2 3 8 2 6" xfId="28499"/>
    <cellStyle name="표준 4 2 3 8 3" xfId="6028"/>
    <cellStyle name="표준 4 2 3 8 3 2" xfId="6029"/>
    <cellStyle name="표준 4 2 3 8 3 2 2" xfId="13519"/>
    <cellStyle name="표준 4 2 3 8 3 2 2 2" xfId="35986"/>
    <cellStyle name="표준 4 2 3 8 3 2 3" xfId="21003"/>
    <cellStyle name="표준 4 2 3 8 3 2 3 2" xfId="43468"/>
    <cellStyle name="표준 4 2 3 8 3 2 4" xfId="28504"/>
    <cellStyle name="표준 4 2 3 8 3 3" xfId="13518"/>
    <cellStyle name="표준 4 2 3 8 3 3 2" xfId="35985"/>
    <cellStyle name="표준 4 2 3 8 3 4" xfId="21002"/>
    <cellStyle name="표준 4 2 3 8 3 4 2" xfId="43467"/>
    <cellStyle name="표준 4 2 3 8 3 5" xfId="28503"/>
    <cellStyle name="표준 4 2 3 8 4" xfId="6030"/>
    <cellStyle name="표준 4 2 3 8 4 2" xfId="13520"/>
    <cellStyle name="표준 4 2 3 8 4 2 2" xfId="35987"/>
    <cellStyle name="표준 4 2 3 8 4 3" xfId="21004"/>
    <cellStyle name="표준 4 2 3 8 4 3 2" xfId="43469"/>
    <cellStyle name="표준 4 2 3 8 4 4" xfId="28505"/>
    <cellStyle name="표준 4 2 3 8 5" xfId="13513"/>
    <cellStyle name="표준 4 2 3 8 5 2" xfId="35980"/>
    <cellStyle name="표준 4 2 3 8 6" xfId="20997"/>
    <cellStyle name="표준 4 2 3 8 6 2" xfId="43462"/>
    <cellStyle name="표준 4 2 3 8 7" xfId="28498"/>
    <cellStyle name="표준 4 2 3 9" xfId="6031"/>
    <cellStyle name="표준 4 2 3 9 2" xfId="6032"/>
    <cellStyle name="표준 4 2 3 9 2 2" xfId="6033"/>
    <cellStyle name="표준 4 2 3 9 2 2 2" xfId="13523"/>
    <cellStyle name="표준 4 2 3 9 2 2 2 2" xfId="35990"/>
    <cellStyle name="표준 4 2 3 9 2 2 3" xfId="21007"/>
    <cellStyle name="표준 4 2 3 9 2 2 3 2" xfId="43472"/>
    <cellStyle name="표준 4 2 3 9 2 2 4" xfId="28508"/>
    <cellStyle name="표준 4 2 3 9 2 3" xfId="13522"/>
    <cellStyle name="표준 4 2 3 9 2 3 2" xfId="35989"/>
    <cellStyle name="표준 4 2 3 9 2 4" xfId="21006"/>
    <cellStyle name="표준 4 2 3 9 2 4 2" xfId="43471"/>
    <cellStyle name="표준 4 2 3 9 2 5" xfId="28507"/>
    <cellStyle name="표준 4 2 3 9 3" xfId="6034"/>
    <cellStyle name="표준 4 2 3 9 3 2" xfId="13524"/>
    <cellStyle name="표준 4 2 3 9 3 2 2" xfId="35991"/>
    <cellStyle name="표준 4 2 3 9 3 3" xfId="21008"/>
    <cellStyle name="표준 4 2 3 9 3 3 2" xfId="43473"/>
    <cellStyle name="표준 4 2 3 9 3 4" xfId="28509"/>
    <cellStyle name="표준 4 2 3 9 4" xfId="13521"/>
    <cellStyle name="표준 4 2 3 9 4 2" xfId="35988"/>
    <cellStyle name="표준 4 2 3 9 5" xfId="21005"/>
    <cellStyle name="표준 4 2 3 9 5 2" xfId="43470"/>
    <cellStyle name="표준 4 2 3 9 6" xfId="28506"/>
    <cellStyle name="표준 4 2 3_Sheet4" xfId="6035"/>
    <cellStyle name="표준 4 2 4" xfId="6036"/>
    <cellStyle name="표준 4 2 4 10" xfId="13525"/>
    <cellStyle name="표준 4 2 4 10 2" xfId="35992"/>
    <cellStyle name="표준 4 2 4 11" xfId="21009"/>
    <cellStyle name="표준 4 2 4 11 2" xfId="43474"/>
    <cellStyle name="표준 4 2 4 12" xfId="28510"/>
    <cellStyle name="표준 4 2 4 2" xfId="6037"/>
    <cellStyle name="표준 4 2 4 2 10" xfId="28511"/>
    <cellStyle name="표준 4 2 4 2 2" xfId="6038"/>
    <cellStyle name="표준 4 2 4 2 2 2" xfId="6039"/>
    <cellStyle name="표준 4 2 4 2 2 2 2" xfId="6040"/>
    <cellStyle name="표준 4 2 4 2 2 2 2 2" xfId="6041"/>
    <cellStyle name="표준 4 2 4 2 2 2 2 2 2" xfId="6042"/>
    <cellStyle name="표준 4 2 4 2 2 2 2 2 2 2" xfId="13531"/>
    <cellStyle name="표준 4 2 4 2 2 2 2 2 2 2 2" xfId="35998"/>
    <cellStyle name="표준 4 2 4 2 2 2 2 2 2 3" xfId="21015"/>
    <cellStyle name="표준 4 2 4 2 2 2 2 2 2 3 2" xfId="43480"/>
    <cellStyle name="표준 4 2 4 2 2 2 2 2 2 4" xfId="28516"/>
    <cellStyle name="표준 4 2 4 2 2 2 2 2 3" xfId="13530"/>
    <cellStyle name="표준 4 2 4 2 2 2 2 2 3 2" xfId="35997"/>
    <cellStyle name="표준 4 2 4 2 2 2 2 2 4" xfId="21014"/>
    <cellStyle name="표준 4 2 4 2 2 2 2 2 4 2" xfId="43479"/>
    <cellStyle name="표준 4 2 4 2 2 2 2 2 5" xfId="28515"/>
    <cellStyle name="표준 4 2 4 2 2 2 2 3" xfId="6043"/>
    <cellStyle name="표준 4 2 4 2 2 2 2 3 2" xfId="13532"/>
    <cellStyle name="표준 4 2 4 2 2 2 2 3 2 2" xfId="35999"/>
    <cellStyle name="표준 4 2 4 2 2 2 2 3 3" xfId="21016"/>
    <cellStyle name="표준 4 2 4 2 2 2 2 3 3 2" xfId="43481"/>
    <cellStyle name="표준 4 2 4 2 2 2 2 3 4" xfId="28517"/>
    <cellStyle name="표준 4 2 4 2 2 2 2 4" xfId="13529"/>
    <cellStyle name="표준 4 2 4 2 2 2 2 4 2" xfId="35996"/>
    <cellStyle name="표준 4 2 4 2 2 2 2 5" xfId="21013"/>
    <cellStyle name="표준 4 2 4 2 2 2 2 5 2" xfId="43478"/>
    <cellStyle name="표준 4 2 4 2 2 2 2 6" xfId="28514"/>
    <cellStyle name="표준 4 2 4 2 2 2 3" xfId="6044"/>
    <cellStyle name="표준 4 2 4 2 2 2 3 2" xfId="6045"/>
    <cellStyle name="표준 4 2 4 2 2 2 3 2 2" xfId="13534"/>
    <cellStyle name="표준 4 2 4 2 2 2 3 2 2 2" xfId="36001"/>
    <cellStyle name="표준 4 2 4 2 2 2 3 2 3" xfId="21018"/>
    <cellStyle name="표준 4 2 4 2 2 2 3 2 3 2" xfId="43483"/>
    <cellStyle name="표준 4 2 4 2 2 2 3 2 4" xfId="28519"/>
    <cellStyle name="표준 4 2 4 2 2 2 3 3" xfId="13533"/>
    <cellStyle name="표준 4 2 4 2 2 2 3 3 2" xfId="36000"/>
    <cellStyle name="표준 4 2 4 2 2 2 3 4" xfId="21017"/>
    <cellStyle name="표준 4 2 4 2 2 2 3 4 2" xfId="43482"/>
    <cellStyle name="표준 4 2 4 2 2 2 3 5" xfId="28518"/>
    <cellStyle name="표준 4 2 4 2 2 2 4" xfId="6046"/>
    <cellStyle name="표준 4 2 4 2 2 2 4 2" xfId="13535"/>
    <cellStyle name="표준 4 2 4 2 2 2 4 2 2" xfId="36002"/>
    <cellStyle name="표준 4 2 4 2 2 2 4 3" xfId="21019"/>
    <cellStyle name="표준 4 2 4 2 2 2 4 3 2" xfId="43484"/>
    <cellStyle name="표준 4 2 4 2 2 2 4 4" xfId="28520"/>
    <cellStyle name="표준 4 2 4 2 2 2 5" xfId="13528"/>
    <cellStyle name="표준 4 2 4 2 2 2 5 2" xfId="35995"/>
    <cellStyle name="표준 4 2 4 2 2 2 6" xfId="21012"/>
    <cellStyle name="표준 4 2 4 2 2 2 6 2" xfId="43477"/>
    <cellStyle name="표준 4 2 4 2 2 2 7" xfId="28513"/>
    <cellStyle name="표준 4 2 4 2 2 3" xfId="6047"/>
    <cellStyle name="표준 4 2 4 2 2 3 2" xfId="6048"/>
    <cellStyle name="표준 4 2 4 2 2 3 2 2" xfId="6049"/>
    <cellStyle name="표준 4 2 4 2 2 3 2 2 2" xfId="13538"/>
    <cellStyle name="표준 4 2 4 2 2 3 2 2 2 2" xfId="36005"/>
    <cellStyle name="표준 4 2 4 2 2 3 2 2 3" xfId="21022"/>
    <cellStyle name="표준 4 2 4 2 2 3 2 2 3 2" xfId="43487"/>
    <cellStyle name="표준 4 2 4 2 2 3 2 2 4" xfId="28523"/>
    <cellStyle name="표준 4 2 4 2 2 3 2 3" xfId="13537"/>
    <cellStyle name="표준 4 2 4 2 2 3 2 3 2" xfId="36004"/>
    <cellStyle name="표준 4 2 4 2 2 3 2 4" xfId="21021"/>
    <cellStyle name="표준 4 2 4 2 2 3 2 4 2" xfId="43486"/>
    <cellStyle name="표준 4 2 4 2 2 3 2 5" xfId="28522"/>
    <cellStyle name="표준 4 2 4 2 2 3 3" xfId="6050"/>
    <cellStyle name="표준 4 2 4 2 2 3 3 2" xfId="13539"/>
    <cellStyle name="표준 4 2 4 2 2 3 3 2 2" xfId="36006"/>
    <cellStyle name="표준 4 2 4 2 2 3 3 3" xfId="21023"/>
    <cellStyle name="표준 4 2 4 2 2 3 3 3 2" xfId="43488"/>
    <cellStyle name="표준 4 2 4 2 2 3 3 4" xfId="28524"/>
    <cellStyle name="표준 4 2 4 2 2 3 4" xfId="13536"/>
    <cellStyle name="표준 4 2 4 2 2 3 4 2" xfId="36003"/>
    <cellStyle name="표준 4 2 4 2 2 3 5" xfId="21020"/>
    <cellStyle name="표준 4 2 4 2 2 3 5 2" xfId="43485"/>
    <cellStyle name="표준 4 2 4 2 2 3 6" xfId="28521"/>
    <cellStyle name="표준 4 2 4 2 2 4" xfId="6051"/>
    <cellStyle name="표준 4 2 4 2 2 4 2" xfId="6052"/>
    <cellStyle name="표준 4 2 4 2 2 4 2 2" xfId="13541"/>
    <cellStyle name="표준 4 2 4 2 2 4 2 2 2" xfId="36008"/>
    <cellStyle name="표준 4 2 4 2 2 4 2 3" xfId="21025"/>
    <cellStyle name="표준 4 2 4 2 2 4 2 3 2" xfId="43490"/>
    <cellStyle name="표준 4 2 4 2 2 4 2 4" xfId="28526"/>
    <cellStyle name="표준 4 2 4 2 2 4 3" xfId="13540"/>
    <cellStyle name="표준 4 2 4 2 2 4 3 2" xfId="36007"/>
    <cellStyle name="표준 4 2 4 2 2 4 4" xfId="21024"/>
    <cellStyle name="표준 4 2 4 2 2 4 4 2" xfId="43489"/>
    <cellStyle name="표준 4 2 4 2 2 4 5" xfId="28525"/>
    <cellStyle name="표준 4 2 4 2 2 5" xfId="6053"/>
    <cellStyle name="표준 4 2 4 2 2 5 2" xfId="13542"/>
    <cellStyle name="표준 4 2 4 2 2 5 2 2" xfId="36009"/>
    <cellStyle name="표준 4 2 4 2 2 5 3" xfId="21026"/>
    <cellStyle name="표준 4 2 4 2 2 5 3 2" xfId="43491"/>
    <cellStyle name="표준 4 2 4 2 2 5 4" xfId="28527"/>
    <cellStyle name="표준 4 2 4 2 2 6" xfId="13527"/>
    <cellStyle name="표준 4 2 4 2 2 6 2" xfId="35994"/>
    <cellStyle name="표준 4 2 4 2 2 7" xfId="21011"/>
    <cellStyle name="표준 4 2 4 2 2 7 2" xfId="43476"/>
    <cellStyle name="표준 4 2 4 2 2 8" xfId="28512"/>
    <cellStyle name="표준 4 2 4 2 3" xfId="6054"/>
    <cellStyle name="표준 4 2 4 2 3 2" xfId="6055"/>
    <cellStyle name="표준 4 2 4 2 3 2 2" xfId="6056"/>
    <cellStyle name="표준 4 2 4 2 3 2 2 2" xfId="6057"/>
    <cellStyle name="표준 4 2 4 2 3 2 2 2 2" xfId="6058"/>
    <cellStyle name="표준 4 2 4 2 3 2 2 2 2 2" xfId="13547"/>
    <cellStyle name="표준 4 2 4 2 3 2 2 2 2 2 2" xfId="36014"/>
    <cellStyle name="표준 4 2 4 2 3 2 2 2 2 3" xfId="21031"/>
    <cellStyle name="표준 4 2 4 2 3 2 2 2 2 3 2" xfId="43496"/>
    <cellStyle name="표준 4 2 4 2 3 2 2 2 2 4" xfId="28532"/>
    <cellStyle name="표준 4 2 4 2 3 2 2 2 3" xfId="13546"/>
    <cellStyle name="표준 4 2 4 2 3 2 2 2 3 2" xfId="36013"/>
    <cellStyle name="표준 4 2 4 2 3 2 2 2 4" xfId="21030"/>
    <cellStyle name="표준 4 2 4 2 3 2 2 2 4 2" xfId="43495"/>
    <cellStyle name="표준 4 2 4 2 3 2 2 2 5" xfId="28531"/>
    <cellStyle name="표준 4 2 4 2 3 2 2 3" xfId="6059"/>
    <cellStyle name="표준 4 2 4 2 3 2 2 3 2" xfId="13548"/>
    <cellStyle name="표준 4 2 4 2 3 2 2 3 2 2" xfId="36015"/>
    <cellStyle name="표준 4 2 4 2 3 2 2 3 3" xfId="21032"/>
    <cellStyle name="표준 4 2 4 2 3 2 2 3 3 2" xfId="43497"/>
    <cellStyle name="표준 4 2 4 2 3 2 2 3 4" xfId="28533"/>
    <cellStyle name="표준 4 2 4 2 3 2 2 4" xfId="13545"/>
    <cellStyle name="표준 4 2 4 2 3 2 2 4 2" xfId="36012"/>
    <cellStyle name="표준 4 2 4 2 3 2 2 5" xfId="21029"/>
    <cellStyle name="표준 4 2 4 2 3 2 2 5 2" xfId="43494"/>
    <cellStyle name="표준 4 2 4 2 3 2 2 6" xfId="28530"/>
    <cellStyle name="표준 4 2 4 2 3 2 3" xfId="6060"/>
    <cellStyle name="표준 4 2 4 2 3 2 3 2" xfId="6061"/>
    <cellStyle name="표준 4 2 4 2 3 2 3 2 2" xfId="13550"/>
    <cellStyle name="표준 4 2 4 2 3 2 3 2 2 2" xfId="36017"/>
    <cellStyle name="표준 4 2 4 2 3 2 3 2 3" xfId="21034"/>
    <cellStyle name="표준 4 2 4 2 3 2 3 2 3 2" xfId="43499"/>
    <cellStyle name="표준 4 2 4 2 3 2 3 2 4" xfId="28535"/>
    <cellStyle name="표준 4 2 4 2 3 2 3 3" xfId="13549"/>
    <cellStyle name="표준 4 2 4 2 3 2 3 3 2" xfId="36016"/>
    <cellStyle name="표준 4 2 4 2 3 2 3 4" xfId="21033"/>
    <cellStyle name="표준 4 2 4 2 3 2 3 4 2" xfId="43498"/>
    <cellStyle name="표준 4 2 4 2 3 2 3 5" xfId="28534"/>
    <cellStyle name="표준 4 2 4 2 3 2 4" xfId="6062"/>
    <cellStyle name="표준 4 2 4 2 3 2 4 2" xfId="13551"/>
    <cellStyle name="표준 4 2 4 2 3 2 4 2 2" xfId="36018"/>
    <cellStyle name="표준 4 2 4 2 3 2 4 3" xfId="21035"/>
    <cellStyle name="표준 4 2 4 2 3 2 4 3 2" xfId="43500"/>
    <cellStyle name="표준 4 2 4 2 3 2 4 4" xfId="28536"/>
    <cellStyle name="표준 4 2 4 2 3 2 5" xfId="13544"/>
    <cellStyle name="표준 4 2 4 2 3 2 5 2" xfId="36011"/>
    <cellStyle name="표준 4 2 4 2 3 2 6" xfId="21028"/>
    <cellStyle name="표준 4 2 4 2 3 2 6 2" xfId="43493"/>
    <cellStyle name="표준 4 2 4 2 3 2 7" xfId="28529"/>
    <cellStyle name="표준 4 2 4 2 3 3" xfId="6063"/>
    <cellStyle name="표준 4 2 4 2 3 3 2" xfId="6064"/>
    <cellStyle name="표준 4 2 4 2 3 3 2 2" xfId="6065"/>
    <cellStyle name="표준 4 2 4 2 3 3 2 2 2" xfId="13554"/>
    <cellStyle name="표준 4 2 4 2 3 3 2 2 2 2" xfId="36021"/>
    <cellStyle name="표준 4 2 4 2 3 3 2 2 3" xfId="21038"/>
    <cellStyle name="표준 4 2 4 2 3 3 2 2 3 2" xfId="43503"/>
    <cellStyle name="표준 4 2 4 2 3 3 2 2 4" xfId="28539"/>
    <cellStyle name="표준 4 2 4 2 3 3 2 3" xfId="13553"/>
    <cellStyle name="표준 4 2 4 2 3 3 2 3 2" xfId="36020"/>
    <cellStyle name="표준 4 2 4 2 3 3 2 4" xfId="21037"/>
    <cellStyle name="표준 4 2 4 2 3 3 2 4 2" xfId="43502"/>
    <cellStyle name="표준 4 2 4 2 3 3 2 5" xfId="28538"/>
    <cellStyle name="표준 4 2 4 2 3 3 3" xfId="6066"/>
    <cellStyle name="표준 4 2 4 2 3 3 3 2" xfId="13555"/>
    <cellStyle name="표준 4 2 4 2 3 3 3 2 2" xfId="36022"/>
    <cellStyle name="표준 4 2 4 2 3 3 3 3" xfId="21039"/>
    <cellStyle name="표준 4 2 4 2 3 3 3 3 2" xfId="43504"/>
    <cellStyle name="표준 4 2 4 2 3 3 3 4" xfId="28540"/>
    <cellStyle name="표준 4 2 4 2 3 3 4" xfId="13552"/>
    <cellStyle name="표준 4 2 4 2 3 3 4 2" xfId="36019"/>
    <cellStyle name="표준 4 2 4 2 3 3 5" xfId="21036"/>
    <cellStyle name="표준 4 2 4 2 3 3 5 2" xfId="43501"/>
    <cellStyle name="표준 4 2 4 2 3 3 6" xfId="28537"/>
    <cellStyle name="표준 4 2 4 2 3 4" xfId="6067"/>
    <cellStyle name="표준 4 2 4 2 3 4 2" xfId="6068"/>
    <cellStyle name="표준 4 2 4 2 3 4 2 2" xfId="13557"/>
    <cellStyle name="표준 4 2 4 2 3 4 2 2 2" xfId="36024"/>
    <cellStyle name="표준 4 2 4 2 3 4 2 3" xfId="21041"/>
    <cellStyle name="표준 4 2 4 2 3 4 2 3 2" xfId="43506"/>
    <cellStyle name="표준 4 2 4 2 3 4 2 4" xfId="28542"/>
    <cellStyle name="표준 4 2 4 2 3 4 3" xfId="13556"/>
    <cellStyle name="표준 4 2 4 2 3 4 3 2" xfId="36023"/>
    <cellStyle name="표준 4 2 4 2 3 4 4" xfId="21040"/>
    <cellStyle name="표준 4 2 4 2 3 4 4 2" xfId="43505"/>
    <cellStyle name="표준 4 2 4 2 3 4 5" xfId="28541"/>
    <cellStyle name="표준 4 2 4 2 3 5" xfId="6069"/>
    <cellStyle name="표준 4 2 4 2 3 5 2" xfId="13558"/>
    <cellStyle name="표준 4 2 4 2 3 5 2 2" xfId="36025"/>
    <cellStyle name="표준 4 2 4 2 3 5 3" xfId="21042"/>
    <cellStyle name="표준 4 2 4 2 3 5 3 2" xfId="43507"/>
    <cellStyle name="표준 4 2 4 2 3 5 4" xfId="28543"/>
    <cellStyle name="표준 4 2 4 2 3 6" xfId="13543"/>
    <cellStyle name="표준 4 2 4 2 3 6 2" xfId="36010"/>
    <cellStyle name="표준 4 2 4 2 3 7" xfId="21027"/>
    <cellStyle name="표준 4 2 4 2 3 7 2" xfId="43492"/>
    <cellStyle name="표준 4 2 4 2 3 8" xfId="28528"/>
    <cellStyle name="표준 4 2 4 2 4" xfId="6070"/>
    <cellStyle name="표준 4 2 4 2 4 2" xfId="6071"/>
    <cellStyle name="표준 4 2 4 2 4 2 2" xfId="6072"/>
    <cellStyle name="표준 4 2 4 2 4 2 2 2" xfId="6073"/>
    <cellStyle name="표준 4 2 4 2 4 2 2 2 2" xfId="13562"/>
    <cellStyle name="표준 4 2 4 2 4 2 2 2 2 2" xfId="36029"/>
    <cellStyle name="표준 4 2 4 2 4 2 2 2 3" xfId="21046"/>
    <cellStyle name="표준 4 2 4 2 4 2 2 2 3 2" xfId="43511"/>
    <cellStyle name="표준 4 2 4 2 4 2 2 2 4" xfId="28547"/>
    <cellStyle name="표준 4 2 4 2 4 2 2 3" xfId="13561"/>
    <cellStyle name="표준 4 2 4 2 4 2 2 3 2" xfId="36028"/>
    <cellStyle name="표준 4 2 4 2 4 2 2 4" xfId="21045"/>
    <cellStyle name="표준 4 2 4 2 4 2 2 4 2" xfId="43510"/>
    <cellStyle name="표준 4 2 4 2 4 2 2 5" xfId="28546"/>
    <cellStyle name="표준 4 2 4 2 4 2 3" xfId="6074"/>
    <cellStyle name="표준 4 2 4 2 4 2 3 2" xfId="13563"/>
    <cellStyle name="표준 4 2 4 2 4 2 3 2 2" xfId="36030"/>
    <cellStyle name="표준 4 2 4 2 4 2 3 3" xfId="21047"/>
    <cellStyle name="표준 4 2 4 2 4 2 3 3 2" xfId="43512"/>
    <cellStyle name="표준 4 2 4 2 4 2 3 4" xfId="28548"/>
    <cellStyle name="표준 4 2 4 2 4 2 4" xfId="13560"/>
    <cellStyle name="표준 4 2 4 2 4 2 4 2" xfId="36027"/>
    <cellStyle name="표준 4 2 4 2 4 2 5" xfId="21044"/>
    <cellStyle name="표준 4 2 4 2 4 2 5 2" xfId="43509"/>
    <cellStyle name="표준 4 2 4 2 4 2 6" xfId="28545"/>
    <cellStyle name="표준 4 2 4 2 4 3" xfId="6075"/>
    <cellStyle name="표준 4 2 4 2 4 3 2" xfId="6076"/>
    <cellStyle name="표준 4 2 4 2 4 3 2 2" xfId="13565"/>
    <cellStyle name="표준 4 2 4 2 4 3 2 2 2" xfId="36032"/>
    <cellStyle name="표준 4 2 4 2 4 3 2 3" xfId="21049"/>
    <cellStyle name="표준 4 2 4 2 4 3 2 3 2" xfId="43514"/>
    <cellStyle name="표준 4 2 4 2 4 3 2 4" xfId="28550"/>
    <cellStyle name="표준 4 2 4 2 4 3 3" xfId="13564"/>
    <cellStyle name="표준 4 2 4 2 4 3 3 2" xfId="36031"/>
    <cellStyle name="표준 4 2 4 2 4 3 4" xfId="21048"/>
    <cellStyle name="표준 4 2 4 2 4 3 4 2" xfId="43513"/>
    <cellStyle name="표준 4 2 4 2 4 3 5" xfId="28549"/>
    <cellStyle name="표준 4 2 4 2 4 4" xfId="6077"/>
    <cellStyle name="표준 4 2 4 2 4 4 2" xfId="13566"/>
    <cellStyle name="표준 4 2 4 2 4 4 2 2" xfId="36033"/>
    <cellStyle name="표준 4 2 4 2 4 4 3" xfId="21050"/>
    <cellStyle name="표준 4 2 4 2 4 4 3 2" xfId="43515"/>
    <cellStyle name="표준 4 2 4 2 4 4 4" xfId="28551"/>
    <cellStyle name="표준 4 2 4 2 4 5" xfId="13559"/>
    <cellStyle name="표준 4 2 4 2 4 5 2" xfId="36026"/>
    <cellStyle name="표준 4 2 4 2 4 6" xfId="21043"/>
    <cellStyle name="표준 4 2 4 2 4 6 2" xfId="43508"/>
    <cellStyle name="표준 4 2 4 2 4 7" xfId="28544"/>
    <cellStyle name="표준 4 2 4 2 5" xfId="6078"/>
    <cellStyle name="표준 4 2 4 2 5 2" xfId="6079"/>
    <cellStyle name="표준 4 2 4 2 5 2 2" xfId="6080"/>
    <cellStyle name="표준 4 2 4 2 5 2 2 2" xfId="13569"/>
    <cellStyle name="표준 4 2 4 2 5 2 2 2 2" xfId="36036"/>
    <cellStyle name="표준 4 2 4 2 5 2 2 3" xfId="21053"/>
    <cellStyle name="표준 4 2 4 2 5 2 2 3 2" xfId="43518"/>
    <cellStyle name="표준 4 2 4 2 5 2 2 4" xfId="28554"/>
    <cellStyle name="표준 4 2 4 2 5 2 3" xfId="13568"/>
    <cellStyle name="표준 4 2 4 2 5 2 3 2" xfId="36035"/>
    <cellStyle name="표준 4 2 4 2 5 2 4" xfId="21052"/>
    <cellStyle name="표준 4 2 4 2 5 2 4 2" xfId="43517"/>
    <cellStyle name="표준 4 2 4 2 5 2 5" xfId="28553"/>
    <cellStyle name="표준 4 2 4 2 5 3" xfId="6081"/>
    <cellStyle name="표준 4 2 4 2 5 3 2" xfId="13570"/>
    <cellStyle name="표준 4 2 4 2 5 3 2 2" xfId="36037"/>
    <cellStyle name="표준 4 2 4 2 5 3 3" xfId="21054"/>
    <cellStyle name="표준 4 2 4 2 5 3 3 2" xfId="43519"/>
    <cellStyle name="표준 4 2 4 2 5 3 4" xfId="28555"/>
    <cellStyle name="표준 4 2 4 2 5 4" xfId="13567"/>
    <cellStyle name="표준 4 2 4 2 5 4 2" xfId="36034"/>
    <cellStyle name="표준 4 2 4 2 5 5" xfId="21051"/>
    <cellStyle name="표준 4 2 4 2 5 5 2" xfId="43516"/>
    <cellStyle name="표준 4 2 4 2 5 6" xfId="28552"/>
    <cellStyle name="표준 4 2 4 2 6" xfId="6082"/>
    <cellStyle name="표준 4 2 4 2 6 2" xfId="6083"/>
    <cellStyle name="표준 4 2 4 2 6 2 2" xfId="13572"/>
    <cellStyle name="표준 4 2 4 2 6 2 2 2" xfId="36039"/>
    <cellStyle name="표준 4 2 4 2 6 2 3" xfId="21056"/>
    <cellStyle name="표준 4 2 4 2 6 2 3 2" xfId="43521"/>
    <cellStyle name="표준 4 2 4 2 6 2 4" xfId="28557"/>
    <cellStyle name="표준 4 2 4 2 6 3" xfId="13571"/>
    <cellStyle name="표준 4 2 4 2 6 3 2" xfId="36038"/>
    <cellStyle name="표준 4 2 4 2 6 4" xfId="21055"/>
    <cellStyle name="표준 4 2 4 2 6 4 2" xfId="43520"/>
    <cellStyle name="표준 4 2 4 2 6 5" xfId="28556"/>
    <cellStyle name="표준 4 2 4 2 7" xfId="6084"/>
    <cellStyle name="표준 4 2 4 2 7 2" xfId="13573"/>
    <cellStyle name="표준 4 2 4 2 7 2 2" xfId="36040"/>
    <cellStyle name="표준 4 2 4 2 7 3" xfId="21057"/>
    <cellStyle name="표준 4 2 4 2 7 3 2" xfId="43522"/>
    <cellStyle name="표준 4 2 4 2 7 4" xfId="28558"/>
    <cellStyle name="표준 4 2 4 2 8" xfId="13526"/>
    <cellStyle name="표준 4 2 4 2 8 2" xfId="35993"/>
    <cellStyle name="표준 4 2 4 2 9" xfId="21010"/>
    <cellStyle name="표준 4 2 4 2 9 2" xfId="43475"/>
    <cellStyle name="표준 4 2 4 3" xfId="6085"/>
    <cellStyle name="표준 4 2 4 3 2" xfId="6086"/>
    <cellStyle name="표준 4 2 4 3 2 2" xfId="6087"/>
    <cellStyle name="표준 4 2 4 3 2 2 2" xfId="6088"/>
    <cellStyle name="표준 4 2 4 3 2 2 2 2" xfId="6089"/>
    <cellStyle name="표준 4 2 4 3 2 2 2 2 2" xfId="13578"/>
    <cellStyle name="표준 4 2 4 3 2 2 2 2 2 2" xfId="36045"/>
    <cellStyle name="표준 4 2 4 3 2 2 2 2 3" xfId="21062"/>
    <cellStyle name="표준 4 2 4 3 2 2 2 2 3 2" xfId="43527"/>
    <cellStyle name="표준 4 2 4 3 2 2 2 2 4" xfId="28563"/>
    <cellStyle name="표준 4 2 4 3 2 2 2 3" xfId="13577"/>
    <cellStyle name="표준 4 2 4 3 2 2 2 3 2" xfId="36044"/>
    <cellStyle name="표준 4 2 4 3 2 2 2 4" xfId="21061"/>
    <cellStyle name="표준 4 2 4 3 2 2 2 4 2" xfId="43526"/>
    <cellStyle name="표준 4 2 4 3 2 2 2 5" xfId="28562"/>
    <cellStyle name="표준 4 2 4 3 2 2 3" xfId="6090"/>
    <cellStyle name="표준 4 2 4 3 2 2 3 2" xfId="13579"/>
    <cellStyle name="표준 4 2 4 3 2 2 3 2 2" xfId="36046"/>
    <cellStyle name="표준 4 2 4 3 2 2 3 3" xfId="21063"/>
    <cellStyle name="표준 4 2 4 3 2 2 3 3 2" xfId="43528"/>
    <cellStyle name="표준 4 2 4 3 2 2 3 4" xfId="28564"/>
    <cellStyle name="표준 4 2 4 3 2 2 4" xfId="13576"/>
    <cellStyle name="표준 4 2 4 3 2 2 4 2" xfId="36043"/>
    <cellStyle name="표준 4 2 4 3 2 2 5" xfId="21060"/>
    <cellStyle name="표준 4 2 4 3 2 2 5 2" xfId="43525"/>
    <cellStyle name="표준 4 2 4 3 2 2 6" xfId="28561"/>
    <cellStyle name="표준 4 2 4 3 2 3" xfId="6091"/>
    <cellStyle name="표준 4 2 4 3 2 3 2" xfId="6092"/>
    <cellStyle name="표준 4 2 4 3 2 3 2 2" xfId="13581"/>
    <cellStyle name="표준 4 2 4 3 2 3 2 2 2" xfId="36048"/>
    <cellStyle name="표준 4 2 4 3 2 3 2 3" xfId="21065"/>
    <cellStyle name="표준 4 2 4 3 2 3 2 3 2" xfId="43530"/>
    <cellStyle name="표준 4 2 4 3 2 3 2 4" xfId="28566"/>
    <cellStyle name="표준 4 2 4 3 2 3 3" xfId="13580"/>
    <cellStyle name="표준 4 2 4 3 2 3 3 2" xfId="36047"/>
    <cellStyle name="표준 4 2 4 3 2 3 4" xfId="21064"/>
    <cellStyle name="표준 4 2 4 3 2 3 4 2" xfId="43529"/>
    <cellStyle name="표준 4 2 4 3 2 3 5" xfId="28565"/>
    <cellStyle name="표준 4 2 4 3 2 4" xfId="6093"/>
    <cellStyle name="표준 4 2 4 3 2 4 2" xfId="13582"/>
    <cellStyle name="표준 4 2 4 3 2 4 2 2" xfId="36049"/>
    <cellStyle name="표준 4 2 4 3 2 4 3" xfId="21066"/>
    <cellStyle name="표준 4 2 4 3 2 4 3 2" xfId="43531"/>
    <cellStyle name="표준 4 2 4 3 2 4 4" xfId="28567"/>
    <cellStyle name="표준 4 2 4 3 2 5" xfId="13575"/>
    <cellStyle name="표준 4 2 4 3 2 5 2" xfId="36042"/>
    <cellStyle name="표준 4 2 4 3 2 6" xfId="21059"/>
    <cellStyle name="표준 4 2 4 3 2 6 2" xfId="43524"/>
    <cellStyle name="표준 4 2 4 3 2 7" xfId="28560"/>
    <cellStyle name="표준 4 2 4 3 3" xfId="6094"/>
    <cellStyle name="표준 4 2 4 3 3 2" xfId="6095"/>
    <cellStyle name="표준 4 2 4 3 3 2 2" xfId="6096"/>
    <cellStyle name="표준 4 2 4 3 3 2 2 2" xfId="13585"/>
    <cellStyle name="표준 4 2 4 3 3 2 2 2 2" xfId="36052"/>
    <cellStyle name="표준 4 2 4 3 3 2 2 3" xfId="21069"/>
    <cellStyle name="표준 4 2 4 3 3 2 2 3 2" xfId="43534"/>
    <cellStyle name="표준 4 2 4 3 3 2 2 4" xfId="28570"/>
    <cellStyle name="표준 4 2 4 3 3 2 3" xfId="13584"/>
    <cellStyle name="표준 4 2 4 3 3 2 3 2" xfId="36051"/>
    <cellStyle name="표준 4 2 4 3 3 2 4" xfId="21068"/>
    <cellStyle name="표준 4 2 4 3 3 2 4 2" xfId="43533"/>
    <cellStyle name="표준 4 2 4 3 3 2 5" xfId="28569"/>
    <cellStyle name="표준 4 2 4 3 3 3" xfId="6097"/>
    <cellStyle name="표준 4 2 4 3 3 3 2" xfId="13586"/>
    <cellStyle name="표준 4 2 4 3 3 3 2 2" xfId="36053"/>
    <cellStyle name="표준 4 2 4 3 3 3 3" xfId="21070"/>
    <cellStyle name="표준 4 2 4 3 3 3 3 2" xfId="43535"/>
    <cellStyle name="표준 4 2 4 3 3 3 4" xfId="28571"/>
    <cellStyle name="표준 4 2 4 3 3 4" xfId="13583"/>
    <cellStyle name="표준 4 2 4 3 3 4 2" xfId="36050"/>
    <cellStyle name="표준 4 2 4 3 3 5" xfId="21067"/>
    <cellStyle name="표준 4 2 4 3 3 5 2" xfId="43532"/>
    <cellStyle name="표준 4 2 4 3 3 6" xfId="28568"/>
    <cellStyle name="표준 4 2 4 3 4" xfId="6098"/>
    <cellStyle name="표준 4 2 4 3 4 2" xfId="6099"/>
    <cellStyle name="표준 4 2 4 3 4 2 2" xfId="13588"/>
    <cellStyle name="표준 4 2 4 3 4 2 2 2" xfId="36055"/>
    <cellStyle name="표준 4 2 4 3 4 2 3" xfId="21072"/>
    <cellStyle name="표준 4 2 4 3 4 2 3 2" xfId="43537"/>
    <cellStyle name="표준 4 2 4 3 4 2 4" xfId="28573"/>
    <cellStyle name="표준 4 2 4 3 4 3" xfId="13587"/>
    <cellStyle name="표준 4 2 4 3 4 3 2" xfId="36054"/>
    <cellStyle name="표준 4 2 4 3 4 4" xfId="21071"/>
    <cellStyle name="표준 4 2 4 3 4 4 2" xfId="43536"/>
    <cellStyle name="표준 4 2 4 3 4 5" xfId="28572"/>
    <cellStyle name="표준 4 2 4 3 5" xfId="6100"/>
    <cellStyle name="표준 4 2 4 3 5 2" xfId="13589"/>
    <cellStyle name="표준 4 2 4 3 5 2 2" xfId="36056"/>
    <cellStyle name="표준 4 2 4 3 5 3" xfId="21073"/>
    <cellStyle name="표준 4 2 4 3 5 3 2" xfId="43538"/>
    <cellStyle name="표준 4 2 4 3 5 4" xfId="28574"/>
    <cellStyle name="표준 4 2 4 3 6" xfId="13574"/>
    <cellStyle name="표준 4 2 4 3 6 2" xfId="36041"/>
    <cellStyle name="표준 4 2 4 3 7" xfId="21058"/>
    <cellStyle name="표준 4 2 4 3 7 2" xfId="43523"/>
    <cellStyle name="표준 4 2 4 3 8" xfId="28559"/>
    <cellStyle name="표준 4 2 4 4" xfId="6101"/>
    <cellStyle name="표준 4 2 4 4 2" xfId="6102"/>
    <cellStyle name="표준 4 2 4 4 2 2" xfId="6103"/>
    <cellStyle name="표준 4 2 4 4 2 2 2" xfId="6104"/>
    <cellStyle name="표준 4 2 4 4 2 2 2 2" xfId="6105"/>
    <cellStyle name="표준 4 2 4 4 2 2 2 2 2" xfId="13594"/>
    <cellStyle name="표준 4 2 4 4 2 2 2 2 2 2" xfId="36061"/>
    <cellStyle name="표준 4 2 4 4 2 2 2 2 3" xfId="21078"/>
    <cellStyle name="표준 4 2 4 4 2 2 2 2 3 2" xfId="43543"/>
    <cellStyle name="표준 4 2 4 4 2 2 2 2 4" xfId="28579"/>
    <cellStyle name="표준 4 2 4 4 2 2 2 3" xfId="13593"/>
    <cellStyle name="표준 4 2 4 4 2 2 2 3 2" xfId="36060"/>
    <cellStyle name="표준 4 2 4 4 2 2 2 4" xfId="21077"/>
    <cellStyle name="표준 4 2 4 4 2 2 2 4 2" xfId="43542"/>
    <cellStyle name="표준 4 2 4 4 2 2 2 5" xfId="28578"/>
    <cellStyle name="표준 4 2 4 4 2 2 3" xfId="6106"/>
    <cellStyle name="표준 4 2 4 4 2 2 3 2" xfId="13595"/>
    <cellStyle name="표준 4 2 4 4 2 2 3 2 2" xfId="36062"/>
    <cellStyle name="표준 4 2 4 4 2 2 3 3" xfId="21079"/>
    <cellStyle name="표준 4 2 4 4 2 2 3 3 2" xfId="43544"/>
    <cellStyle name="표준 4 2 4 4 2 2 3 4" xfId="28580"/>
    <cellStyle name="표준 4 2 4 4 2 2 4" xfId="13592"/>
    <cellStyle name="표준 4 2 4 4 2 2 4 2" xfId="36059"/>
    <cellStyle name="표준 4 2 4 4 2 2 5" xfId="21076"/>
    <cellStyle name="표준 4 2 4 4 2 2 5 2" xfId="43541"/>
    <cellStyle name="표준 4 2 4 4 2 2 6" xfId="28577"/>
    <cellStyle name="표준 4 2 4 4 2 3" xfId="6107"/>
    <cellStyle name="표준 4 2 4 4 2 3 2" xfId="6108"/>
    <cellStyle name="표준 4 2 4 4 2 3 2 2" xfId="13597"/>
    <cellStyle name="표준 4 2 4 4 2 3 2 2 2" xfId="36064"/>
    <cellStyle name="표준 4 2 4 4 2 3 2 3" xfId="21081"/>
    <cellStyle name="표준 4 2 4 4 2 3 2 3 2" xfId="43546"/>
    <cellStyle name="표준 4 2 4 4 2 3 2 4" xfId="28582"/>
    <cellStyle name="표준 4 2 4 4 2 3 3" xfId="13596"/>
    <cellStyle name="표준 4 2 4 4 2 3 3 2" xfId="36063"/>
    <cellStyle name="표준 4 2 4 4 2 3 4" xfId="21080"/>
    <cellStyle name="표준 4 2 4 4 2 3 4 2" xfId="43545"/>
    <cellStyle name="표준 4 2 4 4 2 3 5" xfId="28581"/>
    <cellStyle name="표준 4 2 4 4 2 4" xfId="6109"/>
    <cellStyle name="표준 4 2 4 4 2 4 2" xfId="13598"/>
    <cellStyle name="표준 4 2 4 4 2 4 2 2" xfId="36065"/>
    <cellStyle name="표준 4 2 4 4 2 4 3" xfId="21082"/>
    <cellStyle name="표준 4 2 4 4 2 4 3 2" xfId="43547"/>
    <cellStyle name="표준 4 2 4 4 2 4 4" xfId="28583"/>
    <cellStyle name="표준 4 2 4 4 2 5" xfId="13591"/>
    <cellStyle name="표준 4 2 4 4 2 5 2" xfId="36058"/>
    <cellStyle name="표준 4 2 4 4 2 6" xfId="21075"/>
    <cellStyle name="표준 4 2 4 4 2 6 2" xfId="43540"/>
    <cellStyle name="표준 4 2 4 4 2 7" xfId="28576"/>
    <cellStyle name="표준 4 2 4 4 3" xfId="6110"/>
    <cellStyle name="표준 4 2 4 4 3 2" xfId="6111"/>
    <cellStyle name="표준 4 2 4 4 3 2 2" xfId="6112"/>
    <cellStyle name="표준 4 2 4 4 3 2 2 2" xfId="13601"/>
    <cellStyle name="표준 4 2 4 4 3 2 2 2 2" xfId="36068"/>
    <cellStyle name="표준 4 2 4 4 3 2 2 3" xfId="21085"/>
    <cellStyle name="표준 4 2 4 4 3 2 2 3 2" xfId="43550"/>
    <cellStyle name="표준 4 2 4 4 3 2 2 4" xfId="28586"/>
    <cellStyle name="표준 4 2 4 4 3 2 3" xfId="13600"/>
    <cellStyle name="표준 4 2 4 4 3 2 3 2" xfId="36067"/>
    <cellStyle name="표준 4 2 4 4 3 2 4" xfId="21084"/>
    <cellStyle name="표준 4 2 4 4 3 2 4 2" xfId="43549"/>
    <cellStyle name="표준 4 2 4 4 3 2 5" xfId="28585"/>
    <cellStyle name="표준 4 2 4 4 3 3" xfId="6113"/>
    <cellStyle name="표준 4 2 4 4 3 3 2" xfId="13602"/>
    <cellStyle name="표준 4 2 4 4 3 3 2 2" xfId="36069"/>
    <cellStyle name="표준 4 2 4 4 3 3 3" xfId="21086"/>
    <cellStyle name="표준 4 2 4 4 3 3 3 2" xfId="43551"/>
    <cellStyle name="표준 4 2 4 4 3 3 4" xfId="28587"/>
    <cellStyle name="표준 4 2 4 4 3 4" xfId="13599"/>
    <cellStyle name="표준 4 2 4 4 3 4 2" xfId="36066"/>
    <cellStyle name="표준 4 2 4 4 3 5" xfId="21083"/>
    <cellStyle name="표준 4 2 4 4 3 5 2" xfId="43548"/>
    <cellStyle name="표준 4 2 4 4 3 6" xfId="28584"/>
    <cellStyle name="표준 4 2 4 4 4" xfId="6114"/>
    <cellStyle name="표준 4 2 4 4 4 2" xfId="6115"/>
    <cellStyle name="표준 4 2 4 4 4 2 2" xfId="13604"/>
    <cellStyle name="표준 4 2 4 4 4 2 2 2" xfId="36071"/>
    <cellStyle name="표준 4 2 4 4 4 2 3" xfId="21088"/>
    <cellStyle name="표준 4 2 4 4 4 2 3 2" xfId="43553"/>
    <cellStyle name="표준 4 2 4 4 4 2 4" xfId="28589"/>
    <cellStyle name="표준 4 2 4 4 4 3" xfId="13603"/>
    <cellStyle name="표준 4 2 4 4 4 3 2" xfId="36070"/>
    <cellStyle name="표준 4 2 4 4 4 4" xfId="21087"/>
    <cellStyle name="표준 4 2 4 4 4 4 2" xfId="43552"/>
    <cellStyle name="표준 4 2 4 4 4 5" xfId="28588"/>
    <cellStyle name="표준 4 2 4 4 5" xfId="6116"/>
    <cellStyle name="표준 4 2 4 4 5 2" xfId="13605"/>
    <cellStyle name="표준 4 2 4 4 5 2 2" xfId="36072"/>
    <cellStyle name="표준 4 2 4 4 5 3" xfId="21089"/>
    <cellStyle name="표준 4 2 4 4 5 3 2" xfId="43554"/>
    <cellStyle name="표준 4 2 4 4 5 4" xfId="28590"/>
    <cellStyle name="표준 4 2 4 4 6" xfId="13590"/>
    <cellStyle name="표준 4 2 4 4 6 2" xfId="36057"/>
    <cellStyle name="표준 4 2 4 4 7" xfId="21074"/>
    <cellStyle name="표준 4 2 4 4 7 2" xfId="43539"/>
    <cellStyle name="표준 4 2 4 4 8" xfId="28575"/>
    <cellStyle name="표준 4 2 4 5" xfId="6117"/>
    <cellStyle name="표준 4 2 4 5 2" xfId="6118"/>
    <cellStyle name="표준 4 2 4 5 2 2" xfId="6119"/>
    <cellStyle name="표준 4 2 4 5 2 2 2" xfId="6120"/>
    <cellStyle name="표준 4 2 4 5 2 2 2 2" xfId="13609"/>
    <cellStyle name="표준 4 2 4 5 2 2 2 2 2" xfId="36076"/>
    <cellStyle name="표준 4 2 4 5 2 2 2 3" xfId="21093"/>
    <cellStyle name="표준 4 2 4 5 2 2 2 3 2" xfId="43558"/>
    <cellStyle name="표준 4 2 4 5 2 2 2 4" xfId="28594"/>
    <cellStyle name="표준 4 2 4 5 2 2 3" xfId="13608"/>
    <cellStyle name="표준 4 2 4 5 2 2 3 2" xfId="36075"/>
    <cellStyle name="표준 4 2 4 5 2 2 4" xfId="21092"/>
    <cellStyle name="표준 4 2 4 5 2 2 4 2" xfId="43557"/>
    <cellStyle name="표준 4 2 4 5 2 2 5" xfId="28593"/>
    <cellStyle name="표준 4 2 4 5 2 3" xfId="6121"/>
    <cellStyle name="표준 4 2 4 5 2 3 2" xfId="13610"/>
    <cellStyle name="표준 4 2 4 5 2 3 2 2" xfId="36077"/>
    <cellStyle name="표준 4 2 4 5 2 3 3" xfId="21094"/>
    <cellStyle name="표준 4 2 4 5 2 3 3 2" xfId="43559"/>
    <cellStyle name="표준 4 2 4 5 2 3 4" xfId="28595"/>
    <cellStyle name="표준 4 2 4 5 2 4" xfId="13607"/>
    <cellStyle name="표준 4 2 4 5 2 4 2" xfId="36074"/>
    <cellStyle name="표준 4 2 4 5 2 5" xfId="21091"/>
    <cellStyle name="표준 4 2 4 5 2 5 2" xfId="43556"/>
    <cellStyle name="표준 4 2 4 5 2 6" xfId="28592"/>
    <cellStyle name="표준 4 2 4 5 3" xfId="6122"/>
    <cellStyle name="표준 4 2 4 5 3 2" xfId="6123"/>
    <cellStyle name="표준 4 2 4 5 3 2 2" xfId="13612"/>
    <cellStyle name="표준 4 2 4 5 3 2 2 2" xfId="36079"/>
    <cellStyle name="표준 4 2 4 5 3 2 3" xfId="21096"/>
    <cellStyle name="표준 4 2 4 5 3 2 3 2" xfId="43561"/>
    <cellStyle name="표준 4 2 4 5 3 2 4" xfId="28597"/>
    <cellStyle name="표준 4 2 4 5 3 3" xfId="13611"/>
    <cellStyle name="표준 4 2 4 5 3 3 2" xfId="36078"/>
    <cellStyle name="표준 4 2 4 5 3 4" xfId="21095"/>
    <cellStyle name="표준 4 2 4 5 3 4 2" xfId="43560"/>
    <cellStyle name="표준 4 2 4 5 3 5" xfId="28596"/>
    <cellStyle name="표준 4 2 4 5 4" xfId="6124"/>
    <cellStyle name="표준 4 2 4 5 4 2" xfId="13613"/>
    <cellStyle name="표준 4 2 4 5 4 2 2" xfId="36080"/>
    <cellStyle name="표준 4 2 4 5 4 3" xfId="21097"/>
    <cellStyle name="표준 4 2 4 5 4 3 2" xfId="43562"/>
    <cellStyle name="표준 4 2 4 5 4 4" xfId="28598"/>
    <cellStyle name="표준 4 2 4 5 5" xfId="13606"/>
    <cellStyle name="표준 4 2 4 5 5 2" xfId="36073"/>
    <cellStyle name="표준 4 2 4 5 6" xfId="21090"/>
    <cellStyle name="표준 4 2 4 5 6 2" xfId="43555"/>
    <cellStyle name="표준 4 2 4 5 7" xfId="28591"/>
    <cellStyle name="표준 4 2 4 6" xfId="6125"/>
    <cellStyle name="표준 4 2 4 6 2" xfId="6126"/>
    <cellStyle name="표준 4 2 4 6 2 2" xfId="6127"/>
    <cellStyle name="표준 4 2 4 6 2 2 2" xfId="13616"/>
    <cellStyle name="표준 4 2 4 6 2 2 2 2" xfId="36083"/>
    <cellStyle name="표준 4 2 4 6 2 2 3" xfId="21100"/>
    <cellStyle name="표준 4 2 4 6 2 2 3 2" xfId="43565"/>
    <cellStyle name="표준 4 2 4 6 2 2 4" xfId="28601"/>
    <cellStyle name="표준 4 2 4 6 2 3" xfId="13615"/>
    <cellStyle name="표준 4 2 4 6 2 3 2" xfId="36082"/>
    <cellStyle name="표준 4 2 4 6 2 4" xfId="21099"/>
    <cellStyle name="표준 4 2 4 6 2 4 2" xfId="43564"/>
    <cellStyle name="표준 4 2 4 6 2 5" xfId="28600"/>
    <cellStyle name="표준 4 2 4 6 3" xfId="6128"/>
    <cellStyle name="표준 4 2 4 6 3 2" xfId="13617"/>
    <cellStyle name="표준 4 2 4 6 3 2 2" xfId="36084"/>
    <cellStyle name="표준 4 2 4 6 3 3" xfId="21101"/>
    <cellStyle name="표준 4 2 4 6 3 3 2" xfId="43566"/>
    <cellStyle name="표준 4 2 4 6 3 4" xfId="28602"/>
    <cellStyle name="표준 4 2 4 6 4" xfId="13614"/>
    <cellStyle name="표준 4 2 4 6 4 2" xfId="36081"/>
    <cellStyle name="표준 4 2 4 6 5" xfId="21098"/>
    <cellStyle name="표준 4 2 4 6 5 2" xfId="43563"/>
    <cellStyle name="표준 4 2 4 6 6" xfId="28599"/>
    <cellStyle name="표준 4 2 4 7" xfId="6129"/>
    <cellStyle name="표준 4 2 4 7 2" xfId="6130"/>
    <cellStyle name="표준 4 2 4 7 2 2" xfId="6131"/>
    <cellStyle name="표준 4 2 4 7 2 2 2" xfId="13620"/>
    <cellStyle name="표준 4 2 4 7 2 2 2 2" xfId="36087"/>
    <cellStyle name="표준 4 2 4 7 2 2 3" xfId="21104"/>
    <cellStyle name="표준 4 2 4 7 2 2 3 2" xfId="43569"/>
    <cellStyle name="표준 4 2 4 7 2 2 4" xfId="28605"/>
    <cellStyle name="표준 4 2 4 7 2 3" xfId="13619"/>
    <cellStyle name="표준 4 2 4 7 2 3 2" xfId="36086"/>
    <cellStyle name="표준 4 2 4 7 2 4" xfId="21103"/>
    <cellStyle name="표준 4 2 4 7 2 4 2" xfId="43568"/>
    <cellStyle name="표준 4 2 4 7 2 5" xfId="28604"/>
    <cellStyle name="표준 4 2 4 7 3" xfId="6132"/>
    <cellStyle name="표준 4 2 4 7 3 2" xfId="13621"/>
    <cellStyle name="표준 4 2 4 7 3 2 2" xfId="36088"/>
    <cellStyle name="표준 4 2 4 7 3 3" xfId="21105"/>
    <cellStyle name="표준 4 2 4 7 3 3 2" xfId="43570"/>
    <cellStyle name="표준 4 2 4 7 3 4" xfId="28606"/>
    <cellStyle name="표준 4 2 4 7 4" xfId="13618"/>
    <cellStyle name="표준 4 2 4 7 4 2" xfId="36085"/>
    <cellStyle name="표준 4 2 4 7 5" xfId="21102"/>
    <cellStyle name="표준 4 2 4 7 5 2" xfId="43567"/>
    <cellStyle name="표준 4 2 4 7 6" xfId="28603"/>
    <cellStyle name="표준 4 2 4 8" xfId="6133"/>
    <cellStyle name="표준 4 2 4 8 2" xfId="6134"/>
    <cellStyle name="표준 4 2 4 8 2 2" xfId="13623"/>
    <cellStyle name="표준 4 2 4 8 2 2 2" xfId="36090"/>
    <cellStyle name="표준 4 2 4 8 2 3" xfId="21107"/>
    <cellStyle name="표준 4 2 4 8 2 3 2" xfId="43572"/>
    <cellStyle name="표준 4 2 4 8 2 4" xfId="28608"/>
    <cellStyle name="표준 4 2 4 8 3" xfId="13622"/>
    <cellStyle name="표준 4 2 4 8 3 2" xfId="36089"/>
    <cellStyle name="표준 4 2 4 8 4" xfId="21106"/>
    <cellStyle name="표준 4 2 4 8 4 2" xfId="43571"/>
    <cellStyle name="표준 4 2 4 8 5" xfId="28607"/>
    <cellStyle name="표준 4 2 4 9" xfId="6135"/>
    <cellStyle name="표준 4 2 4 9 2" xfId="13624"/>
    <cellStyle name="표준 4 2 4 9 2 2" xfId="36091"/>
    <cellStyle name="표준 4 2 4 9 3" xfId="21108"/>
    <cellStyle name="표준 4 2 4 9 3 2" xfId="43573"/>
    <cellStyle name="표준 4 2 4 9 4" xfId="28609"/>
    <cellStyle name="표준 4 2 5" xfId="6136"/>
    <cellStyle name="표준 4 2 5 10" xfId="21109"/>
    <cellStyle name="표준 4 2 5 10 2" xfId="43574"/>
    <cellStyle name="표준 4 2 5 11" xfId="28610"/>
    <cellStyle name="표준 4 2 5 2" xfId="6137"/>
    <cellStyle name="표준 4 2 5 2 10" xfId="28611"/>
    <cellStyle name="표준 4 2 5 2 2" xfId="6138"/>
    <cellStyle name="표준 4 2 5 2 2 2" xfId="6139"/>
    <cellStyle name="표준 4 2 5 2 2 2 2" xfId="6140"/>
    <cellStyle name="표준 4 2 5 2 2 2 2 2" xfId="6141"/>
    <cellStyle name="표준 4 2 5 2 2 2 2 2 2" xfId="6142"/>
    <cellStyle name="표준 4 2 5 2 2 2 2 2 2 2" xfId="13631"/>
    <cellStyle name="표준 4 2 5 2 2 2 2 2 2 2 2" xfId="36098"/>
    <cellStyle name="표준 4 2 5 2 2 2 2 2 2 3" xfId="21115"/>
    <cellStyle name="표준 4 2 5 2 2 2 2 2 2 3 2" xfId="43580"/>
    <cellStyle name="표준 4 2 5 2 2 2 2 2 2 4" xfId="28616"/>
    <cellStyle name="표준 4 2 5 2 2 2 2 2 3" xfId="13630"/>
    <cellStyle name="표준 4 2 5 2 2 2 2 2 3 2" xfId="36097"/>
    <cellStyle name="표준 4 2 5 2 2 2 2 2 4" xfId="21114"/>
    <cellStyle name="표준 4 2 5 2 2 2 2 2 4 2" xfId="43579"/>
    <cellStyle name="표준 4 2 5 2 2 2 2 2 5" xfId="28615"/>
    <cellStyle name="표준 4 2 5 2 2 2 2 3" xfId="6143"/>
    <cellStyle name="표준 4 2 5 2 2 2 2 3 2" xfId="13632"/>
    <cellStyle name="표준 4 2 5 2 2 2 2 3 2 2" xfId="36099"/>
    <cellStyle name="표준 4 2 5 2 2 2 2 3 3" xfId="21116"/>
    <cellStyle name="표준 4 2 5 2 2 2 2 3 3 2" xfId="43581"/>
    <cellStyle name="표준 4 2 5 2 2 2 2 3 4" xfId="28617"/>
    <cellStyle name="표준 4 2 5 2 2 2 2 4" xfId="13629"/>
    <cellStyle name="표준 4 2 5 2 2 2 2 4 2" xfId="36096"/>
    <cellStyle name="표준 4 2 5 2 2 2 2 5" xfId="21113"/>
    <cellStyle name="표준 4 2 5 2 2 2 2 5 2" xfId="43578"/>
    <cellStyle name="표준 4 2 5 2 2 2 2 6" xfId="28614"/>
    <cellStyle name="표준 4 2 5 2 2 2 3" xfId="6144"/>
    <cellStyle name="표준 4 2 5 2 2 2 3 2" xfId="6145"/>
    <cellStyle name="표준 4 2 5 2 2 2 3 2 2" xfId="13634"/>
    <cellStyle name="표준 4 2 5 2 2 2 3 2 2 2" xfId="36101"/>
    <cellStyle name="표준 4 2 5 2 2 2 3 2 3" xfId="21118"/>
    <cellStyle name="표준 4 2 5 2 2 2 3 2 3 2" xfId="43583"/>
    <cellStyle name="표준 4 2 5 2 2 2 3 2 4" xfId="28619"/>
    <cellStyle name="표준 4 2 5 2 2 2 3 3" xfId="13633"/>
    <cellStyle name="표준 4 2 5 2 2 2 3 3 2" xfId="36100"/>
    <cellStyle name="표준 4 2 5 2 2 2 3 4" xfId="21117"/>
    <cellStyle name="표준 4 2 5 2 2 2 3 4 2" xfId="43582"/>
    <cellStyle name="표준 4 2 5 2 2 2 3 5" xfId="28618"/>
    <cellStyle name="표준 4 2 5 2 2 2 4" xfId="6146"/>
    <cellStyle name="표준 4 2 5 2 2 2 4 2" xfId="13635"/>
    <cellStyle name="표준 4 2 5 2 2 2 4 2 2" xfId="36102"/>
    <cellStyle name="표준 4 2 5 2 2 2 4 3" xfId="21119"/>
    <cellStyle name="표준 4 2 5 2 2 2 4 3 2" xfId="43584"/>
    <cellStyle name="표준 4 2 5 2 2 2 4 4" xfId="28620"/>
    <cellStyle name="표준 4 2 5 2 2 2 5" xfId="13628"/>
    <cellStyle name="표준 4 2 5 2 2 2 5 2" xfId="36095"/>
    <cellStyle name="표준 4 2 5 2 2 2 6" xfId="21112"/>
    <cellStyle name="표준 4 2 5 2 2 2 6 2" xfId="43577"/>
    <cellStyle name="표준 4 2 5 2 2 2 7" xfId="28613"/>
    <cellStyle name="표준 4 2 5 2 2 3" xfId="6147"/>
    <cellStyle name="표준 4 2 5 2 2 3 2" xfId="6148"/>
    <cellStyle name="표준 4 2 5 2 2 3 2 2" xfId="6149"/>
    <cellStyle name="표준 4 2 5 2 2 3 2 2 2" xfId="13638"/>
    <cellStyle name="표준 4 2 5 2 2 3 2 2 2 2" xfId="36105"/>
    <cellStyle name="표준 4 2 5 2 2 3 2 2 3" xfId="21122"/>
    <cellStyle name="표준 4 2 5 2 2 3 2 2 3 2" xfId="43587"/>
    <cellStyle name="표준 4 2 5 2 2 3 2 2 4" xfId="28623"/>
    <cellStyle name="표준 4 2 5 2 2 3 2 3" xfId="13637"/>
    <cellStyle name="표준 4 2 5 2 2 3 2 3 2" xfId="36104"/>
    <cellStyle name="표준 4 2 5 2 2 3 2 4" xfId="21121"/>
    <cellStyle name="표준 4 2 5 2 2 3 2 4 2" xfId="43586"/>
    <cellStyle name="표준 4 2 5 2 2 3 2 5" xfId="28622"/>
    <cellStyle name="표준 4 2 5 2 2 3 3" xfId="6150"/>
    <cellStyle name="표준 4 2 5 2 2 3 3 2" xfId="13639"/>
    <cellStyle name="표준 4 2 5 2 2 3 3 2 2" xfId="36106"/>
    <cellStyle name="표준 4 2 5 2 2 3 3 3" xfId="21123"/>
    <cellStyle name="표준 4 2 5 2 2 3 3 3 2" xfId="43588"/>
    <cellStyle name="표준 4 2 5 2 2 3 3 4" xfId="28624"/>
    <cellStyle name="표준 4 2 5 2 2 3 4" xfId="13636"/>
    <cellStyle name="표준 4 2 5 2 2 3 4 2" xfId="36103"/>
    <cellStyle name="표준 4 2 5 2 2 3 5" xfId="21120"/>
    <cellStyle name="표준 4 2 5 2 2 3 5 2" xfId="43585"/>
    <cellStyle name="표준 4 2 5 2 2 3 6" xfId="28621"/>
    <cellStyle name="표준 4 2 5 2 2 4" xfId="6151"/>
    <cellStyle name="표준 4 2 5 2 2 4 2" xfId="6152"/>
    <cellStyle name="표준 4 2 5 2 2 4 2 2" xfId="13641"/>
    <cellStyle name="표준 4 2 5 2 2 4 2 2 2" xfId="36108"/>
    <cellStyle name="표준 4 2 5 2 2 4 2 3" xfId="21125"/>
    <cellStyle name="표준 4 2 5 2 2 4 2 3 2" xfId="43590"/>
    <cellStyle name="표준 4 2 5 2 2 4 2 4" xfId="28626"/>
    <cellStyle name="표준 4 2 5 2 2 4 3" xfId="13640"/>
    <cellStyle name="표준 4 2 5 2 2 4 3 2" xfId="36107"/>
    <cellStyle name="표준 4 2 5 2 2 4 4" xfId="21124"/>
    <cellStyle name="표준 4 2 5 2 2 4 4 2" xfId="43589"/>
    <cellStyle name="표준 4 2 5 2 2 4 5" xfId="28625"/>
    <cellStyle name="표준 4 2 5 2 2 5" xfId="6153"/>
    <cellStyle name="표준 4 2 5 2 2 5 2" xfId="13642"/>
    <cellStyle name="표준 4 2 5 2 2 5 2 2" xfId="36109"/>
    <cellStyle name="표준 4 2 5 2 2 5 3" xfId="21126"/>
    <cellStyle name="표준 4 2 5 2 2 5 3 2" xfId="43591"/>
    <cellStyle name="표준 4 2 5 2 2 5 4" xfId="28627"/>
    <cellStyle name="표준 4 2 5 2 2 6" xfId="13627"/>
    <cellStyle name="표준 4 2 5 2 2 6 2" xfId="36094"/>
    <cellStyle name="표준 4 2 5 2 2 7" xfId="21111"/>
    <cellStyle name="표준 4 2 5 2 2 7 2" xfId="43576"/>
    <cellStyle name="표준 4 2 5 2 2 8" xfId="28612"/>
    <cellStyle name="표준 4 2 5 2 3" xfId="6154"/>
    <cellStyle name="표준 4 2 5 2 3 2" xfId="6155"/>
    <cellStyle name="표준 4 2 5 2 3 2 2" xfId="6156"/>
    <cellStyle name="표준 4 2 5 2 3 2 2 2" xfId="6157"/>
    <cellStyle name="표준 4 2 5 2 3 2 2 2 2" xfId="6158"/>
    <cellStyle name="표준 4 2 5 2 3 2 2 2 2 2" xfId="13647"/>
    <cellStyle name="표준 4 2 5 2 3 2 2 2 2 2 2" xfId="36114"/>
    <cellStyle name="표준 4 2 5 2 3 2 2 2 2 3" xfId="21131"/>
    <cellStyle name="표준 4 2 5 2 3 2 2 2 2 3 2" xfId="43596"/>
    <cellStyle name="표준 4 2 5 2 3 2 2 2 2 4" xfId="28632"/>
    <cellStyle name="표준 4 2 5 2 3 2 2 2 3" xfId="13646"/>
    <cellStyle name="표준 4 2 5 2 3 2 2 2 3 2" xfId="36113"/>
    <cellStyle name="표준 4 2 5 2 3 2 2 2 4" xfId="21130"/>
    <cellStyle name="표준 4 2 5 2 3 2 2 2 4 2" xfId="43595"/>
    <cellStyle name="표준 4 2 5 2 3 2 2 2 5" xfId="28631"/>
    <cellStyle name="표준 4 2 5 2 3 2 2 3" xfId="6159"/>
    <cellStyle name="표준 4 2 5 2 3 2 2 3 2" xfId="13648"/>
    <cellStyle name="표준 4 2 5 2 3 2 2 3 2 2" xfId="36115"/>
    <cellStyle name="표준 4 2 5 2 3 2 2 3 3" xfId="21132"/>
    <cellStyle name="표준 4 2 5 2 3 2 2 3 3 2" xfId="43597"/>
    <cellStyle name="표준 4 2 5 2 3 2 2 3 4" xfId="28633"/>
    <cellStyle name="표준 4 2 5 2 3 2 2 4" xfId="13645"/>
    <cellStyle name="표준 4 2 5 2 3 2 2 4 2" xfId="36112"/>
    <cellStyle name="표준 4 2 5 2 3 2 2 5" xfId="21129"/>
    <cellStyle name="표준 4 2 5 2 3 2 2 5 2" xfId="43594"/>
    <cellStyle name="표준 4 2 5 2 3 2 2 6" xfId="28630"/>
    <cellStyle name="표준 4 2 5 2 3 2 3" xfId="6160"/>
    <cellStyle name="표준 4 2 5 2 3 2 3 2" xfId="6161"/>
    <cellStyle name="표준 4 2 5 2 3 2 3 2 2" xfId="13650"/>
    <cellStyle name="표준 4 2 5 2 3 2 3 2 2 2" xfId="36117"/>
    <cellStyle name="표준 4 2 5 2 3 2 3 2 3" xfId="21134"/>
    <cellStyle name="표준 4 2 5 2 3 2 3 2 3 2" xfId="43599"/>
    <cellStyle name="표준 4 2 5 2 3 2 3 2 4" xfId="28635"/>
    <cellStyle name="표준 4 2 5 2 3 2 3 3" xfId="13649"/>
    <cellStyle name="표준 4 2 5 2 3 2 3 3 2" xfId="36116"/>
    <cellStyle name="표준 4 2 5 2 3 2 3 4" xfId="21133"/>
    <cellStyle name="표준 4 2 5 2 3 2 3 4 2" xfId="43598"/>
    <cellStyle name="표준 4 2 5 2 3 2 3 5" xfId="28634"/>
    <cellStyle name="표준 4 2 5 2 3 2 4" xfId="6162"/>
    <cellStyle name="표준 4 2 5 2 3 2 4 2" xfId="13651"/>
    <cellStyle name="표준 4 2 5 2 3 2 4 2 2" xfId="36118"/>
    <cellStyle name="표준 4 2 5 2 3 2 4 3" xfId="21135"/>
    <cellStyle name="표준 4 2 5 2 3 2 4 3 2" xfId="43600"/>
    <cellStyle name="표준 4 2 5 2 3 2 4 4" xfId="28636"/>
    <cellStyle name="표준 4 2 5 2 3 2 5" xfId="13644"/>
    <cellStyle name="표준 4 2 5 2 3 2 5 2" xfId="36111"/>
    <cellStyle name="표준 4 2 5 2 3 2 6" xfId="21128"/>
    <cellStyle name="표준 4 2 5 2 3 2 6 2" xfId="43593"/>
    <cellStyle name="표준 4 2 5 2 3 2 7" xfId="28629"/>
    <cellStyle name="표준 4 2 5 2 3 3" xfId="6163"/>
    <cellStyle name="표준 4 2 5 2 3 3 2" xfId="6164"/>
    <cellStyle name="표준 4 2 5 2 3 3 2 2" xfId="6165"/>
    <cellStyle name="표준 4 2 5 2 3 3 2 2 2" xfId="13654"/>
    <cellStyle name="표준 4 2 5 2 3 3 2 2 2 2" xfId="36121"/>
    <cellStyle name="표준 4 2 5 2 3 3 2 2 3" xfId="21138"/>
    <cellStyle name="표준 4 2 5 2 3 3 2 2 3 2" xfId="43603"/>
    <cellStyle name="표준 4 2 5 2 3 3 2 2 4" xfId="28639"/>
    <cellStyle name="표준 4 2 5 2 3 3 2 3" xfId="13653"/>
    <cellStyle name="표준 4 2 5 2 3 3 2 3 2" xfId="36120"/>
    <cellStyle name="표준 4 2 5 2 3 3 2 4" xfId="21137"/>
    <cellStyle name="표준 4 2 5 2 3 3 2 4 2" xfId="43602"/>
    <cellStyle name="표준 4 2 5 2 3 3 2 5" xfId="28638"/>
    <cellStyle name="표준 4 2 5 2 3 3 3" xfId="6166"/>
    <cellStyle name="표준 4 2 5 2 3 3 3 2" xfId="13655"/>
    <cellStyle name="표준 4 2 5 2 3 3 3 2 2" xfId="36122"/>
    <cellStyle name="표준 4 2 5 2 3 3 3 3" xfId="21139"/>
    <cellStyle name="표준 4 2 5 2 3 3 3 3 2" xfId="43604"/>
    <cellStyle name="표준 4 2 5 2 3 3 3 4" xfId="28640"/>
    <cellStyle name="표준 4 2 5 2 3 3 4" xfId="13652"/>
    <cellStyle name="표준 4 2 5 2 3 3 4 2" xfId="36119"/>
    <cellStyle name="표준 4 2 5 2 3 3 5" xfId="21136"/>
    <cellStyle name="표준 4 2 5 2 3 3 5 2" xfId="43601"/>
    <cellStyle name="표준 4 2 5 2 3 3 6" xfId="28637"/>
    <cellStyle name="표준 4 2 5 2 3 4" xfId="6167"/>
    <cellStyle name="표준 4 2 5 2 3 4 2" xfId="6168"/>
    <cellStyle name="표준 4 2 5 2 3 4 2 2" xfId="13657"/>
    <cellStyle name="표준 4 2 5 2 3 4 2 2 2" xfId="36124"/>
    <cellStyle name="표준 4 2 5 2 3 4 2 3" xfId="21141"/>
    <cellStyle name="표준 4 2 5 2 3 4 2 3 2" xfId="43606"/>
    <cellStyle name="표준 4 2 5 2 3 4 2 4" xfId="28642"/>
    <cellStyle name="표준 4 2 5 2 3 4 3" xfId="13656"/>
    <cellStyle name="표준 4 2 5 2 3 4 3 2" xfId="36123"/>
    <cellStyle name="표준 4 2 5 2 3 4 4" xfId="21140"/>
    <cellStyle name="표준 4 2 5 2 3 4 4 2" xfId="43605"/>
    <cellStyle name="표준 4 2 5 2 3 4 5" xfId="28641"/>
    <cellStyle name="표준 4 2 5 2 3 5" xfId="6169"/>
    <cellStyle name="표준 4 2 5 2 3 5 2" xfId="13658"/>
    <cellStyle name="표준 4 2 5 2 3 5 2 2" xfId="36125"/>
    <cellStyle name="표준 4 2 5 2 3 5 3" xfId="21142"/>
    <cellStyle name="표준 4 2 5 2 3 5 3 2" xfId="43607"/>
    <cellStyle name="표준 4 2 5 2 3 5 4" xfId="28643"/>
    <cellStyle name="표준 4 2 5 2 3 6" xfId="13643"/>
    <cellStyle name="표준 4 2 5 2 3 6 2" xfId="36110"/>
    <cellStyle name="표준 4 2 5 2 3 7" xfId="21127"/>
    <cellStyle name="표준 4 2 5 2 3 7 2" xfId="43592"/>
    <cellStyle name="표준 4 2 5 2 3 8" xfId="28628"/>
    <cellStyle name="표준 4 2 5 2 4" xfId="6170"/>
    <cellStyle name="표준 4 2 5 2 4 2" xfId="6171"/>
    <cellStyle name="표준 4 2 5 2 4 2 2" xfId="6172"/>
    <cellStyle name="표준 4 2 5 2 4 2 2 2" xfId="6173"/>
    <cellStyle name="표준 4 2 5 2 4 2 2 2 2" xfId="13662"/>
    <cellStyle name="표준 4 2 5 2 4 2 2 2 2 2" xfId="36129"/>
    <cellStyle name="표준 4 2 5 2 4 2 2 2 3" xfId="21146"/>
    <cellStyle name="표준 4 2 5 2 4 2 2 2 3 2" xfId="43611"/>
    <cellStyle name="표준 4 2 5 2 4 2 2 2 4" xfId="28647"/>
    <cellStyle name="표준 4 2 5 2 4 2 2 3" xfId="13661"/>
    <cellStyle name="표준 4 2 5 2 4 2 2 3 2" xfId="36128"/>
    <cellStyle name="표준 4 2 5 2 4 2 2 4" xfId="21145"/>
    <cellStyle name="표준 4 2 5 2 4 2 2 4 2" xfId="43610"/>
    <cellStyle name="표준 4 2 5 2 4 2 2 5" xfId="28646"/>
    <cellStyle name="표준 4 2 5 2 4 2 3" xfId="6174"/>
    <cellStyle name="표준 4 2 5 2 4 2 3 2" xfId="13663"/>
    <cellStyle name="표준 4 2 5 2 4 2 3 2 2" xfId="36130"/>
    <cellStyle name="표준 4 2 5 2 4 2 3 3" xfId="21147"/>
    <cellStyle name="표준 4 2 5 2 4 2 3 3 2" xfId="43612"/>
    <cellStyle name="표준 4 2 5 2 4 2 3 4" xfId="28648"/>
    <cellStyle name="표준 4 2 5 2 4 2 4" xfId="13660"/>
    <cellStyle name="표준 4 2 5 2 4 2 4 2" xfId="36127"/>
    <cellStyle name="표준 4 2 5 2 4 2 5" xfId="21144"/>
    <cellStyle name="표준 4 2 5 2 4 2 5 2" xfId="43609"/>
    <cellStyle name="표준 4 2 5 2 4 2 6" xfId="28645"/>
    <cellStyle name="표준 4 2 5 2 4 3" xfId="6175"/>
    <cellStyle name="표준 4 2 5 2 4 3 2" xfId="6176"/>
    <cellStyle name="표준 4 2 5 2 4 3 2 2" xfId="13665"/>
    <cellStyle name="표준 4 2 5 2 4 3 2 2 2" xfId="36132"/>
    <cellStyle name="표준 4 2 5 2 4 3 2 3" xfId="21149"/>
    <cellStyle name="표준 4 2 5 2 4 3 2 3 2" xfId="43614"/>
    <cellStyle name="표준 4 2 5 2 4 3 2 4" xfId="28650"/>
    <cellStyle name="표준 4 2 5 2 4 3 3" xfId="13664"/>
    <cellStyle name="표준 4 2 5 2 4 3 3 2" xfId="36131"/>
    <cellStyle name="표준 4 2 5 2 4 3 4" xfId="21148"/>
    <cellStyle name="표준 4 2 5 2 4 3 4 2" xfId="43613"/>
    <cellStyle name="표준 4 2 5 2 4 3 5" xfId="28649"/>
    <cellStyle name="표준 4 2 5 2 4 4" xfId="6177"/>
    <cellStyle name="표준 4 2 5 2 4 4 2" xfId="13666"/>
    <cellStyle name="표준 4 2 5 2 4 4 2 2" xfId="36133"/>
    <cellStyle name="표준 4 2 5 2 4 4 3" xfId="21150"/>
    <cellStyle name="표준 4 2 5 2 4 4 3 2" xfId="43615"/>
    <cellStyle name="표준 4 2 5 2 4 4 4" xfId="28651"/>
    <cellStyle name="표준 4 2 5 2 4 5" xfId="13659"/>
    <cellStyle name="표준 4 2 5 2 4 5 2" xfId="36126"/>
    <cellStyle name="표준 4 2 5 2 4 6" xfId="21143"/>
    <cellStyle name="표준 4 2 5 2 4 6 2" xfId="43608"/>
    <cellStyle name="표준 4 2 5 2 4 7" xfId="28644"/>
    <cellStyle name="표준 4 2 5 2 5" xfId="6178"/>
    <cellStyle name="표준 4 2 5 2 5 2" xfId="6179"/>
    <cellStyle name="표준 4 2 5 2 5 2 2" xfId="6180"/>
    <cellStyle name="표준 4 2 5 2 5 2 2 2" xfId="13669"/>
    <cellStyle name="표준 4 2 5 2 5 2 2 2 2" xfId="36136"/>
    <cellStyle name="표준 4 2 5 2 5 2 2 3" xfId="21153"/>
    <cellStyle name="표준 4 2 5 2 5 2 2 3 2" xfId="43618"/>
    <cellStyle name="표준 4 2 5 2 5 2 2 4" xfId="28654"/>
    <cellStyle name="표준 4 2 5 2 5 2 3" xfId="13668"/>
    <cellStyle name="표준 4 2 5 2 5 2 3 2" xfId="36135"/>
    <cellStyle name="표준 4 2 5 2 5 2 4" xfId="21152"/>
    <cellStyle name="표준 4 2 5 2 5 2 4 2" xfId="43617"/>
    <cellStyle name="표준 4 2 5 2 5 2 5" xfId="28653"/>
    <cellStyle name="표준 4 2 5 2 5 3" xfId="6181"/>
    <cellStyle name="표준 4 2 5 2 5 3 2" xfId="13670"/>
    <cellStyle name="표준 4 2 5 2 5 3 2 2" xfId="36137"/>
    <cellStyle name="표준 4 2 5 2 5 3 3" xfId="21154"/>
    <cellStyle name="표준 4 2 5 2 5 3 3 2" xfId="43619"/>
    <cellStyle name="표준 4 2 5 2 5 3 4" xfId="28655"/>
    <cellStyle name="표준 4 2 5 2 5 4" xfId="13667"/>
    <cellStyle name="표준 4 2 5 2 5 4 2" xfId="36134"/>
    <cellStyle name="표준 4 2 5 2 5 5" xfId="21151"/>
    <cellStyle name="표준 4 2 5 2 5 5 2" xfId="43616"/>
    <cellStyle name="표준 4 2 5 2 5 6" xfId="28652"/>
    <cellStyle name="표준 4 2 5 2 6" xfId="6182"/>
    <cellStyle name="표준 4 2 5 2 6 2" xfId="6183"/>
    <cellStyle name="표준 4 2 5 2 6 2 2" xfId="13672"/>
    <cellStyle name="표준 4 2 5 2 6 2 2 2" xfId="36139"/>
    <cellStyle name="표준 4 2 5 2 6 2 3" xfId="21156"/>
    <cellStyle name="표준 4 2 5 2 6 2 3 2" xfId="43621"/>
    <cellStyle name="표준 4 2 5 2 6 2 4" xfId="28657"/>
    <cellStyle name="표준 4 2 5 2 6 3" xfId="13671"/>
    <cellStyle name="표준 4 2 5 2 6 3 2" xfId="36138"/>
    <cellStyle name="표준 4 2 5 2 6 4" xfId="21155"/>
    <cellStyle name="표준 4 2 5 2 6 4 2" xfId="43620"/>
    <cellStyle name="표준 4 2 5 2 6 5" xfId="28656"/>
    <cellStyle name="표준 4 2 5 2 7" xfId="6184"/>
    <cellStyle name="표준 4 2 5 2 7 2" xfId="13673"/>
    <cellStyle name="표준 4 2 5 2 7 2 2" xfId="36140"/>
    <cellStyle name="표준 4 2 5 2 7 3" xfId="21157"/>
    <cellStyle name="표준 4 2 5 2 7 3 2" xfId="43622"/>
    <cellStyle name="표준 4 2 5 2 7 4" xfId="28658"/>
    <cellStyle name="표준 4 2 5 2 8" xfId="13626"/>
    <cellStyle name="표준 4 2 5 2 8 2" xfId="36093"/>
    <cellStyle name="표준 4 2 5 2 9" xfId="21110"/>
    <cellStyle name="표준 4 2 5 2 9 2" xfId="43575"/>
    <cellStyle name="표준 4 2 5 3" xfId="6185"/>
    <cellStyle name="표준 4 2 5 3 2" xfId="6186"/>
    <cellStyle name="표준 4 2 5 3 2 2" xfId="6187"/>
    <cellStyle name="표준 4 2 5 3 2 2 2" xfId="6188"/>
    <cellStyle name="표준 4 2 5 3 2 2 2 2" xfId="6189"/>
    <cellStyle name="표준 4 2 5 3 2 2 2 2 2" xfId="13678"/>
    <cellStyle name="표준 4 2 5 3 2 2 2 2 2 2" xfId="36145"/>
    <cellStyle name="표준 4 2 5 3 2 2 2 2 3" xfId="21162"/>
    <cellStyle name="표준 4 2 5 3 2 2 2 2 3 2" xfId="43627"/>
    <cellStyle name="표준 4 2 5 3 2 2 2 2 4" xfId="28663"/>
    <cellStyle name="표준 4 2 5 3 2 2 2 3" xfId="13677"/>
    <cellStyle name="표준 4 2 5 3 2 2 2 3 2" xfId="36144"/>
    <cellStyle name="표준 4 2 5 3 2 2 2 4" xfId="21161"/>
    <cellStyle name="표준 4 2 5 3 2 2 2 4 2" xfId="43626"/>
    <cellStyle name="표준 4 2 5 3 2 2 2 5" xfId="28662"/>
    <cellStyle name="표준 4 2 5 3 2 2 3" xfId="6190"/>
    <cellStyle name="표준 4 2 5 3 2 2 3 2" xfId="13679"/>
    <cellStyle name="표준 4 2 5 3 2 2 3 2 2" xfId="36146"/>
    <cellStyle name="표준 4 2 5 3 2 2 3 3" xfId="21163"/>
    <cellStyle name="표준 4 2 5 3 2 2 3 3 2" xfId="43628"/>
    <cellStyle name="표준 4 2 5 3 2 2 3 4" xfId="28664"/>
    <cellStyle name="표준 4 2 5 3 2 2 4" xfId="13676"/>
    <cellStyle name="표준 4 2 5 3 2 2 4 2" xfId="36143"/>
    <cellStyle name="표준 4 2 5 3 2 2 5" xfId="21160"/>
    <cellStyle name="표준 4 2 5 3 2 2 5 2" xfId="43625"/>
    <cellStyle name="표준 4 2 5 3 2 2 6" xfId="28661"/>
    <cellStyle name="표준 4 2 5 3 2 3" xfId="6191"/>
    <cellStyle name="표준 4 2 5 3 2 3 2" xfId="6192"/>
    <cellStyle name="표준 4 2 5 3 2 3 2 2" xfId="13681"/>
    <cellStyle name="표준 4 2 5 3 2 3 2 2 2" xfId="36148"/>
    <cellStyle name="표준 4 2 5 3 2 3 2 3" xfId="21165"/>
    <cellStyle name="표준 4 2 5 3 2 3 2 3 2" xfId="43630"/>
    <cellStyle name="표준 4 2 5 3 2 3 2 4" xfId="28666"/>
    <cellStyle name="표준 4 2 5 3 2 3 3" xfId="13680"/>
    <cellStyle name="표준 4 2 5 3 2 3 3 2" xfId="36147"/>
    <cellStyle name="표준 4 2 5 3 2 3 4" xfId="21164"/>
    <cellStyle name="표준 4 2 5 3 2 3 4 2" xfId="43629"/>
    <cellStyle name="표준 4 2 5 3 2 3 5" xfId="28665"/>
    <cellStyle name="표준 4 2 5 3 2 4" xfId="6193"/>
    <cellStyle name="표준 4 2 5 3 2 4 2" xfId="13682"/>
    <cellStyle name="표준 4 2 5 3 2 4 2 2" xfId="36149"/>
    <cellStyle name="표준 4 2 5 3 2 4 3" xfId="21166"/>
    <cellStyle name="표준 4 2 5 3 2 4 3 2" xfId="43631"/>
    <cellStyle name="표준 4 2 5 3 2 4 4" xfId="28667"/>
    <cellStyle name="표준 4 2 5 3 2 5" xfId="13675"/>
    <cellStyle name="표준 4 2 5 3 2 5 2" xfId="36142"/>
    <cellStyle name="표준 4 2 5 3 2 6" xfId="21159"/>
    <cellStyle name="표준 4 2 5 3 2 6 2" xfId="43624"/>
    <cellStyle name="표준 4 2 5 3 2 7" xfId="28660"/>
    <cellStyle name="표준 4 2 5 3 3" xfId="6194"/>
    <cellStyle name="표준 4 2 5 3 3 2" xfId="6195"/>
    <cellStyle name="표준 4 2 5 3 3 2 2" xfId="6196"/>
    <cellStyle name="표준 4 2 5 3 3 2 2 2" xfId="13685"/>
    <cellStyle name="표준 4 2 5 3 3 2 2 2 2" xfId="36152"/>
    <cellStyle name="표준 4 2 5 3 3 2 2 3" xfId="21169"/>
    <cellStyle name="표준 4 2 5 3 3 2 2 3 2" xfId="43634"/>
    <cellStyle name="표준 4 2 5 3 3 2 2 4" xfId="28670"/>
    <cellStyle name="표준 4 2 5 3 3 2 3" xfId="13684"/>
    <cellStyle name="표준 4 2 5 3 3 2 3 2" xfId="36151"/>
    <cellStyle name="표준 4 2 5 3 3 2 4" xfId="21168"/>
    <cellStyle name="표준 4 2 5 3 3 2 4 2" xfId="43633"/>
    <cellStyle name="표준 4 2 5 3 3 2 5" xfId="28669"/>
    <cellStyle name="표준 4 2 5 3 3 3" xfId="6197"/>
    <cellStyle name="표준 4 2 5 3 3 3 2" xfId="13686"/>
    <cellStyle name="표준 4 2 5 3 3 3 2 2" xfId="36153"/>
    <cellStyle name="표준 4 2 5 3 3 3 3" xfId="21170"/>
    <cellStyle name="표준 4 2 5 3 3 3 3 2" xfId="43635"/>
    <cellStyle name="표준 4 2 5 3 3 3 4" xfId="28671"/>
    <cellStyle name="표준 4 2 5 3 3 4" xfId="13683"/>
    <cellStyle name="표준 4 2 5 3 3 4 2" xfId="36150"/>
    <cellStyle name="표준 4 2 5 3 3 5" xfId="21167"/>
    <cellStyle name="표준 4 2 5 3 3 5 2" xfId="43632"/>
    <cellStyle name="표준 4 2 5 3 3 6" xfId="28668"/>
    <cellStyle name="표준 4 2 5 3 4" xfId="6198"/>
    <cellStyle name="표준 4 2 5 3 4 2" xfId="6199"/>
    <cellStyle name="표준 4 2 5 3 4 2 2" xfId="13688"/>
    <cellStyle name="표준 4 2 5 3 4 2 2 2" xfId="36155"/>
    <cellStyle name="표준 4 2 5 3 4 2 3" xfId="21172"/>
    <cellStyle name="표준 4 2 5 3 4 2 3 2" xfId="43637"/>
    <cellStyle name="표준 4 2 5 3 4 2 4" xfId="28673"/>
    <cellStyle name="표준 4 2 5 3 4 3" xfId="13687"/>
    <cellStyle name="표준 4 2 5 3 4 3 2" xfId="36154"/>
    <cellStyle name="표준 4 2 5 3 4 4" xfId="21171"/>
    <cellStyle name="표준 4 2 5 3 4 4 2" xfId="43636"/>
    <cellStyle name="표준 4 2 5 3 4 5" xfId="28672"/>
    <cellStyle name="표준 4 2 5 3 5" xfId="6200"/>
    <cellStyle name="표준 4 2 5 3 5 2" xfId="13689"/>
    <cellStyle name="표준 4 2 5 3 5 2 2" xfId="36156"/>
    <cellStyle name="표준 4 2 5 3 5 3" xfId="21173"/>
    <cellStyle name="표준 4 2 5 3 5 3 2" xfId="43638"/>
    <cellStyle name="표준 4 2 5 3 5 4" xfId="28674"/>
    <cellStyle name="표준 4 2 5 3 6" xfId="13674"/>
    <cellStyle name="표준 4 2 5 3 6 2" xfId="36141"/>
    <cellStyle name="표준 4 2 5 3 7" xfId="21158"/>
    <cellStyle name="표준 4 2 5 3 7 2" xfId="43623"/>
    <cellStyle name="표준 4 2 5 3 8" xfId="28659"/>
    <cellStyle name="표준 4 2 5 4" xfId="6201"/>
    <cellStyle name="표준 4 2 5 4 2" xfId="6202"/>
    <cellStyle name="표준 4 2 5 4 2 2" xfId="6203"/>
    <cellStyle name="표준 4 2 5 4 2 2 2" xfId="6204"/>
    <cellStyle name="표준 4 2 5 4 2 2 2 2" xfId="6205"/>
    <cellStyle name="표준 4 2 5 4 2 2 2 2 2" xfId="13694"/>
    <cellStyle name="표준 4 2 5 4 2 2 2 2 2 2" xfId="36161"/>
    <cellStyle name="표준 4 2 5 4 2 2 2 2 3" xfId="21178"/>
    <cellStyle name="표준 4 2 5 4 2 2 2 2 3 2" xfId="43643"/>
    <cellStyle name="표준 4 2 5 4 2 2 2 2 4" xfId="28679"/>
    <cellStyle name="표준 4 2 5 4 2 2 2 3" xfId="13693"/>
    <cellStyle name="표준 4 2 5 4 2 2 2 3 2" xfId="36160"/>
    <cellStyle name="표준 4 2 5 4 2 2 2 4" xfId="21177"/>
    <cellStyle name="표준 4 2 5 4 2 2 2 4 2" xfId="43642"/>
    <cellStyle name="표준 4 2 5 4 2 2 2 5" xfId="28678"/>
    <cellStyle name="표준 4 2 5 4 2 2 3" xfId="6206"/>
    <cellStyle name="표준 4 2 5 4 2 2 3 2" xfId="13695"/>
    <cellStyle name="표준 4 2 5 4 2 2 3 2 2" xfId="36162"/>
    <cellStyle name="표준 4 2 5 4 2 2 3 3" xfId="21179"/>
    <cellStyle name="표준 4 2 5 4 2 2 3 3 2" xfId="43644"/>
    <cellStyle name="표준 4 2 5 4 2 2 3 4" xfId="28680"/>
    <cellStyle name="표준 4 2 5 4 2 2 4" xfId="13692"/>
    <cellStyle name="표준 4 2 5 4 2 2 4 2" xfId="36159"/>
    <cellStyle name="표준 4 2 5 4 2 2 5" xfId="21176"/>
    <cellStyle name="표준 4 2 5 4 2 2 5 2" xfId="43641"/>
    <cellStyle name="표준 4 2 5 4 2 2 6" xfId="28677"/>
    <cellStyle name="표준 4 2 5 4 2 3" xfId="6207"/>
    <cellStyle name="표준 4 2 5 4 2 3 2" xfId="6208"/>
    <cellStyle name="표준 4 2 5 4 2 3 2 2" xfId="13697"/>
    <cellStyle name="표준 4 2 5 4 2 3 2 2 2" xfId="36164"/>
    <cellStyle name="표준 4 2 5 4 2 3 2 3" xfId="21181"/>
    <cellStyle name="표준 4 2 5 4 2 3 2 3 2" xfId="43646"/>
    <cellStyle name="표준 4 2 5 4 2 3 2 4" xfId="28682"/>
    <cellStyle name="표준 4 2 5 4 2 3 3" xfId="13696"/>
    <cellStyle name="표준 4 2 5 4 2 3 3 2" xfId="36163"/>
    <cellStyle name="표준 4 2 5 4 2 3 4" xfId="21180"/>
    <cellStyle name="표준 4 2 5 4 2 3 4 2" xfId="43645"/>
    <cellStyle name="표준 4 2 5 4 2 3 5" xfId="28681"/>
    <cellStyle name="표준 4 2 5 4 2 4" xfId="6209"/>
    <cellStyle name="표준 4 2 5 4 2 4 2" xfId="13698"/>
    <cellStyle name="표준 4 2 5 4 2 4 2 2" xfId="36165"/>
    <cellStyle name="표준 4 2 5 4 2 4 3" xfId="21182"/>
    <cellStyle name="표준 4 2 5 4 2 4 3 2" xfId="43647"/>
    <cellStyle name="표준 4 2 5 4 2 4 4" xfId="28683"/>
    <cellStyle name="표준 4 2 5 4 2 5" xfId="13691"/>
    <cellStyle name="표준 4 2 5 4 2 5 2" xfId="36158"/>
    <cellStyle name="표준 4 2 5 4 2 6" xfId="21175"/>
    <cellStyle name="표준 4 2 5 4 2 6 2" xfId="43640"/>
    <cellStyle name="표준 4 2 5 4 2 7" xfId="28676"/>
    <cellStyle name="표준 4 2 5 4 3" xfId="6210"/>
    <cellStyle name="표준 4 2 5 4 3 2" xfId="6211"/>
    <cellStyle name="표준 4 2 5 4 3 2 2" xfId="6212"/>
    <cellStyle name="표준 4 2 5 4 3 2 2 2" xfId="13701"/>
    <cellStyle name="표준 4 2 5 4 3 2 2 2 2" xfId="36168"/>
    <cellStyle name="표준 4 2 5 4 3 2 2 3" xfId="21185"/>
    <cellStyle name="표준 4 2 5 4 3 2 2 3 2" xfId="43650"/>
    <cellStyle name="표준 4 2 5 4 3 2 2 4" xfId="28686"/>
    <cellStyle name="표준 4 2 5 4 3 2 3" xfId="13700"/>
    <cellStyle name="표준 4 2 5 4 3 2 3 2" xfId="36167"/>
    <cellStyle name="표준 4 2 5 4 3 2 4" xfId="21184"/>
    <cellStyle name="표준 4 2 5 4 3 2 4 2" xfId="43649"/>
    <cellStyle name="표준 4 2 5 4 3 2 5" xfId="28685"/>
    <cellStyle name="표준 4 2 5 4 3 3" xfId="6213"/>
    <cellStyle name="표준 4 2 5 4 3 3 2" xfId="13702"/>
    <cellStyle name="표준 4 2 5 4 3 3 2 2" xfId="36169"/>
    <cellStyle name="표준 4 2 5 4 3 3 3" xfId="21186"/>
    <cellStyle name="표준 4 2 5 4 3 3 3 2" xfId="43651"/>
    <cellStyle name="표준 4 2 5 4 3 3 4" xfId="28687"/>
    <cellStyle name="표준 4 2 5 4 3 4" xfId="13699"/>
    <cellStyle name="표준 4 2 5 4 3 4 2" xfId="36166"/>
    <cellStyle name="표준 4 2 5 4 3 5" xfId="21183"/>
    <cellStyle name="표준 4 2 5 4 3 5 2" xfId="43648"/>
    <cellStyle name="표준 4 2 5 4 3 6" xfId="28684"/>
    <cellStyle name="표준 4 2 5 4 4" xfId="6214"/>
    <cellStyle name="표준 4 2 5 4 4 2" xfId="6215"/>
    <cellStyle name="표준 4 2 5 4 4 2 2" xfId="13704"/>
    <cellStyle name="표준 4 2 5 4 4 2 2 2" xfId="36171"/>
    <cellStyle name="표준 4 2 5 4 4 2 3" xfId="21188"/>
    <cellStyle name="표준 4 2 5 4 4 2 3 2" xfId="43653"/>
    <cellStyle name="표준 4 2 5 4 4 2 4" xfId="28689"/>
    <cellStyle name="표준 4 2 5 4 4 3" xfId="13703"/>
    <cellStyle name="표준 4 2 5 4 4 3 2" xfId="36170"/>
    <cellStyle name="표준 4 2 5 4 4 4" xfId="21187"/>
    <cellStyle name="표준 4 2 5 4 4 4 2" xfId="43652"/>
    <cellStyle name="표준 4 2 5 4 4 5" xfId="28688"/>
    <cellStyle name="표준 4 2 5 4 5" xfId="6216"/>
    <cellStyle name="표준 4 2 5 4 5 2" xfId="13705"/>
    <cellStyle name="표준 4 2 5 4 5 2 2" xfId="36172"/>
    <cellStyle name="표준 4 2 5 4 5 3" xfId="21189"/>
    <cellStyle name="표준 4 2 5 4 5 3 2" xfId="43654"/>
    <cellStyle name="표준 4 2 5 4 5 4" xfId="28690"/>
    <cellStyle name="표준 4 2 5 4 6" xfId="13690"/>
    <cellStyle name="표준 4 2 5 4 6 2" xfId="36157"/>
    <cellStyle name="표준 4 2 5 4 7" xfId="21174"/>
    <cellStyle name="표준 4 2 5 4 7 2" xfId="43639"/>
    <cellStyle name="표준 4 2 5 4 8" xfId="28675"/>
    <cellStyle name="표준 4 2 5 5" xfId="6217"/>
    <cellStyle name="표준 4 2 5 5 2" xfId="6218"/>
    <cellStyle name="표준 4 2 5 5 2 2" xfId="6219"/>
    <cellStyle name="표준 4 2 5 5 2 2 2" xfId="6220"/>
    <cellStyle name="표준 4 2 5 5 2 2 2 2" xfId="13709"/>
    <cellStyle name="표준 4 2 5 5 2 2 2 2 2" xfId="36176"/>
    <cellStyle name="표준 4 2 5 5 2 2 2 3" xfId="21193"/>
    <cellStyle name="표준 4 2 5 5 2 2 2 3 2" xfId="43658"/>
    <cellStyle name="표준 4 2 5 5 2 2 2 4" xfId="28694"/>
    <cellStyle name="표준 4 2 5 5 2 2 3" xfId="13708"/>
    <cellStyle name="표준 4 2 5 5 2 2 3 2" xfId="36175"/>
    <cellStyle name="표준 4 2 5 5 2 2 4" xfId="21192"/>
    <cellStyle name="표준 4 2 5 5 2 2 4 2" xfId="43657"/>
    <cellStyle name="표준 4 2 5 5 2 2 5" xfId="28693"/>
    <cellStyle name="표준 4 2 5 5 2 3" xfId="6221"/>
    <cellStyle name="표준 4 2 5 5 2 3 2" xfId="13710"/>
    <cellStyle name="표준 4 2 5 5 2 3 2 2" xfId="36177"/>
    <cellStyle name="표준 4 2 5 5 2 3 3" xfId="21194"/>
    <cellStyle name="표준 4 2 5 5 2 3 3 2" xfId="43659"/>
    <cellStyle name="표준 4 2 5 5 2 3 4" xfId="28695"/>
    <cellStyle name="표준 4 2 5 5 2 4" xfId="13707"/>
    <cellStyle name="표준 4 2 5 5 2 4 2" xfId="36174"/>
    <cellStyle name="표준 4 2 5 5 2 5" xfId="21191"/>
    <cellStyle name="표준 4 2 5 5 2 5 2" xfId="43656"/>
    <cellStyle name="표준 4 2 5 5 2 6" xfId="28692"/>
    <cellStyle name="표준 4 2 5 5 3" xfId="6222"/>
    <cellStyle name="표준 4 2 5 5 3 2" xfId="6223"/>
    <cellStyle name="표준 4 2 5 5 3 2 2" xfId="13712"/>
    <cellStyle name="표준 4 2 5 5 3 2 2 2" xfId="36179"/>
    <cellStyle name="표준 4 2 5 5 3 2 3" xfId="21196"/>
    <cellStyle name="표준 4 2 5 5 3 2 3 2" xfId="43661"/>
    <cellStyle name="표준 4 2 5 5 3 2 4" xfId="28697"/>
    <cellStyle name="표준 4 2 5 5 3 3" xfId="13711"/>
    <cellStyle name="표준 4 2 5 5 3 3 2" xfId="36178"/>
    <cellStyle name="표준 4 2 5 5 3 4" xfId="21195"/>
    <cellStyle name="표준 4 2 5 5 3 4 2" xfId="43660"/>
    <cellStyle name="표준 4 2 5 5 3 5" xfId="28696"/>
    <cellStyle name="표준 4 2 5 5 4" xfId="6224"/>
    <cellStyle name="표준 4 2 5 5 4 2" xfId="13713"/>
    <cellStyle name="표준 4 2 5 5 4 2 2" xfId="36180"/>
    <cellStyle name="표준 4 2 5 5 4 3" xfId="21197"/>
    <cellStyle name="표준 4 2 5 5 4 3 2" xfId="43662"/>
    <cellStyle name="표준 4 2 5 5 4 4" xfId="28698"/>
    <cellStyle name="표준 4 2 5 5 5" xfId="13706"/>
    <cellStyle name="표준 4 2 5 5 5 2" xfId="36173"/>
    <cellStyle name="표준 4 2 5 5 6" xfId="21190"/>
    <cellStyle name="표준 4 2 5 5 6 2" xfId="43655"/>
    <cellStyle name="표준 4 2 5 5 7" xfId="28691"/>
    <cellStyle name="표준 4 2 5 6" xfId="6225"/>
    <cellStyle name="표준 4 2 5 6 2" xfId="6226"/>
    <cellStyle name="표준 4 2 5 6 2 2" xfId="6227"/>
    <cellStyle name="표준 4 2 5 6 2 2 2" xfId="13716"/>
    <cellStyle name="표준 4 2 5 6 2 2 2 2" xfId="36183"/>
    <cellStyle name="표준 4 2 5 6 2 2 3" xfId="21200"/>
    <cellStyle name="표준 4 2 5 6 2 2 3 2" xfId="43665"/>
    <cellStyle name="표준 4 2 5 6 2 2 4" xfId="28701"/>
    <cellStyle name="표준 4 2 5 6 2 3" xfId="13715"/>
    <cellStyle name="표준 4 2 5 6 2 3 2" xfId="36182"/>
    <cellStyle name="표준 4 2 5 6 2 4" xfId="21199"/>
    <cellStyle name="표준 4 2 5 6 2 4 2" xfId="43664"/>
    <cellStyle name="표준 4 2 5 6 2 5" xfId="28700"/>
    <cellStyle name="표준 4 2 5 6 3" xfId="6228"/>
    <cellStyle name="표준 4 2 5 6 3 2" xfId="13717"/>
    <cellStyle name="표준 4 2 5 6 3 2 2" xfId="36184"/>
    <cellStyle name="표준 4 2 5 6 3 3" xfId="21201"/>
    <cellStyle name="표준 4 2 5 6 3 3 2" xfId="43666"/>
    <cellStyle name="표준 4 2 5 6 3 4" xfId="28702"/>
    <cellStyle name="표준 4 2 5 6 4" xfId="13714"/>
    <cellStyle name="표준 4 2 5 6 4 2" xfId="36181"/>
    <cellStyle name="표준 4 2 5 6 5" xfId="21198"/>
    <cellStyle name="표준 4 2 5 6 5 2" xfId="43663"/>
    <cellStyle name="표준 4 2 5 6 6" xfId="28699"/>
    <cellStyle name="표준 4 2 5 7" xfId="6229"/>
    <cellStyle name="표준 4 2 5 7 2" xfId="6230"/>
    <cellStyle name="표준 4 2 5 7 2 2" xfId="13719"/>
    <cellStyle name="표준 4 2 5 7 2 2 2" xfId="36186"/>
    <cellStyle name="표준 4 2 5 7 2 3" xfId="21203"/>
    <cellStyle name="표준 4 2 5 7 2 3 2" xfId="43668"/>
    <cellStyle name="표준 4 2 5 7 2 4" xfId="28704"/>
    <cellStyle name="표준 4 2 5 7 3" xfId="13718"/>
    <cellStyle name="표준 4 2 5 7 3 2" xfId="36185"/>
    <cellStyle name="표준 4 2 5 7 4" xfId="21202"/>
    <cellStyle name="표준 4 2 5 7 4 2" xfId="43667"/>
    <cellStyle name="표준 4 2 5 7 5" xfId="28703"/>
    <cellStyle name="표준 4 2 5 8" xfId="6231"/>
    <cellStyle name="표준 4 2 5 8 2" xfId="13720"/>
    <cellStyle name="표준 4 2 5 8 2 2" xfId="36187"/>
    <cellStyle name="표준 4 2 5 8 3" xfId="21204"/>
    <cellStyle name="표준 4 2 5 8 3 2" xfId="43669"/>
    <cellStyle name="표준 4 2 5 8 4" xfId="28705"/>
    <cellStyle name="표준 4 2 5 9" xfId="13625"/>
    <cellStyle name="표준 4 2 5 9 2" xfId="36092"/>
    <cellStyle name="표준 4 2 6" xfId="6232"/>
    <cellStyle name="표준 4 2 6 10" xfId="28706"/>
    <cellStyle name="표준 4 2 6 2" xfId="6233"/>
    <cellStyle name="표준 4 2 6 2 2" xfId="6234"/>
    <cellStyle name="표준 4 2 6 2 2 2" xfId="6235"/>
    <cellStyle name="표준 4 2 6 2 2 2 2" xfId="6236"/>
    <cellStyle name="표준 4 2 6 2 2 2 2 2" xfId="6237"/>
    <cellStyle name="표준 4 2 6 2 2 2 2 2 2" xfId="13726"/>
    <cellStyle name="표준 4 2 6 2 2 2 2 2 2 2" xfId="36193"/>
    <cellStyle name="표준 4 2 6 2 2 2 2 2 3" xfId="21210"/>
    <cellStyle name="표준 4 2 6 2 2 2 2 2 3 2" xfId="43675"/>
    <cellStyle name="표준 4 2 6 2 2 2 2 2 4" xfId="28711"/>
    <cellStyle name="표준 4 2 6 2 2 2 2 3" xfId="13725"/>
    <cellStyle name="표준 4 2 6 2 2 2 2 3 2" xfId="36192"/>
    <cellStyle name="표준 4 2 6 2 2 2 2 4" xfId="21209"/>
    <cellStyle name="표준 4 2 6 2 2 2 2 4 2" xfId="43674"/>
    <cellStyle name="표준 4 2 6 2 2 2 2 5" xfId="28710"/>
    <cellStyle name="표준 4 2 6 2 2 2 3" xfId="6238"/>
    <cellStyle name="표준 4 2 6 2 2 2 3 2" xfId="13727"/>
    <cellStyle name="표준 4 2 6 2 2 2 3 2 2" xfId="36194"/>
    <cellStyle name="표준 4 2 6 2 2 2 3 3" xfId="21211"/>
    <cellStyle name="표준 4 2 6 2 2 2 3 3 2" xfId="43676"/>
    <cellStyle name="표준 4 2 6 2 2 2 3 4" xfId="28712"/>
    <cellStyle name="표준 4 2 6 2 2 2 4" xfId="13724"/>
    <cellStyle name="표준 4 2 6 2 2 2 4 2" xfId="36191"/>
    <cellStyle name="표준 4 2 6 2 2 2 5" xfId="21208"/>
    <cellStyle name="표준 4 2 6 2 2 2 5 2" xfId="43673"/>
    <cellStyle name="표준 4 2 6 2 2 2 6" xfId="28709"/>
    <cellStyle name="표준 4 2 6 2 2 3" xfId="6239"/>
    <cellStyle name="표준 4 2 6 2 2 3 2" xfId="6240"/>
    <cellStyle name="표준 4 2 6 2 2 3 2 2" xfId="13729"/>
    <cellStyle name="표준 4 2 6 2 2 3 2 2 2" xfId="36196"/>
    <cellStyle name="표준 4 2 6 2 2 3 2 3" xfId="21213"/>
    <cellStyle name="표준 4 2 6 2 2 3 2 3 2" xfId="43678"/>
    <cellStyle name="표준 4 2 6 2 2 3 2 4" xfId="28714"/>
    <cellStyle name="표준 4 2 6 2 2 3 3" xfId="13728"/>
    <cellStyle name="표준 4 2 6 2 2 3 3 2" xfId="36195"/>
    <cellStyle name="표준 4 2 6 2 2 3 4" xfId="21212"/>
    <cellStyle name="표준 4 2 6 2 2 3 4 2" xfId="43677"/>
    <cellStyle name="표준 4 2 6 2 2 3 5" xfId="28713"/>
    <cellStyle name="표준 4 2 6 2 2 4" xfId="6241"/>
    <cellStyle name="표준 4 2 6 2 2 4 2" xfId="13730"/>
    <cellStyle name="표준 4 2 6 2 2 4 2 2" xfId="36197"/>
    <cellStyle name="표준 4 2 6 2 2 4 3" xfId="21214"/>
    <cellStyle name="표준 4 2 6 2 2 4 3 2" xfId="43679"/>
    <cellStyle name="표준 4 2 6 2 2 4 4" xfId="28715"/>
    <cellStyle name="표준 4 2 6 2 2 5" xfId="13723"/>
    <cellStyle name="표준 4 2 6 2 2 5 2" xfId="36190"/>
    <cellStyle name="표준 4 2 6 2 2 6" xfId="21207"/>
    <cellStyle name="표준 4 2 6 2 2 6 2" xfId="43672"/>
    <cellStyle name="표준 4 2 6 2 2 7" xfId="28708"/>
    <cellStyle name="표준 4 2 6 2 3" xfId="6242"/>
    <cellStyle name="표준 4 2 6 2 3 2" xfId="6243"/>
    <cellStyle name="표준 4 2 6 2 3 2 2" xfId="6244"/>
    <cellStyle name="표준 4 2 6 2 3 2 2 2" xfId="13733"/>
    <cellStyle name="표준 4 2 6 2 3 2 2 2 2" xfId="36200"/>
    <cellStyle name="표준 4 2 6 2 3 2 2 3" xfId="21217"/>
    <cellStyle name="표준 4 2 6 2 3 2 2 3 2" xfId="43682"/>
    <cellStyle name="표준 4 2 6 2 3 2 2 4" xfId="28718"/>
    <cellStyle name="표준 4 2 6 2 3 2 3" xfId="13732"/>
    <cellStyle name="표준 4 2 6 2 3 2 3 2" xfId="36199"/>
    <cellStyle name="표준 4 2 6 2 3 2 4" xfId="21216"/>
    <cellStyle name="표준 4 2 6 2 3 2 4 2" xfId="43681"/>
    <cellStyle name="표준 4 2 6 2 3 2 5" xfId="28717"/>
    <cellStyle name="표준 4 2 6 2 3 3" xfId="6245"/>
    <cellStyle name="표준 4 2 6 2 3 3 2" xfId="13734"/>
    <cellStyle name="표준 4 2 6 2 3 3 2 2" xfId="36201"/>
    <cellStyle name="표준 4 2 6 2 3 3 3" xfId="21218"/>
    <cellStyle name="표준 4 2 6 2 3 3 3 2" xfId="43683"/>
    <cellStyle name="표준 4 2 6 2 3 3 4" xfId="28719"/>
    <cellStyle name="표준 4 2 6 2 3 4" xfId="13731"/>
    <cellStyle name="표준 4 2 6 2 3 4 2" xfId="36198"/>
    <cellStyle name="표준 4 2 6 2 3 5" xfId="21215"/>
    <cellStyle name="표준 4 2 6 2 3 5 2" xfId="43680"/>
    <cellStyle name="표준 4 2 6 2 3 6" xfId="28716"/>
    <cellStyle name="표준 4 2 6 2 4" xfId="6246"/>
    <cellStyle name="표준 4 2 6 2 4 2" xfId="6247"/>
    <cellStyle name="표준 4 2 6 2 4 2 2" xfId="13736"/>
    <cellStyle name="표준 4 2 6 2 4 2 2 2" xfId="36203"/>
    <cellStyle name="표준 4 2 6 2 4 2 3" xfId="21220"/>
    <cellStyle name="표준 4 2 6 2 4 2 3 2" xfId="43685"/>
    <cellStyle name="표준 4 2 6 2 4 2 4" xfId="28721"/>
    <cellStyle name="표준 4 2 6 2 4 3" xfId="13735"/>
    <cellStyle name="표준 4 2 6 2 4 3 2" xfId="36202"/>
    <cellStyle name="표준 4 2 6 2 4 4" xfId="21219"/>
    <cellStyle name="표준 4 2 6 2 4 4 2" xfId="43684"/>
    <cellStyle name="표준 4 2 6 2 4 5" xfId="28720"/>
    <cellStyle name="표준 4 2 6 2 5" xfId="6248"/>
    <cellStyle name="표준 4 2 6 2 5 2" xfId="13737"/>
    <cellStyle name="표준 4 2 6 2 5 2 2" xfId="36204"/>
    <cellStyle name="표준 4 2 6 2 5 3" xfId="21221"/>
    <cellStyle name="표준 4 2 6 2 5 3 2" xfId="43686"/>
    <cellStyle name="표준 4 2 6 2 5 4" xfId="28722"/>
    <cellStyle name="표준 4 2 6 2 6" xfId="13722"/>
    <cellStyle name="표준 4 2 6 2 6 2" xfId="36189"/>
    <cellStyle name="표준 4 2 6 2 7" xfId="21206"/>
    <cellStyle name="표준 4 2 6 2 7 2" xfId="43671"/>
    <cellStyle name="표준 4 2 6 2 8" xfId="28707"/>
    <cellStyle name="표준 4 2 6 3" xfId="6249"/>
    <cellStyle name="표준 4 2 6 3 2" xfId="6250"/>
    <cellStyle name="표준 4 2 6 3 2 2" xfId="6251"/>
    <cellStyle name="표준 4 2 6 3 2 2 2" xfId="6252"/>
    <cellStyle name="표준 4 2 6 3 2 2 2 2" xfId="6253"/>
    <cellStyle name="표준 4 2 6 3 2 2 2 2 2" xfId="13742"/>
    <cellStyle name="표준 4 2 6 3 2 2 2 2 2 2" xfId="36209"/>
    <cellStyle name="표준 4 2 6 3 2 2 2 2 3" xfId="21226"/>
    <cellStyle name="표준 4 2 6 3 2 2 2 2 3 2" xfId="43691"/>
    <cellStyle name="표준 4 2 6 3 2 2 2 2 4" xfId="28727"/>
    <cellStyle name="표준 4 2 6 3 2 2 2 3" xfId="13741"/>
    <cellStyle name="표준 4 2 6 3 2 2 2 3 2" xfId="36208"/>
    <cellStyle name="표준 4 2 6 3 2 2 2 4" xfId="21225"/>
    <cellStyle name="표준 4 2 6 3 2 2 2 4 2" xfId="43690"/>
    <cellStyle name="표준 4 2 6 3 2 2 2 5" xfId="28726"/>
    <cellStyle name="표준 4 2 6 3 2 2 3" xfId="6254"/>
    <cellStyle name="표준 4 2 6 3 2 2 3 2" xfId="13743"/>
    <cellStyle name="표준 4 2 6 3 2 2 3 2 2" xfId="36210"/>
    <cellStyle name="표준 4 2 6 3 2 2 3 3" xfId="21227"/>
    <cellStyle name="표준 4 2 6 3 2 2 3 3 2" xfId="43692"/>
    <cellStyle name="표준 4 2 6 3 2 2 3 4" xfId="28728"/>
    <cellStyle name="표준 4 2 6 3 2 2 4" xfId="13740"/>
    <cellStyle name="표준 4 2 6 3 2 2 4 2" xfId="36207"/>
    <cellStyle name="표준 4 2 6 3 2 2 5" xfId="21224"/>
    <cellStyle name="표준 4 2 6 3 2 2 5 2" xfId="43689"/>
    <cellStyle name="표준 4 2 6 3 2 2 6" xfId="28725"/>
    <cellStyle name="표준 4 2 6 3 2 3" xfId="6255"/>
    <cellStyle name="표준 4 2 6 3 2 3 2" xfId="6256"/>
    <cellStyle name="표준 4 2 6 3 2 3 2 2" xfId="13745"/>
    <cellStyle name="표준 4 2 6 3 2 3 2 2 2" xfId="36212"/>
    <cellStyle name="표준 4 2 6 3 2 3 2 3" xfId="21229"/>
    <cellStyle name="표준 4 2 6 3 2 3 2 3 2" xfId="43694"/>
    <cellStyle name="표준 4 2 6 3 2 3 2 4" xfId="28730"/>
    <cellStyle name="표준 4 2 6 3 2 3 3" xfId="13744"/>
    <cellStyle name="표준 4 2 6 3 2 3 3 2" xfId="36211"/>
    <cellStyle name="표준 4 2 6 3 2 3 4" xfId="21228"/>
    <cellStyle name="표준 4 2 6 3 2 3 4 2" xfId="43693"/>
    <cellStyle name="표준 4 2 6 3 2 3 5" xfId="28729"/>
    <cellStyle name="표준 4 2 6 3 2 4" xfId="6257"/>
    <cellStyle name="표준 4 2 6 3 2 4 2" xfId="13746"/>
    <cellStyle name="표준 4 2 6 3 2 4 2 2" xfId="36213"/>
    <cellStyle name="표준 4 2 6 3 2 4 3" xfId="21230"/>
    <cellStyle name="표준 4 2 6 3 2 4 3 2" xfId="43695"/>
    <cellStyle name="표준 4 2 6 3 2 4 4" xfId="28731"/>
    <cellStyle name="표준 4 2 6 3 2 5" xfId="13739"/>
    <cellStyle name="표준 4 2 6 3 2 5 2" xfId="36206"/>
    <cellStyle name="표준 4 2 6 3 2 6" xfId="21223"/>
    <cellStyle name="표준 4 2 6 3 2 6 2" xfId="43688"/>
    <cellStyle name="표준 4 2 6 3 2 7" xfId="28724"/>
    <cellStyle name="표준 4 2 6 3 3" xfId="6258"/>
    <cellStyle name="표준 4 2 6 3 3 2" xfId="6259"/>
    <cellStyle name="표준 4 2 6 3 3 2 2" xfId="6260"/>
    <cellStyle name="표준 4 2 6 3 3 2 2 2" xfId="13749"/>
    <cellStyle name="표준 4 2 6 3 3 2 2 2 2" xfId="36216"/>
    <cellStyle name="표준 4 2 6 3 3 2 2 3" xfId="21233"/>
    <cellStyle name="표준 4 2 6 3 3 2 2 3 2" xfId="43698"/>
    <cellStyle name="표준 4 2 6 3 3 2 2 4" xfId="28734"/>
    <cellStyle name="표준 4 2 6 3 3 2 3" xfId="13748"/>
    <cellStyle name="표준 4 2 6 3 3 2 3 2" xfId="36215"/>
    <cellStyle name="표준 4 2 6 3 3 2 4" xfId="21232"/>
    <cellStyle name="표준 4 2 6 3 3 2 4 2" xfId="43697"/>
    <cellStyle name="표준 4 2 6 3 3 2 5" xfId="28733"/>
    <cellStyle name="표준 4 2 6 3 3 3" xfId="6261"/>
    <cellStyle name="표준 4 2 6 3 3 3 2" xfId="13750"/>
    <cellStyle name="표준 4 2 6 3 3 3 2 2" xfId="36217"/>
    <cellStyle name="표준 4 2 6 3 3 3 3" xfId="21234"/>
    <cellStyle name="표준 4 2 6 3 3 3 3 2" xfId="43699"/>
    <cellStyle name="표준 4 2 6 3 3 3 4" xfId="28735"/>
    <cellStyle name="표준 4 2 6 3 3 4" xfId="13747"/>
    <cellStyle name="표준 4 2 6 3 3 4 2" xfId="36214"/>
    <cellStyle name="표준 4 2 6 3 3 5" xfId="21231"/>
    <cellStyle name="표준 4 2 6 3 3 5 2" xfId="43696"/>
    <cellStyle name="표준 4 2 6 3 3 6" xfId="28732"/>
    <cellStyle name="표준 4 2 6 3 4" xfId="6262"/>
    <cellStyle name="표준 4 2 6 3 4 2" xfId="6263"/>
    <cellStyle name="표준 4 2 6 3 4 2 2" xfId="13752"/>
    <cellStyle name="표준 4 2 6 3 4 2 2 2" xfId="36219"/>
    <cellStyle name="표준 4 2 6 3 4 2 3" xfId="21236"/>
    <cellStyle name="표준 4 2 6 3 4 2 3 2" xfId="43701"/>
    <cellStyle name="표준 4 2 6 3 4 2 4" xfId="28737"/>
    <cellStyle name="표준 4 2 6 3 4 3" xfId="13751"/>
    <cellStyle name="표준 4 2 6 3 4 3 2" xfId="36218"/>
    <cellStyle name="표준 4 2 6 3 4 4" xfId="21235"/>
    <cellStyle name="표준 4 2 6 3 4 4 2" xfId="43700"/>
    <cellStyle name="표준 4 2 6 3 4 5" xfId="28736"/>
    <cellStyle name="표준 4 2 6 3 5" xfId="6264"/>
    <cellStyle name="표준 4 2 6 3 5 2" xfId="13753"/>
    <cellStyle name="표준 4 2 6 3 5 2 2" xfId="36220"/>
    <cellStyle name="표준 4 2 6 3 5 3" xfId="21237"/>
    <cellStyle name="표준 4 2 6 3 5 3 2" xfId="43702"/>
    <cellStyle name="표준 4 2 6 3 5 4" xfId="28738"/>
    <cellStyle name="표준 4 2 6 3 6" xfId="13738"/>
    <cellStyle name="표준 4 2 6 3 6 2" xfId="36205"/>
    <cellStyle name="표준 4 2 6 3 7" xfId="21222"/>
    <cellStyle name="표준 4 2 6 3 7 2" xfId="43687"/>
    <cellStyle name="표준 4 2 6 3 8" xfId="28723"/>
    <cellStyle name="표준 4 2 6 4" xfId="6265"/>
    <cellStyle name="표준 4 2 6 4 2" xfId="6266"/>
    <cellStyle name="표준 4 2 6 4 2 2" xfId="6267"/>
    <cellStyle name="표준 4 2 6 4 2 2 2" xfId="6268"/>
    <cellStyle name="표준 4 2 6 4 2 2 2 2" xfId="13757"/>
    <cellStyle name="표준 4 2 6 4 2 2 2 2 2" xfId="36224"/>
    <cellStyle name="표준 4 2 6 4 2 2 2 3" xfId="21241"/>
    <cellStyle name="표준 4 2 6 4 2 2 2 3 2" xfId="43706"/>
    <cellStyle name="표준 4 2 6 4 2 2 2 4" xfId="28742"/>
    <cellStyle name="표준 4 2 6 4 2 2 3" xfId="13756"/>
    <cellStyle name="표준 4 2 6 4 2 2 3 2" xfId="36223"/>
    <cellStyle name="표준 4 2 6 4 2 2 4" xfId="21240"/>
    <cellStyle name="표준 4 2 6 4 2 2 4 2" xfId="43705"/>
    <cellStyle name="표준 4 2 6 4 2 2 5" xfId="28741"/>
    <cellStyle name="표준 4 2 6 4 2 3" xfId="6269"/>
    <cellStyle name="표준 4 2 6 4 2 3 2" xfId="13758"/>
    <cellStyle name="표준 4 2 6 4 2 3 2 2" xfId="36225"/>
    <cellStyle name="표준 4 2 6 4 2 3 3" xfId="21242"/>
    <cellStyle name="표준 4 2 6 4 2 3 3 2" xfId="43707"/>
    <cellStyle name="표준 4 2 6 4 2 3 4" xfId="28743"/>
    <cellStyle name="표준 4 2 6 4 2 4" xfId="13755"/>
    <cellStyle name="표준 4 2 6 4 2 4 2" xfId="36222"/>
    <cellStyle name="표준 4 2 6 4 2 5" xfId="21239"/>
    <cellStyle name="표준 4 2 6 4 2 5 2" xfId="43704"/>
    <cellStyle name="표준 4 2 6 4 2 6" xfId="28740"/>
    <cellStyle name="표준 4 2 6 4 3" xfId="6270"/>
    <cellStyle name="표준 4 2 6 4 3 2" xfId="6271"/>
    <cellStyle name="표준 4 2 6 4 3 2 2" xfId="13760"/>
    <cellStyle name="표준 4 2 6 4 3 2 2 2" xfId="36227"/>
    <cellStyle name="표준 4 2 6 4 3 2 3" xfId="21244"/>
    <cellStyle name="표준 4 2 6 4 3 2 3 2" xfId="43709"/>
    <cellStyle name="표준 4 2 6 4 3 2 4" xfId="28745"/>
    <cellStyle name="표준 4 2 6 4 3 3" xfId="13759"/>
    <cellStyle name="표준 4 2 6 4 3 3 2" xfId="36226"/>
    <cellStyle name="표준 4 2 6 4 3 4" xfId="21243"/>
    <cellStyle name="표준 4 2 6 4 3 4 2" xfId="43708"/>
    <cellStyle name="표준 4 2 6 4 3 5" xfId="28744"/>
    <cellStyle name="표준 4 2 6 4 4" xfId="6272"/>
    <cellStyle name="표준 4 2 6 4 4 2" xfId="13761"/>
    <cellStyle name="표준 4 2 6 4 4 2 2" xfId="36228"/>
    <cellStyle name="표준 4 2 6 4 4 3" xfId="21245"/>
    <cellStyle name="표준 4 2 6 4 4 3 2" xfId="43710"/>
    <cellStyle name="표준 4 2 6 4 4 4" xfId="28746"/>
    <cellStyle name="표준 4 2 6 4 5" xfId="13754"/>
    <cellStyle name="표준 4 2 6 4 5 2" xfId="36221"/>
    <cellStyle name="표준 4 2 6 4 6" xfId="21238"/>
    <cellStyle name="표준 4 2 6 4 6 2" xfId="43703"/>
    <cellStyle name="표준 4 2 6 4 7" xfId="28739"/>
    <cellStyle name="표준 4 2 6 5" xfId="6273"/>
    <cellStyle name="표준 4 2 6 5 2" xfId="6274"/>
    <cellStyle name="표준 4 2 6 5 2 2" xfId="6275"/>
    <cellStyle name="표준 4 2 6 5 2 2 2" xfId="13764"/>
    <cellStyle name="표준 4 2 6 5 2 2 2 2" xfId="36231"/>
    <cellStyle name="표준 4 2 6 5 2 2 3" xfId="21248"/>
    <cellStyle name="표준 4 2 6 5 2 2 3 2" xfId="43713"/>
    <cellStyle name="표준 4 2 6 5 2 2 4" xfId="28749"/>
    <cellStyle name="표준 4 2 6 5 2 3" xfId="13763"/>
    <cellStyle name="표준 4 2 6 5 2 3 2" xfId="36230"/>
    <cellStyle name="표준 4 2 6 5 2 4" xfId="21247"/>
    <cellStyle name="표준 4 2 6 5 2 4 2" xfId="43712"/>
    <cellStyle name="표준 4 2 6 5 2 5" xfId="28748"/>
    <cellStyle name="표준 4 2 6 5 3" xfId="6276"/>
    <cellStyle name="표준 4 2 6 5 3 2" xfId="13765"/>
    <cellStyle name="표준 4 2 6 5 3 2 2" xfId="36232"/>
    <cellStyle name="표준 4 2 6 5 3 3" xfId="21249"/>
    <cellStyle name="표준 4 2 6 5 3 3 2" xfId="43714"/>
    <cellStyle name="표준 4 2 6 5 3 4" xfId="28750"/>
    <cellStyle name="표준 4 2 6 5 4" xfId="13762"/>
    <cellStyle name="표준 4 2 6 5 4 2" xfId="36229"/>
    <cellStyle name="표준 4 2 6 5 5" xfId="21246"/>
    <cellStyle name="표준 4 2 6 5 5 2" xfId="43711"/>
    <cellStyle name="표준 4 2 6 5 6" xfId="28747"/>
    <cellStyle name="표준 4 2 6 6" xfId="6277"/>
    <cellStyle name="표준 4 2 6 6 2" xfId="6278"/>
    <cellStyle name="표준 4 2 6 6 2 2" xfId="13767"/>
    <cellStyle name="표준 4 2 6 6 2 2 2" xfId="36234"/>
    <cellStyle name="표준 4 2 6 6 2 3" xfId="21251"/>
    <cellStyle name="표준 4 2 6 6 2 3 2" xfId="43716"/>
    <cellStyle name="표준 4 2 6 6 2 4" xfId="28752"/>
    <cellStyle name="표준 4 2 6 6 3" xfId="13766"/>
    <cellStyle name="표준 4 2 6 6 3 2" xfId="36233"/>
    <cellStyle name="표준 4 2 6 6 4" xfId="21250"/>
    <cellStyle name="표준 4 2 6 6 4 2" xfId="43715"/>
    <cellStyle name="표준 4 2 6 6 5" xfId="28751"/>
    <cellStyle name="표준 4 2 6 7" xfId="6279"/>
    <cellStyle name="표준 4 2 6 7 2" xfId="13768"/>
    <cellStyle name="표준 4 2 6 7 2 2" xfId="36235"/>
    <cellStyle name="표준 4 2 6 7 3" xfId="21252"/>
    <cellStyle name="표준 4 2 6 7 3 2" xfId="43717"/>
    <cellStyle name="표준 4 2 6 7 4" xfId="28753"/>
    <cellStyle name="표준 4 2 6 8" xfId="13721"/>
    <cellStyle name="표준 4 2 6 8 2" xfId="36188"/>
    <cellStyle name="표준 4 2 6 9" xfId="21205"/>
    <cellStyle name="표준 4 2 6 9 2" xfId="43670"/>
    <cellStyle name="표준 4 2 7" xfId="6280"/>
    <cellStyle name="표준 4 2 7 2" xfId="6281"/>
    <cellStyle name="표준 4 2 7 2 2" xfId="6282"/>
    <cellStyle name="표준 4 2 7 2 2 2" xfId="6283"/>
    <cellStyle name="표준 4 2 7 2 2 2 2" xfId="6284"/>
    <cellStyle name="표준 4 2 7 2 2 2 2 2" xfId="13773"/>
    <cellStyle name="표준 4 2 7 2 2 2 2 2 2" xfId="36240"/>
    <cellStyle name="표준 4 2 7 2 2 2 2 3" xfId="21257"/>
    <cellStyle name="표준 4 2 7 2 2 2 2 3 2" xfId="43722"/>
    <cellStyle name="표준 4 2 7 2 2 2 2 4" xfId="28758"/>
    <cellStyle name="표준 4 2 7 2 2 2 3" xfId="13772"/>
    <cellStyle name="표준 4 2 7 2 2 2 3 2" xfId="36239"/>
    <cellStyle name="표준 4 2 7 2 2 2 4" xfId="21256"/>
    <cellStyle name="표준 4 2 7 2 2 2 4 2" xfId="43721"/>
    <cellStyle name="표준 4 2 7 2 2 2 5" xfId="28757"/>
    <cellStyle name="표준 4 2 7 2 2 3" xfId="6285"/>
    <cellStyle name="표준 4 2 7 2 2 3 2" xfId="13774"/>
    <cellStyle name="표준 4 2 7 2 2 3 2 2" xfId="36241"/>
    <cellStyle name="표준 4 2 7 2 2 3 3" xfId="21258"/>
    <cellStyle name="표준 4 2 7 2 2 3 3 2" xfId="43723"/>
    <cellStyle name="표준 4 2 7 2 2 3 4" xfId="28759"/>
    <cellStyle name="표준 4 2 7 2 2 4" xfId="13771"/>
    <cellStyle name="표준 4 2 7 2 2 4 2" xfId="36238"/>
    <cellStyle name="표준 4 2 7 2 2 5" xfId="21255"/>
    <cellStyle name="표준 4 2 7 2 2 5 2" xfId="43720"/>
    <cellStyle name="표준 4 2 7 2 2 6" xfId="28756"/>
    <cellStyle name="표준 4 2 7 2 3" xfId="6286"/>
    <cellStyle name="표준 4 2 7 2 3 2" xfId="6287"/>
    <cellStyle name="표준 4 2 7 2 3 2 2" xfId="13776"/>
    <cellStyle name="표준 4 2 7 2 3 2 2 2" xfId="36243"/>
    <cellStyle name="표준 4 2 7 2 3 2 3" xfId="21260"/>
    <cellStyle name="표준 4 2 7 2 3 2 3 2" xfId="43725"/>
    <cellStyle name="표준 4 2 7 2 3 2 4" xfId="28761"/>
    <cellStyle name="표준 4 2 7 2 3 3" xfId="13775"/>
    <cellStyle name="표준 4 2 7 2 3 3 2" xfId="36242"/>
    <cellStyle name="표준 4 2 7 2 3 4" xfId="21259"/>
    <cellStyle name="표준 4 2 7 2 3 4 2" xfId="43724"/>
    <cellStyle name="표준 4 2 7 2 3 5" xfId="28760"/>
    <cellStyle name="표준 4 2 7 2 4" xfId="6288"/>
    <cellStyle name="표준 4 2 7 2 4 2" xfId="13777"/>
    <cellStyle name="표준 4 2 7 2 4 2 2" xfId="36244"/>
    <cellStyle name="표준 4 2 7 2 4 3" xfId="21261"/>
    <cellStyle name="표준 4 2 7 2 4 3 2" xfId="43726"/>
    <cellStyle name="표준 4 2 7 2 4 4" xfId="28762"/>
    <cellStyle name="표준 4 2 7 2 5" xfId="13770"/>
    <cellStyle name="표준 4 2 7 2 5 2" xfId="36237"/>
    <cellStyle name="표준 4 2 7 2 6" xfId="21254"/>
    <cellStyle name="표준 4 2 7 2 6 2" xfId="43719"/>
    <cellStyle name="표준 4 2 7 2 7" xfId="28755"/>
    <cellStyle name="표준 4 2 7 3" xfId="6289"/>
    <cellStyle name="표준 4 2 7 3 2" xfId="6290"/>
    <cellStyle name="표준 4 2 7 3 2 2" xfId="6291"/>
    <cellStyle name="표준 4 2 7 3 2 2 2" xfId="13780"/>
    <cellStyle name="표준 4 2 7 3 2 2 2 2" xfId="36247"/>
    <cellStyle name="표준 4 2 7 3 2 2 3" xfId="21264"/>
    <cellStyle name="표준 4 2 7 3 2 2 3 2" xfId="43729"/>
    <cellStyle name="표준 4 2 7 3 2 2 4" xfId="28765"/>
    <cellStyle name="표준 4 2 7 3 2 3" xfId="13779"/>
    <cellStyle name="표준 4 2 7 3 2 3 2" xfId="36246"/>
    <cellStyle name="표준 4 2 7 3 2 4" xfId="21263"/>
    <cellStyle name="표준 4 2 7 3 2 4 2" xfId="43728"/>
    <cellStyle name="표준 4 2 7 3 2 5" xfId="28764"/>
    <cellStyle name="표준 4 2 7 3 3" xfId="6292"/>
    <cellStyle name="표준 4 2 7 3 3 2" xfId="13781"/>
    <cellStyle name="표준 4 2 7 3 3 2 2" xfId="36248"/>
    <cellStyle name="표준 4 2 7 3 3 3" xfId="21265"/>
    <cellStyle name="표준 4 2 7 3 3 3 2" xfId="43730"/>
    <cellStyle name="표준 4 2 7 3 3 4" xfId="28766"/>
    <cellStyle name="표준 4 2 7 3 4" xfId="13778"/>
    <cellStyle name="표준 4 2 7 3 4 2" xfId="36245"/>
    <cellStyle name="표준 4 2 7 3 5" xfId="21262"/>
    <cellStyle name="표준 4 2 7 3 5 2" xfId="43727"/>
    <cellStyle name="표준 4 2 7 3 6" xfId="28763"/>
    <cellStyle name="표준 4 2 7 4" xfId="6293"/>
    <cellStyle name="표준 4 2 7 4 2" xfId="6294"/>
    <cellStyle name="표준 4 2 7 4 2 2" xfId="13783"/>
    <cellStyle name="표준 4 2 7 4 2 2 2" xfId="36250"/>
    <cellStyle name="표준 4 2 7 4 2 3" xfId="21267"/>
    <cellStyle name="표준 4 2 7 4 2 3 2" xfId="43732"/>
    <cellStyle name="표준 4 2 7 4 2 4" xfId="28768"/>
    <cellStyle name="표준 4 2 7 4 3" xfId="13782"/>
    <cellStyle name="표준 4 2 7 4 3 2" xfId="36249"/>
    <cellStyle name="표준 4 2 7 4 4" xfId="21266"/>
    <cellStyle name="표준 4 2 7 4 4 2" xfId="43731"/>
    <cellStyle name="표준 4 2 7 4 5" xfId="28767"/>
    <cellStyle name="표준 4 2 7 5" xfId="6295"/>
    <cellStyle name="표준 4 2 7 5 2" xfId="13784"/>
    <cellStyle name="표준 4 2 7 5 2 2" xfId="36251"/>
    <cellStyle name="표준 4 2 7 5 3" xfId="21268"/>
    <cellStyle name="표준 4 2 7 5 3 2" xfId="43733"/>
    <cellStyle name="표준 4 2 7 5 4" xfId="28769"/>
    <cellStyle name="표준 4 2 7 6" xfId="13769"/>
    <cellStyle name="표준 4 2 7 6 2" xfId="36236"/>
    <cellStyle name="표준 4 2 7 7" xfId="21253"/>
    <cellStyle name="표준 4 2 7 7 2" xfId="43718"/>
    <cellStyle name="표준 4 2 7 8" xfId="28754"/>
    <cellStyle name="표준 4 2 8" xfId="6296"/>
    <cellStyle name="표준 4 2 8 2" xfId="6297"/>
    <cellStyle name="표준 4 2 8 2 2" xfId="6298"/>
    <cellStyle name="표준 4 2 8 2 2 2" xfId="6299"/>
    <cellStyle name="표준 4 2 8 2 2 2 2" xfId="6300"/>
    <cellStyle name="표준 4 2 8 2 2 2 2 2" xfId="13789"/>
    <cellStyle name="표준 4 2 8 2 2 2 2 2 2" xfId="36256"/>
    <cellStyle name="표준 4 2 8 2 2 2 2 3" xfId="21273"/>
    <cellStyle name="표준 4 2 8 2 2 2 2 3 2" xfId="43738"/>
    <cellStyle name="표준 4 2 8 2 2 2 2 4" xfId="28774"/>
    <cellStyle name="표준 4 2 8 2 2 2 3" xfId="13788"/>
    <cellStyle name="표준 4 2 8 2 2 2 3 2" xfId="36255"/>
    <cellStyle name="표준 4 2 8 2 2 2 4" xfId="21272"/>
    <cellStyle name="표준 4 2 8 2 2 2 4 2" xfId="43737"/>
    <cellStyle name="표준 4 2 8 2 2 2 5" xfId="28773"/>
    <cellStyle name="표준 4 2 8 2 2 3" xfId="6301"/>
    <cellStyle name="표준 4 2 8 2 2 3 2" xfId="13790"/>
    <cellStyle name="표준 4 2 8 2 2 3 2 2" xfId="36257"/>
    <cellStyle name="표준 4 2 8 2 2 3 3" xfId="21274"/>
    <cellStyle name="표준 4 2 8 2 2 3 3 2" xfId="43739"/>
    <cellStyle name="표준 4 2 8 2 2 3 4" xfId="28775"/>
    <cellStyle name="표준 4 2 8 2 2 4" xfId="13787"/>
    <cellStyle name="표준 4 2 8 2 2 4 2" xfId="36254"/>
    <cellStyle name="표준 4 2 8 2 2 5" xfId="21271"/>
    <cellStyle name="표준 4 2 8 2 2 5 2" xfId="43736"/>
    <cellStyle name="표준 4 2 8 2 2 6" xfId="28772"/>
    <cellStyle name="표준 4 2 8 2 3" xfId="6302"/>
    <cellStyle name="표준 4 2 8 2 3 2" xfId="6303"/>
    <cellStyle name="표준 4 2 8 2 3 2 2" xfId="13792"/>
    <cellStyle name="표준 4 2 8 2 3 2 2 2" xfId="36259"/>
    <cellStyle name="표준 4 2 8 2 3 2 3" xfId="21276"/>
    <cellStyle name="표준 4 2 8 2 3 2 3 2" xfId="43741"/>
    <cellStyle name="표준 4 2 8 2 3 2 4" xfId="28777"/>
    <cellStyle name="표준 4 2 8 2 3 3" xfId="13791"/>
    <cellStyle name="표준 4 2 8 2 3 3 2" xfId="36258"/>
    <cellStyle name="표준 4 2 8 2 3 4" xfId="21275"/>
    <cellStyle name="표준 4 2 8 2 3 4 2" xfId="43740"/>
    <cellStyle name="표준 4 2 8 2 3 5" xfId="28776"/>
    <cellStyle name="표준 4 2 8 2 4" xfId="6304"/>
    <cellStyle name="표준 4 2 8 2 4 2" xfId="13793"/>
    <cellStyle name="표준 4 2 8 2 4 2 2" xfId="36260"/>
    <cellStyle name="표준 4 2 8 2 4 3" xfId="21277"/>
    <cellStyle name="표준 4 2 8 2 4 3 2" xfId="43742"/>
    <cellStyle name="표준 4 2 8 2 4 4" xfId="28778"/>
    <cellStyle name="표준 4 2 8 2 5" xfId="13786"/>
    <cellStyle name="표준 4 2 8 2 5 2" xfId="36253"/>
    <cellStyle name="표준 4 2 8 2 6" xfId="21270"/>
    <cellStyle name="표준 4 2 8 2 6 2" xfId="43735"/>
    <cellStyle name="표준 4 2 8 2 7" xfId="28771"/>
    <cellStyle name="표준 4 2 8 3" xfId="6305"/>
    <cellStyle name="표준 4 2 8 3 2" xfId="6306"/>
    <cellStyle name="표준 4 2 8 3 2 2" xfId="6307"/>
    <cellStyle name="표준 4 2 8 3 2 2 2" xfId="13796"/>
    <cellStyle name="표준 4 2 8 3 2 2 2 2" xfId="36263"/>
    <cellStyle name="표준 4 2 8 3 2 2 3" xfId="21280"/>
    <cellStyle name="표준 4 2 8 3 2 2 3 2" xfId="43745"/>
    <cellStyle name="표준 4 2 8 3 2 2 4" xfId="28781"/>
    <cellStyle name="표준 4 2 8 3 2 3" xfId="13795"/>
    <cellStyle name="표준 4 2 8 3 2 3 2" xfId="36262"/>
    <cellStyle name="표준 4 2 8 3 2 4" xfId="21279"/>
    <cellStyle name="표준 4 2 8 3 2 4 2" xfId="43744"/>
    <cellStyle name="표준 4 2 8 3 2 5" xfId="28780"/>
    <cellStyle name="표준 4 2 8 3 3" xfId="6308"/>
    <cellStyle name="표준 4 2 8 3 3 2" xfId="13797"/>
    <cellStyle name="표준 4 2 8 3 3 2 2" xfId="36264"/>
    <cellStyle name="표준 4 2 8 3 3 3" xfId="21281"/>
    <cellStyle name="표준 4 2 8 3 3 3 2" xfId="43746"/>
    <cellStyle name="표준 4 2 8 3 3 4" xfId="28782"/>
    <cellStyle name="표준 4 2 8 3 4" xfId="13794"/>
    <cellStyle name="표준 4 2 8 3 4 2" xfId="36261"/>
    <cellStyle name="표준 4 2 8 3 5" xfId="21278"/>
    <cellStyle name="표준 4 2 8 3 5 2" xfId="43743"/>
    <cellStyle name="표준 4 2 8 3 6" xfId="28779"/>
    <cellStyle name="표준 4 2 8 4" xfId="6309"/>
    <cellStyle name="표준 4 2 8 4 2" xfId="6310"/>
    <cellStyle name="표준 4 2 8 4 2 2" xfId="13799"/>
    <cellStyle name="표준 4 2 8 4 2 2 2" xfId="36266"/>
    <cellStyle name="표준 4 2 8 4 2 3" xfId="21283"/>
    <cellStyle name="표준 4 2 8 4 2 3 2" xfId="43748"/>
    <cellStyle name="표준 4 2 8 4 2 4" xfId="28784"/>
    <cellStyle name="표준 4 2 8 4 3" xfId="13798"/>
    <cellStyle name="표준 4 2 8 4 3 2" xfId="36265"/>
    <cellStyle name="표준 4 2 8 4 4" xfId="21282"/>
    <cellStyle name="표준 4 2 8 4 4 2" xfId="43747"/>
    <cellStyle name="표준 4 2 8 4 5" xfId="28783"/>
    <cellStyle name="표준 4 2 8 5" xfId="6311"/>
    <cellStyle name="표준 4 2 8 5 2" xfId="13800"/>
    <cellStyle name="표준 4 2 8 5 2 2" xfId="36267"/>
    <cellStyle name="표준 4 2 8 5 3" xfId="21284"/>
    <cellStyle name="표준 4 2 8 5 3 2" xfId="43749"/>
    <cellStyle name="표준 4 2 8 5 4" xfId="28785"/>
    <cellStyle name="표준 4 2 8 6" xfId="13785"/>
    <cellStyle name="표준 4 2 8 6 2" xfId="36252"/>
    <cellStyle name="표준 4 2 8 7" xfId="21269"/>
    <cellStyle name="표준 4 2 8 7 2" xfId="43734"/>
    <cellStyle name="표준 4 2 8 8" xfId="28770"/>
    <cellStyle name="표준 4 2 9" xfId="6312"/>
    <cellStyle name="표준 4 2 9 2" xfId="6313"/>
    <cellStyle name="표준 4 2 9 2 2" xfId="6314"/>
    <cellStyle name="표준 4 2 9 2 2 2" xfId="6315"/>
    <cellStyle name="표준 4 2 9 2 2 2 2" xfId="13804"/>
    <cellStyle name="표준 4 2 9 2 2 2 2 2" xfId="36271"/>
    <cellStyle name="표준 4 2 9 2 2 2 3" xfId="21288"/>
    <cellStyle name="표준 4 2 9 2 2 2 3 2" xfId="43753"/>
    <cellStyle name="표준 4 2 9 2 2 2 4" xfId="28789"/>
    <cellStyle name="표준 4 2 9 2 2 3" xfId="13803"/>
    <cellStyle name="표준 4 2 9 2 2 3 2" xfId="36270"/>
    <cellStyle name="표준 4 2 9 2 2 4" xfId="21287"/>
    <cellStyle name="표준 4 2 9 2 2 4 2" xfId="43752"/>
    <cellStyle name="표준 4 2 9 2 2 5" xfId="28788"/>
    <cellStyle name="표준 4 2 9 2 3" xfId="6316"/>
    <cellStyle name="표준 4 2 9 2 3 2" xfId="13805"/>
    <cellStyle name="표준 4 2 9 2 3 2 2" xfId="36272"/>
    <cellStyle name="표준 4 2 9 2 3 3" xfId="21289"/>
    <cellStyle name="표준 4 2 9 2 3 3 2" xfId="43754"/>
    <cellStyle name="표준 4 2 9 2 3 4" xfId="28790"/>
    <cellStyle name="표준 4 2 9 2 4" xfId="13802"/>
    <cellStyle name="표준 4 2 9 2 4 2" xfId="36269"/>
    <cellStyle name="표준 4 2 9 2 5" xfId="21286"/>
    <cellStyle name="표준 4 2 9 2 5 2" xfId="43751"/>
    <cellStyle name="표준 4 2 9 2 6" xfId="28787"/>
    <cellStyle name="표준 4 2 9 3" xfId="6317"/>
    <cellStyle name="표준 4 2 9 3 2" xfId="6318"/>
    <cellStyle name="표준 4 2 9 3 2 2" xfId="13807"/>
    <cellStyle name="표준 4 2 9 3 2 2 2" xfId="36274"/>
    <cellStyle name="표준 4 2 9 3 2 3" xfId="21291"/>
    <cellStyle name="표준 4 2 9 3 2 3 2" xfId="43756"/>
    <cellStyle name="표준 4 2 9 3 2 4" xfId="28792"/>
    <cellStyle name="표준 4 2 9 3 3" xfId="13806"/>
    <cellStyle name="표준 4 2 9 3 3 2" xfId="36273"/>
    <cellStyle name="표준 4 2 9 3 4" xfId="21290"/>
    <cellStyle name="표준 4 2 9 3 4 2" xfId="43755"/>
    <cellStyle name="표준 4 2 9 3 5" xfId="28791"/>
    <cellStyle name="표준 4 2 9 4" xfId="6319"/>
    <cellStyle name="표준 4 2 9 4 2" xfId="13808"/>
    <cellStyle name="표준 4 2 9 4 2 2" xfId="36275"/>
    <cellStyle name="표준 4 2 9 4 3" xfId="21292"/>
    <cellStyle name="표준 4 2 9 4 3 2" xfId="43757"/>
    <cellStyle name="표준 4 2 9 4 4" xfId="28793"/>
    <cellStyle name="표준 4 2 9 5" xfId="13801"/>
    <cellStyle name="표준 4 2 9 5 2" xfId="36268"/>
    <cellStyle name="표준 4 2 9 6" xfId="21285"/>
    <cellStyle name="표준 4 2 9 6 2" xfId="43750"/>
    <cellStyle name="표준 4 2 9 7" xfId="28786"/>
    <cellStyle name="표준 4 2_Sheet4" xfId="6320"/>
    <cellStyle name="표준 40" xfId="24576"/>
    <cellStyle name="표준 41" xfId="24577"/>
    <cellStyle name="표준 42" xfId="24578"/>
    <cellStyle name="표준 43" xfId="47030"/>
    <cellStyle name="표준 44" xfId="47031"/>
    <cellStyle name="표준 45" xfId="47032"/>
    <cellStyle name="표준 46" xfId="47033"/>
    <cellStyle name="표준 47" xfId="47034"/>
    <cellStyle name="표준 48" xfId="47035"/>
    <cellStyle name="표준 49" xfId="47036"/>
    <cellStyle name="표준 5" xfId="6321"/>
    <cellStyle name="표준 5 2" xfId="6322"/>
    <cellStyle name="표준 50" xfId="47037"/>
    <cellStyle name="표준 6" xfId="10"/>
    <cellStyle name="표준 6 2" xfId="6323"/>
    <cellStyle name="표준 6 3" xfId="6324"/>
    <cellStyle name="표준 6 3 10" xfId="6325"/>
    <cellStyle name="표준 6 3 10 2" xfId="6326"/>
    <cellStyle name="표준 6 3 10 2 2" xfId="6327"/>
    <cellStyle name="표준 6 3 10 2 2 2" xfId="6328"/>
    <cellStyle name="표준 6 3 10 2 2 2 2" xfId="13813"/>
    <cellStyle name="표준 6 3 10 2 2 2 2 2" xfId="36280"/>
    <cellStyle name="표준 6 3 10 2 2 2 3" xfId="21297"/>
    <cellStyle name="표준 6 3 10 2 2 2 3 2" xfId="43762"/>
    <cellStyle name="표준 6 3 10 2 2 2 4" xfId="28798"/>
    <cellStyle name="표준 6 3 10 2 2 3" xfId="13812"/>
    <cellStyle name="표준 6 3 10 2 2 3 2" xfId="36279"/>
    <cellStyle name="표준 6 3 10 2 2 4" xfId="21296"/>
    <cellStyle name="표준 6 3 10 2 2 4 2" xfId="43761"/>
    <cellStyle name="표준 6 3 10 2 2 5" xfId="28797"/>
    <cellStyle name="표준 6 3 10 2 3" xfId="6329"/>
    <cellStyle name="표준 6 3 10 2 3 2" xfId="13814"/>
    <cellStyle name="표준 6 3 10 2 3 2 2" xfId="36281"/>
    <cellStyle name="표준 6 3 10 2 3 3" xfId="21298"/>
    <cellStyle name="표준 6 3 10 2 3 3 2" xfId="43763"/>
    <cellStyle name="표준 6 3 10 2 3 4" xfId="28799"/>
    <cellStyle name="표준 6 3 10 2 4" xfId="13811"/>
    <cellStyle name="표준 6 3 10 2 4 2" xfId="36278"/>
    <cellStyle name="표준 6 3 10 2 5" xfId="21295"/>
    <cellStyle name="표준 6 3 10 2 5 2" xfId="43760"/>
    <cellStyle name="표준 6 3 10 2 6" xfId="28796"/>
    <cellStyle name="표준 6 3 10 3" xfId="6330"/>
    <cellStyle name="표준 6 3 10 3 2" xfId="6331"/>
    <cellStyle name="표준 6 3 10 3 2 2" xfId="13816"/>
    <cellStyle name="표준 6 3 10 3 2 2 2" xfId="36283"/>
    <cellStyle name="표준 6 3 10 3 2 3" xfId="21300"/>
    <cellStyle name="표준 6 3 10 3 2 3 2" xfId="43765"/>
    <cellStyle name="표준 6 3 10 3 2 4" xfId="28801"/>
    <cellStyle name="표준 6 3 10 3 3" xfId="13815"/>
    <cellStyle name="표준 6 3 10 3 3 2" xfId="36282"/>
    <cellStyle name="표준 6 3 10 3 4" xfId="21299"/>
    <cellStyle name="표준 6 3 10 3 4 2" xfId="43764"/>
    <cellStyle name="표준 6 3 10 3 5" xfId="28800"/>
    <cellStyle name="표준 6 3 10 4" xfId="6332"/>
    <cellStyle name="표준 6 3 10 4 2" xfId="13817"/>
    <cellStyle name="표준 6 3 10 4 2 2" xfId="36284"/>
    <cellStyle name="표준 6 3 10 4 3" xfId="21301"/>
    <cellStyle name="표준 6 3 10 4 3 2" xfId="43766"/>
    <cellStyle name="표준 6 3 10 4 4" xfId="28802"/>
    <cellStyle name="표준 6 3 10 5" xfId="13810"/>
    <cellStyle name="표준 6 3 10 5 2" xfId="36277"/>
    <cellStyle name="표준 6 3 10 6" xfId="21294"/>
    <cellStyle name="표준 6 3 10 6 2" xfId="43759"/>
    <cellStyle name="표준 6 3 10 7" xfId="28795"/>
    <cellStyle name="표준 6 3 11" xfId="6333"/>
    <cellStyle name="표준 6 3 11 2" xfId="6334"/>
    <cellStyle name="표준 6 3 11 2 2" xfId="6335"/>
    <cellStyle name="표준 6 3 11 2 2 2" xfId="6336"/>
    <cellStyle name="표준 6 3 11 2 2 2 2" xfId="13821"/>
    <cellStyle name="표준 6 3 11 2 2 2 2 2" xfId="36288"/>
    <cellStyle name="표준 6 3 11 2 2 2 3" xfId="21305"/>
    <cellStyle name="표준 6 3 11 2 2 2 3 2" xfId="43770"/>
    <cellStyle name="표준 6 3 11 2 2 2 4" xfId="28806"/>
    <cellStyle name="표준 6 3 11 2 2 3" xfId="13820"/>
    <cellStyle name="표준 6 3 11 2 2 3 2" xfId="36287"/>
    <cellStyle name="표준 6 3 11 2 2 4" xfId="21304"/>
    <cellStyle name="표준 6 3 11 2 2 4 2" xfId="43769"/>
    <cellStyle name="표준 6 3 11 2 2 5" xfId="28805"/>
    <cellStyle name="표준 6 3 11 2 3" xfId="6337"/>
    <cellStyle name="표준 6 3 11 2 3 2" xfId="13822"/>
    <cellStyle name="표준 6 3 11 2 3 2 2" xfId="36289"/>
    <cellStyle name="표준 6 3 11 2 3 3" xfId="21306"/>
    <cellStyle name="표준 6 3 11 2 3 3 2" xfId="43771"/>
    <cellStyle name="표준 6 3 11 2 3 4" xfId="28807"/>
    <cellStyle name="표준 6 3 11 2 4" xfId="13819"/>
    <cellStyle name="표준 6 3 11 2 4 2" xfId="36286"/>
    <cellStyle name="표준 6 3 11 2 5" xfId="21303"/>
    <cellStyle name="표준 6 3 11 2 5 2" xfId="43768"/>
    <cellStyle name="표준 6 3 11 2 6" xfId="28804"/>
    <cellStyle name="표준 6 3 11 3" xfId="6338"/>
    <cellStyle name="표준 6 3 11 3 2" xfId="6339"/>
    <cellStyle name="표준 6 3 11 3 2 2" xfId="13824"/>
    <cellStyle name="표준 6 3 11 3 2 2 2" xfId="36291"/>
    <cellStyle name="표준 6 3 11 3 2 3" xfId="21308"/>
    <cellStyle name="표준 6 3 11 3 2 3 2" xfId="43773"/>
    <cellStyle name="표준 6 3 11 3 2 4" xfId="28809"/>
    <cellStyle name="표준 6 3 11 3 3" xfId="13823"/>
    <cellStyle name="표준 6 3 11 3 3 2" xfId="36290"/>
    <cellStyle name="표준 6 3 11 3 4" xfId="21307"/>
    <cellStyle name="표준 6 3 11 3 4 2" xfId="43772"/>
    <cellStyle name="표준 6 3 11 3 5" xfId="28808"/>
    <cellStyle name="표준 6 3 11 4" xfId="6340"/>
    <cellStyle name="표준 6 3 11 4 2" xfId="13825"/>
    <cellStyle name="표준 6 3 11 4 2 2" xfId="36292"/>
    <cellStyle name="표준 6 3 11 4 3" xfId="21309"/>
    <cellStyle name="표준 6 3 11 4 3 2" xfId="43774"/>
    <cellStyle name="표준 6 3 11 4 4" xfId="28810"/>
    <cellStyle name="표준 6 3 11 5" xfId="13818"/>
    <cellStyle name="표준 6 3 11 5 2" xfId="36285"/>
    <cellStyle name="표준 6 3 11 6" xfId="21302"/>
    <cellStyle name="표준 6 3 11 6 2" xfId="43767"/>
    <cellStyle name="표준 6 3 11 7" xfId="28803"/>
    <cellStyle name="표준 6 3 12" xfId="6341"/>
    <cellStyle name="표준 6 3 12 2" xfId="6342"/>
    <cellStyle name="표준 6 3 12 2 2" xfId="6343"/>
    <cellStyle name="표준 6 3 12 2 2 2" xfId="13828"/>
    <cellStyle name="표준 6 3 12 2 2 2 2" xfId="36295"/>
    <cellStyle name="표준 6 3 12 2 2 3" xfId="21312"/>
    <cellStyle name="표준 6 3 12 2 2 3 2" xfId="43777"/>
    <cellStyle name="표준 6 3 12 2 2 4" xfId="28813"/>
    <cellStyle name="표준 6 3 12 2 3" xfId="13827"/>
    <cellStyle name="표준 6 3 12 2 3 2" xfId="36294"/>
    <cellStyle name="표준 6 3 12 2 4" xfId="21311"/>
    <cellStyle name="표준 6 3 12 2 4 2" xfId="43776"/>
    <cellStyle name="표준 6 3 12 2 5" xfId="28812"/>
    <cellStyle name="표준 6 3 12 3" xfId="6344"/>
    <cellStyle name="표준 6 3 12 3 2" xfId="13829"/>
    <cellStyle name="표준 6 3 12 3 2 2" xfId="36296"/>
    <cellStyle name="표준 6 3 12 3 3" xfId="21313"/>
    <cellStyle name="표준 6 3 12 3 3 2" xfId="43778"/>
    <cellStyle name="표준 6 3 12 3 4" xfId="28814"/>
    <cellStyle name="표준 6 3 12 4" xfId="13826"/>
    <cellStyle name="표준 6 3 12 4 2" xfId="36293"/>
    <cellStyle name="표준 6 3 12 5" xfId="21310"/>
    <cellStyle name="표준 6 3 12 5 2" xfId="43775"/>
    <cellStyle name="표준 6 3 12 6" xfId="28811"/>
    <cellStyle name="표준 6 3 13" xfId="6345"/>
    <cellStyle name="표준 6 3 13 2" xfId="6346"/>
    <cellStyle name="표준 6 3 13 2 2" xfId="6347"/>
    <cellStyle name="표준 6 3 13 2 2 2" xfId="13832"/>
    <cellStyle name="표준 6 3 13 2 2 2 2" xfId="36299"/>
    <cellStyle name="표준 6 3 13 2 2 3" xfId="21316"/>
    <cellStyle name="표준 6 3 13 2 2 3 2" xfId="43781"/>
    <cellStyle name="표준 6 3 13 2 2 4" xfId="28817"/>
    <cellStyle name="표준 6 3 13 2 3" xfId="13831"/>
    <cellStyle name="표준 6 3 13 2 3 2" xfId="36298"/>
    <cellStyle name="표준 6 3 13 2 4" xfId="21315"/>
    <cellStyle name="표준 6 3 13 2 4 2" xfId="43780"/>
    <cellStyle name="표준 6 3 13 2 5" xfId="28816"/>
    <cellStyle name="표준 6 3 13 3" xfId="6348"/>
    <cellStyle name="표준 6 3 13 3 2" xfId="13833"/>
    <cellStyle name="표준 6 3 13 3 2 2" xfId="36300"/>
    <cellStyle name="표준 6 3 13 3 3" xfId="21317"/>
    <cellStyle name="표준 6 3 13 3 3 2" xfId="43782"/>
    <cellStyle name="표준 6 3 13 3 4" xfId="28818"/>
    <cellStyle name="표준 6 3 13 4" xfId="13830"/>
    <cellStyle name="표준 6 3 13 4 2" xfId="36297"/>
    <cellStyle name="표준 6 3 13 5" xfId="21314"/>
    <cellStyle name="표준 6 3 13 5 2" xfId="43779"/>
    <cellStyle name="표준 6 3 13 6" xfId="28815"/>
    <cellStyle name="표준 6 3 14" xfId="6349"/>
    <cellStyle name="표준 6 3 14 2" xfId="6350"/>
    <cellStyle name="표준 6 3 14 2 2" xfId="6351"/>
    <cellStyle name="표준 6 3 14 2 2 2" xfId="13836"/>
    <cellStyle name="표준 6 3 14 2 2 2 2" xfId="36303"/>
    <cellStyle name="표준 6 3 14 2 2 3" xfId="21320"/>
    <cellStyle name="표준 6 3 14 2 2 3 2" xfId="43785"/>
    <cellStyle name="표준 6 3 14 2 2 4" xfId="28821"/>
    <cellStyle name="표준 6 3 14 2 3" xfId="13835"/>
    <cellStyle name="표준 6 3 14 2 3 2" xfId="36302"/>
    <cellStyle name="표준 6 3 14 2 4" xfId="21319"/>
    <cellStyle name="표준 6 3 14 2 4 2" xfId="43784"/>
    <cellStyle name="표준 6 3 14 2 5" xfId="28820"/>
    <cellStyle name="표준 6 3 14 3" xfId="6352"/>
    <cellStyle name="표준 6 3 14 3 2" xfId="13837"/>
    <cellStyle name="표준 6 3 14 3 2 2" xfId="36304"/>
    <cellStyle name="표준 6 3 14 3 3" xfId="21321"/>
    <cellStyle name="표준 6 3 14 3 3 2" xfId="43786"/>
    <cellStyle name="표준 6 3 14 3 4" xfId="28822"/>
    <cellStyle name="표준 6 3 14 4" xfId="13834"/>
    <cellStyle name="표준 6 3 14 4 2" xfId="36301"/>
    <cellStyle name="표준 6 3 14 5" xfId="21318"/>
    <cellStyle name="표준 6 3 14 5 2" xfId="43783"/>
    <cellStyle name="표준 6 3 14 6" xfId="28819"/>
    <cellStyle name="표준 6 3 15" xfId="6353"/>
    <cellStyle name="표준 6 3 15 2" xfId="6354"/>
    <cellStyle name="표준 6 3 15 2 2" xfId="6355"/>
    <cellStyle name="표준 6 3 15 2 2 2" xfId="13840"/>
    <cellStyle name="표준 6 3 15 2 2 2 2" xfId="36307"/>
    <cellStyle name="표준 6 3 15 2 2 3" xfId="21324"/>
    <cellStyle name="표준 6 3 15 2 2 3 2" xfId="43789"/>
    <cellStyle name="표준 6 3 15 2 2 4" xfId="28825"/>
    <cellStyle name="표준 6 3 15 2 3" xfId="13839"/>
    <cellStyle name="표준 6 3 15 2 3 2" xfId="36306"/>
    <cellStyle name="표준 6 3 15 2 4" xfId="21323"/>
    <cellStyle name="표준 6 3 15 2 4 2" xfId="43788"/>
    <cellStyle name="표준 6 3 15 2 5" xfId="28824"/>
    <cellStyle name="표준 6 3 15 3" xfId="6356"/>
    <cellStyle name="표준 6 3 15 3 2" xfId="13841"/>
    <cellStyle name="표준 6 3 15 3 2 2" xfId="36308"/>
    <cellStyle name="표준 6 3 15 3 3" xfId="21325"/>
    <cellStyle name="표준 6 3 15 3 3 2" xfId="43790"/>
    <cellStyle name="표준 6 3 15 3 4" xfId="28826"/>
    <cellStyle name="표준 6 3 15 4" xfId="13838"/>
    <cellStyle name="표준 6 3 15 4 2" xfId="36305"/>
    <cellStyle name="표준 6 3 15 5" xfId="21322"/>
    <cellStyle name="표준 6 3 15 5 2" xfId="43787"/>
    <cellStyle name="표준 6 3 15 6" xfId="28823"/>
    <cellStyle name="표준 6 3 16" xfId="6357"/>
    <cellStyle name="표준 6 3 16 2" xfId="6358"/>
    <cellStyle name="표준 6 3 16 2 2" xfId="13843"/>
    <cellStyle name="표준 6 3 16 2 2 2" xfId="36310"/>
    <cellStyle name="표준 6 3 16 2 3" xfId="21327"/>
    <cellStyle name="표준 6 3 16 2 3 2" xfId="43792"/>
    <cellStyle name="표준 6 3 16 2 4" xfId="28828"/>
    <cellStyle name="표준 6 3 16 3" xfId="13842"/>
    <cellStyle name="표준 6 3 16 3 2" xfId="36309"/>
    <cellStyle name="표준 6 3 16 4" xfId="21326"/>
    <cellStyle name="표준 6 3 16 4 2" xfId="43791"/>
    <cellStyle name="표준 6 3 16 5" xfId="28827"/>
    <cellStyle name="표준 6 3 17" xfId="6359"/>
    <cellStyle name="표준 6 3 17 2" xfId="13844"/>
    <cellStyle name="표준 6 3 17 2 2" xfId="36311"/>
    <cellStyle name="표준 6 3 17 3" xfId="21328"/>
    <cellStyle name="표준 6 3 17 3 2" xfId="43793"/>
    <cellStyle name="표준 6 3 17 4" xfId="28829"/>
    <cellStyle name="표준 6 3 18" xfId="6360"/>
    <cellStyle name="표준 6 3 18 2" xfId="13845"/>
    <cellStyle name="표준 6 3 18 2 2" xfId="36312"/>
    <cellStyle name="표준 6 3 18 3" xfId="21329"/>
    <cellStyle name="표준 6 3 18 3 2" xfId="43794"/>
    <cellStyle name="표준 6 3 18 4" xfId="28830"/>
    <cellStyle name="표준 6 3 19" xfId="13809"/>
    <cellStyle name="표준 6 3 19 2" xfId="36276"/>
    <cellStyle name="표준 6 3 2" xfId="6361"/>
    <cellStyle name="표준 6 3 2 10" xfId="6362"/>
    <cellStyle name="표준 6 3 2 10 2" xfId="6363"/>
    <cellStyle name="표준 6 3 2 10 2 2" xfId="6364"/>
    <cellStyle name="표준 6 3 2 10 2 2 2" xfId="6365"/>
    <cellStyle name="표준 6 3 2 10 2 2 2 2" xfId="13850"/>
    <cellStyle name="표준 6 3 2 10 2 2 2 2 2" xfId="36317"/>
    <cellStyle name="표준 6 3 2 10 2 2 2 3" xfId="21334"/>
    <cellStyle name="표준 6 3 2 10 2 2 2 3 2" xfId="43799"/>
    <cellStyle name="표준 6 3 2 10 2 2 2 4" xfId="28835"/>
    <cellStyle name="표준 6 3 2 10 2 2 3" xfId="13849"/>
    <cellStyle name="표준 6 3 2 10 2 2 3 2" xfId="36316"/>
    <cellStyle name="표준 6 3 2 10 2 2 4" xfId="21333"/>
    <cellStyle name="표준 6 3 2 10 2 2 4 2" xfId="43798"/>
    <cellStyle name="표준 6 3 2 10 2 2 5" xfId="28834"/>
    <cellStyle name="표준 6 3 2 10 2 3" xfId="6366"/>
    <cellStyle name="표준 6 3 2 10 2 3 2" xfId="13851"/>
    <cellStyle name="표준 6 3 2 10 2 3 2 2" xfId="36318"/>
    <cellStyle name="표준 6 3 2 10 2 3 3" xfId="21335"/>
    <cellStyle name="표준 6 3 2 10 2 3 3 2" xfId="43800"/>
    <cellStyle name="표준 6 3 2 10 2 3 4" xfId="28836"/>
    <cellStyle name="표준 6 3 2 10 2 4" xfId="13848"/>
    <cellStyle name="표준 6 3 2 10 2 4 2" xfId="36315"/>
    <cellStyle name="표준 6 3 2 10 2 5" xfId="21332"/>
    <cellStyle name="표준 6 3 2 10 2 5 2" xfId="43797"/>
    <cellStyle name="표준 6 3 2 10 2 6" xfId="28833"/>
    <cellStyle name="표준 6 3 2 10 3" xfId="6367"/>
    <cellStyle name="표준 6 3 2 10 3 2" xfId="6368"/>
    <cellStyle name="표준 6 3 2 10 3 2 2" xfId="13853"/>
    <cellStyle name="표준 6 3 2 10 3 2 2 2" xfId="36320"/>
    <cellStyle name="표준 6 3 2 10 3 2 3" xfId="21337"/>
    <cellStyle name="표준 6 3 2 10 3 2 3 2" xfId="43802"/>
    <cellStyle name="표준 6 3 2 10 3 2 4" xfId="28838"/>
    <cellStyle name="표준 6 3 2 10 3 3" xfId="13852"/>
    <cellStyle name="표준 6 3 2 10 3 3 2" xfId="36319"/>
    <cellStyle name="표준 6 3 2 10 3 4" xfId="21336"/>
    <cellStyle name="표준 6 3 2 10 3 4 2" xfId="43801"/>
    <cellStyle name="표준 6 3 2 10 3 5" xfId="28837"/>
    <cellStyle name="표준 6 3 2 10 4" xfId="6369"/>
    <cellStyle name="표준 6 3 2 10 4 2" xfId="13854"/>
    <cellStyle name="표준 6 3 2 10 4 2 2" xfId="36321"/>
    <cellStyle name="표준 6 3 2 10 4 3" xfId="21338"/>
    <cellStyle name="표준 6 3 2 10 4 3 2" xfId="43803"/>
    <cellStyle name="표준 6 3 2 10 4 4" xfId="28839"/>
    <cellStyle name="표준 6 3 2 10 5" xfId="13847"/>
    <cellStyle name="표준 6 3 2 10 5 2" xfId="36314"/>
    <cellStyle name="표준 6 3 2 10 6" xfId="21331"/>
    <cellStyle name="표준 6 3 2 10 6 2" xfId="43796"/>
    <cellStyle name="표준 6 3 2 10 7" xfId="28832"/>
    <cellStyle name="표준 6 3 2 11" xfId="6370"/>
    <cellStyle name="표준 6 3 2 11 2" xfId="6371"/>
    <cellStyle name="표준 6 3 2 11 2 2" xfId="6372"/>
    <cellStyle name="표준 6 3 2 11 2 2 2" xfId="13857"/>
    <cellStyle name="표준 6 3 2 11 2 2 2 2" xfId="36324"/>
    <cellStyle name="표준 6 3 2 11 2 2 3" xfId="21341"/>
    <cellStyle name="표준 6 3 2 11 2 2 3 2" xfId="43806"/>
    <cellStyle name="표준 6 3 2 11 2 2 4" xfId="28842"/>
    <cellStyle name="표준 6 3 2 11 2 3" xfId="13856"/>
    <cellStyle name="표준 6 3 2 11 2 3 2" xfId="36323"/>
    <cellStyle name="표준 6 3 2 11 2 4" xfId="21340"/>
    <cellStyle name="표준 6 3 2 11 2 4 2" xfId="43805"/>
    <cellStyle name="표준 6 3 2 11 2 5" xfId="28841"/>
    <cellStyle name="표준 6 3 2 11 3" xfId="6373"/>
    <cellStyle name="표준 6 3 2 11 3 2" xfId="13858"/>
    <cellStyle name="표준 6 3 2 11 3 2 2" xfId="36325"/>
    <cellStyle name="표준 6 3 2 11 3 3" xfId="21342"/>
    <cellStyle name="표준 6 3 2 11 3 3 2" xfId="43807"/>
    <cellStyle name="표준 6 3 2 11 3 4" xfId="28843"/>
    <cellStyle name="표준 6 3 2 11 4" xfId="13855"/>
    <cellStyle name="표준 6 3 2 11 4 2" xfId="36322"/>
    <cellStyle name="표준 6 3 2 11 5" xfId="21339"/>
    <cellStyle name="표준 6 3 2 11 5 2" xfId="43804"/>
    <cellStyle name="표준 6 3 2 11 6" xfId="28840"/>
    <cellStyle name="표준 6 3 2 12" xfId="6374"/>
    <cellStyle name="표준 6 3 2 12 2" xfId="6375"/>
    <cellStyle name="표준 6 3 2 12 2 2" xfId="6376"/>
    <cellStyle name="표준 6 3 2 12 2 2 2" xfId="13861"/>
    <cellStyle name="표준 6 3 2 12 2 2 2 2" xfId="36328"/>
    <cellStyle name="표준 6 3 2 12 2 2 3" xfId="21345"/>
    <cellStyle name="표준 6 3 2 12 2 2 3 2" xfId="43810"/>
    <cellStyle name="표준 6 3 2 12 2 2 4" xfId="28846"/>
    <cellStyle name="표준 6 3 2 12 2 3" xfId="13860"/>
    <cellStyle name="표준 6 3 2 12 2 3 2" xfId="36327"/>
    <cellStyle name="표준 6 3 2 12 2 4" xfId="21344"/>
    <cellStyle name="표준 6 3 2 12 2 4 2" xfId="43809"/>
    <cellStyle name="표준 6 3 2 12 2 5" xfId="28845"/>
    <cellStyle name="표준 6 3 2 12 3" xfId="6377"/>
    <cellStyle name="표준 6 3 2 12 3 2" xfId="13862"/>
    <cellStyle name="표준 6 3 2 12 3 2 2" xfId="36329"/>
    <cellStyle name="표준 6 3 2 12 3 3" xfId="21346"/>
    <cellStyle name="표준 6 3 2 12 3 3 2" xfId="43811"/>
    <cellStyle name="표준 6 3 2 12 3 4" xfId="28847"/>
    <cellStyle name="표준 6 3 2 12 4" xfId="13859"/>
    <cellStyle name="표준 6 3 2 12 4 2" xfId="36326"/>
    <cellStyle name="표준 6 3 2 12 5" xfId="21343"/>
    <cellStyle name="표준 6 3 2 12 5 2" xfId="43808"/>
    <cellStyle name="표준 6 3 2 12 6" xfId="28844"/>
    <cellStyle name="표준 6 3 2 13" xfId="6378"/>
    <cellStyle name="표준 6 3 2 13 2" xfId="6379"/>
    <cellStyle name="표준 6 3 2 13 2 2" xfId="6380"/>
    <cellStyle name="표준 6 3 2 13 2 2 2" xfId="13865"/>
    <cellStyle name="표준 6 3 2 13 2 2 2 2" xfId="36332"/>
    <cellStyle name="표준 6 3 2 13 2 2 3" xfId="21349"/>
    <cellStyle name="표준 6 3 2 13 2 2 3 2" xfId="43814"/>
    <cellStyle name="표준 6 3 2 13 2 2 4" xfId="28850"/>
    <cellStyle name="표준 6 3 2 13 2 3" xfId="13864"/>
    <cellStyle name="표준 6 3 2 13 2 3 2" xfId="36331"/>
    <cellStyle name="표준 6 3 2 13 2 4" xfId="21348"/>
    <cellStyle name="표준 6 3 2 13 2 4 2" xfId="43813"/>
    <cellStyle name="표준 6 3 2 13 2 5" xfId="28849"/>
    <cellStyle name="표준 6 3 2 13 3" xfId="6381"/>
    <cellStyle name="표준 6 3 2 13 3 2" xfId="13866"/>
    <cellStyle name="표준 6 3 2 13 3 2 2" xfId="36333"/>
    <cellStyle name="표준 6 3 2 13 3 3" xfId="21350"/>
    <cellStyle name="표준 6 3 2 13 3 3 2" xfId="43815"/>
    <cellStyle name="표준 6 3 2 13 3 4" xfId="28851"/>
    <cellStyle name="표준 6 3 2 13 4" xfId="13863"/>
    <cellStyle name="표준 6 3 2 13 4 2" xfId="36330"/>
    <cellStyle name="표준 6 3 2 13 5" xfId="21347"/>
    <cellStyle name="표준 6 3 2 13 5 2" xfId="43812"/>
    <cellStyle name="표준 6 3 2 13 6" xfId="28848"/>
    <cellStyle name="표준 6 3 2 14" xfId="6382"/>
    <cellStyle name="표준 6 3 2 14 2" xfId="6383"/>
    <cellStyle name="표준 6 3 2 14 2 2" xfId="6384"/>
    <cellStyle name="표준 6 3 2 14 2 2 2" xfId="13869"/>
    <cellStyle name="표준 6 3 2 14 2 2 2 2" xfId="36336"/>
    <cellStyle name="표준 6 3 2 14 2 2 3" xfId="21353"/>
    <cellStyle name="표준 6 3 2 14 2 2 3 2" xfId="43818"/>
    <cellStyle name="표준 6 3 2 14 2 2 4" xfId="28854"/>
    <cellStyle name="표준 6 3 2 14 2 3" xfId="13868"/>
    <cellStyle name="표준 6 3 2 14 2 3 2" xfId="36335"/>
    <cellStyle name="표준 6 3 2 14 2 4" xfId="21352"/>
    <cellStyle name="표준 6 3 2 14 2 4 2" xfId="43817"/>
    <cellStyle name="표준 6 3 2 14 2 5" xfId="28853"/>
    <cellStyle name="표준 6 3 2 14 3" xfId="6385"/>
    <cellStyle name="표준 6 3 2 14 3 2" xfId="13870"/>
    <cellStyle name="표준 6 3 2 14 3 2 2" xfId="36337"/>
    <cellStyle name="표준 6 3 2 14 3 3" xfId="21354"/>
    <cellStyle name="표준 6 3 2 14 3 3 2" xfId="43819"/>
    <cellStyle name="표준 6 3 2 14 3 4" xfId="28855"/>
    <cellStyle name="표준 6 3 2 14 4" xfId="13867"/>
    <cellStyle name="표준 6 3 2 14 4 2" xfId="36334"/>
    <cellStyle name="표준 6 3 2 14 5" xfId="21351"/>
    <cellStyle name="표준 6 3 2 14 5 2" xfId="43816"/>
    <cellStyle name="표준 6 3 2 14 6" xfId="28852"/>
    <cellStyle name="표준 6 3 2 15" xfId="6386"/>
    <cellStyle name="표준 6 3 2 15 2" xfId="6387"/>
    <cellStyle name="표준 6 3 2 15 2 2" xfId="13872"/>
    <cellStyle name="표준 6 3 2 15 2 2 2" xfId="36339"/>
    <cellStyle name="표준 6 3 2 15 2 3" xfId="21356"/>
    <cellStyle name="표준 6 3 2 15 2 3 2" xfId="43821"/>
    <cellStyle name="표준 6 3 2 15 2 4" xfId="28857"/>
    <cellStyle name="표준 6 3 2 15 3" xfId="13871"/>
    <cellStyle name="표준 6 3 2 15 3 2" xfId="36338"/>
    <cellStyle name="표준 6 3 2 15 4" xfId="21355"/>
    <cellStyle name="표준 6 3 2 15 4 2" xfId="43820"/>
    <cellStyle name="표준 6 3 2 15 5" xfId="28856"/>
    <cellStyle name="표준 6 3 2 16" xfId="6388"/>
    <cellStyle name="표준 6 3 2 16 2" xfId="13873"/>
    <cellStyle name="표준 6 3 2 16 2 2" xfId="36340"/>
    <cellStyle name="표준 6 3 2 16 3" xfId="21357"/>
    <cellStyle name="표준 6 3 2 16 3 2" xfId="43822"/>
    <cellStyle name="표준 6 3 2 16 4" xfId="28858"/>
    <cellStyle name="표준 6 3 2 17" xfId="6389"/>
    <cellStyle name="표준 6 3 2 17 2" xfId="13874"/>
    <cellStyle name="표준 6 3 2 17 2 2" xfId="36341"/>
    <cellStyle name="표준 6 3 2 17 3" xfId="21358"/>
    <cellStyle name="표준 6 3 2 17 3 2" xfId="43823"/>
    <cellStyle name="표준 6 3 2 17 4" xfId="28859"/>
    <cellStyle name="표준 6 3 2 18" xfId="13846"/>
    <cellStyle name="표준 6 3 2 18 2" xfId="36313"/>
    <cellStyle name="표준 6 3 2 19" xfId="21330"/>
    <cellStyle name="표준 6 3 2 19 2" xfId="43795"/>
    <cellStyle name="표준 6 3 2 2" xfId="6390"/>
    <cellStyle name="표준 6 3 2 2 10" xfId="6391"/>
    <cellStyle name="표준 6 3 2 2 10 2" xfId="6392"/>
    <cellStyle name="표준 6 3 2 2 10 2 2" xfId="6393"/>
    <cellStyle name="표준 6 3 2 2 10 2 2 2" xfId="13878"/>
    <cellStyle name="표준 6 3 2 2 10 2 2 2 2" xfId="36345"/>
    <cellStyle name="표준 6 3 2 2 10 2 2 3" xfId="21362"/>
    <cellStyle name="표준 6 3 2 2 10 2 2 3 2" xfId="43827"/>
    <cellStyle name="표준 6 3 2 2 10 2 2 4" xfId="28863"/>
    <cellStyle name="표준 6 3 2 2 10 2 3" xfId="13877"/>
    <cellStyle name="표준 6 3 2 2 10 2 3 2" xfId="36344"/>
    <cellStyle name="표준 6 3 2 2 10 2 4" xfId="21361"/>
    <cellStyle name="표준 6 3 2 2 10 2 4 2" xfId="43826"/>
    <cellStyle name="표준 6 3 2 2 10 2 5" xfId="28862"/>
    <cellStyle name="표준 6 3 2 2 10 3" xfId="6394"/>
    <cellStyle name="표준 6 3 2 2 10 3 2" xfId="13879"/>
    <cellStyle name="표준 6 3 2 2 10 3 2 2" xfId="36346"/>
    <cellStyle name="표준 6 3 2 2 10 3 3" xfId="21363"/>
    <cellStyle name="표준 6 3 2 2 10 3 3 2" xfId="43828"/>
    <cellStyle name="표준 6 3 2 2 10 3 4" xfId="28864"/>
    <cellStyle name="표준 6 3 2 2 10 4" xfId="13876"/>
    <cellStyle name="표준 6 3 2 2 10 4 2" xfId="36343"/>
    <cellStyle name="표준 6 3 2 2 10 5" xfId="21360"/>
    <cellStyle name="표준 6 3 2 2 10 5 2" xfId="43825"/>
    <cellStyle name="표준 6 3 2 2 10 6" xfId="28861"/>
    <cellStyle name="표준 6 3 2 2 11" xfId="6395"/>
    <cellStyle name="표준 6 3 2 2 11 2" xfId="6396"/>
    <cellStyle name="표준 6 3 2 2 11 2 2" xfId="6397"/>
    <cellStyle name="표준 6 3 2 2 11 2 2 2" xfId="13882"/>
    <cellStyle name="표준 6 3 2 2 11 2 2 2 2" xfId="36349"/>
    <cellStyle name="표준 6 3 2 2 11 2 2 3" xfId="21366"/>
    <cellStyle name="표준 6 3 2 2 11 2 2 3 2" xfId="43831"/>
    <cellStyle name="표준 6 3 2 2 11 2 2 4" xfId="28867"/>
    <cellStyle name="표준 6 3 2 2 11 2 3" xfId="13881"/>
    <cellStyle name="표준 6 3 2 2 11 2 3 2" xfId="36348"/>
    <cellStyle name="표준 6 3 2 2 11 2 4" xfId="21365"/>
    <cellStyle name="표준 6 3 2 2 11 2 4 2" xfId="43830"/>
    <cellStyle name="표준 6 3 2 2 11 2 5" xfId="28866"/>
    <cellStyle name="표준 6 3 2 2 11 3" xfId="6398"/>
    <cellStyle name="표준 6 3 2 2 11 3 2" xfId="13883"/>
    <cellStyle name="표준 6 3 2 2 11 3 2 2" xfId="36350"/>
    <cellStyle name="표준 6 3 2 2 11 3 3" xfId="21367"/>
    <cellStyle name="표준 6 3 2 2 11 3 3 2" xfId="43832"/>
    <cellStyle name="표준 6 3 2 2 11 3 4" xfId="28868"/>
    <cellStyle name="표준 6 3 2 2 11 4" xfId="13880"/>
    <cellStyle name="표준 6 3 2 2 11 4 2" xfId="36347"/>
    <cellStyle name="표준 6 3 2 2 11 5" xfId="21364"/>
    <cellStyle name="표준 6 3 2 2 11 5 2" xfId="43829"/>
    <cellStyle name="표준 6 3 2 2 11 6" xfId="28865"/>
    <cellStyle name="표준 6 3 2 2 12" xfId="6399"/>
    <cellStyle name="표준 6 3 2 2 12 2" xfId="6400"/>
    <cellStyle name="표준 6 3 2 2 12 2 2" xfId="6401"/>
    <cellStyle name="표준 6 3 2 2 12 2 2 2" xfId="13886"/>
    <cellStyle name="표준 6 3 2 2 12 2 2 2 2" xfId="36353"/>
    <cellStyle name="표준 6 3 2 2 12 2 2 3" xfId="21370"/>
    <cellStyle name="표준 6 3 2 2 12 2 2 3 2" xfId="43835"/>
    <cellStyle name="표준 6 3 2 2 12 2 2 4" xfId="28871"/>
    <cellStyle name="표준 6 3 2 2 12 2 3" xfId="13885"/>
    <cellStyle name="표준 6 3 2 2 12 2 3 2" xfId="36352"/>
    <cellStyle name="표준 6 3 2 2 12 2 4" xfId="21369"/>
    <cellStyle name="표준 6 3 2 2 12 2 4 2" xfId="43834"/>
    <cellStyle name="표준 6 3 2 2 12 2 5" xfId="28870"/>
    <cellStyle name="표준 6 3 2 2 12 3" xfId="6402"/>
    <cellStyle name="표준 6 3 2 2 12 3 2" xfId="13887"/>
    <cellStyle name="표준 6 3 2 2 12 3 2 2" xfId="36354"/>
    <cellStyle name="표준 6 3 2 2 12 3 3" xfId="21371"/>
    <cellStyle name="표준 6 3 2 2 12 3 3 2" xfId="43836"/>
    <cellStyle name="표준 6 3 2 2 12 3 4" xfId="28872"/>
    <cellStyle name="표준 6 3 2 2 12 4" xfId="13884"/>
    <cellStyle name="표준 6 3 2 2 12 4 2" xfId="36351"/>
    <cellStyle name="표준 6 3 2 2 12 5" xfId="21368"/>
    <cellStyle name="표준 6 3 2 2 12 5 2" xfId="43833"/>
    <cellStyle name="표준 6 3 2 2 12 6" xfId="28869"/>
    <cellStyle name="표준 6 3 2 2 13" xfId="6403"/>
    <cellStyle name="표준 6 3 2 2 13 2" xfId="6404"/>
    <cellStyle name="표준 6 3 2 2 13 2 2" xfId="13889"/>
    <cellStyle name="표준 6 3 2 2 13 2 2 2" xfId="36356"/>
    <cellStyle name="표준 6 3 2 2 13 2 3" xfId="21373"/>
    <cellStyle name="표준 6 3 2 2 13 2 3 2" xfId="43838"/>
    <cellStyle name="표준 6 3 2 2 13 2 4" xfId="28874"/>
    <cellStyle name="표준 6 3 2 2 13 3" xfId="13888"/>
    <cellStyle name="표준 6 3 2 2 13 3 2" xfId="36355"/>
    <cellStyle name="표준 6 3 2 2 13 4" xfId="21372"/>
    <cellStyle name="표준 6 3 2 2 13 4 2" xfId="43837"/>
    <cellStyle name="표준 6 3 2 2 13 5" xfId="28873"/>
    <cellStyle name="표준 6 3 2 2 14" xfId="6405"/>
    <cellStyle name="표준 6 3 2 2 14 2" xfId="13890"/>
    <cellStyle name="표준 6 3 2 2 14 2 2" xfId="36357"/>
    <cellStyle name="표준 6 3 2 2 14 3" xfId="21374"/>
    <cellStyle name="표준 6 3 2 2 14 3 2" xfId="43839"/>
    <cellStyle name="표준 6 3 2 2 14 4" xfId="28875"/>
    <cellStyle name="표준 6 3 2 2 15" xfId="13875"/>
    <cellStyle name="표준 6 3 2 2 15 2" xfId="36342"/>
    <cellStyle name="표준 6 3 2 2 16" xfId="21359"/>
    <cellStyle name="표준 6 3 2 2 16 2" xfId="43824"/>
    <cellStyle name="표준 6 3 2 2 17" xfId="28860"/>
    <cellStyle name="표준 6 3 2 2 2" xfId="6406"/>
    <cellStyle name="표준 6 3 2 2 2 10" xfId="13891"/>
    <cellStyle name="표준 6 3 2 2 2 10 2" xfId="36358"/>
    <cellStyle name="표준 6 3 2 2 2 11" xfId="21375"/>
    <cellStyle name="표준 6 3 2 2 2 11 2" xfId="43840"/>
    <cellStyle name="표준 6 3 2 2 2 12" xfId="28876"/>
    <cellStyle name="표준 6 3 2 2 2 2" xfId="6407"/>
    <cellStyle name="표준 6 3 2 2 2 2 10" xfId="28877"/>
    <cellStyle name="표준 6 3 2 2 2 2 2" xfId="6408"/>
    <cellStyle name="표준 6 3 2 2 2 2 2 2" xfId="6409"/>
    <cellStyle name="표준 6 3 2 2 2 2 2 2 2" xfId="6410"/>
    <cellStyle name="표준 6 3 2 2 2 2 2 2 2 2" xfId="6411"/>
    <cellStyle name="표준 6 3 2 2 2 2 2 2 2 2 2" xfId="6412"/>
    <cellStyle name="표준 6 3 2 2 2 2 2 2 2 2 2 2" xfId="13897"/>
    <cellStyle name="표준 6 3 2 2 2 2 2 2 2 2 2 2 2" xfId="36364"/>
    <cellStyle name="표준 6 3 2 2 2 2 2 2 2 2 2 3" xfId="21381"/>
    <cellStyle name="표준 6 3 2 2 2 2 2 2 2 2 2 3 2" xfId="43846"/>
    <cellStyle name="표준 6 3 2 2 2 2 2 2 2 2 2 4" xfId="28882"/>
    <cellStyle name="표준 6 3 2 2 2 2 2 2 2 2 3" xfId="13896"/>
    <cellStyle name="표준 6 3 2 2 2 2 2 2 2 2 3 2" xfId="36363"/>
    <cellStyle name="표준 6 3 2 2 2 2 2 2 2 2 4" xfId="21380"/>
    <cellStyle name="표준 6 3 2 2 2 2 2 2 2 2 4 2" xfId="43845"/>
    <cellStyle name="표준 6 3 2 2 2 2 2 2 2 2 5" xfId="28881"/>
    <cellStyle name="표준 6 3 2 2 2 2 2 2 2 3" xfId="6413"/>
    <cellStyle name="표준 6 3 2 2 2 2 2 2 2 3 2" xfId="13898"/>
    <cellStyle name="표준 6 3 2 2 2 2 2 2 2 3 2 2" xfId="36365"/>
    <cellStyle name="표준 6 3 2 2 2 2 2 2 2 3 3" xfId="21382"/>
    <cellStyle name="표준 6 3 2 2 2 2 2 2 2 3 3 2" xfId="43847"/>
    <cellStyle name="표준 6 3 2 2 2 2 2 2 2 3 4" xfId="28883"/>
    <cellStyle name="표준 6 3 2 2 2 2 2 2 2 4" xfId="13895"/>
    <cellStyle name="표준 6 3 2 2 2 2 2 2 2 4 2" xfId="36362"/>
    <cellStyle name="표준 6 3 2 2 2 2 2 2 2 5" xfId="21379"/>
    <cellStyle name="표준 6 3 2 2 2 2 2 2 2 5 2" xfId="43844"/>
    <cellStyle name="표준 6 3 2 2 2 2 2 2 2 6" xfId="28880"/>
    <cellStyle name="표준 6 3 2 2 2 2 2 2 3" xfId="6414"/>
    <cellStyle name="표준 6 3 2 2 2 2 2 2 3 2" xfId="6415"/>
    <cellStyle name="표준 6 3 2 2 2 2 2 2 3 2 2" xfId="13900"/>
    <cellStyle name="표준 6 3 2 2 2 2 2 2 3 2 2 2" xfId="36367"/>
    <cellStyle name="표준 6 3 2 2 2 2 2 2 3 2 3" xfId="21384"/>
    <cellStyle name="표준 6 3 2 2 2 2 2 2 3 2 3 2" xfId="43849"/>
    <cellStyle name="표준 6 3 2 2 2 2 2 2 3 2 4" xfId="28885"/>
    <cellStyle name="표준 6 3 2 2 2 2 2 2 3 3" xfId="13899"/>
    <cellStyle name="표준 6 3 2 2 2 2 2 2 3 3 2" xfId="36366"/>
    <cellStyle name="표준 6 3 2 2 2 2 2 2 3 4" xfId="21383"/>
    <cellStyle name="표준 6 3 2 2 2 2 2 2 3 4 2" xfId="43848"/>
    <cellStyle name="표준 6 3 2 2 2 2 2 2 3 5" xfId="28884"/>
    <cellStyle name="표준 6 3 2 2 2 2 2 2 4" xfId="6416"/>
    <cellStyle name="표준 6 3 2 2 2 2 2 2 4 2" xfId="13901"/>
    <cellStyle name="표준 6 3 2 2 2 2 2 2 4 2 2" xfId="36368"/>
    <cellStyle name="표준 6 3 2 2 2 2 2 2 4 3" xfId="21385"/>
    <cellStyle name="표준 6 3 2 2 2 2 2 2 4 3 2" xfId="43850"/>
    <cellStyle name="표준 6 3 2 2 2 2 2 2 4 4" xfId="28886"/>
    <cellStyle name="표준 6 3 2 2 2 2 2 2 5" xfId="13894"/>
    <cellStyle name="표준 6 3 2 2 2 2 2 2 5 2" xfId="36361"/>
    <cellStyle name="표준 6 3 2 2 2 2 2 2 6" xfId="21378"/>
    <cellStyle name="표준 6 3 2 2 2 2 2 2 6 2" xfId="43843"/>
    <cellStyle name="표준 6 3 2 2 2 2 2 2 7" xfId="28879"/>
    <cellStyle name="표준 6 3 2 2 2 2 2 3" xfId="6417"/>
    <cellStyle name="표준 6 3 2 2 2 2 2 3 2" xfId="6418"/>
    <cellStyle name="표준 6 3 2 2 2 2 2 3 2 2" xfId="6419"/>
    <cellStyle name="표준 6 3 2 2 2 2 2 3 2 2 2" xfId="13904"/>
    <cellStyle name="표준 6 3 2 2 2 2 2 3 2 2 2 2" xfId="36371"/>
    <cellStyle name="표준 6 3 2 2 2 2 2 3 2 2 3" xfId="21388"/>
    <cellStyle name="표준 6 3 2 2 2 2 2 3 2 2 3 2" xfId="43853"/>
    <cellStyle name="표준 6 3 2 2 2 2 2 3 2 2 4" xfId="28889"/>
    <cellStyle name="표준 6 3 2 2 2 2 2 3 2 3" xfId="13903"/>
    <cellStyle name="표준 6 3 2 2 2 2 2 3 2 3 2" xfId="36370"/>
    <cellStyle name="표준 6 3 2 2 2 2 2 3 2 4" xfId="21387"/>
    <cellStyle name="표준 6 3 2 2 2 2 2 3 2 4 2" xfId="43852"/>
    <cellStyle name="표준 6 3 2 2 2 2 2 3 2 5" xfId="28888"/>
    <cellStyle name="표준 6 3 2 2 2 2 2 3 3" xfId="6420"/>
    <cellStyle name="표준 6 3 2 2 2 2 2 3 3 2" xfId="13905"/>
    <cellStyle name="표준 6 3 2 2 2 2 2 3 3 2 2" xfId="36372"/>
    <cellStyle name="표준 6 3 2 2 2 2 2 3 3 3" xfId="21389"/>
    <cellStyle name="표준 6 3 2 2 2 2 2 3 3 3 2" xfId="43854"/>
    <cellStyle name="표준 6 3 2 2 2 2 2 3 3 4" xfId="28890"/>
    <cellStyle name="표준 6 3 2 2 2 2 2 3 4" xfId="13902"/>
    <cellStyle name="표준 6 3 2 2 2 2 2 3 4 2" xfId="36369"/>
    <cellStyle name="표준 6 3 2 2 2 2 2 3 5" xfId="21386"/>
    <cellStyle name="표준 6 3 2 2 2 2 2 3 5 2" xfId="43851"/>
    <cellStyle name="표준 6 3 2 2 2 2 2 3 6" xfId="28887"/>
    <cellStyle name="표준 6 3 2 2 2 2 2 4" xfId="6421"/>
    <cellStyle name="표준 6 3 2 2 2 2 2 4 2" xfId="6422"/>
    <cellStyle name="표준 6 3 2 2 2 2 2 4 2 2" xfId="13907"/>
    <cellStyle name="표준 6 3 2 2 2 2 2 4 2 2 2" xfId="36374"/>
    <cellStyle name="표준 6 3 2 2 2 2 2 4 2 3" xfId="21391"/>
    <cellStyle name="표준 6 3 2 2 2 2 2 4 2 3 2" xfId="43856"/>
    <cellStyle name="표준 6 3 2 2 2 2 2 4 2 4" xfId="28892"/>
    <cellStyle name="표준 6 3 2 2 2 2 2 4 3" xfId="13906"/>
    <cellStyle name="표준 6 3 2 2 2 2 2 4 3 2" xfId="36373"/>
    <cellStyle name="표준 6 3 2 2 2 2 2 4 4" xfId="21390"/>
    <cellStyle name="표준 6 3 2 2 2 2 2 4 4 2" xfId="43855"/>
    <cellStyle name="표준 6 3 2 2 2 2 2 4 5" xfId="28891"/>
    <cellStyle name="표준 6 3 2 2 2 2 2 5" xfId="6423"/>
    <cellStyle name="표준 6 3 2 2 2 2 2 5 2" xfId="13908"/>
    <cellStyle name="표준 6 3 2 2 2 2 2 5 2 2" xfId="36375"/>
    <cellStyle name="표준 6 3 2 2 2 2 2 5 3" xfId="21392"/>
    <cellStyle name="표준 6 3 2 2 2 2 2 5 3 2" xfId="43857"/>
    <cellStyle name="표준 6 3 2 2 2 2 2 5 4" xfId="28893"/>
    <cellStyle name="표준 6 3 2 2 2 2 2 6" xfId="13893"/>
    <cellStyle name="표준 6 3 2 2 2 2 2 6 2" xfId="36360"/>
    <cellStyle name="표준 6 3 2 2 2 2 2 7" xfId="21377"/>
    <cellStyle name="표준 6 3 2 2 2 2 2 7 2" xfId="43842"/>
    <cellStyle name="표준 6 3 2 2 2 2 2 8" xfId="28878"/>
    <cellStyle name="표준 6 3 2 2 2 2 3" xfId="6424"/>
    <cellStyle name="표준 6 3 2 2 2 2 3 2" xfId="6425"/>
    <cellStyle name="표준 6 3 2 2 2 2 3 2 2" xfId="6426"/>
    <cellStyle name="표준 6 3 2 2 2 2 3 2 2 2" xfId="6427"/>
    <cellStyle name="표준 6 3 2 2 2 2 3 2 2 2 2" xfId="6428"/>
    <cellStyle name="표준 6 3 2 2 2 2 3 2 2 2 2 2" xfId="13913"/>
    <cellStyle name="표준 6 3 2 2 2 2 3 2 2 2 2 2 2" xfId="36380"/>
    <cellStyle name="표준 6 3 2 2 2 2 3 2 2 2 2 3" xfId="21397"/>
    <cellStyle name="표준 6 3 2 2 2 2 3 2 2 2 2 3 2" xfId="43862"/>
    <cellStyle name="표준 6 3 2 2 2 2 3 2 2 2 2 4" xfId="28898"/>
    <cellStyle name="표준 6 3 2 2 2 2 3 2 2 2 3" xfId="13912"/>
    <cellStyle name="표준 6 3 2 2 2 2 3 2 2 2 3 2" xfId="36379"/>
    <cellStyle name="표준 6 3 2 2 2 2 3 2 2 2 4" xfId="21396"/>
    <cellStyle name="표준 6 3 2 2 2 2 3 2 2 2 4 2" xfId="43861"/>
    <cellStyle name="표준 6 3 2 2 2 2 3 2 2 2 5" xfId="28897"/>
    <cellStyle name="표준 6 3 2 2 2 2 3 2 2 3" xfId="6429"/>
    <cellStyle name="표준 6 3 2 2 2 2 3 2 2 3 2" xfId="13914"/>
    <cellStyle name="표준 6 3 2 2 2 2 3 2 2 3 2 2" xfId="36381"/>
    <cellStyle name="표준 6 3 2 2 2 2 3 2 2 3 3" xfId="21398"/>
    <cellStyle name="표준 6 3 2 2 2 2 3 2 2 3 3 2" xfId="43863"/>
    <cellStyle name="표준 6 3 2 2 2 2 3 2 2 3 4" xfId="28899"/>
    <cellStyle name="표준 6 3 2 2 2 2 3 2 2 4" xfId="13911"/>
    <cellStyle name="표준 6 3 2 2 2 2 3 2 2 4 2" xfId="36378"/>
    <cellStyle name="표준 6 3 2 2 2 2 3 2 2 5" xfId="21395"/>
    <cellStyle name="표준 6 3 2 2 2 2 3 2 2 5 2" xfId="43860"/>
    <cellStyle name="표준 6 3 2 2 2 2 3 2 2 6" xfId="28896"/>
    <cellStyle name="표준 6 3 2 2 2 2 3 2 3" xfId="6430"/>
    <cellStyle name="표준 6 3 2 2 2 2 3 2 3 2" xfId="6431"/>
    <cellStyle name="표준 6 3 2 2 2 2 3 2 3 2 2" xfId="13916"/>
    <cellStyle name="표준 6 3 2 2 2 2 3 2 3 2 2 2" xfId="36383"/>
    <cellStyle name="표준 6 3 2 2 2 2 3 2 3 2 3" xfId="21400"/>
    <cellStyle name="표준 6 3 2 2 2 2 3 2 3 2 3 2" xfId="43865"/>
    <cellStyle name="표준 6 3 2 2 2 2 3 2 3 2 4" xfId="28901"/>
    <cellStyle name="표준 6 3 2 2 2 2 3 2 3 3" xfId="13915"/>
    <cellStyle name="표준 6 3 2 2 2 2 3 2 3 3 2" xfId="36382"/>
    <cellStyle name="표준 6 3 2 2 2 2 3 2 3 4" xfId="21399"/>
    <cellStyle name="표준 6 3 2 2 2 2 3 2 3 4 2" xfId="43864"/>
    <cellStyle name="표준 6 3 2 2 2 2 3 2 3 5" xfId="28900"/>
    <cellStyle name="표준 6 3 2 2 2 2 3 2 4" xfId="6432"/>
    <cellStyle name="표준 6 3 2 2 2 2 3 2 4 2" xfId="13917"/>
    <cellStyle name="표준 6 3 2 2 2 2 3 2 4 2 2" xfId="36384"/>
    <cellStyle name="표준 6 3 2 2 2 2 3 2 4 3" xfId="21401"/>
    <cellStyle name="표준 6 3 2 2 2 2 3 2 4 3 2" xfId="43866"/>
    <cellStyle name="표준 6 3 2 2 2 2 3 2 4 4" xfId="28902"/>
    <cellStyle name="표준 6 3 2 2 2 2 3 2 5" xfId="13910"/>
    <cellStyle name="표준 6 3 2 2 2 2 3 2 5 2" xfId="36377"/>
    <cellStyle name="표준 6 3 2 2 2 2 3 2 6" xfId="21394"/>
    <cellStyle name="표준 6 3 2 2 2 2 3 2 6 2" xfId="43859"/>
    <cellStyle name="표준 6 3 2 2 2 2 3 2 7" xfId="28895"/>
    <cellStyle name="표준 6 3 2 2 2 2 3 3" xfId="6433"/>
    <cellStyle name="표준 6 3 2 2 2 2 3 3 2" xfId="6434"/>
    <cellStyle name="표준 6 3 2 2 2 2 3 3 2 2" xfId="6435"/>
    <cellStyle name="표준 6 3 2 2 2 2 3 3 2 2 2" xfId="13920"/>
    <cellStyle name="표준 6 3 2 2 2 2 3 3 2 2 2 2" xfId="36387"/>
    <cellStyle name="표준 6 3 2 2 2 2 3 3 2 2 3" xfId="21404"/>
    <cellStyle name="표준 6 3 2 2 2 2 3 3 2 2 3 2" xfId="43869"/>
    <cellStyle name="표준 6 3 2 2 2 2 3 3 2 2 4" xfId="28905"/>
    <cellStyle name="표준 6 3 2 2 2 2 3 3 2 3" xfId="13919"/>
    <cellStyle name="표준 6 3 2 2 2 2 3 3 2 3 2" xfId="36386"/>
    <cellStyle name="표준 6 3 2 2 2 2 3 3 2 4" xfId="21403"/>
    <cellStyle name="표준 6 3 2 2 2 2 3 3 2 4 2" xfId="43868"/>
    <cellStyle name="표준 6 3 2 2 2 2 3 3 2 5" xfId="28904"/>
    <cellStyle name="표준 6 3 2 2 2 2 3 3 3" xfId="6436"/>
    <cellStyle name="표준 6 3 2 2 2 2 3 3 3 2" xfId="13921"/>
    <cellStyle name="표준 6 3 2 2 2 2 3 3 3 2 2" xfId="36388"/>
    <cellStyle name="표준 6 3 2 2 2 2 3 3 3 3" xfId="21405"/>
    <cellStyle name="표준 6 3 2 2 2 2 3 3 3 3 2" xfId="43870"/>
    <cellStyle name="표준 6 3 2 2 2 2 3 3 3 4" xfId="28906"/>
    <cellStyle name="표준 6 3 2 2 2 2 3 3 4" xfId="13918"/>
    <cellStyle name="표준 6 3 2 2 2 2 3 3 4 2" xfId="36385"/>
    <cellStyle name="표준 6 3 2 2 2 2 3 3 5" xfId="21402"/>
    <cellStyle name="표준 6 3 2 2 2 2 3 3 5 2" xfId="43867"/>
    <cellStyle name="표준 6 3 2 2 2 2 3 3 6" xfId="28903"/>
    <cellStyle name="표준 6 3 2 2 2 2 3 4" xfId="6437"/>
    <cellStyle name="표준 6 3 2 2 2 2 3 4 2" xfId="6438"/>
    <cellStyle name="표준 6 3 2 2 2 2 3 4 2 2" xfId="13923"/>
    <cellStyle name="표준 6 3 2 2 2 2 3 4 2 2 2" xfId="36390"/>
    <cellStyle name="표준 6 3 2 2 2 2 3 4 2 3" xfId="21407"/>
    <cellStyle name="표준 6 3 2 2 2 2 3 4 2 3 2" xfId="43872"/>
    <cellStyle name="표준 6 3 2 2 2 2 3 4 2 4" xfId="28908"/>
    <cellStyle name="표준 6 3 2 2 2 2 3 4 3" xfId="13922"/>
    <cellStyle name="표준 6 3 2 2 2 2 3 4 3 2" xfId="36389"/>
    <cellStyle name="표준 6 3 2 2 2 2 3 4 4" xfId="21406"/>
    <cellStyle name="표준 6 3 2 2 2 2 3 4 4 2" xfId="43871"/>
    <cellStyle name="표준 6 3 2 2 2 2 3 4 5" xfId="28907"/>
    <cellStyle name="표준 6 3 2 2 2 2 3 5" xfId="6439"/>
    <cellStyle name="표준 6 3 2 2 2 2 3 5 2" xfId="13924"/>
    <cellStyle name="표준 6 3 2 2 2 2 3 5 2 2" xfId="36391"/>
    <cellStyle name="표준 6 3 2 2 2 2 3 5 3" xfId="21408"/>
    <cellStyle name="표준 6 3 2 2 2 2 3 5 3 2" xfId="43873"/>
    <cellStyle name="표준 6 3 2 2 2 2 3 5 4" xfId="28909"/>
    <cellStyle name="표준 6 3 2 2 2 2 3 6" xfId="13909"/>
    <cellStyle name="표준 6 3 2 2 2 2 3 6 2" xfId="36376"/>
    <cellStyle name="표준 6 3 2 2 2 2 3 7" xfId="21393"/>
    <cellStyle name="표준 6 3 2 2 2 2 3 7 2" xfId="43858"/>
    <cellStyle name="표준 6 3 2 2 2 2 3 8" xfId="28894"/>
    <cellStyle name="표준 6 3 2 2 2 2 4" xfId="6440"/>
    <cellStyle name="표준 6 3 2 2 2 2 4 2" xfId="6441"/>
    <cellStyle name="표준 6 3 2 2 2 2 4 2 2" xfId="6442"/>
    <cellStyle name="표준 6 3 2 2 2 2 4 2 2 2" xfId="6443"/>
    <cellStyle name="표준 6 3 2 2 2 2 4 2 2 2 2" xfId="13928"/>
    <cellStyle name="표준 6 3 2 2 2 2 4 2 2 2 2 2" xfId="36395"/>
    <cellStyle name="표준 6 3 2 2 2 2 4 2 2 2 3" xfId="21412"/>
    <cellStyle name="표준 6 3 2 2 2 2 4 2 2 2 3 2" xfId="43877"/>
    <cellStyle name="표준 6 3 2 2 2 2 4 2 2 2 4" xfId="28913"/>
    <cellStyle name="표준 6 3 2 2 2 2 4 2 2 3" xfId="13927"/>
    <cellStyle name="표준 6 3 2 2 2 2 4 2 2 3 2" xfId="36394"/>
    <cellStyle name="표준 6 3 2 2 2 2 4 2 2 4" xfId="21411"/>
    <cellStyle name="표준 6 3 2 2 2 2 4 2 2 4 2" xfId="43876"/>
    <cellStyle name="표준 6 3 2 2 2 2 4 2 2 5" xfId="28912"/>
    <cellStyle name="표준 6 3 2 2 2 2 4 2 3" xfId="6444"/>
    <cellStyle name="표준 6 3 2 2 2 2 4 2 3 2" xfId="13929"/>
    <cellStyle name="표준 6 3 2 2 2 2 4 2 3 2 2" xfId="36396"/>
    <cellStyle name="표준 6 3 2 2 2 2 4 2 3 3" xfId="21413"/>
    <cellStyle name="표준 6 3 2 2 2 2 4 2 3 3 2" xfId="43878"/>
    <cellStyle name="표준 6 3 2 2 2 2 4 2 3 4" xfId="28914"/>
    <cellStyle name="표준 6 3 2 2 2 2 4 2 4" xfId="13926"/>
    <cellStyle name="표준 6 3 2 2 2 2 4 2 4 2" xfId="36393"/>
    <cellStyle name="표준 6 3 2 2 2 2 4 2 5" xfId="21410"/>
    <cellStyle name="표준 6 3 2 2 2 2 4 2 5 2" xfId="43875"/>
    <cellStyle name="표준 6 3 2 2 2 2 4 2 6" xfId="28911"/>
    <cellStyle name="표준 6 3 2 2 2 2 4 3" xfId="6445"/>
    <cellStyle name="표준 6 3 2 2 2 2 4 3 2" xfId="6446"/>
    <cellStyle name="표준 6 3 2 2 2 2 4 3 2 2" xfId="13931"/>
    <cellStyle name="표준 6 3 2 2 2 2 4 3 2 2 2" xfId="36398"/>
    <cellStyle name="표준 6 3 2 2 2 2 4 3 2 3" xfId="21415"/>
    <cellStyle name="표준 6 3 2 2 2 2 4 3 2 3 2" xfId="43880"/>
    <cellStyle name="표준 6 3 2 2 2 2 4 3 2 4" xfId="28916"/>
    <cellStyle name="표준 6 3 2 2 2 2 4 3 3" xfId="13930"/>
    <cellStyle name="표준 6 3 2 2 2 2 4 3 3 2" xfId="36397"/>
    <cellStyle name="표준 6 3 2 2 2 2 4 3 4" xfId="21414"/>
    <cellStyle name="표준 6 3 2 2 2 2 4 3 4 2" xfId="43879"/>
    <cellStyle name="표준 6 3 2 2 2 2 4 3 5" xfId="28915"/>
    <cellStyle name="표준 6 3 2 2 2 2 4 4" xfId="6447"/>
    <cellStyle name="표준 6 3 2 2 2 2 4 4 2" xfId="13932"/>
    <cellStyle name="표준 6 3 2 2 2 2 4 4 2 2" xfId="36399"/>
    <cellStyle name="표준 6 3 2 2 2 2 4 4 3" xfId="21416"/>
    <cellStyle name="표준 6 3 2 2 2 2 4 4 3 2" xfId="43881"/>
    <cellStyle name="표준 6 3 2 2 2 2 4 4 4" xfId="28917"/>
    <cellStyle name="표준 6 3 2 2 2 2 4 5" xfId="13925"/>
    <cellStyle name="표준 6 3 2 2 2 2 4 5 2" xfId="36392"/>
    <cellStyle name="표준 6 3 2 2 2 2 4 6" xfId="21409"/>
    <cellStyle name="표준 6 3 2 2 2 2 4 6 2" xfId="43874"/>
    <cellStyle name="표준 6 3 2 2 2 2 4 7" xfId="28910"/>
    <cellStyle name="표준 6 3 2 2 2 2 5" xfId="6448"/>
    <cellStyle name="표준 6 3 2 2 2 2 5 2" xfId="6449"/>
    <cellStyle name="표준 6 3 2 2 2 2 5 2 2" xfId="6450"/>
    <cellStyle name="표준 6 3 2 2 2 2 5 2 2 2" xfId="13935"/>
    <cellStyle name="표준 6 3 2 2 2 2 5 2 2 2 2" xfId="36402"/>
    <cellStyle name="표준 6 3 2 2 2 2 5 2 2 3" xfId="21419"/>
    <cellStyle name="표준 6 3 2 2 2 2 5 2 2 3 2" xfId="43884"/>
    <cellStyle name="표준 6 3 2 2 2 2 5 2 2 4" xfId="28920"/>
    <cellStyle name="표준 6 3 2 2 2 2 5 2 3" xfId="13934"/>
    <cellStyle name="표준 6 3 2 2 2 2 5 2 3 2" xfId="36401"/>
    <cellStyle name="표준 6 3 2 2 2 2 5 2 4" xfId="21418"/>
    <cellStyle name="표준 6 3 2 2 2 2 5 2 4 2" xfId="43883"/>
    <cellStyle name="표준 6 3 2 2 2 2 5 2 5" xfId="28919"/>
    <cellStyle name="표준 6 3 2 2 2 2 5 3" xfId="6451"/>
    <cellStyle name="표준 6 3 2 2 2 2 5 3 2" xfId="13936"/>
    <cellStyle name="표준 6 3 2 2 2 2 5 3 2 2" xfId="36403"/>
    <cellStyle name="표준 6 3 2 2 2 2 5 3 3" xfId="21420"/>
    <cellStyle name="표준 6 3 2 2 2 2 5 3 3 2" xfId="43885"/>
    <cellStyle name="표준 6 3 2 2 2 2 5 3 4" xfId="28921"/>
    <cellStyle name="표준 6 3 2 2 2 2 5 4" xfId="13933"/>
    <cellStyle name="표준 6 3 2 2 2 2 5 4 2" xfId="36400"/>
    <cellStyle name="표준 6 3 2 2 2 2 5 5" xfId="21417"/>
    <cellStyle name="표준 6 3 2 2 2 2 5 5 2" xfId="43882"/>
    <cellStyle name="표준 6 3 2 2 2 2 5 6" xfId="28918"/>
    <cellStyle name="표준 6 3 2 2 2 2 6" xfId="6452"/>
    <cellStyle name="표준 6 3 2 2 2 2 6 2" xfId="6453"/>
    <cellStyle name="표준 6 3 2 2 2 2 6 2 2" xfId="13938"/>
    <cellStyle name="표준 6 3 2 2 2 2 6 2 2 2" xfId="36405"/>
    <cellStyle name="표준 6 3 2 2 2 2 6 2 3" xfId="21422"/>
    <cellStyle name="표준 6 3 2 2 2 2 6 2 3 2" xfId="43887"/>
    <cellStyle name="표준 6 3 2 2 2 2 6 2 4" xfId="28923"/>
    <cellStyle name="표준 6 3 2 2 2 2 6 3" xfId="13937"/>
    <cellStyle name="표준 6 3 2 2 2 2 6 3 2" xfId="36404"/>
    <cellStyle name="표준 6 3 2 2 2 2 6 4" xfId="21421"/>
    <cellStyle name="표준 6 3 2 2 2 2 6 4 2" xfId="43886"/>
    <cellStyle name="표준 6 3 2 2 2 2 6 5" xfId="28922"/>
    <cellStyle name="표준 6 3 2 2 2 2 7" xfId="6454"/>
    <cellStyle name="표준 6 3 2 2 2 2 7 2" xfId="13939"/>
    <cellStyle name="표준 6 3 2 2 2 2 7 2 2" xfId="36406"/>
    <cellStyle name="표준 6 3 2 2 2 2 7 3" xfId="21423"/>
    <cellStyle name="표준 6 3 2 2 2 2 7 3 2" xfId="43888"/>
    <cellStyle name="표준 6 3 2 2 2 2 7 4" xfId="28924"/>
    <cellStyle name="표준 6 3 2 2 2 2 8" xfId="13892"/>
    <cellStyle name="표준 6 3 2 2 2 2 8 2" xfId="36359"/>
    <cellStyle name="표준 6 3 2 2 2 2 9" xfId="21376"/>
    <cellStyle name="표준 6 3 2 2 2 2 9 2" xfId="43841"/>
    <cellStyle name="표준 6 3 2 2 2 3" xfId="6455"/>
    <cellStyle name="표준 6 3 2 2 2 3 2" xfId="6456"/>
    <cellStyle name="표준 6 3 2 2 2 3 2 2" xfId="6457"/>
    <cellStyle name="표준 6 3 2 2 2 3 2 2 2" xfId="6458"/>
    <cellStyle name="표준 6 3 2 2 2 3 2 2 2 2" xfId="6459"/>
    <cellStyle name="표준 6 3 2 2 2 3 2 2 2 2 2" xfId="13944"/>
    <cellStyle name="표준 6 3 2 2 2 3 2 2 2 2 2 2" xfId="36411"/>
    <cellStyle name="표준 6 3 2 2 2 3 2 2 2 2 3" xfId="21428"/>
    <cellStyle name="표준 6 3 2 2 2 3 2 2 2 2 3 2" xfId="43893"/>
    <cellStyle name="표준 6 3 2 2 2 3 2 2 2 2 4" xfId="28929"/>
    <cellStyle name="표준 6 3 2 2 2 3 2 2 2 3" xfId="13943"/>
    <cellStyle name="표준 6 3 2 2 2 3 2 2 2 3 2" xfId="36410"/>
    <cellStyle name="표준 6 3 2 2 2 3 2 2 2 4" xfId="21427"/>
    <cellStyle name="표준 6 3 2 2 2 3 2 2 2 4 2" xfId="43892"/>
    <cellStyle name="표준 6 3 2 2 2 3 2 2 2 5" xfId="28928"/>
    <cellStyle name="표준 6 3 2 2 2 3 2 2 3" xfId="6460"/>
    <cellStyle name="표준 6 3 2 2 2 3 2 2 3 2" xfId="13945"/>
    <cellStyle name="표준 6 3 2 2 2 3 2 2 3 2 2" xfId="36412"/>
    <cellStyle name="표준 6 3 2 2 2 3 2 2 3 3" xfId="21429"/>
    <cellStyle name="표준 6 3 2 2 2 3 2 2 3 3 2" xfId="43894"/>
    <cellStyle name="표준 6 3 2 2 2 3 2 2 3 4" xfId="28930"/>
    <cellStyle name="표준 6 3 2 2 2 3 2 2 4" xfId="13942"/>
    <cellStyle name="표준 6 3 2 2 2 3 2 2 4 2" xfId="36409"/>
    <cellStyle name="표준 6 3 2 2 2 3 2 2 5" xfId="21426"/>
    <cellStyle name="표준 6 3 2 2 2 3 2 2 5 2" xfId="43891"/>
    <cellStyle name="표준 6 3 2 2 2 3 2 2 6" xfId="28927"/>
    <cellStyle name="표준 6 3 2 2 2 3 2 3" xfId="6461"/>
    <cellStyle name="표준 6 3 2 2 2 3 2 3 2" xfId="6462"/>
    <cellStyle name="표준 6 3 2 2 2 3 2 3 2 2" xfId="13947"/>
    <cellStyle name="표준 6 3 2 2 2 3 2 3 2 2 2" xfId="36414"/>
    <cellStyle name="표준 6 3 2 2 2 3 2 3 2 3" xfId="21431"/>
    <cellStyle name="표준 6 3 2 2 2 3 2 3 2 3 2" xfId="43896"/>
    <cellStyle name="표준 6 3 2 2 2 3 2 3 2 4" xfId="28932"/>
    <cellStyle name="표준 6 3 2 2 2 3 2 3 3" xfId="13946"/>
    <cellStyle name="표준 6 3 2 2 2 3 2 3 3 2" xfId="36413"/>
    <cellStyle name="표준 6 3 2 2 2 3 2 3 4" xfId="21430"/>
    <cellStyle name="표준 6 3 2 2 2 3 2 3 4 2" xfId="43895"/>
    <cellStyle name="표준 6 3 2 2 2 3 2 3 5" xfId="28931"/>
    <cellStyle name="표준 6 3 2 2 2 3 2 4" xfId="6463"/>
    <cellStyle name="표준 6 3 2 2 2 3 2 4 2" xfId="13948"/>
    <cellStyle name="표준 6 3 2 2 2 3 2 4 2 2" xfId="36415"/>
    <cellStyle name="표준 6 3 2 2 2 3 2 4 3" xfId="21432"/>
    <cellStyle name="표준 6 3 2 2 2 3 2 4 3 2" xfId="43897"/>
    <cellStyle name="표준 6 3 2 2 2 3 2 4 4" xfId="28933"/>
    <cellStyle name="표준 6 3 2 2 2 3 2 5" xfId="13941"/>
    <cellStyle name="표준 6 3 2 2 2 3 2 5 2" xfId="36408"/>
    <cellStyle name="표준 6 3 2 2 2 3 2 6" xfId="21425"/>
    <cellStyle name="표준 6 3 2 2 2 3 2 6 2" xfId="43890"/>
    <cellStyle name="표준 6 3 2 2 2 3 2 7" xfId="28926"/>
    <cellStyle name="표준 6 3 2 2 2 3 3" xfId="6464"/>
    <cellStyle name="표준 6 3 2 2 2 3 3 2" xfId="6465"/>
    <cellStyle name="표준 6 3 2 2 2 3 3 2 2" xfId="6466"/>
    <cellStyle name="표준 6 3 2 2 2 3 3 2 2 2" xfId="13951"/>
    <cellStyle name="표준 6 3 2 2 2 3 3 2 2 2 2" xfId="36418"/>
    <cellStyle name="표준 6 3 2 2 2 3 3 2 2 3" xfId="21435"/>
    <cellStyle name="표준 6 3 2 2 2 3 3 2 2 3 2" xfId="43900"/>
    <cellStyle name="표준 6 3 2 2 2 3 3 2 2 4" xfId="28936"/>
    <cellStyle name="표준 6 3 2 2 2 3 3 2 3" xfId="13950"/>
    <cellStyle name="표준 6 3 2 2 2 3 3 2 3 2" xfId="36417"/>
    <cellStyle name="표준 6 3 2 2 2 3 3 2 4" xfId="21434"/>
    <cellStyle name="표준 6 3 2 2 2 3 3 2 4 2" xfId="43899"/>
    <cellStyle name="표준 6 3 2 2 2 3 3 2 5" xfId="28935"/>
    <cellStyle name="표준 6 3 2 2 2 3 3 3" xfId="6467"/>
    <cellStyle name="표준 6 3 2 2 2 3 3 3 2" xfId="13952"/>
    <cellStyle name="표준 6 3 2 2 2 3 3 3 2 2" xfId="36419"/>
    <cellStyle name="표준 6 3 2 2 2 3 3 3 3" xfId="21436"/>
    <cellStyle name="표준 6 3 2 2 2 3 3 3 3 2" xfId="43901"/>
    <cellStyle name="표준 6 3 2 2 2 3 3 3 4" xfId="28937"/>
    <cellStyle name="표준 6 3 2 2 2 3 3 4" xfId="13949"/>
    <cellStyle name="표준 6 3 2 2 2 3 3 4 2" xfId="36416"/>
    <cellStyle name="표준 6 3 2 2 2 3 3 5" xfId="21433"/>
    <cellStyle name="표준 6 3 2 2 2 3 3 5 2" xfId="43898"/>
    <cellStyle name="표준 6 3 2 2 2 3 3 6" xfId="28934"/>
    <cellStyle name="표준 6 3 2 2 2 3 4" xfId="6468"/>
    <cellStyle name="표준 6 3 2 2 2 3 4 2" xfId="6469"/>
    <cellStyle name="표준 6 3 2 2 2 3 4 2 2" xfId="13954"/>
    <cellStyle name="표준 6 3 2 2 2 3 4 2 2 2" xfId="36421"/>
    <cellStyle name="표준 6 3 2 2 2 3 4 2 3" xfId="21438"/>
    <cellStyle name="표준 6 3 2 2 2 3 4 2 3 2" xfId="43903"/>
    <cellStyle name="표준 6 3 2 2 2 3 4 2 4" xfId="28939"/>
    <cellStyle name="표준 6 3 2 2 2 3 4 3" xfId="13953"/>
    <cellStyle name="표준 6 3 2 2 2 3 4 3 2" xfId="36420"/>
    <cellStyle name="표준 6 3 2 2 2 3 4 4" xfId="21437"/>
    <cellStyle name="표준 6 3 2 2 2 3 4 4 2" xfId="43902"/>
    <cellStyle name="표준 6 3 2 2 2 3 4 5" xfId="28938"/>
    <cellStyle name="표준 6 3 2 2 2 3 5" xfId="6470"/>
    <cellStyle name="표준 6 3 2 2 2 3 5 2" xfId="13955"/>
    <cellStyle name="표준 6 3 2 2 2 3 5 2 2" xfId="36422"/>
    <cellStyle name="표준 6 3 2 2 2 3 5 3" xfId="21439"/>
    <cellStyle name="표준 6 3 2 2 2 3 5 3 2" xfId="43904"/>
    <cellStyle name="표준 6 3 2 2 2 3 5 4" xfId="28940"/>
    <cellStyle name="표준 6 3 2 2 2 3 6" xfId="13940"/>
    <cellStyle name="표준 6 3 2 2 2 3 6 2" xfId="36407"/>
    <cellStyle name="표준 6 3 2 2 2 3 7" xfId="21424"/>
    <cellStyle name="표준 6 3 2 2 2 3 7 2" xfId="43889"/>
    <cellStyle name="표준 6 3 2 2 2 3 8" xfId="28925"/>
    <cellStyle name="표준 6 3 2 2 2 4" xfId="6471"/>
    <cellStyle name="표준 6 3 2 2 2 4 2" xfId="6472"/>
    <cellStyle name="표준 6 3 2 2 2 4 2 2" xfId="6473"/>
    <cellStyle name="표준 6 3 2 2 2 4 2 2 2" xfId="6474"/>
    <cellStyle name="표준 6 3 2 2 2 4 2 2 2 2" xfId="6475"/>
    <cellStyle name="표준 6 3 2 2 2 4 2 2 2 2 2" xfId="13960"/>
    <cellStyle name="표준 6 3 2 2 2 4 2 2 2 2 2 2" xfId="36427"/>
    <cellStyle name="표준 6 3 2 2 2 4 2 2 2 2 3" xfId="21444"/>
    <cellStyle name="표준 6 3 2 2 2 4 2 2 2 2 3 2" xfId="43909"/>
    <cellStyle name="표준 6 3 2 2 2 4 2 2 2 2 4" xfId="28945"/>
    <cellStyle name="표준 6 3 2 2 2 4 2 2 2 3" xfId="13959"/>
    <cellStyle name="표준 6 3 2 2 2 4 2 2 2 3 2" xfId="36426"/>
    <cellStyle name="표준 6 3 2 2 2 4 2 2 2 4" xfId="21443"/>
    <cellStyle name="표준 6 3 2 2 2 4 2 2 2 4 2" xfId="43908"/>
    <cellStyle name="표준 6 3 2 2 2 4 2 2 2 5" xfId="28944"/>
    <cellStyle name="표준 6 3 2 2 2 4 2 2 3" xfId="6476"/>
    <cellStyle name="표준 6 3 2 2 2 4 2 2 3 2" xfId="13961"/>
    <cellStyle name="표준 6 3 2 2 2 4 2 2 3 2 2" xfId="36428"/>
    <cellStyle name="표준 6 3 2 2 2 4 2 2 3 3" xfId="21445"/>
    <cellStyle name="표준 6 3 2 2 2 4 2 2 3 3 2" xfId="43910"/>
    <cellStyle name="표준 6 3 2 2 2 4 2 2 3 4" xfId="28946"/>
    <cellStyle name="표준 6 3 2 2 2 4 2 2 4" xfId="13958"/>
    <cellStyle name="표준 6 3 2 2 2 4 2 2 4 2" xfId="36425"/>
    <cellStyle name="표준 6 3 2 2 2 4 2 2 5" xfId="21442"/>
    <cellStyle name="표준 6 3 2 2 2 4 2 2 5 2" xfId="43907"/>
    <cellStyle name="표준 6 3 2 2 2 4 2 2 6" xfId="28943"/>
    <cellStyle name="표준 6 3 2 2 2 4 2 3" xfId="6477"/>
    <cellStyle name="표준 6 3 2 2 2 4 2 3 2" xfId="6478"/>
    <cellStyle name="표준 6 3 2 2 2 4 2 3 2 2" xfId="13963"/>
    <cellStyle name="표준 6 3 2 2 2 4 2 3 2 2 2" xfId="36430"/>
    <cellStyle name="표준 6 3 2 2 2 4 2 3 2 3" xfId="21447"/>
    <cellStyle name="표준 6 3 2 2 2 4 2 3 2 3 2" xfId="43912"/>
    <cellStyle name="표준 6 3 2 2 2 4 2 3 2 4" xfId="28948"/>
    <cellStyle name="표준 6 3 2 2 2 4 2 3 3" xfId="13962"/>
    <cellStyle name="표준 6 3 2 2 2 4 2 3 3 2" xfId="36429"/>
    <cellStyle name="표준 6 3 2 2 2 4 2 3 4" xfId="21446"/>
    <cellStyle name="표준 6 3 2 2 2 4 2 3 4 2" xfId="43911"/>
    <cellStyle name="표준 6 3 2 2 2 4 2 3 5" xfId="28947"/>
    <cellStyle name="표준 6 3 2 2 2 4 2 4" xfId="6479"/>
    <cellStyle name="표준 6 3 2 2 2 4 2 4 2" xfId="13964"/>
    <cellStyle name="표준 6 3 2 2 2 4 2 4 2 2" xfId="36431"/>
    <cellStyle name="표준 6 3 2 2 2 4 2 4 3" xfId="21448"/>
    <cellStyle name="표준 6 3 2 2 2 4 2 4 3 2" xfId="43913"/>
    <cellStyle name="표준 6 3 2 2 2 4 2 4 4" xfId="28949"/>
    <cellStyle name="표준 6 3 2 2 2 4 2 5" xfId="13957"/>
    <cellStyle name="표준 6 3 2 2 2 4 2 5 2" xfId="36424"/>
    <cellStyle name="표준 6 3 2 2 2 4 2 6" xfId="21441"/>
    <cellStyle name="표준 6 3 2 2 2 4 2 6 2" xfId="43906"/>
    <cellStyle name="표준 6 3 2 2 2 4 2 7" xfId="28942"/>
    <cellStyle name="표준 6 3 2 2 2 4 3" xfId="6480"/>
    <cellStyle name="표준 6 3 2 2 2 4 3 2" xfId="6481"/>
    <cellStyle name="표준 6 3 2 2 2 4 3 2 2" xfId="6482"/>
    <cellStyle name="표준 6 3 2 2 2 4 3 2 2 2" xfId="13967"/>
    <cellStyle name="표준 6 3 2 2 2 4 3 2 2 2 2" xfId="36434"/>
    <cellStyle name="표준 6 3 2 2 2 4 3 2 2 3" xfId="21451"/>
    <cellStyle name="표준 6 3 2 2 2 4 3 2 2 3 2" xfId="43916"/>
    <cellStyle name="표준 6 3 2 2 2 4 3 2 2 4" xfId="28952"/>
    <cellStyle name="표준 6 3 2 2 2 4 3 2 3" xfId="13966"/>
    <cellStyle name="표준 6 3 2 2 2 4 3 2 3 2" xfId="36433"/>
    <cellStyle name="표준 6 3 2 2 2 4 3 2 4" xfId="21450"/>
    <cellStyle name="표준 6 3 2 2 2 4 3 2 4 2" xfId="43915"/>
    <cellStyle name="표준 6 3 2 2 2 4 3 2 5" xfId="28951"/>
    <cellStyle name="표준 6 3 2 2 2 4 3 3" xfId="6483"/>
    <cellStyle name="표준 6 3 2 2 2 4 3 3 2" xfId="13968"/>
    <cellStyle name="표준 6 3 2 2 2 4 3 3 2 2" xfId="36435"/>
    <cellStyle name="표준 6 3 2 2 2 4 3 3 3" xfId="21452"/>
    <cellStyle name="표준 6 3 2 2 2 4 3 3 3 2" xfId="43917"/>
    <cellStyle name="표준 6 3 2 2 2 4 3 3 4" xfId="28953"/>
    <cellStyle name="표준 6 3 2 2 2 4 3 4" xfId="13965"/>
    <cellStyle name="표준 6 3 2 2 2 4 3 4 2" xfId="36432"/>
    <cellStyle name="표준 6 3 2 2 2 4 3 5" xfId="21449"/>
    <cellStyle name="표준 6 3 2 2 2 4 3 5 2" xfId="43914"/>
    <cellStyle name="표준 6 3 2 2 2 4 3 6" xfId="28950"/>
    <cellStyle name="표준 6 3 2 2 2 4 4" xfId="6484"/>
    <cellStyle name="표준 6 3 2 2 2 4 4 2" xfId="6485"/>
    <cellStyle name="표준 6 3 2 2 2 4 4 2 2" xfId="13970"/>
    <cellStyle name="표준 6 3 2 2 2 4 4 2 2 2" xfId="36437"/>
    <cellStyle name="표준 6 3 2 2 2 4 4 2 3" xfId="21454"/>
    <cellStyle name="표준 6 3 2 2 2 4 4 2 3 2" xfId="43919"/>
    <cellStyle name="표준 6 3 2 2 2 4 4 2 4" xfId="28955"/>
    <cellStyle name="표준 6 3 2 2 2 4 4 3" xfId="13969"/>
    <cellStyle name="표준 6 3 2 2 2 4 4 3 2" xfId="36436"/>
    <cellStyle name="표준 6 3 2 2 2 4 4 4" xfId="21453"/>
    <cellStyle name="표준 6 3 2 2 2 4 4 4 2" xfId="43918"/>
    <cellStyle name="표준 6 3 2 2 2 4 4 5" xfId="28954"/>
    <cellStyle name="표준 6 3 2 2 2 4 5" xfId="6486"/>
    <cellStyle name="표준 6 3 2 2 2 4 5 2" xfId="13971"/>
    <cellStyle name="표준 6 3 2 2 2 4 5 2 2" xfId="36438"/>
    <cellStyle name="표준 6 3 2 2 2 4 5 3" xfId="21455"/>
    <cellStyle name="표준 6 3 2 2 2 4 5 3 2" xfId="43920"/>
    <cellStyle name="표준 6 3 2 2 2 4 5 4" xfId="28956"/>
    <cellStyle name="표준 6 3 2 2 2 4 6" xfId="13956"/>
    <cellStyle name="표준 6 3 2 2 2 4 6 2" xfId="36423"/>
    <cellStyle name="표준 6 3 2 2 2 4 7" xfId="21440"/>
    <cellStyle name="표준 6 3 2 2 2 4 7 2" xfId="43905"/>
    <cellStyle name="표준 6 3 2 2 2 4 8" xfId="28941"/>
    <cellStyle name="표준 6 3 2 2 2 5" xfId="6487"/>
    <cellStyle name="표준 6 3 2 2 2 5 2" xfId="6488"/>
    <cellStyle name="표준 6 3 2 2 2 5 2 2" xfId="6489"/>
    <cellStyle name="표준 6 3 2 2 2 5 2 2 2" xfId="6490"/>
    <cellStyle name="표준 6 3 2 2 2 5 2 2 2 2" xfId="13975"/>
    <cellStyle name="표준 6 3 2 2 2 5 2 2 2 2 2" xfId="36442"/>
    <cellStyle name="표준 6 3 2 2 2 5 2 2 2 3" xfId="21459"/>
    <cellStyle name="표준 6 3 2 2 2 5 2 2 2 3 2" xfId="43924"/>
    <cellStyle name="표준 6 3 2 2 2 5 2 2 2 4" xfId="28960"/>
    <cellStyle name="표준 6 3 2 2 2 5 2 2 3" xfId="13974"/>
    <cellStyle name="표준 6 3 2 2 2 5 2 2 3 2" xfId="36441"/>
    <cellStyle name="표준 6 3 2 2 2 5 2 2 4" xfId="21458"/>
    <cellStyle name="표준 6 3 2 2 2 5 2 2 4 2" xfId="43923"/>
    <cellStyle name="표준 6 3 2 2 2 5 2 2 5" xfId="28959"/>
    <cellStyle name="표준 6 3 2 2 2 5 2 3" xfId="6491"/>
    <cellStyle name="표준 6 3 2 2 2 5 2 3 2" xfId="13976"/>
    <cellStyle name="표준 6 3 2 2 2 5 2 3 2 2" xfId="36443"/>
    <cellStyle name="표준 6 3 2 2 2 5 2 3 3" xfId="21460"/>
    <cellStyle name="표준 6 3 2 2 2 5 2 3 3 2" xfId="43925"/>
    <cellStyle name="표준 6 3 2 2 2 5 2 3 4" xfId="28961"/>
    <cellStyle name="표준 6 3 2 2 2 5 2 4" xfId="13973"/>
    <cellStyle name="표준 6 3 2 2 2 5 2 4 2" xfId="36440"/>
    <cellStyle name="표준 6 3 2 2 2 5 2 5" xfId="21457"/>
    <cellStyle name="표준 6 3 2 2 2 5 2 5 2" xfId="43922"/>
    <cellStyle name="표준 6 3 2 2 2 5 2 6" xfId="28958"/>
    <cellStyle name="표준 6 3 2 2 2 5 3" xfId="6492"/>
    <cellStyle name="표준 6 3 2 2 2 5 3 2" xfId="6493"/>
    <cellStyle name="표준 6 3 2 2 2 5 3 2 2" xfId="13978"/>
    <cellStyle name="표준 6 3 2 2 2 5 3 2 2 2" xfId="36445"/>
    <cellStyle name="표준 6 3 2 2 2 5 3 2 3" xfId="21462"/>
    <cellStyle name="표준 6 3 2 2 2 5 3 2 3 2" xfId="43927"/>
    <cellStyle name="표준 6 3 2 2 2 5 3 2 4" xfId="28963"/>
    <cellStyle name="표준 6 3 2 2 2 5 3 3" xfId="13977"/>
    <cellStyle name="표준 6 3 2 2 2 5 3 3 2" xfId="36444"/>
    <cellStyle name="표준 6 3 2 2 2 5 3 4" xfId="21461"/>
    <cellStyle name="표준 6 3 2 2 2 5 3 4 2" xfId="43926"/>
    <cellStyle name="표준 6 3 2 2 2 5 3 5" xfId="28962"/>
    <cellStyle name="표준 6 3 2 2 2 5 4" xfId="6494"/>
    <cellStyle name="표준 6 3 2 2 2 5 4 2" xfId="13979"/>
    <cellStyle name="표준 6 3 2 2 2 5 4 2 2" xfId="36446"/>
    <cellStyle name="표준 6 3 2 2 2 5 4 3" xfId="21463"/>
    <cellStyle name="표준 6 3 2 2 2 5 4 3 2" xfId="43928"/>
    <cellStyle name="표준 6 3 2 2 2 5 4 4" xfId="28964"/>
    <cellStyle name="표준 6 3 2 2 2 5 5" xfId="13972"/>
    <cellStyle name="표준 6 3 2 2 2 5 5 2" xfId="36439"/>
    <cellStyle name="표준 6 3 2 2 2 5 6" xfId="21456"/>
    <cellStyle name="표준 6 3 2 2 2 5 6 2" xfId="43921"/>
    <cellStyle name="표준 6 3 2 2 2 5 7" xfId="28957"/>
    <cellStyle name="표준 6 3 2 2 2 6" xfId="6495"/>
    <cellStyle name="표준 6 3 2 2 2 6 2" xfId="6496"/>
    <cellStyle name="표준 6 3 2 2 2 6 2 2" xfId="6497"/>
    <cellStyle name="표준 6 3 2 2 2 6 2 2 2" xfId="13982"/>
    <cellStyle name="표준 6 3 2 2 2 6 2 2 2 2" xfId="36449"/>
    <cellStyle name="표준 6 3 2 2 2 6 2 2 3" xfId="21466"/>
    <cellStyle name="표준 6 3 2 2 2 6 2 2 3 2" xfId="43931"/>
    <cellStyle name="표준 6 3 2 2 2 6 2 2 4" xfId="28967"/>
    <cellStyle name="표준 6 3 2 2 2 6 2 3" xfId="13981"/>
    <cellStyle name="표준 6 3 2 2 2 6 2 3 2" xfId="36448"/>
    <cellStyle name="표준 6 3 2 2 2 6 2 4" xfId="21465"/>
    <cellStyle name="표준 6 3 2 2 2 6 2 4 2" xfId="43930"/>
    <cellStyle name="표준 6 3 2 2 2 6 2 5" xfId="28966"/>
    <cellStyle name="표준 6 3 2 2 2 6 3" xfId="6498"/>
    <cellStyle name="표준 6 3 2 2 2 6 3 2" xfId="13983"/>
    <cellStyle name="표준 6 3 2 2 2 6 3 2 2" xfId="36450"/>
    <cellStyle name="표준 6 3 2 2 2 6 3 3" xfId="21467"/>
    <cellStyle name="표준 6 3 2 2 2 6 3 3 2" xfId="43932"/>
    <cellStyle name="표준 6 3 2 2 2 6 3 4" xfId="28968"/>
    <cellStyle name="표준 6 3 2 2 2 6 4" xfId="13980"/>
    <cellStyle name="표준 6 3 2 2 2 6 4 2" xfId="36447"/>
    <cellStyle name="표준 6 3 2 2 2 6 5" xfId="21464"/>
    <cellStyle name="표준 6 3 2 2 2 6 5 2" xfId="43929"/>
    <cellStyle name="표준 6 3 2 2 2 6 6" xfId="28965"/>
    <cellStyle name="표준 6 3 2 2 2 7" xfId="6499"/>
    <cellStyle name="표준 6 3 2 2 2 7 2" xfId="6500"/>
    <cellStyle name="표준 6 3 2 2 2 7 2 2" xfId="6501"/>
    <cellStyle name="표준 6 3 2 2 2 7 2 2 2" xfId="13986"/>
    <cellStyle name="표준 6 3 2 2 2 7 2 2 2 2" xfId="36453"/>
    <cellStyle name="표준 6 3 2 2 2 7 2 2 3" xfId="21470"/>
    <cellStyle name="표준 6 3 2 2 2 7 2 2 3 2" xfId="43935"/>
    <cellStyle name="표준 6 3 2 2 2 7 2 2 4" xfId="28971"/>
    <cellStyle name="표준 6 3 2 2 2 7 2 3" xfId="13985"/>
    <cellStyle name="표준 6 3 2 2 2 7 2 3 2" xfId="36452"/>
    <cellStyle name="표준 6 3 2 2 2 7 2 4" xfId="21469"/>
    <cellStyle name="표준 6 3 2 2 2 7 2 4 2" xfId="43934"/>
    <cellStyle name="표준 6 3 2 2 2 7 2 5" xfId="28970"/>
    <cellStyle name="표준 6 3 2 2 2 7 3" xfId="6502"/>
    <cellStyle name="표준 6 3 2 2 2 7 3 2" xfId="13987"/>
    <cellStyle name="표준 6 3 2 2 2 7 3 2 2" xfId="36454"/>
    <cellStyle name="표준 6 3 2 2 2 7 3 3" xfId="21471"/>
    <cellStyle name="표준 6 3 2 2 2 7 3 3 2" xfId="43936"/>
    <cellStyle name="표준 6 3 2 2 2 7 3 4" xfId="28972"/>
    <cellStyle name="표준 6 3 2 2 2 7 4" xfId="13984"/>
    <cellStyle name="표준 6 3 2 2 2 7 4 2" xfId="36451"/>
    <cellStyle name="표준 6 3 2 2 2 7 5" xfId="21468"/>
    <cellStyle name="표준 6 3 2 2 2 7 5 2" xfId="43933"/>
    <cellStyle name="표준 6 3 2 2 2 7 6" xfId="28969"/>
    <cellStyle name="표준 6 3 2 2 2 8" xfId="6503"/>
    <cellStyle name="표준 6 3 2 2 2 8 2" xfId="6504"/>
    <cellStyle name="표준 6 3 2 2 2 8 2 2" xfId="13989"/>
    <cellStyle name="표준 6 3 2 2 2 8 2 2 2" xfId="36456"/>
    <cellStyle name="표준 6 3 2 2 2 8 2 3" xfId="21473"/>
    <cellStyle name="표준 6 3 2 2 2 8 2 3 2" xfId="43938"/>
    <cellStyle name="표준 6 3 2 2 2 8 2 4" xfId="28974"/>
    <cellStyle name="표준 6 3 2 2 2 8 3" xfId="13988"/>
    <cellStyle name="표준 6 3 2 2 2 8 3 2" xfId="36455"/>
    <cellStyle name="표준 6 3 2 2 2 8 4" xfId="21472"/>
    <cellStyle name="표준 6 3 2 2 2 8 4 2" xfId="43937"/>
    <cellStyle name="표준 6 3 2 2 2 8 5" xfId="28973"/>
    <cellStyle name="표준 6 3 2 2 2 9" xfId="6505"/>
    <cellStyle name="표준 6 3 2 2 2 9 2" xfId="13990"/>
    <cellStyle name="표준 6 3 2 2 2 9 2 2" xfId="36457"/>
    <cellStyle name="표준 6 3 2 2 2 9 3" xfId="21474"/>
    <cellStyle name="표준 6 3 2 2 2 9 3 2" xfId="43939"/>
    <cellStyle name="표준 6 3 2 2 2 9 4" xfId="28975"/>
    <cellStyle name="표준 6 3 2 2 3" xfId="6506"/>
    <cellStyle name="표준 6 3 2 2 3 10" xfId="28976"/>
    <cellStyle name="표준 6 3 2 2 3 2" xfId="6507"/>
    <cellStyle name="표준 6 3 2 2 3 2 2" xfId="6508"/>
    <cellStyle name="표준 6 3 2 2 3 2 2 2" xfId="6509"/>
    <cellStyle name="표준 6 3 2 2 3 2 2 2 2" xfId="6510"/>
    <cellStyle name="표준 6 3 2 2 3 2 2 2 2 2" xfId="6511"/>
    <cellStyle name="표준 6 3 2 2 3 2 2 2 2 2 2" xfId="13996"/>
    <cellStyle name="표준 6 3 2 2 3 2 2 2 2 2 2 2" xfId="36463"/>
    <cellStyle name="표준 6 3 2 2 3 2 2 2 2 2 3" xfId="21480"/>
    <cellStyle name="표준 6 3 2 2 3 2 2 2 2 2 3 2" xfId="43945"/>
    <cellStyle name="표준 6 3 2 2 3 2 2 2 2 2 4" xfId="28981"/>
    <cellStyle name="표준 6 3 2 2 3 2 2 2 2 3" xfId="13995"/>
    <cellStyle name="표준 6 3 2 2 3 2 2 2 2 3 2" xfId="36462"/>
    <cellStyle name="표준 6 3 2 2 3 2 2 2 2 4" xfId="21479"/>
    <cellStyle name="표준 6 3 2 2 3 2 2 2 2 4 2" xfId="43944"/>
    <cellStyle name="표준 6 3 2 2 3 2 2 2 2 5" xfId="28980"/>
    <cellStyle name="표준 6 3 2 2 3 2 2 2 3" xfId="6512"/>
    <cellStyle name="표준 6 3 2 2 3 2 2 2 3 2" xfId="13997"/>
    <cellStyle name="표준 6 3 2 2 3 2 2 2 3 2 2" xfId="36464"/>
    <cellStyle name="표준 6 3 2 2 3 2 2 2 3 3" xfId="21481"/>
    <cellStyle name="표준 6 3 2 2 3 2 2 2 3 3 2" xfId="43946"/>
    <cellStyle name="표준 6 3 2 2 3 2 2 2 3 4" xfId="28982"/>
    <cellStyle name="표준 6 3 2 2 3 2 2 2 4" xfId="13994"/>
    <cellStyle name="표준 6 3 2 2 3 2 2 2 4 2" xfId="36461"/>
    <cellStyle name="표준 6 3 2 2 3 2 2 2 5" xfId="21478"/>
    <cellStyle name="표준 6 3 2 2 3 2 2 2 5 2" xfId="43943"/>
    <cellStyle name="표준 6 3 2 2 3 2 2 2 6" xfId="28979"/>
    <cellStyle name="표준 6 3 2 2 3 2 2 3" xfId="6513"/>
    <cellStyle name="표준 6 3 2 2 3 2 2 3 2" xfId="6514"/>
    <cellStyle name="표준 6 3 2 2 3 2 2 3 2 2" xfId="13999"/>
    <cellStyle name="표준 6 3 2 2 3 2 2 3 2 2 2" xfId="36466"/>
    <cellStyle name="표준 6 3 2 2 3 2 2 3 2 3" xfId="21483"/>
    <cellStyle name="표준 6 3 2 2 3 2 2 3 2 3 2" xfId="43948"/>
    <cellStyle name="표준 6 3 2 2 3 2 2 3 2 4" xfId="28984"/>
    <cellStyle name="표준 6 3 2 2 3 2 2 3 3" xfId="13998"/>
    <cellStyle name="표준 6 3 2 2 3 2 2 3 3 2" xfId="36465"/>
    <cellStyle name="표준 6 3 2 2 3 2 2 3 4" xfId="21482"/>
    <cellStyle name="표준 6 3 2 2 3 2 2 3 4 2" xfId="43947"/>
    <cellStyle name="표준 6 3 2 2 3 2 2 3 5" xfId="28983"/>
    <cellStyle name="표준 6 3 2 2 3 2 2 4" xfId="6515"/>
    <cellStyle name="표준 6 3 2 2 3 2 2 4 2" xfId="14000"/>
    <cellStyle name="표준 6 3 2 2 3 2 2 4 2 2" xfId="36467"/>
    <cellStyle name="표준 6 3 2 2 3 2 2 4 3" xfId="21484"/>
    <cellStyle name="표준 6 3 2 2 3 2 2 4 3 2" xfId="43949"/>
    <cellStyle name="표준 6 3 2 2 3 2 2 4 4" xfId="28985"/>
    <cellStyle name="표준 6 3 2 2 3 2 2 5" xfId="13993"/>
    <cellStyle name="표준 6 3 2 2 3 2 2 5 2" xfId="36460"/>
    <cellStyle name="표준 6 3 2 2 3 2 2 6" xfId="21477"/>
    <cellStyle name="표준 6 3 2 2 3 2 2 6 2" xfId="43942"/>
    <cellStyle name="표준 6 3 2 2 3 2 2 7" xfId="28978"/>
    <cellStyle name="표준 6 3 2 2 3 2 3" xfId="6516"/>
    <cellStyle name="표준 6 3 2 2 3 2 3 2" xfId="6517"/>
    <cellStyle name="표준 6 3 2 2 3 2 3 2 2" xfId="6518"/>
    <cellStyle name="표준 6 3 2 2 3 2 3 2 2 2" xfId="14003"/>
    <cellStyle name="표준 6 3 2 2 3 2 3 2 2 2 2" xfId="36470"/>
    <cellStyle name="표준 6 3 2 2 3 2 3 2 2 3" xfId="21487"/>
    <cellStyle name="표준 6 3 2 2 3 2 3 2 2 3 2" xfId="43952"/>
    <cellStyle name="표준 6 3 2 2 3 2 3 2 2 4" xfId="28988"/>
    <cellStyle name="표준 6 3 2 2 3 2 3 2 3" xfId="14002"/>
    <cellStyle name="표준 6 3 2 2 3 2 3 2 3 2" xfId="36469"/>
    <cellStyle name="표준 6 3 2 2 3 2 3 2 4" xfId="21486"/>
    <cellStyle name="표준 6 3 2 2 3 2 3 2 4 2" xfId="43951"/>
    <cellStyle name="표준 6 3 2 2 3 2 3 2 5" xfId="28987"/>
    <cellStyle name="표준 6 3 2 2 3 2 3 3" xfId="6519"/>
    <cellStyle name="표준 6 3 2 2 3 2 3 3 2" xfId="14004"/>
    <cellStyle name="표준 6 3 2 2 3 2 3 3 2 2" xfId="36471"/>
    <cellStyle name="표준 6 3 2 2 3 2 3 3 3" xfId="21488"/>
    <cellStyle name="표준 6 3 2 2 3 2 3 3 3 2" xfId="43953"/>
    <cellStyle name="표준 6 3 2 2 3 2 3 3 4" xfId="28989"/>
    <cellStyle name="표준 6 3 2 2 3 2 3 4" xfId="14001"/>
    <cellStyle name="표준 6 3 2 2 3 2 3 4 2" xfId="36468"/>
    <cellStyle name="표준 6 3 2 2 3 2 3 5" xfId="21485"/>
    <cellStyle name="표준 6 3 2 2 3 2 3 5 2" xfId="43950"/>
    <cellStyle name="표준 6 3 2 2 3 2 3 6" xfId="28986"/>
    <cellStyle name="표준 6 3 2 2 3 2 4" xfId="6520"/>
    <cellStyle name="표준 6 3 2 2 3 2 4 2" xfId="6521"/>
    <cellStyle name="표준 6 3 2 2 3 2 4 2 2" xfId="14006"/>
    <cellStyle name="표준 6 3 2 2 3 2 4 2 2 2" xfId="36473"/>
    <cellStyle name="표준 6 3 2 2 3 2 4 2 3" xfId="21490"/>
    <cellStyle name="표준 6 3 2 2 3 2 4 2 3 2" xfId="43955"/>
    <cellStyle name="표준 6 3 2 2 3 2 4 2 4" xfId="28991"/>
    <cellStyle name="표준 6 3 2 2 3 2 4 3" xfId="14005"/>
    <cellStyle name="표준 6 3 2 2 3 2 4 3 2" xfId="36472"/>
    <cellStyle name="표준 6 3 2 2 3 2 4 4" xfId="21489"/>
    <cellStyle name="표준 6 3 2 2 3 2 4 4 2" xfId="43954"/>
    <cellStyle name="표준 6 3 2 2 3 2 4 5" xfId="28990"/>
    <cellStyle name="표준 6 3 2 2 3 2 5" xfId="6522"/>
    <cellStyle name="표준 6 3 2 2 3 2 5 2" xfId="14007"/>
    <cellStyle name="표준 6 3 2 2 3 2 5 2 2" xfId="36474"/>
    <cellStyle name="표준 6 3 2 2 3 2 5 3" xfId="21491"/>
    <cellStyle name="표준 6 3 2 2 3 2 5 3 2" xfId="43956"/>
    <cellStyle name="표준 6 3 2 2 3 2 5 4" xfId="28992"/>
    <cellStyle name="표준 6 3 2 2 3 2 6" xfId="13992"/>
    <cellStyle name="표준 6 3 2 2 3 2 6 2" xfId="36459"/>
    <cellStyle name="표준 6 3 2 2 3 2 7" xfId="21476"/>
    <cellStyle name="표준 6 3 2 2 3 2 7 2" xfId="43941"/>
    <cellStyle name="표준 6 3 2 2 3 2 8" xfId="28977"/>
    <cellStyle name="표준 6 3 2 2 3 3" xfId="6523"/>
    <cellStyle name="표준 6 3 2 2 3 3 2" xfId="6524"/>
    <cellStyle name="표준 6 3 2 2 3 3 2 2" xfId="6525"/>
    <cellStyle name="표준 6 3 2 2 3 3 2 2 2" xfId="6526"/>
    <cellStyle name="표준 6 3 2 2 3 3 2 2 2 2" xfId="6527"/>
    <cellStyle name="표준 6 3 2 2 3 3 2 2 2 2 2" xfId="14012"/>
    <cellStyle name="표준 6 3 2 2 3 3 2 2 2 2 2 2" xfId="36479"/>
    <cellStyle name="표준 6 3 2 2 3 3 2 2 2 2 3" xfId="21496"/>
    <cellStyle name="표준 6 3 2 2 3 3 2 2 2 2 3 2" xfId="43961"/>
    <cellStyle name="표준 6 3 2 2 3 3 2 2 2 2 4" xfId="28997"/>
    <cellStyle name="표준 6 3 2 2 3 3 2 2 2 3" xfId="14011"/>
    <cellStyle name="표준 6 3 2 2 3 3 2 2 2 3 2" xfId="36478"/>
    <cellStyle name="표준 6 3 2 2 3 3 2 2 2 4" xfId="21495"/>
    <cellStyle name="표준 6 3 2 2 3 3 2 2 2 4 2" xfId="43960"/>
    <cellStyle name="표준 6 3 2 2 3 3 2 2 2 5" xfId="28996"/>
    <cellStyle name="표준 6 3 2 2 3 3 2 2 3" xfId="6528"/>
    <cellStyle name="표준 6 3 2 2 3 3 2 2 3 2" xfId="14013"/>
    <cellStyle name="표준 6 3 2 2 3 3 2 2 3 2 2" xfId="36480"/>
    <cellStyle name="표준 6 3 2 2 3 3 2 2 3 3" xfId="21497"/>
    <cellStyle name="표준 6 3 2 2 3 3 2 2 3 3 2" xfId="43962"/>
    <cellStyle name="표준 6 3 2 2 3 3 2 2 3 4" xfId="28998"/>
    <cellStyle name="표준 6 3 2 2 3 3 2 2 4" xfId="14010"/>
    <cellStyle name="표준 6 3 2 2 3 3 2 2 4 2" xfId="36477"/>
    <cellStyle name="표준 6 3 2 2 3 3 2 2 5" xfId="21494"/>
    <cellStyle name="표준 6 3 2 2 3 3 2 2 5 2" xfId="43959"/>
    <cellStyle name="표준 6 3 2 2 3 3 2 2 6" xfId="28995"/>
    <cellStyle name="표준 6 3 2 2 3 3 2 3" xfId="6529"/>
    <cellStyle name="표준 6 3 2 2 3 3 2 3 2" xfId="6530"/>
    <cellStyle name="표준 6 3 2 2 3 3 2 3 2 2" xfId="14015"/>
    <cellStyle name="표준 6 3 2 2 3 3 2 3 2 2 2" xfId="36482"/>
    <cellStyle name="표준 6 3 2 2 3 3 2 3 2 3" xfId="21499"/>
    <cellStyle name="표준 6 3 2 2 3 3 2 3 2 3 2" xfId="43964"/>
    <cellStyle name="표준 6 3 2 2 3 3 2 3 2 4" xfId="29000"/>
    <cellStyle name="표준 6 3 2 2 3 3 2 3 3" xfId="14014"/>
    <cellStyle name="표준 6 3 2 2 3 3 2 3 3 2" xfId="36481"/>
    <cellStyle name="표준 6 3 2 2 3 3 2 3 4" xfId="21498"/>
    <cellStyle name="표준 6 3 2 2 3 3 2 3 4 2" xfId="43963"/>
    <cellStyle name="표준 6 3 2 2 3 3 2 3 5" xfId="28999"/>
    <cellStyle name="표준 6 3 2 2 3 3 2 4" xfId="6531"/>
    <cellStyle name="표준 6 3 2 2 3 3 2 4 2" xfId="14016"/>
    <cellStyle name="표준 6 3 2 2 3 3 2 4 2 2" xfId="36483"/>
    <cellStyle name="표준 6 3 2 2 3 3 2 4 3" xfId="21500"/>
    <cellStyle name="표준 6 3 2 2 3 3 2 4 3 2" xfId="43965"/>
    <cellStyle name="표준 6 3 2 2 3 3 2 4 4" xfId="29001"/>
    <cellStyle name="표준 6 3 2 2 3 3 2 5" xfId="14009"/>
    <cellStyle name="표준 6 3 2 2 3 3 2 5 2" xfId="36476"/>
    <cellStyle name="표준 6 3 2 2 3 3 2 6" xfId="21493"/>
    <cellStyle name="표준 6 3 2 2 3 3 2 6 2" xfId="43958"/>
    <cellStyle name="표준 6 3 2 2 3 3 2 7" xfId="28994"/>
    <cellStyle name="표준 6 3 2 2 3 3 3" xfId="6532"/>
    <cellStyle name="표준 6 3 2 2 3 3 3 2" xfId="6533"/>
    <cellStyle name="표준 6 3 2 2 3 3 3 2 2" xfId="6534"/>
    <cellStyle name="표준 6 3 2 2 3 3 3 2 2 2" xfId="14019"/>
    <cellStyle name="표준 6 3 2 2 3 3 3 2 2 2 2" xfId="36486"/>
    <cellStyle name="표준 6 3 2 2 3 3 3 2 2 3" xfId="21503"/>
    <cellStyle name="표준 6 3 2 2 3 3 3 2 2 3 2" xfId="43968"/>
    <cellStyle name="표준 6 3 2 2 3 3 3 2 2 4" xfId="29004"/>
    <cellStyle name="표준 6 3 2 2 3 3 3 2 3" xfId="14018"/>
    <cellStyle name="표준 6 3 2 2 3 3 3 2 3 2" xfId="36485"/>
    <cellStyle name="표준 6 3 2 2 3 3 3 2 4" xfId="21502"/>
    <cellStyle name="표준 6 3 2 2 3 3 3 2 4 2" xfId="43967"/>
    <cellStyle name="표준 6 3 2 2 3 3 3 2 5" xfId="29003"/>
    <cellStyle name="표준 6 3 2 2 3 3 3 3" xfId="6535"/>
    <cellStyle name="표준 6 3 2 2 3 3 3 3 2" xfId="14020"/>
    <cellStyle name="표준 6 3 2 2 3 3 3 3 2 2" xfId="36487"/>
    <cellStyle name="표준 6 3 2 2 3 3 3 3 3" xfId="21504"/>
    <cellStyle name="표준 6 3 2 2 3 3 3 3 3 2" xfId="43969"/>
    <cellStyle name="표준 6 3 2 2 3 3 3 3 4" xfId="29005"/>
    <cellStyle name="표준 6 3 2 2 3 3 3 4" xfId="14017"/>
    <cellStyle name="표준 6 3 2 2 3 3 3 4 2" xfId="36484"/>
    <cellStyle name="표준 6 3 2 2 3 3 3 5" xfId="21501"/>
    <cellStyle name="표준 6 3 2 2 3 3 3 5 2" xfId="43966"/>
    <cellStyle name="표준 6 3 2 2 3 3 3 6" xfId="29002"/>
    <cellStyle name="표준 6 3 2 2 3 3 4" xfId="6536"/>
    <cellStyle name="표준 6 3 2 2 3 3 4 2" xfId="6537"/>
    <cellStyle name="표준 6 3 2 2 3 3 4 2 2" xfId="14022"/>
    <cellStyle name="표준 6 3 2 2 3 3 4 2 2 2" xfId="36489"/>
    <cellStyle name="표준 6 3 2 2 3 3 4 2 3" xfId="21506"/>
    <cellStyle name="표준 6 3 2 2 3 3 4 2 3 2" xfId="43971"/>
    <cellStyle name="표준 6 3 2 2 3 3 4 2 4" xfId="29007"/>
    <cellStyle name="표준 6 3 2 2 3 3 4 3" xfId="14021"/>
    <cellStyle name="표준 6 3 2 2 3 3 4 3 2" xfId="36488"/>
    <cellStyle name="표준 6 3 2 2 3 3 4 4" xfId="21505"/>
    <cellStyle name="표준 6 3 2 2 3 3 4 4 2" xfId="43970"/>
    <cellStyle name="표준 6 3 2 2 3 3 4 5" xfId="29006"/>
    <cellStyle name="표준 6 3 2 2 3 3 5" xfId="6538"/>
    <cellStyle name="표준 6 3 2 2 3 3 5 2" xfId="14023"/>
    <cellStyle name="표준 6 3 2 2 3 3 5 2 2" xfId="36490"/>
    <cellStyle name="표준 6 3 2 2 3 3 5 3" xfId="21507"/>
    <cellStyle name="표준 6 3 2 2 3 3 5 3 2" xfId="43972"/>
    <cellStyle name="표준 6 3 2 2 3 3 5 4" xfId="29008"/>
    <cellStyle name="표준 6 3 2 2 3 3 6" xfId="14008"/>
    <cellStyle name="표준 6 3 2 2 3 3 6 2" xfId="36475"/>
    <cellStyle name="표준 6 3 2 2 3 3 7" xfId="21492"/>
    <cellStyle name="표준 6 3 2 2 3 3 7 2" xfId="43957"/>
    <cellStyle name="표준 6 3 2 2 3 3 8" xfId="28993"/>
    <cellStyle name="표준 6 3 2 2 3 4" xfId="6539"/>
    <cellStyle name="표준 6 3 2 2 3 4 2" xfId="6540"/>
    <cellStyle name="표준 6 3 2 2 3 4 2 2" xfId="6541"/>
    <cellStyle name="표준 6 3 2 2 3 4 2 2 2" xfId="6542"/>
    <cellStyle name="표준 6 3 2 2 3 4 2 2 2 2" xfId="14027"/>
    <cellStyle name="표준 6 3 2 2 3 4 2 2 2 2 2" xfId="36494"/>
    <cellStyle name="표준 6 3 2 2 3 4 2 2 2 3" xfId="21511"/>
    <cellStyle name="표준 6 3 2 2 3 4 2 2 2 3 2" xfId="43976"/>
    <cellStyle name="표준 6 3 2 2 3 4 2 2 2 4" xfId="29012"/>
    <cellStyle name="표준 6 3 2 2 3 4 2 2 3" xfId="14026"/>
    <cellStyle name="표준 6 3 2 2 3 4 2 2 3 2" xfId="36493"/>
    <cellStyle name="표준 6 3 2 2 3 4 2 2 4" xfId="21510"/>
    <cellStyle name="표준 6 3 2 2 3 4 2 2 4 2" xfId="43975"/>
    <cellStyle name="표준 6 3 2 2 3 4 2 2 5" xfId="29011"/>
    <cellStyle name="표준 6 3 2 2 3 4 2 3" xfId="6543"/>
    <cellStyle name="표준 6 3 2 2 3 4 2 3 2" xfId="14028"/>
    <cellStyle name="표준 6 3 2 2 3 4 2 3 2 2" xfId="36495"/>
    <cellStyle name="표준 6 3 2 2 3 4 2 3 3" xfId="21512"/>
    <cellStyle name="표준 6 3 2 2 3 4 2 3 3 2" xfId="43977"/>
    <cellStyle name="표준 6 3 2 2 3 4 2 3 4" xfId="29013"/>
    <cellStyle name="표준 6 3 2 2 3 4 2 4" xfId="14025"/>
    <cellStyle name="표준 6 3 2 2 3 4 2 4 2" xfId="36492"/>
    <cellStyle name="표준 6 3 2 2 3 4 2 5" xfId="21509"/>
    <cellStyle name="표준 6 3 2 2 3 4 2 5 2" xfId="43974"/>
    <cellStyle name="표준 6 3 2 2 3 4 2 6" xfId="29010"/>
    <cellStyle name="표준 6 3 2 2 3 4 3" xfId="6544"/>
    <cellStyle name="표준 6 3 2 2 3 4 3 2" xfId="6545"/>
    <cellStyle name="표준 6 3 2 2 3 4 3 2 2" xfId="14030"/>
    <cellStyle name="표준 6 3 2 2 3 4 3 2 2 2" xfId="36497"/>
    <cellStyle name="표준 6 3 2 2 3 4 3 2 3" xfId="21514"/>
    <cellStyle name="표준 6 3 2 2 3 4 3 2 3 2" xfId="43979"/>
    <cellStyle name="표준 6 3 2 2 3 4 3 2 4" xfId="29015"/>
    <cellStyle name="표준 6 3 2 2 3 4 3 3" xfId="14029"/>
    <cellStyle name="표준 6 3 2 2 3 4 3 3 2" xfId="36496"/>
    <cellStyle name="표준 6 3 2 2 3 4 3 4" xfId="21513"/>
    <cellStyle name="표준 6 3 2 2 3 4 3 4 2" xfId="43978"/>
    <cellStyle name="표준 6 3 2 2 3 4 3 5" xfId="29014"/>
    <cellStyle name="표준 6 3 2 2 3 4 4" xfId="6546"/>
    <cellStyle name="표준 6 3 2 2 3 4 4 2" xfId="14031"/>
    <cellStyle name="표준 6 3 2 2 3 4 4 2 2" xfId="36498"/>
    <cellStyle name="표준 6 3 2 2 3 4 4 3" xfId="21515"/>
    <cellStyle name="표준 6 3 2 2 3 4 4 3 2" xfId="43980"/>
    <cellStyle name="표준 6 3 2 2 3 4 4 4" xfId="29016"/>
    <cellStyle name="표준 6 3 2 2 3 4 5" xfId="14024"/>
    <cellStyle name="표준 6 3 2 2 3 4 5 2" xfId="36491"/>
    <cellStyle name="표준 6 3 2 2 3 4 6" xfId="21508"/>
    <cellStyle name="표준 6 3 2 2 3 4 6 2" xfId="43973"/>
    <cellStyle name="표준 6 3 2 2 3 4 7" xfId="29009"/>
    <cellStyle name="표준 6 3 2 2 3 5" xfId="6547"/>
    <cellStyle name="표준 6 3 2 2 3 5 2" xfId="6548"/>
    <cellStyle name="표준 6 3 2 2 3 5 2 2" xfId="6549"/>
    <cellStyle name="표준 6 3 2 2 3 5 2 2 2" xfId="14034"/>
    <cellStyle name="표준 6 3 2 2 3 5 2 2 2 2" xfId="36501"/>
    <cellStyle name="표준 6 3 2 2 3 5 2 2 3" xfId="21518"/>
    <cellStyle name="표준 6 3 2 2 3 5 2 2 3 2" xfId="43983"/>
    <cellStyle name="표준 6 3 2 2 3 5 2 2 4" xfId="29019"/>
    <cellStyle name="표준 6 3 2 2 3 5 2 3" xfId="14033"/>
    <cellStyle name="표준 6 3 2 2 3 5 2 3 2" xfId="36500"/>
    <cellStyle name="표준 6 3 2 2 3 5 2 4" xfId="21517"/>
    <cellStyle name="표준 6 3 2 2 3 5 2 4 2" xfId="43982"/>
    <cellStyle name="표준 6 3 2 2 3 5 2 5" xfId="29018"/>
    <cellStyle name="표준 6 3 2 2 3 5 3" xfId="6550"/>
    <cellStyle name="표준 6 3 2 2 3 5 3 2" xfId="14035"/>
    <cellStyle name="표준 6 3 2 2 3 5 3 2 2" xfId="36502"/>
    <cellStyle name="표준 6 3 2 2 3 5 3 3" xfId="21519"/>
    <cellStyle name="표준 6 3 2 2 3 5 3 3 2" xfId="43984"/>
    <cellStyle name="표준 6 3 2 2 3 5 3 4" xfId="29020"/>
    <cellStyle name="표준 6 3 2 2 3 5 4" xfId="14032"/>
    <cellStyle name="표준 6 3 2 2 3 5 4 2" xfId="36499"/>
    <cellStyle name="표준 6 3 2 2 3 5 5" xfId="21516"/>
    <cellStyle name="표준 6 3 2 2 3 5 5 2" xfId="43981"/>
    <cellStyle name="표준 6 3 2 2 3 5 6" xfId="29017"/>
    <cellStyle name="표준 6 3 2 2 3 6" xfId="6551"/>
    <cellStyle name="표준 6 3 2 2 3 6 2" xfId="6552"/>
    <cellStyle name="표준 6 3 2 2 3 6 2 2" xfId="14037"/>
    <cellStyle name="표준 6 3 2 2 3 6 2 2 2" xfId="36504"/>
    <cellStyle name="표준 6 3 2 2 3 6 2 3" xfId="21521"/>
    <cellStyle name="표준 6 3 2 2 3 6 2 3 2" xfId="43986"/>
    <cellStyle name="표준 6 3 2 2 3 6 2 4" xfId="29022"/>
    <cellStyle name="표준 6 3 2 2 3 6 3" xfId="14036"/>
    <cellStyle name="표준 6 3 2 2 3 6 3 2" xfId="36503"/>
    <cellStyle name="표준 6 3 2 2 3 6 4" xfId="21520"/>
    <cellStyle name="표준 6 3 2 2 3 6 4 2" xfId="43985"/>
    <cellStyle name="표준 6 3 2 2 3 6 5" xfId="29021"/>
    <cellStyle name="표준 6 3 2 2 3 7" xfId="6553"/>
    <cellStyle name="표준 6 3 2 2 3 7 2" xfId="14038"/>
    <cellStyle name="표준 6 3 2 2 3 7 2 2" xfId="36505"/>
    <cellStyle name="표준 6 3 2 2 3 7 3" xfId="21522"/>
    <cellStyle name="표준 6 3 2 2 3 7 3 2" xfId="43987"/>
    <cellStyle name="표준 6 3 2 2 3 7 4" xfId="29023"/>
    <cellStyle name="표준 6 3 2 2 3 8" xfId="13991"/>
    <cellStyle name="표준 6 3 2 2 3 8 2" xfId="36458"/>
    <cellStyle name="표준 6 3 2 2 3 9" xfId="21475"/>
    <cellStyle name="표준 6 3 2 2 3 9 2" xfId="43940"/>
    <cellStyle name="표준 6 3 2 2 4" xfId="6554"/>
    <cellStyle name="표준 6 3 2 2 4 2" xfId="6555"/>
    <cellStyle name="표준 6 3 2 2 4 2 2" xfId="6556"/>
    <cellStyle name="표준 6 3 2 2 4 2 2 2" xfId="6557"/>
    <cellStyle name="표준 6 3 2 2 4 2 2 2 2" xfId="6558"/>
    <cellStyle name="표준 6 3 2 2 4 2 2 2 2 2" xfId="14043"/>
    <cellStyle name="표준 6 3 2 2 4 2 2 2 2 2 2" xfId="36510"/>
    <cellStyle name="표준 6 3 2 2 4 2 2 2 2 3" xfId="21527"/>
    <cellStyle name="표준 6 3 2 2 4 2 2 2 2 3 2" xfId="43992"/>
    <cellStyle name="표준 6 3 2 2 4 2 2 2 2 4" xfId="29028"/>
    <cellStyle name="표준 6 3 2 2 4 2 2 2 3" xfId="14042"/>
    <cellStyle name="표준 6 3 2 2 4 2 2 2 3 2" xfId="36509"/>
    <cellStyle name="표준 6 3 2 2 4 2 2 2 4" xfId="21526"/>
    <cellStyle name="표준 6 3 2 2 4 2 2 2 4 2" xfId="43991"/>
    <cellStyle name="표준 6 3 2 2 4 2 2 2 5" xfId="29027"/>
    <cellStyle name="표준 6 3 2 2 4 2 2 3" xfId="6559"/>
    <cellStyle name="표준 6 3 2 2 4 2 2 3 2" xfId="14044"/>
    <cellStyle name="표준 6 3 2 2 4 2 2 3 2 2" xfId="36511"/>
    <cellStyle name="표준 6 3 2 2 4 2 2 3 3" xfId="21528"/>
    <cellStyle name="표준 6 3 2 2 4 2 2 3 3 2" xfId="43993"/>
    <cellStyle name="표준 6 3 2 2 4 2 2 3 4" xfId="29029"/>
    <cellStyle name="표준 6 3 2 2 4 2 2 4" xfId="14041"/>
    <cellStyle name="표준 6 3 2 2 4 2 2 4 2" xfId="36508"/>
    <cellStyle name="표준 6 3 2 2 4 2 2 5" xfId="21525"/>
    <cellStyle name="표준 6 3 2 2 4 2 2 5 2" xfId="43990"/>
    <cellStyle name="표준 6 3 2 2 4 2 2 6" xfId="29026"/>
    <cellStyle name="표준 6 3 2 2 4 2 3" xfId="6560"/>
    <cellStyle name="표준 6 3 2 2 4 2 3 2" xfId="6561"/>
    <cellStyle name="표준 6 3 2 2 4 2 3 2 2" xfId="14046"/>
    <cellStyle name="표준 6 3 2 2 4 2 3 2 2 2" xfId="36513"/>
    <cellStyle name="표준 6 3 2 2 4 2 3 2 3" xfId="21530"/>
    <cellStyle name="표준 6 3 2 2 4 2 3 2 3 2" xfId="43995"/>
    <cellStyle name="표준 6 3 2 2 4 2 3 2 4" xfId="29031"/>
    <cellStyle name="표준 6 3 2 2 4 2 3 3" xfId="14045"/>
    <cellStyle name="표준 6 3 2 2 4 2 3 3 2" xfId="36512"/>
    <cellStyle name="표준 6 3 2 2 4 2 3 4" xfId="21529"/>
    <cellStyle name="표준 6 3 2 2 4 2 3 4 2" xfId="43994"/>
    <cellStyle name="표준 6 3 2 2 4 2 3 5" xfId="29030"/>
    <cellStyle name="표준 6 3 2 2 4 2 4" xfId="6562"/>
    <cellStyle name="표준 6 3 2 2 4 2 4 2" xfId="14047"/>
    <cellStyle name="표준 6 3 2 2 4 2 4 2 2" xfId="36514"/>
    <cellStyle name="표준 6 3 2 2 4 2 4 3" xfId="21531"/>
    <cellStyle name="표준 6 3 2 2 4 2 4 3 2" xfId="43996"/>
    <cellStyle name="표준 6 3 2 2 4 2 4 4" xfId="29032"/>
    <cellStyle name="표준 6 3 2 2 4 2 5" xfId="14040"/>
    <cellStyle name="표준 6 3 2 2 4 2 5 2" xfId="36507"/>
    <cellStyle name="표준 6 3 2 2 4 2 6" xfId="21524"/>
    <cellStyle name="표준 6 3 2 2 4 2 6 2" xfId="43989"/>
    <cellStyle name="표준 6 3 2 2 4 2 7" xfId="29025"/>
    <cellStyle name="표준 6 3 2 2 4 3" xfId="6563"/>
    <cellStyle name="표준 6 3 2 2 4 3 2" xfId="6564"/>
    <cellStyle name="표준 6 3 2 2 4 3 2 2" xfId="6565"/>
    <cellStyle name="표준 6 3 2 2 4 3 2 2 2" xfId="14050"/>
    <cellStyle name="표준 6 3 2 2 4 3 2 2 2 2" xfId="36517"/>
    <cellStyle name="표준 6 3 2 2 4 3 2 2 3" xfId="21534"/>
    <cellStyle name="표준 6 3 2 2 4 3 2 2 3 2" xfId="43999"/>
    <cellStyle name="표준 6 3 2 2 4 3 2 2 4" xfId="29035"/>
    <cellStyle name="표준 6 3 2 2 4 3 2 3" xfId="14049"/>
    <cellStyle name="표준 6 3 2 2 4 3 2 3 2" xfId="36516"/>
    <cellStyle name="표준 6 3 2 2 4 3 2 4" xfId="21533"/>
    <cellStyle name="표준 6 3 2 2 4 3 2 4 2" xfId="43998"/>
    <cellStyle name="표준 6 3 2 2 4 3 2 5" xfId="29034"/>
    <cellStyle name="표준 6 3 2 2 4 3 3" xfId="6566"/>
    <cellStyle name="표준 6 3 2 2 4 3 3 2" xfId="14051"/>
    <cellStyle name="표준 6 3 2 2 4 3 3 2 2" xfId="36518"/>
    <cellStyle name="표준 6 3 2 2 4 3 3 3" xfId="21535"/>
    <cellStyle name="표준 6 3 2 2 4 3 3 3 2" xfId="44000"/>
    <cellStyle name="표준 6 3 2 2 4 3 3 4" xfId="29036"/>
    <cellStyle name="표준 6 3 2 2 4 3 4" xfId="14048"/>
    <cellStyle name="표준 6 3 2 2 4 3 4 2" xfId="36515"/>
    <cellStyle name="표준 6 3 2 2 4 3 5" xfId="21532"/>
    <cellStyle name="표준 6 3 2 2 4 3 5 2" xfId="43997"/>
    <cellStyle name="표준 6 3 2 2 4 3 6" xfId="29033"/>
    <cellStyle name="표준 6 3 2 2 4 4" xfId="6567"/>
    <cellStyle name="표준 6 3 2 2 4 4 2" xfId="6568"/>
    <cellStyle name="표준 6 3 2 2 4 4 2 2" xfId="14053"/>
    <cellStyle name="표준 6 3 2 2 4 4 2 2 2" xfId="36520"/>
    <cellStyle name="표준 6 3 2 2 4 4 2 3" xfId="21537"/>
    <cellStyle name="표준 6 3 2 2 4 4 2 3 2" xfId="44002"/>
    <cellStyle name="표준 6 3 2 2 4 4 2 4" xfId="29038"/>
    <cellStyle name="표준 6 3 2 2 4 4 3" xfId="14052"/>
    <cellStyle name="표준 6 3 2 2 4 4 3 2" xfId="36519"/>
    <cellStyle name="표준 6 3 2 2 4 4 4" xfId="21536"/>
    <cellStyle name="표준 6 3 2 2 4 4 4 2" xfId="44001"/>
    <cellStyle name="표준 6 3 2 2 4 4 5" xfId="29037"/>
    <cellStyle name="표준 6 3 2 2 4 5" xfId="6569"/>
    <cellStyle name="표준 6 3 2 2 4 5 2" xfId="14054"/>
    <cellStyle name="표준 6 3 2 2 4 5 2 2" xfId="36521"/>
    <cellStyle name="표준 6 3 2 2 4 5 3" xfId="21538"/>
    <cellStyle name="표준 6 3 2 2 4 5 3 2" xfId="44003"/>
    <cellStyle name="표준 6 3 2 2 4 5 4" xfId="29039"/>
    <cellStyle name="표준 6 3 2 2 4 6" xfId="14039"/>
    <cellStyle name="표준 6 3 2 2 4 6 2" xfId="36506"/>
    <cellStyle name="표준 6 3 2 2 4 7" xfId="21523"/>
    <cellStyle name="표준 6 3 2 2 4 7 2" xfId="43988"/>
    <cellStyle name="표준 6 3 2 2 4 8" xfId="29024"/>
    <cellStyle name="표준 6 3 2 2 5" xfId="6570"/>
    <cellStyle name="표준 6 3 2 2 5 2" xfId="6571"/>
    <cellStyle name="표준 6 3 2 2 5 2 2" xfId="6572"/>
    <cellStyle name="표준 6 3 2 2 5 2 2 2" xfId="6573"/>
    <cellStyle name="표준 6 3 2 2 5 2 2 2 2" xfId="6574"/>
    <cellStyle name="표준 6 3 2 2 5 2 2 2 2 2" xfId="14059"/>
    <cellStyle name="표준 6 3 2 2 5 2 2 2 2 2 2" xfId="36526"/>
    <cellStyle name="표준 6 3 2 2 5 2 2 2 2 3" xfId="21543"/>
    <cellStyle name="표준 6 3 2 2 5 2 2 2 2 3 2" xfId="44008"/>
    <cellStyle name="표준 6 3 2 2 5 2 2 2 2 4" xfId="29044"/>
    <cellStyle name="표준 6 3 2 2 5 2 2 2 3" xfId="14058"/>
    <cellStyle name="표준 6 3 2 2 5 2 2 2 3 2" xfId="36525"/>
    <cellStyle name="표준 6 3 2 2 5 2 2 2 4" xfId="21542"/>
    <cellStyle name="표준 6 3 2 2 5 2 2 2 4 2" xfId="44007"/>
    <cellStyle name="표준 6 3 2 2 5 2 2 2 5" xfId="29043"/>
    <cellStyle name="표준 6 3 2 2 5 2 2 3" xfId="6575"/>
    <cellStyle name="표준 6 3 2 2 5 2 2 3 2" xfId="14060"/>
    <cellStyle name="표준 6 3 2 2 5 2 2 3 2 2" xfId="36527"/>
    <cellStyle name="표준 6 3 2 2 5 2 2 3 3" xfId="21544"/>
    <cellStyle name="표준 6 3 2 2 5 2 2 3 3 2" xfId="44009"/>
    <cellStyle name="표준 6 3 2 2 5 2 2 3 4" xfId="29045"/>
    <cellStyle name="표준 6 3 2 2 5 2 2 4" xfId="14057"/>
    <cellStyle name="표준 6 3 2 2 5 2 2 4 2" xfId="36524"/>
    <cellStyle name="표준 6 3 2 2 5 2 2 5" xfId="21541"/>
    <cellStyle name="표준 6 3 2 2 5 2 2 5 2" xfId="44006"/>
    <cellStyle name="표준 6 3 2 2 5 2 2 6" xfId="29042"/>
    <cellStyle name="표준 6 3 2 2 5 2 3" xfId="6576"/>
    <cellStyle name="표준 6 3 2 2 5 2 3 2" xfId="6577"/>
    <cellStyle name="표준 6 3 2 2 5 2 3 2 2" xfId="14062"/>
    <cellStyle name="표준 6 3 2 2 5 2 3 2 2 2" xfId="36529"/>
    <cellStyle name="표준 6 3 2 2 5 2 3 2 3" xfId="21546"/>
    <cellStyle name="표준 6 3 2 2 5 2 3 2 3 2" xfId="44011"/>
    <cellStyle name="표준 6 3 2 2 5 2 3 2 4" xfId="29047"/>
    <cellStyle name="표준 6 3 2 2 5 2 3 3" xfId="14061"/>
    <cellStyle name="표준 6 3 2 2 5 2 3 3 2" xfId="36528"/>
    <cellStyle name="표준 6 3 2 2 5 2 3 4" xfId="21545"/>
    <cellStyle name="표준 6 3 2 2 5 2 3 4 2" xfId="44010"/>
    <cellStyle name="표준 6 3 2 2 5 2 3 5" xfId="29046"/>
    <cellStyle name="표준 6 3 2 2 5 2 4" xfId="6578"/>
    <cellStyle name="표준 6 3 2 2 5 2 4 2" xfId="14063"/>
    <cellStyle name="표준 6 3 2 2 5 2 4 2 2" xfId="36530"/>
    <cellStyle name="표준 6 3 2 2 5 2 4 3" xfId="21547"/>
    <cellStyle name="표준 6 3 2 2 5 2 4 3 2" xfId="44012"/>
    <cellStyle name="표준 6 3 2 2 5 2 4 4" xfId="29048"/>
    <cellStyle name="표준 6 3 2 2 5 2 5" xfId="14056"/>
    <cellStyle name="표준 6 3 2 2 5 2 5 2" xfId="36523"/>
    <cellStyle name="표준 6 3 2 2 5 2 6" xfId="21540"/>
    <cellStyle name="표준 6 3 2 2 5 2 6 2" xfId="44005"/>
    <cellStyle name="표준 6 3 2 2 5 2 7" xfId="29041"/>
    <cellStyle name="표준 6 3 2 2 5 3" xfId="6579"/>
    <cellStyle name="표준 6 3 2 2 5 3 2" xfId="6580"/>
    <cellStyle name="표준 6 3 2 2 5 3 2 2" xfId="6581"/>
    <cellStyle name="표준 6 3 2 2 5 3 2 2 2" xfId="14066"/>
    <cellStyle name="표준 6 3 2 2 5 3 2 2 2 2" xfId="36533"/>
    <cellStyle name="표준 6 3 2 2 5 3 2 2 3" xfId="21550"/>
    <cellStyle name="표준 6 3 2 2 5 3 2 2 3 2" xfId="44015"/>
    <cellStyle name="표준 6 3 2 2 5 3 2 2 4" xfId="29051"/>
    <cellStyle name="표준 6 3 2 2 5 3 2 3" xfId="14065"/>
    <cellStyle name="표준 6 3 2 2 5 3 2 3 2" xfId="36532"/>
    <cellStyle name="표준 6 3 2 2 5 3 2 4" xfId="21549"/>
    <cellStyle name="표준 6 3 2 2 5 3 2 4 2" xfId="44014"/>
    <cellStyle name="표준 6 3 2 2 5 3 2 5" xfId="29050"/>
    <cellStyle name="표준 6 3 2 2 5 3 3" xfId="6582"/>
    <cellStyle name="표준 6 3 2 2 5 3 3 2" xfId="14067"/>
    <cellStyle name="표준 6 3 2 2 5 3 3 2 2" xfId="36534"/>
    <cellStyle name="표준 6 3 2 2 5 3 3 3" xfId="21551"/>
    <cellStyle name="표준 6 3 2 2 5 3 3 3 2" xfId="44016"/>
    <cellStyle name="표준 6 3 2 2 5 3 3 4" xfId="29052"/>
    <cellStyle name="표준 6 3 2 2 5 3 4" xfId="14064"/>
    <cellStyle name="표준 6 3 2 2 5 3 4 2" xfId="36531"/>
    <cellStyle name="표준 6 3 2 2 5 3 5" xfId="21548"/>
    <cellStyle name="표준 6 3 2 2 5 3 5 2" xfId="44013"/>
    <cellStyle name="표준 6 3 2 2 5 3 6" xfId="29049"/>
    <cellStyle name="표준 6 3 2 2 5 4" xfId="6583"/>
    <cellStyle name="표준 6 3 2 2 5 4 2" xfId="6584"/>
    <cellStyle name="표준 6 3 2 2 5 4 2 2" xfId="14069"/>
    <cellStyle name="표준 6 3 2 2 5 4 2 2 2" xfId="36536"/>
    <cellStyle name="표준 6 3 2 2 5 4 2 3" xfId="21553"/>
    <cellStyle name="표준 6 3 2 2 5 4 2 3 2" xfId="44018"/>
    <cellStyle name="표준 6 3 2 2 5 4 2 4" xfId="29054"/>
    <cellStyle name="표준 6 3 2 2 5 4 3" xfId="14068"/>
    <cellStyle name="표준 6 3 2 2 5 4 3 2" xfId="36535"/>
    <cellStyle name="표준 6 3 2 2 5 4 4" xfId="21552"/>
    <cellStyle name="표준 6 3 2 2 5 4 4 2" xfId="44017"/>
    <cellStyle name="표준 6 3 2 2 5 4 5" xfId="29053"/>
    <cellStyle name="표준 6 3 2 2 5 5" xfId="6585"/>
    <cellStyle name="표준 6 3 2 2 5 5 2" xfId="14070"/>
    <cellStyle name="표준 6 3 2 2 5 5 2 2" xfId="36537"/>
    <cellStyle name="표준 6 3 2 2 5 5 3" xfId="21554"/>
    <cellStyle name="표준 6 3 2 2 5 5 3 2" xfId="44019"/>
    <cellStyle name="표준 6 3 2 2 5 5 4" xfId="29055"/>
    <cellStyle name="표준 6 3 2 2 5 6" xfId="14055"/>
    <cellStyle name="표준 6 3 2 2 5 6 2" xfId="36522"/>
    <cellStyle name="표준 6 3 2 2 5 7" xfId="21539"/>
    <cellStyle name="표준 6 3 2 2 5 7 2" xfId="44004"/>
    <cellStyle name="표준 6 3 2 2 5 8" xfId="29040"/>
    <cellStyle name="표준 6 3 2 2 6" xfId="6586"/>
    <cellStyle name="표준 6 3 2 2 6 2" xfId="6587"/>
    <cellStyle name="표준 6 3 2 2 6 2 2" xfId="6588"/>
    <cellStyle name="표준 6 3 2 2 6 2 2 2" xfId="6589"/>
    <cellStyle name="표준 6 3 2 2 6 2 2 2 2" xfId="14074"/>
    <cellStyle name="표준 6 3 2 2 6 2 2 2 2 2" xfId="36541"/>
    <cellStyle name="표준 6 3 2 2 6 2 2 2 3" xfId="21558"/>
    <cellStyle name="표준 6 3 2 2 6 2 2 2 3 2" xfId="44023"/>
    <cellStyle name="표준 6 3 2 2 6 2 2 2 4" xfId="29059"/>
    <cellStyle name="표준 6 3 2 2 6 2 2 3" xfId="14073"/>
    <cellStyle name="표준 6 3 2 2 6 2 2 3 2" xfId="36540"/>
    <cellStyle name="표준 6 3 2 2 6 2 2 4" xfId="21557"/>
    <cellStyle name="표준 6 3 2 2 6 2 2 4 2" xfId="44022"/>
    <cellStyle name="표준 6 3 2 2 6 2 2 5" xfId="29058"/>
    <cellStyle name="표준 6 3 2 2 6 2 3" xfId="6590"/>
    <cellStyle name="표준 6 3 2 2 6 2 3 2" xfId="14075"/>
    <cellStyle name="표준 6 3 2 2 6 2 3 2 2" xfId="36542"/>
    <cellStyle name="표준 6 3 2 2 6 2 3 3" xfId="21559"/>
    <cellStyle name="표준 6 3 2 2 6 2 3 3 2" xfId="44024"/>
    <cellStyle name="표준 6 3 2 2 6 2 3 4" xfId="29060"/>
    <cellStyle name="표준 6 3 2 2 6 2 4" xfId="14072"/>
    <cellStyle name="표준 6 3 2 2 6 2 4 2" xfId="36539"/>
    <cellStyle name="표준 6 3 2 2 6 2 5" xfId="21556"/>
    <cellStyle name="표준 6 3 2 2 6 2 5 2" xfId="44021"/>
    <cellStyle name="표준 6 3 2 2 6 2 6" xfId="29057"/>
    <cellStyle name="표준 6 3 2 2 6 3" xfId="6591"/>
    <cellStyle name="표준 6 3 2 2 6 3 2" xfId="6592"/>
    <cellStyle name="표준 6 3 2 2 6 3 2 2" xfId="14077"/>
    <cellStyle name="표준 6 3 2 2 6 3 2 2 2" xfId="36544"/>
    <cellStyle name="표준 6 3 2 2 6 3 2 3" xfId="21561"/>
    <cellStyle name="표준 6 3 2 2 6 3 2 3 2" xfId="44026"/>
    <cellStyle name="표준 6 3 2 2 6 3 2 4" xfId="29062"/>
    <cellStyle name="표준 6 3 2 2 6 3 3" xfId="14076"/>
    <cellStyle name="표준 6 3 2 2 6 3 3 2" xfId="36543"/>
    <cellStyle name="표준 6 3 2 2 6 3 4" xfId="21560"/>
    <cellStyle name="표준 6 3 2 2 6 3 4 2" xfId="44025"/>
    <cellStyle name="표준 6 3 2 2 6 3 5" xfId="29061"/>
    <cellStyle name="표준 6 3 2 2 6 4" xfId="6593"/>
    <cellStyle name="표준 6 3 2 2 6 4 2" xfId="14078"/>
    <cellStyle name="표준 6 3 2 2 6 4 2 2" xfId="36545"/>
    <cellStyle name="표준 6 3 2 2 6 4 3" xfId="21562"/>
    <cellStyle name="표준 6 3 2 2 6 4 3 2" xfId="44027"/>
    <cellStyle name="표준 6 3 2 2 6 4 4" xfId="29063"/>
    <cellStyle name="표준 6 3 2 2 6 5" xfId="14071"/>
    <cellStyle name="표준 6 3 2 2 6 5 2" xfId="36538"/>
    <cellStyle name="표준 6 3 2 2 6 6" xfId="21555"/>
    <cellStyle name="표준 6 3 2 2 6 6 2" xfId="44020"/>
    <cellStyle name="표준 6 3 2 2 6 7" xfId="29056"/>
    <cellStyle name="표준 6 3 2 2 7" xfId="6594"/>
    <cellStyle name="표준 6 3 2 2 7 2" xfId="6595"/>
    <cellStyle name="표준 6 3 2 2 7 2 2" xfId="6596"/>
    <cellStyle name="표준 6 3 2 2 7 2 2 2" xfId="6597"/>
    <cellStyle name="표준 6 3 2 2 7 2 2 2 2" xfId="14082"/>
    <cellStyle name="표준 6 3 2 2 7 2 2 2 2 2" xfId="36549"/>
    <cellStyle name="표준 6 3 2 2 7 2 2 2 3" xfId="21566"/>
    <cellStyle name="표준 6 3 2 2 7 2 2 2 3 2" xfId="44031"/>
    <cellStyle name="표준 6 3 2 2 7 2 2 2 4" xfId="29067"/>
    <cellStyle name="표준 6 3 2 2 7 2 2 3" xfId="14081"/>
    <cellStyle name="표준 6 3 2 2 7 2 2 3 2" xfId="36548"/>
    <cellStyle name="표준 6 3 2 2 7 2 2 4" xfId="21565"/>
    <cellStyle name="표준 6 3 2 2 7 2 2 4 2" xfId="44030"/>
    <cellStyle name="표준 6 3 2 2 7 2 2 5" xfId="29066"/>
    <cellStyle name="표준 6 3 2 2 7 2 3" xfId="6598"/>
    <cellStyle name="표준 6 3 2 2 7 2 3 2" xfId="14083"/>
    <cellStyle name="표준 6 3 2 2 7 2 3 2 2" xfId="36550"/>
    <cellStyle name="표준 6 3 2 2 7 2 3 3" xfId="21567"/>
    <cellStyle name="표준 6 3 2 2 7 2 3 3 2" xfId="44032"/>
    <cellStyle name="표준 6 3 2 2 7 2 3 4" xfId="29068"/>
    <cellStyle name="표준 6 3 2 2 7 2 4" xfId="14080"/>
    <cellStyle name="표준 6 3 2 2 7 2 4 2" xfId="36547"/>
    <cellStyle name="표준 6 3 2 2 7 2 5" xfId="21564"/>
    <cellStyle name="표준 6 3 2 2 7 2 5 2" xfId="44029"/>
    <cellStyle name="표준 6 3 2 2 7 2 6" xfId="29065"/>
    <cellStyle name="표준 6 3 2 2 7 3" xfId="6599"/>
    <cellStyle name="표준 6 3 2 2 7 3 2" xfId="6600"/>
    <cellStyle name="표준 6 3 2 2 7 3 2 2" xfId="14085"/>
    <cellStyle name="표준 6 3 2 2 7 3 2 2 2" xfId="36552"/>
    <cellStyle name="표준 6 3 2 2 7 3 2 3" xfId="21569"/>
    <cellStyle name="표준 6 3 2 2 7 3 2 3 2" xfId="44034"/>
    <cellStyle name="표준 6 3 2 2 7 3 2 4" xfId="29070"/>
    <cellStyle name="표준 6 3 2 2 7 3 3" xfId="14084"/>
    <cellStyle name="표준 6 3 2 2 7 3 3 2" xfId="36551"/>
    <cellStyle name="표준 6 3 2 2 7 3 4" xfId="21568"/>
    <cellStyle name="표준 6 3 2 2 7 3 4 2" xfId="44033"/>
    <cellStyle name="표준 6 3 2 2 7 3 5" xfId="29069"/>
    <cellStyle name="표준 6 3 2 2 7 4" xfId="6601"/>
    <cellStyle name="표준 6 3 2 2 7 4 2" xfId="14086"/>
    <cellStyle name="표준 6 3 2 2 7 4 2 2" xfId="36553"/>
    <cellStyle name="표준 6 3 2 2 7 4 3" xfId="21570"/>
    <cellStyle name="표준 6 3 2 2 7 4 3 2" xfId="44035"/>
    <cellStyle name="표준 6 3 2 2 7 4 4" xfId="29071"/>
    <cellStyle name="표준 6 3 2 2 7 5" xfId="14079"/>
    <cellStyle name="표준 6 3 2 2 7 5 2" xfId="36546"/>
    <cellStyle name="표준 6 3 2 2 7 6" xfId="21563"/>
    <cellStyle name="표준 6 3 2 2 7 6 2" xfId="44028"/>
    <cellStyle name="표준 6 3 2 2 7 7" xfId="29064"/>
    <cellStyle name="표준 6 3 2 2 8" xfId="6602"/>
    <cellStyle name="표준 6 3 2 2 8 2" xfId="6603"/>
    <cellStyle name="표준 6 3 2 2 8 2 2" xfId="6604"/>
    <cellStyle name="표준 6 3 2 2 8 2 2 2" xfId="6605"/>
    <cellStyle name="표준 6 3 2 2 8 2 2 2 2" xfId="14090"/>
    <cellStyle name="표준 6 3 2 2 8 2 2 2 2 2" xfId="36557"/>
    <cellStyle name="표준 6 3 2 2 8 2 2 2 3" xfId="21574"/>
    <cellStyle name="표준 6 3 2 2 8 2 2 2 3 2" xfId="44039"/>
    <cellStyle name="표준 6 3 2 2 8 2 2 2 4" xfId="29075"/>
    <cellStyle name="표준 6 3 2 2 8 2 2 3" xfId="14089"/>
    <cellStyle name="표준 6 3 2 2 8 2 2 3 2" xfId="36556"/>
    <cellStyle name="표준 6 3 2 2 8 2 2 4" xfId="21573"/>
    <cellStyle name="표준 6 3 2 2 8 2 2 4 2" xfId="44038"/>
    <cellStyle name="표준 6 3 2 2 8 2 2 5" xfId="29074"/>
    <cellStyle name="표준 6 3 2 2 8 2 3" xfId="6606"/>
    <cellStyle name="표준 6 3 2 2 8 2 3 2" xfId="14091"/>
    <cellStyle name="표준 6 3 2 2 8 2 3 2 2" xfId="36558"/>
    <cellStyle name="표준 6 3 2 2 8 2 3 3" xfId="21575"/>
    <cellStyle name="표준 6 3 2 2 8 2 3 3 2" xfId="44040"/>
    <cellStyle name="표준 6 3 2 2 8 2 3 4" xfId="29076"/>
    <cellStyle name="표준 6 3 2 2 8 2 4" xfId="14088"/>
    <cellStyle name="표준 6 3 2 2 8 2 4 2" xfId="36555"/>
    <cellStyle name="표준 6 3 2 2 8 2 5" xfId="21572"/>
    <cellStyle name="표준 6 3 2 2 8 2 5 2" xfId="44037"/>
    <cellStyle name="표준 6 3 2 2 8 2 6" xfId="29073"/>
    <cellStyle name="표준 6 3 2 2 8 3" xfId="6607"/>
    <cellStyle name="표준 6 3 2 2 8 3 2" xfId="6608"/>
    <cellStyle name="표준 6 3 2 2 8 3 2 2" xfId="14093"/>
    <cellStyle name="표준 6 3 2 2 8 3 2 2 2" xfId="36560"/>
    <cellStyle name="표준 6 3 2 2 8 3 2 3" xfId="21577"/>
    <cellStyle name="표준 6 3 2 2 8 3 2 3 2" xfId="44042"/>
    <cellStyle name="표준 6 3 2 2 8 3 2 4" xfId="29078"/>
    <cellStyle name="표준 6 3 2 2 8 3 3" xfId="14092"/>
    <cellStyle name="표준 6 3 2 2 8 3 3 2" xfId="36559"/>
    <cellStyle name="표준 6 3 2 2 8 3 4" xfId="21576"/>
    <cellStyle name="표준 6 3 2 2 8 3 4 2" xfId="44041"/>
    <cellStyle name="표준 6 3 2 2 8 3 5" xfId="29077"/>
    <cellStyle name="표준 6 3 2 2 8 4" xfId="6609"/>
    <cellStyle name="표준 6 3 2 2 8 4 2" xfId="14094"/>
    <cellStyle name="표준 6 3 2 2 8 4 2 2" xfId="36561"/>
    <cellStyle name="표준 6 3 2 2 8 4 3" xfId="21578"/>
    <cellStyle name="표준 6 3 2 2 8 4 3 2" xfId="44043"/>
    <cellStyle name="표준 6 3 2 2 8 4 4" xfId="29079"/>
    <cellStyle name="표준 6 3 2 2 8 5" xfId="14087"/>
    <cellStyle name="표준 6 3 2 2 8 5 2" xfId="36554"/>
    <cellStyle name="표준 6 3 2 2 8 6" xfId="21571"/>
    <cellStyle name="표준 6 3 2 2 8 6 2" xfId="44036"/>
    <cellStyle name="표준 6 3 2 2 8 7" xfId="29072"/>
    <cellStyle name="표준 6 3 2 2 9" xfId="6610"/>
    <cellStyle name="표준 6 3 2 2 9 2" xfId="6611"/>
    <cellStyle name="표준 6 3 2 2 9 2 2" xfId="6612"/>
    <cellStyle name="표준 6 3 2 2 9 2 2 2" xfId="14097"/>
    <cellStyle name="표준 6 3 2 2 9 2 2 2 2" xfId="36564"/>
    <cellStyle name="표준 6 3 2 2 9 2 2 3" xfId="21581"/>
    <cellStyle name="표준 6 3 2 2 9 2 2 3 2" xfId="44046"/>
    <cellStyle name="표준 6 3 2 2 9 2 2 4" xfId="29082"/>
    <cellStyle name="표준 6 3 2 2 9 2 3" xfId="14096"/>
    <cellStyle name="표준 6 3 2 2 9 2 3 2" xfId="36563"/>
    <cellStyle name="표준 6 3 2 2 9 2 4" xfId="21580"/>
    <cellStyle name="표준 6 3 2 2 9 2 4 2" xfId="44045"/>
    <cellStyle name="표준 6 3 2 2 9 2 5" xfId="29081"/>
    <cellStyle name="표준 6 3 2 2 9 3" xfId="6613"/>
    <cellStyle name="표준 6 3 2 2 9 3 2" xfId="14098"/>
    <cellStyle name="표준 6 3 2 2 9 3 2 2" xfId="36565"/>
    <cellStyle name="표준 6 3 2 2 9 3 3" xfId="21582"/>
    <cellStyle name="표준 6 3 2 2 9 3 3 2" xfId="44047"/>
    <cellStyle name="표준 6 3 2 2 9 3 4" xfId="29083"/>
    <cellStyle name="표준 6 3 2 2 9 4" xfId="14095"/>
    <cellStyle name="표준 6 3 2 2 9 4 2" xfId="36562"/>
    <cellStyle name="표준 6 3 2 2 9 5" xfId="21579"/>
    <cellStyle name="표준 6 3 2 2 9 5 2" xfId="44044"/>
    <cellStyle name="표준 6 3 2 2 9 6" xfId="29080"/>
    <cellStyle name="표준 6 3 2 20" xfId="28831"/>
    <cellStyle name="표준 6 3 2 3" xfId="6614"/>
    <cellStyle name="표준 6 3 2 3 10" xfId="14099"/>
    <cellStyle name="표준 6 3 2 3 10 2" xfId="36566"/>
    <cellStyle name="표준 6 3 2 3 11" xfId="21583"/>
    <cellStyle name="표준 6 3 2 3 11 2" xfId="44048"/>
    <cellStyle name="표준 6 3 2 3 12" xfId="29084"/>
    <cellStyle name="표준 6 3 2 3 2" xfId="6615"/>
    <cellStyle name="표준 6 3 2 3 2 10" xfId="29085"/>
    <cellStyle name="표준 6 3 2 3 2 2" xfId="6616"/>
    <cellStyle name="표준 6 3 2 3 2 2 2" xfId="6617"/>
    <cellStyle name="표준 6 3 2 3 2 2 2 2" xfId="6618"/>
    <cellStyle name="표준 6 3 2 3 2 2 2 2 2" xfId="6619"/>
    <cellStyle name="표준 6 3 2 3 2 2 2 2 2 2" xfId="6620"/>
    <cellStyle name="표준 6 3 2 3 2 2 2 2 2 2 2" xfId="14105"/>
    <cellStyle name="표준 6 3 2 3 2 2 2 2 2 2 2 2" xfId="36572"/>
    <cellStyle name="표준 6 3 2 3 2 2 2 2 2 2 3" xfId="21589"/>
    <cellStyle name="표준 6 3 2 3 2 2 2 2 2 2 3 2" xfId="44054"/>
    <cellStyle name="표준 6 3 2 3 2 2 2 2 2 2 4" xfId="29090"/>
    <cellStyle name="표준 6 3 2 3 2 2 2 2 2 3" xfId="14104"/>
    <cellStyle name="표준 6 3 2 3 2 2 2 2 2 3 2" xfId="36571"/>
    <cellStyle name="표준 6 3 2 3 2 2 2 2 2 4" xfId="21588"/>
    <cellStyle name="표준 6 3 2 3 2 2 2 2 2 4 2" xfId="44053"/>
    <cellStyle name="표준 6 3 2 3 2 2 2 2 2 5" xfId="29089"/>
    <cellStyle name="표준 6 3 2 3 2 2 2 2 3" xfId="6621"/>
    <cellStyle name="표준 6 3 2 3 2 2 2 2 3 2" xfId="14106"/>
    <cellStyle name="표준 6 3 2 3 2 2 2 2 3 2 2" xfId="36573"/>
    <cellStyle name="표준 6 3 2 3 2 2 2 2 3 3" xfId="21590"/>
    <cellStyle name="표준 6 3 2 3 2 2 2 2 3 3 2" xfId="44055"/>
    <cellStyle name="표준 6 3 2 3 2 2 2 2 3 4" xfId="29091"/>
    <cellStyle name="표준 6 3 2 3 2 2 2 2 4" xfId="14103"/>
    <cellStyle name="표준 6 3 2 3 2 2 2 2 4 2" xfId="36570"/>
    <cellStyle name="표준 6 3 2 3 2 2 2 2 5" xfId="21587"/>
    <cellStyle name="표준 6 3 2 3 2 2 2 2 5 2" xfId="44052"/>
    <cellStyle name="표준 6 3 2 3 2 2 2 2 6" xfId="29088"/>
    <cellStyle name="표준 6 3 2 3 2 2 2 3" xfId="6622"/>
    <cellStyle name="표준 6 3 2 3 2 2 2 3 2" xfId="6623"/>
    <cellStyle name="표준 6 3 2 3 2 2 2 3 2 2" xfId="14108"/>
    <cellStyle name="표준 6 3 2 3 2 2 2 3 2 2 2" xfId="36575"/>
    <cellStyle name="표준 6 3 2 3 2 2 2 3 2 3" xfId="21592"/>
    <cellStyle name="표준 6 3 2 3 2 2 2 3 2 3 2" xfId="44057"/>
    <cellStyle name="표준 6 3 2 3 2 2 2 3 2 4" xfId="29093"/>
    <cellStyle name="표준 6 3 2 3 2 2 2 3 3" xfId="14107"/>
    <cellStyle name="표준 6 3 2 3 2 2 2 3 3 2" xfId="36574"/>
    <cellStyle name="표준 6 3 2 3 2 2 2 3 4" xfId="21591"/>
    <cellStyle name="표준 6 3 2 3 2 2 2 3 4 2" xfId="44056"/>
    <cellStyle name="표준 6 3 2 3 2 2 2 3 5" xfId="29092"/>
    <cellStyle name="표준 6 3 2 3 2 2 2 4" xfId="6624"/>
    <cellStyle name="표준 6 3 2 3 2 2 2 4 2" xfId="14109"/>
    <cellStyle name="표준 6 3 2 3 2 2 2 4 2 2" xfId="36576"/>
    <cellStyle name="표준 6 3 2 3 2 2 2 4 3" xfId="21593"/>
    <cellStyle name="표준 6 3 2 3 2 2 2 4 3 2" xfId="44058"/>
    <cellStyle name="표준 6 3 2 3 2 2 2 4 4" xfId="29094"/>
    <cellStyle name="표준 6 3 2 3 2 2 2 5" xfId="14102"/>
    <cellStyle name="표준 6 3 2 3 2 2 2 5 2" xfId="36569"/>
    <cellStyle name="표준 6 3 2 3 2 2 2 6" xfId="21586"/>
    <cellStyle name="표준 6 3 2 3 2 2 2 6 2" xfId="44051"/>
    <cellStyle name="표준 6 3 2 3 2 2 2 7" xfId="29087"/>
    <cellStyle name="표준 6 3 2 3 2 2 3" xfId="6625"/>
    <cellStyle name="표준 6 3 2 3 2 2 3 2" xfId="6626"/>
    <cellStyle name="표준 6 3 2 3 2 2 3 2 2" xfId="6627"/>
    <cellStyle name="표준 6 3 2 3 2 2 3 2 2 2" xfId="14112"/>
    <cellStyle name="표준 6 3 2 3 2 2 3 2 2 2 2" xfId="36579"/>
    <cellStyle name="표준 6 3 2 3 2 2 3 2 2 3" xfId="21596"/>
    <cellStyle name="표준 6 3 2 3 2 2 3 2 2 3 2" xfId="44061"/>
    <cellStyle name="표준 6 3 2 3 2 2 3 2 2 4" xfId="29097"/>
    <cellStyle name="표준 6 3 2 3 2 2 3 2 3" xfId="14111"/>
    <cellStyle name="표준 6 3 2 3 2 2 3 2 3 2" xfId="36578"/>
    <cellStyle name="표준 6 3 2 3 2 2 3 2 4" xfId="21595"/>
    <cellStyle name="표준 6 3 2 3 2 2 3 2 4 2" xfId="44060"/>
    <cellStyle name="표준 6 3 2 3 2 2 3 2 5" xfId="29096"/>
    <cellStyle name="표준 6 3 2 3 2 2 3 3" xfId="6628"/>
    <cellStyle name="표준 6 3 2 3 2 2 3 3 2" xfId="14113"/>
    <cellStyle name="표준 6 3 2 3 2 2 3 3 2 2" xfId="36580"/>
    <cellStyle name="표준 6 3 2 3 2 2 3 3 3" xfId="21597"/>
    <cellStyle name="표준 6 3 2 3 2 2 3 3 3 2" xfId="44062"/>
    <cellStyle name="표준 6 3 2 3 2 2 3 3 4" xfId="29098"/>
    <cellStyle name="표준 6 3 2 3 2 2 3 4" xfId="14110"/>
    <cellStyle name="표준 6 3 2 3 2 2 3 4 2" xfId="36577"/>
    <cellStyle name="표준 6 3 2 3 2 2 3 5" xfId="21594"/>
    <cellStyle name="표준 6 3 2 3 2 2 3 5 2" xfId="44059"/>
    <cellStyle name="표준 6 3 2 3 2 2 3 6" xfId="29095"/>
    <cellStyle name="표준 6 3 2 3 2 2 4" xfId="6629"/>
    <cellStyle name="표준 6 3 2 3 2 2 4 2" xfId="6630"/>
    <cellStyle name="표준 6 3 2 3 2 2 4 2 2" xfId="14115"/>
    <cellStyle name="표준 6 3 2 3 2 2 4 2 2 2" xfId="36582"/>
    <cellStyle name="표준 6 3 2 3 2 2 4 2 3" xfId="21599"/>
    <cellStyle name="표준 6 3 2 3 2 2 4 2 3 2" xfId="44064"/>
    <cellStyle name="표준 6 3 2 3 2 2 4 2 4" xfId="29100"/>
    <cellStyle name="표준 6 3 2 3 2 2 4 3" xfId="14114"/>
    <cellStyle name="표준 6 3 2 3 2 2 4 3 2" xfId="36581"/>
    <cellStyle name="표준 6 3 2 3 2 2 4 4" xfId="21598"/>
    <cellStyle name="표준 6 3 2 3 2 2 4 4 2" xfId="44063"/>
    <cellStyle name="표준 6 3 2 3 2 2 4 5" xfId="29099"/>
    <cellStyle name="표준 6 3 2 3 2 2 5" xfId="6631"/>
    <cellStyle name="표준 6 3 2 3 2 2 5 2" xfId="14116"/>
    <cellStyle name="표준 6 3 2 3 2 2 5 2 2" xfId="36583"/>
    <cellStyle name="표준 6 3 2 3 2 2 5 3" xfId="21600"/>
    <cellStyle name="표준 6 3 2 3 2 2 5 3 2" xfId="44065"/>
    <cellStyle name="표준 6 3 2 3 2 2 5 4" xfId="29101"/>
    <cellStyle name="표준 6 3 2 3 2 2 6" xfId="14101"/>
    <cellStyle name="표준 6 3 2 3 2 2 6 2" xfId="36568"/>
    <cellStyle name="표준 6 3 2 3 2 2 7" xfId="21585"/>
    <cellStyle name="표준 6 3 2 3 2 2 7 2" xfId="44050"/>
    <cellStyle name="표준 6 3 2 3 2 2 8" xfId="29086"/>
    <cellStyle name="표준 6 3 2 3 2 3" xfId="6632"/>
    <cellStyle name="표준 6 3 2 3 2 3 2" xfId="6633"/>
    <cellStyle name="표준 6 3 2 3 2 3 2 2" xfId="6634"/>
    <cellStyle name="표준 6 3 2 3 2 3 2 2 2" xfId="6635"/>
    <cellStyle name="표준 6 3 2 3 2 3 2 2 2 2" xfId="6636"/>
    <cellStyle name="표준 6 3 2 3 2 3 2 2 2 2 2" xfId="14121"/>
    <cellStyle name="표준 6 3 2 3 2 3 2 2 2 2 2 2" xfId="36588"/>
    <cellStyle name="표준 6 3 2 3 2 3 2 2 2 2 3" xfId="21605"/>
    <cellStyle name="표준 6 3 2 3 2 3 2 2 2 2 3 2" xfId="44070"/>
    <cellStyle name="표준 6 3 2 3 2 3 2 2 2 2 4" xfId="29106"/>
    <cellStyle name="표준 6 3 2 3 2 3 2 2 2 3" xfId="14120"/>
    <cellStyle name="표준 6 3 2 3 2 3 2 2 2 3 2" xfId="36587"/>
    <cellStyle name="표준 6 3 2 3 2 3 2 2 2 4" xfId="21604"/>
    <cellStyle name="표준 6 3 2 3 2 3 2 2 2 4 2" xfId="44069"/>
    <cellStyle name="표준 6 3 2 3 2 3 2 2 2 5" xfId="29105"/>
    <cellStyle name="표준 6 3 2 3 2 3 2 2 3" xfId="6637"/>
    <cellStyle name="표준 6 3 2 3 2 3 2 2 3 2" xfId="14122"/>
    <cellStyle name="표준 6 3 2 3 2 3 2 2 3 2 2" xfId="36589"/>
    <cellStyle name="표준 6 3 2 3 2 3 2 2 3 3" xfId="21606"/>
    <cellStyle name="표준 6 3 2 3 2 3 2 2 3 3 2" xfId="44071"/>
    <cellStyle name="표준 6 3 2 3 2 3 2 2 3 4" xfId="29107"/>
    <cellStyle name="표준 6 3 2 3 2 3 2 2 4" xfId="14119"/>
    <cellStyle name="표준 6 3 2 3 2 3 2 2 4 2" xfId="36586"/>
    <cellStyle name="표준 6 3 2 3 2 3 2 2 5" xfId="21603"/>
    <cellStyle name="표준 6 3 2 3 2 3 2 2 5 2" xfId="44068"/>
    <cellStyle name="표준 6 3 2 3 2 3 2 2 6" xfId="29104"/>
    <cellStyle name="표준 6 3 2 3 2 3 2 3" xfId="6638"/>
    <cellStyle name="표준 6 3 2 3 2 3 2 3 2" xfId="6639"/>
    <cellStyle name="표준 6 3 2 3 2 3 2 3 2 2" xfId="14124"/>
    <cellStyle name="표준 6 3 2 3 2 3 2 3 2 2 2" xfId="36591"/>
    <cellStyle name="표준 6 3 2 3 2 3 2 3 2 3" xfId="21608"/>
    <cellStyle name="표준 6 3 2 3 2 3 2 3 2 3 2" xfId="44073"/>
    <cellStyle name="표준 6 3 2 3 2 3 2 3 2 4" xfId="29109"/>
    <cellStyle name="표준 6 3 2 3 2 3 2 3 3" xfId="14123"/>
    <cellStyle name="표준 6 3 2 3 2 3 2 3 3 2" xfId="36590"/>
    <cellStyle name="표준 6 3 2 3 2 3 2 3 4" xfId="21607"/>
    <cellStyle name="표준 6 3 2 3 2 3 2 3 4 2" xfId="44072"/>
    <cellStyle name="표준 6 3 2 3 2 3 2 3 5" xfId="29108"/>
    <cellStyle name="표준 6 3 2 3 2 3 2 4" xfId="6640"/>
    <cellStyle name="표준 6 3 2 3 2 3 2 4 2" xfId="14125"/>
    <cellStyle name="표준 6 3 2 3 2 3 2 4 2 2" xfId="36592"/>
    <cellStyle name="표준 6 3 2 3 2 3 2 4 3" xfId="21609"/>
    <cellStyle name="표준 6 3 2 3 2 3 2 4 3 2" xfId="44074"/>
    <cellStyle name="표준 6 3 2 3 2 3 2 4 4" xfId="29110"/>
    <cellStyle name="표준 6 3 2 3 2 3 2 5" xfId="14118"/>
    <cellStyle name="표준 6 3 2 3 2 3 2 5 2" xfId="36585"/>
    <cellStyle name="표준 6 3 2 3 2 3 2 6" xfId="21602"/>
    <cellStyle name="표준 6 3 2 3 2 3 2 6 2" xfId="44067"/>
    <cellStyle name="표준 6 3 2 3 2 3 2 7" xfId="29103"/>
    <cellStyle name="표준 6 3 2 3 2 3 3" xfId="6641"/>
    <cellStyle name="표준 6 3 2 3 2 3 3 2" xfId="6642"/>
    <cellStyle name="표준 6 3 2 3 2 3 3 2 2" xfId="6643"/>
    <cellStyle name="표준 6 3 2 3 2 3 3 2 2 2" xfId="14128"/>
    <cellStyle name="표준 6 3 2 3 2 3 3 2 2 2 2" xfId="36595"/>
    <cellStyle name="표준 6 3 2 3 2 3 3 2 2 3" xfId="21612"/>
    <cellStyle name="표준 6 3 2 3 2 3 3 2 2 3 2" xfId="44077"/>
    <cellStyle name="표준 6 3 2 3 2 3 3 2 2 4" xfId="29113"/>
    <cellStyle name="표준 6 3 2 3 2 3 3 2 3" xfId="14127"/>
    <cellStyle name="표준 6 3 2 3 2 3 3 2 3 2" xfId="36594"/>
    <cellStyle name="표준 6 3 2 3 2 3 3 2 4" xfId="21611"/>
    <cellStyle name="표준 6 3 2 3 2 3 3 2 4 2" xfId="44076"/>
    <cellStyle name="표준 6 3 2 3 2 3 3 2 5" xfId="29112"/>
    <cellStyle name="표준 6 3 2 3 2 3 3 3" xfId="6644"/>
    <cellStyle name="표준 6 3 2 3 2 3 3 3 2" xfId="14129"/>
    <cellStyle name="표준 6 3 2 3 2 3 3 3 2 2" xfId="36596"/>
    <cellStyle name="표준 6 3 2 3 2 3 3 3 3" xfId="21613"/>
    <cellStyle name="표준 6 3 2 3 2 3 3 3 3 2" xfId="44078"/>
    <cellStyle name="표준 6 3 2 3 2 3 3 3 4" xfId="29114"/>
    <cellStyle name="표준 6 3 2 3 2 3 3 4" xfId="14126"/>
    <cellStyle name="표준 6 3 2 3 2 3 3 4 2" xfId="36593"/>
    <cellStyle name="표준 6 3 2 3 2 3 3 5" xfId="21610"/>
    <cellStyle name="표준 6 3 2 3 2 3 3 5 2" xfId="44075"/>
    <cellStyle name="표준 6 3 2 3 2 3 3 6" xfId="29111"/>
    <cellStyle name="표준 6 3 2 3 2 3 4" xfId="6645"/>
    <cellStyle name="표준 6 3 2 3 2 3 4 2" xfId="6646"/>
    <cellStyle name="표준 6 3 2 3 2 3 4 2 2" xfId="14131"/>
    <cellStyle name="표준 6 3 2 3 2 3 4 2 2 2" xfId="36598"/>
    <cellStyle name="표준 6 3 2 3 2 3 4 2 3" xfId="21615"/>
    <cellStyle name="표준 6 3 2 3 2 3 4 2 3 2" xfId="44080"/>
    <cellStyle name="표준 6 3 2 3 2 3 4 2 4" xfId="29116"/>
    <cellStyle name="표준 6 3 2 3 2 3 4 3" xfId="14130"/>
    <cellStyle name="표준 6 3 2 3 2 3 4 3 2" xfId="36597"/>
    <cellStyle name="표준 6 3 2 3 2 3 4 4" xfId="21614"/>
    <cellStyle name="표준 6 3 2 3 2 3 4 4 2" xfId="44079"/>
    <cellStyle name="표준 6 3 2 3 2 3 4 5" xfId="29115"/>
    <cellStyle name="표준 6 3 2 3 2 3 5" xfId="6647"/>
    <cellStyle name="표준 6 3 2 3 2 3 5 2" xfId="14132"/>
    <cellStyle name="표준 6 3 2 3 2 3 5 2 2" xfId="36599"/>
    <cellStyle name="표준 6 3 2 3 2 3 5 3" xfId="21616"/>
    <cellStyle name="표준 6 3 2 3 2 3 5 3 2" xfId="44081"/>
    <cellStyle name="표준 6 3 2 3 2 3 5 4" xfId="29117"/>
    <cellStyle name="표준 6 3 2 3 2 3 6" xfId="14117"/>
    <cellStyle name="표준 6 3 2 3 2 3 6 2" xfId="36584"/>
    <cellStyle name="표준 6 3 2 3 2 3 7" xfId="21601"/>
    <cellStyle name="표준 6 3 2 3 2 3 7 2" xfId="44066"/>
    <cellStyle name="표준 6 3 2 3 2 3 8" xfId="29102"/>
    <cellStyle name="표준 6 3 2 3 2 4" xfId="6648"/>
    <cellStyle name="표준 6 3 2 3 2 4 2" xfId="6649"/>
    <cellStyle name="표준 6 3 2 3 2 4 2 2" xfId="6650"/>
    <cellStyle name="표준 6 3 2 3 2 4 2 2 2" xfId="6651"/>
    <cellStyle name="표준 6 3 2 3 2 4 2 2 2 2" xfId="14136"/>
    <cellStyle name="표준 6 3 2 3 2 4 2 2 2 2 2" xfId="36603"/>
    <cellStyle name="표준 6 3 2 3 2 4 2 2 2 3" xfId="21620"/>
    <cellStyle name="표준 6 3 2 3 2 4 2 2 2 3 2" xfId="44085"/>
    <cellStyle name="표준 6 3 2 3 2 4 2 2 2 4" xfId="29121"/>
    <cellStyle name="표준 6 3 2 3 2 4 2 2 3" xfId="14135"/>
    <cellStyle name="표준 6 3 2 3 2 4 2 2 3 2" xfId="36602"/>
    <cellStyle name="표준 6 3 2 3 2 4 2 2 4" xfId="21619"/>
    <cellStyle name="표준 6 3 2 3 2 4 2 2 4 2" xfId="44084"/>
    <cellStyle name="표준 6 3 2 3 2 4 2 2 5" xfId="29120"/>
    <cellStyle name="표준 6 3 2 3 2 4 2 3" xfId="6652"/>
    <cellStyle name="표준 6 3 2 3 2 4 2 3 2" xfId="14137"/>
    <cellStyle name="표준 6 3 2 3 2 4 2 3 2 2" xfId="36604"/>
    <cellStyle name="표준 6 3 2 3 2 4 2 3 3" xfId="21621"/>
    <cellStyle name="표준 6 3 2 3 2 4 2 3 3 2" xfId="44086"/>
    <cellStyle name="표준 6 3 2 3 2 4 2 3 4" xfId="29122"/>
    <cellStyle name="표준 6 3 2 3 2 4 2 4" xfId="14134"/>
    <cellStyle name="표준 6 3 2 3 2 4 2 4 2" xfId="36601"/>
    <cellStyle name="표준 6 3 2 3 2 4 2 5" xfId="21618"/>
    <cellStyle name="표준 6 3 2 3 2 4 2 5 2" xfId="44083"/>
    <cellStyle name="표준 6 3 2 3 2 4 2 6" xfId="29119"/>
    <cellStyle name="표준 6 3 2 3 2 4 3" xfId="6653"/>
    <cellStyle name="표준 6 3 2 3 2 4 3 2" xfId="6654"/>
    <cellStyle name="표준 6 3 2 3 2 4 3 2 2" xfId="14139"/>
    <cellStyle name="표준 6 3 2 3 2 4 3 2 2 2" xfId="36606"/>
    <cellStyle name="표준 6 3 2 3 2 4 3 2 3" xfId="21623"/>
    <cellStyle name="표준 6 3 2 3 2 4 3 2 3 2" xfId="44088"/>
    <cellStyle name="표준 6 3 2 3 2 4 3 2 4" xfId="29124"/>
    <cellStyle name="표준 6 3 2 3 2 4 3 3" xfId="14138"/>
    <cellStyle name="표준 6 3 2 3 2 4 3 3 2" xfId="36605"/>
    <cellStyle name="표준 6 3 2 3 2 4 3 4" xfId="21622"/>
    <cellStyle name="표준 6 3 2 3 2 4 3 4 2" xfId="44087"/>
    <cellStyle name="표준 6 3 2 3 2 4 3 5" xfId="29123"/>
    <cellStyle name="표준 6 3 2 3 2 4 4" xfId="6655"/>
    <cellStyle name="표준 6 3 2 3 2 4 4 2" xfId="14140"/>
    <cellStyle name="표준 6 3 2 3 2 4 4 2 2" xfId="36607"/>
    <cellStyle name="표준 6 3 2 3 2 4 4 3" xfId="21624"/>
    <cellStyle name="표준 6 3 2 3 2 4 4 3 2" xfId="44089"/>
    <cellStyle name="표준 6 3 2 3 2 4 4 4" xfId="29125"/>
    <cellStyle name="표준 6 3 2 3 2 4 5" xfId="14133"/>
    <cellStyle name="표준 6 3 2 3 2 4 5 2" xfId="36600"/>
    <cellStyle name="표준 6 3 2 3 2 4 6" xfId="21617"/>
    <cellStyle name="표준 6 3 2 3 2 4 6 2" xfId="44082"/>
    <cellStyle name="표준 6 3 2 3 2 4 7" xfId="29118"/>
    <cellStyle name="표준 6 3 2 3 2 5" xfId="6656"/>
    <cellStyle name="표준 6 3 2 3 2 5 2" xfId="6657"/>
    <cellStyle name="표준 6 3 2 3 2 5 2 2" xfId="6658"/>
    <cellStyle name="표준 6 3 2 3 2 5 2 2 2" xfId="14143"/>
    <cellStyle name="표준 6 3 2 3 2 5 2 2 2 2" xfId="36610"/>
    <cellStyle name="표준 6 3 2 3 2 5 2 2 3" xfId="21627"/>
    <cellStyle name="표준 6 3 2 3 2 5 2 2 3 2" xfId="44092"/>
    <cellStyle name="표준 6 3 2 3 2 5 2 2 4" xfId="29128"/>
    <cellStyle name="표준 6 3 2 3 2 5 2 3" xfId="14142"/>
    <cellStyle name="표준 6 3 2 3 2 5 2 3 2" xfId="36609"/>
    <cellStyle name="표준 6 3 2 3 2 5 2 4" xfId="21626"/>
    <cellStyle name="표준 6 3 2 3 2 5 2 4 2" xfId="44091"/>
    <cellStyle name="표준 6 3 2 3 2 5 2 5" xfId="29127"/>
    <cellStyle name="표준 6 3 2 3 2 5 3" xfId="6659"/>
    <cellStyle name="표준 6 3 2 3 2 5 3 2" xfId="14144"/>
    <cellStyle name="표준 6 3 2 3 2 5 3 2 2" xfId="36611"/>
    <cellStyle name="표준 6 3 2 3 2 5 3 3" xfId="21628"/>
    <cellStyle name="표준 6 3 2 3 2 5 3 3 2" xfId="44093"/>
    <cellStyle name="표준 6 3 2 3 2 5 3 4" xfId="29129"/>
    <cellStyle name="표준 6 3 2 3 2 5 4" xfId="14141"/>
    <cellStyle name="표준 6 3 2 3 2 5 4 2" xfId="36608"/>
    <cellStyle name="표준 6 3 2 3 2 5 5" xfId="21625"/>
    <cellStyle name="표준 6 3 2 3 2 5 5 2" xfId="44090"/>
    <cellStyle name="표준 6 3 2 3 2 5 6" xfId="29126"/>
    <cellStyle name="표준 6 3 2 3 2 6" xfId="6660"/>
    <cellStyle name="표준 6 3 2 3 2 6 2" xfId="6661"/>
    <cellStyle name="표준 6 3 2 3 2 6 2 2" xfId="14146"/>
    <cellStyle name="표준 6 3 2 3 2 6 2 2 2" xfId="36613"/>
    <cellStyle name="표준 6 3 2 3 2 6 2 3" xfId="21630"/>
    <cellStyle name="표준 6 3 2 3 2 6 2 3 2" xfId="44095"/>
    <cellStyle name="표준 6 3 2 3 2 6 2 4" xfId="29131"/>
    <cellStyle name="표준 6 3 2 3 2 6 3" xfId="14145"/>
    <cellStyle name="표준 6 3 2 3 2 6 3 2" xfId="36612"/>
    <cellStyle name="표준 6 3 2 3 2 6 4" xfId="21629"/>
    <cellStyle name="표준 6 3 2 3 2 6 4 2" xfId="44094"/>
    <cellStyle name="표준 6 3 2 3 2 6 5" xfId="29130"/>
    <cellStyle name="표준 6 3 2 3 2 7" xfId="6662"/>
    <cellStyle name="표준 6 3 2 3 2 7 2" xfId="14147"/>
    <cellStyle name="표준 6 3 2 3 2 7 2 2" xfId="36614"/>
    <cellStyle name="표준 6 3 2 3 2 7 3" xfId="21631"/>
    <cellStyle name="표준 6 3 2 3 2 7 3 2" xfId="44096"/>
    <cellStyle name="표준 6 3 2 3 2 7 4" xfId="29132"/>
    <cellStyle name="표준 6 3 2 3 2 8" xfId="14100"/>
    <cellStyle name="표준 6 3 2 3 2 8 2" xfId="36567"/>
    <cellStyle name="표준 6 3 2 3 2 9" xfId="21584"/>
    <cellStyle name="표준 6 3 2 3 2 9 2" xfId="44049"/>
    <cellStyle name="표준 6 3 2 3 3" xfId="6663"/>
    <cellStyle name="표준 6 3 2 3 3 2" xfId="6664"/>
    <cellStyle name="표준 6 3 2 3 3 2 2" xfId="6665"/>
    <cellStyle name="표준 6 3 2 3 3 2 2 2" xfId="6666"/>
    <cellStyle name="표준 6 3 2 3 3 2 2 2 2" xfId="6667"/>
    <cellStyle name="표준 6 3 2 3 3 2 2 2 2 2" xfId="14152"/>
    <cellStyle name="표준 6 3 2 3 3 2 2 2 2 2 2" xfId="36619"/>
    <cellStyle name="표준 6 3 2 3 3 2 2 2 2 3" xfId="21636"/>
    <cellStyle name="표준 6 3 2 3 3 2 2 2 2 3 2" xfId="44101"/>
    <cellStyle name="표준 6 3 2 3 3 2 2 2 2 4" xfId="29137"/>
    <cellStyle name="표준 6 3 2 3 3 2 2 2 3" xfId="14151"/>
    <cellStyle name="표준 6 3 2 3 3 2 2 2 3 2" xfId="36618"/>
    <cellStyle name="표준 6 3 2 3 3 2 2 2 4" xfId="21635"/>
    <cellStyle name="표준 6 3 2 3 3 2 2 2 4 2" xfId="44100"/>
    <cellStyle name="표준 6 3 2 3 3 2 2 2 5" xfId="29136"/>
    <cellStyle name="표준 6 3 2 3 3 2 2 3" xfId="6668"/>
    <cellStyle name="표준 6 3 2 3 3 2 2 3 2" xfId="14153"/>
    <cellStyle name="표준 6 3 2 3 3 2 2 3 2 2" xfId="36620"/>
    <cellStyle name="표준 6 3 2 3 3 2 2 3 3" xfId="21637"/>
    <cellStyle name="표준 6 3 2 3 3 2 2 3 3 2" xfId="44102"/>
    <cellStyle name="표준 6 3 2 3 3 2 2 3 4" xfId="29138"/>
    <cellStyle name="표준 6 3 2 3 3 2 2 4" xfId="14150"/>
    <cellStyle name="표준 6 3 2 3 3 2 2 4 2" xfId="36617"/>
    <cellStyle name="표준 6 3 2 3 3 2 2 5" xfId="21634"/>
    <cellStyle name="표준 6 3 2 3 3 2 2 5 2" xfId="44099"/>
    <cellStyle name="표준 6 3 2 3 3 2 2 6" xfId="29135"/>
    <cellStyle name="표준 6 3 2 3 3 2 3" xfId="6669"/>
    <cellStyle name="표준 6 3 2 3 3 2 3 2" xfId="6670"/>
    <cellStyle name="표준 6 3 2 3 3 2 3 2 2" xfId="14155"/>
    <cellStyle name="표준 6 3 2 3 3 2 3 2 2 2" xfId="36622"/>
    <cellStyle name="표준 6 3 2 3 3 2 3 2 3" xfId="21639"/>
    <cellStyle name="표준 6 3 2 3 3 2 3 2 3 2" xfId="44104"/>
    <cellStyle name="표준 6 3 2 3 3 2 3 2 4" xfId="29140"/>
    <cellStyle name="표준 6 3 2 3 3 2 3 3" xfId="14154"/>
    <cellStyle name="표준 6 3 2 3 3 2 3 3 2" xfId="36621"/>
    <cellStyle name="표준 6 3 2 3 3 2 3 4" xfId="21638"/>
    <cellStyle name="표준 6 3 2 3 3 2 3 4 2" xfId="44103"/>
    <cellStyle name="표준 6 3 2 3 3 2 3 5" xfId="29139"/>
    <cellStyle name="표준 6 3 2 3 3 2 4" xfId="6671"/>
    <cellStyle name="표준 6 3 2 3 3 2 4 2" xfId="14156"/>
    <cellStyle name="표준 6 3 2 3 3 2 4 2 2" xfId="36623"/>
    <cellStyle name="표준 6 3 2 3 3 2 4 3" xfId="21640"/>
    <cellStyle name="표준 6 3 2 3 3 2 4 3 2" xfId="44105"/>
    <cellStyle name="표준 6 3 2 3 3 2 4 4" xfId="29141"/>
    <cellStyle name="표준 6 3 2 3 3 2 5" xfId="14149"/>
    <cellStyle name="표준 6 3 2 3 3 2 5 2" xfId="36616"/>
    <cellStyle name="표준 6 3 2 3 3 2 6" xfId="21633"/>
    <cellStyle name="표준 6 3 2 3 3 2 6 2" xfId="44098"/>
    <cellStyle name="표준 6 3 2 3 3 2 7" xfId="29134"/>
    <cellStyle name="표준 6 3 2 3 3 3" xfId="6672"/>
    <cellStyle name="표준 6 3 2 3 3 3 2" xfId="6673"/>
    <cellStyle name="표준 6 3 2 3 3 3 2 2" xfId="6674"/>
    <cellStyle name="표준 6 3 2 3 3 3 2 2 2" xfId="14159"/>
    <cellStyle name="표준 6 3 2 3 3 3 2 2 2 2" xfId="36626"/>
    <cellStyle name="표준 6 3 2 3 3 3 2 2 3" xfId="21643"/>
    <cellStyle name="표준 6 3 2 3 3 3 2 2 3 2" xfId="44108"/>
    <cellStyle name="표준 6 3 2 3 3 3 2 2 4" xfId="29144"/>
    <cellStyle name="표준 6 3 2 3 3 3 2 3" xfId="14158"/>
    <cellStyle name="표준 6 3 2 3 3 3 2 3 2" xfId="36625"/>
    <cellStyle name="표준 6 3 2 3 3 3 2 4" xfId="21642"/>
    <cellStyle name="표준 6 3 2 3 3 3 2 4 2" xfId="44107"/>
    <cellStyle name="표준 6 3 2 3 3 3 2 5" xfId="29143"/>
    <cellStyle name="표준 6 3 2 3 3 3 3" xfId="6675"/>
    <cellStyle name="표준 6 3 2 3 3 3 3 2" xfId="14160"/>
    <cellStyle name="표준 6 3 2 3 3 3 3 2 2" xfId="36627"/>
    <cellStyle name="표준 6 3 2 3 3 3 3 3" xfId="21644"/>
    <cellStyle name="표준 6 3 2 3 3 3 3 3 2" xfId="44109"/>
    <cellStyle name="표준 6 3 2 3 3 3 3 4" xfId="29145"/>
    <cellStyle name="표준 6 3 2 3 3 3 4" xfId="14157"/>
    <cellStyle name="표준 6 3 2 3 3 3 4 2" xfId="36624"/>
    <cellStyle name="표준 6 3 2 3 3 3 5" xfId="21641"/>
    <cellStyle name="표준 6 3 2 3 3 3 5 2" xfId="44106"/>
    <cellStyle name="표준 6 3 2 3 3 3 6" xfId="29142"/>
    <cellStyle name="표준 6 3 2 3 3 4" xfId="6676"/>
    <cellStyle name="표준 6 3 2 3 3 4 2" xfId="6677"/>
    <cellStyle name="표준 6 3 2 3 3 4 2 2" xfId="14162"/>
    <cellStyle name="표준 6 3 2 3 3 4 2 2 2" xfId="36629"/>
    <cellStyle name="표준 6 3 2 3 3 4 2 3" xfId="21646"/>
    <cellStyle name="표준 6 3 2 3 3 4 2 3 2" xfId="44111"/>
    <cellStyle name="표준 6 3 2 3 3 4 2 4" xfId="29147"/>
    <cellStyle name="표준 6 3 2 3 3 4 3" xfId="14161"/>
    <cellStyle name="표준 6 3 2 3 3 4 3 2" xfId="36628"/>
    <cellStyle name="표준 6 3 2 3 3 4 4" xfId="21645"/>
    <cellStyle name="표준 6 3 2 3 3 4 4 2" xfId="44110"/>
    <cellStyle name="표준 6 3 2 3 3 4 5" xfId="29146"/>
    <cellStyle name="표준 6 3 2 3 3 5" xfId="6678"/>
    <cellStyle name="표준 6 3 2 3 3 5 2" xfId="14163"/>
    <cellStyle name="표준 6 3 2 3 3 5 2 2" xfId="36630"/>
    <cellStyle name="표준 6 3 2 3 3 5 3" xfId="21647"/>
    <cellStyle name="표준 6 3 2 3 3 5 3 2" xfId="44112"/>
    <cellStyle name="표준 6 3 2 3 3 5 4" xfId="29148"/>
    <cellStyle name="표준 6 3 2 3 3 6" xfId="14148"/>
    <cellStyle name="표준 6 3 2 3 3 6 2" xfId="36615"/>
    <cellStyle name="표준 6 3 2 3 3 7" xfId="21632"/>
    <cellStyle name="표준 6 3 2 3 3 7 2" xfId="44097"/>
    <cellStyle name="표준 6 3 2 3 3 8" xfId="29133"/>
    <cellStyle name="표준 6 3 2 3 4" xfId="6679"/>
    <cellStyle name="표준 6 3 2 3 4 2" xfId="6680"/>
    <cellStyle name="표준 6 3 2 3 4 2 2" xfId="6681"/>
    <cellStyle name="표준 6 3 2 3 4 2 2 2" xfId="6682"/>
    <cellStyle name="표준 6 3 2 3 4 2 2 2 2" xfId="6683"/>
    <cellStyle name="표준 6 3 2 3 4 2 2 2 2 2" xfId="14168"/>
    <cellStyle name="표준 6 3 2 3 4 2 2 2 2 2 2" xfId="36635"/>
    <cellStyle name="표준 6 3 2 3 4 2 2 2 2 3" xfId="21652"/>
    <cellStyle name="표준 6 3 2 3 4 2 2 2 2 3 2" xfId="44117"/>
    <cellStyle name="표준 6 3 2 3 4 2 2 2 2 4" xfId="29153"/>
    <cellStyle name="표준 6 3 2 3 4 2 2 2 3" xfId="14167"/>
    <cellStyle name="표준 6 3 2 3 4 2 2 2 3 2" xfId="36634"/>
    <cellStyle name="표준 6 3 2 3 4 2 2 2 4" xfId="21651"/>
    <cellStyle name="표준 6 3 2 3 4 2 2 2 4 2" xfId="44116"/>
    <cellStyle name="표준 6 3 2 3 4 2 2 2 5" xfId="29152"/>
    <cellStyle name="표준 6 3 2 3 4 2 2 3" xfId="6684"/>
    <cellStyle name="표준 6 3 2 3 4 2 2 3 2" xfId="14169"/>
    <cellStyle name="표준 6 3 2 3 4 2 2 3 2 2" xfId="36636"/>
    <cellStyle name="표준 6 3 2 3 4 2 2 3 3" xfId="21653"/>
    <cellStyle name="표준 6 3 2 3 4 2 2 3 3 2" xfId="44118"/>
    <cellStyle name="표준 6 3 2 3 4 2 2 3 4" xfId="29154"/>
    <cellStyle name="표준 6 3 2 3 4 2 2 4" xfId="14166"/>
    <cellStyle name="표준 6 3 2 3 4 2 2 4 2" xfId="36633"/>
    <cellStyle name="표준 6 3 2 3 4 2 2 5" xfId="21650"/>
    <cellStyle name="표준 6 3 2 3 4 2 2 5 2" xfId="44115"/>
    <cellStyle name="표준 6 3 2 3 4 2 2 6" xfId="29151"/>
    <cellStyle name="표준 6 3 2 3 4 2 3" xfId="6685"/>
    <cellStyle name="표준 6 3 2 3 4 2 3 2" xfId="6686"/>
    <cellStyle name="표준 6 3 2 3 4 2 3 2 2" xfId="14171"/>
    <cellStyle name="표준 6 3 2 3 4 2 3 2 2 2" xfId="36638"/>
    <cellStyle name="표준 6 3 2 3 4 2 3 2 3" xfId="21655"/>
    <cellStyle name="표준 6 3 2 3 4 2 3 2 3 2" xfId="44120"/>
    <cellStyle name="표준 6 3 2 3 4 2 3 2 4" xfId="29156"/>
    <cellStyle name="표준 6 3 2 3 4 2 3 3" xfId="14170"/>
    <cellStyle name="표준 6 3 2 3 4 2 3 3 2" xfId="36637"/>
    <cellStyle name="표준 6 3 2 3 4 2 3 4" xfId="21654"/>
    <cellStyle name="표준 6 3 2 3 4 2 3 4 2" xfId="44119"/>
    <cellStyle name="표준 6 3 2 3 4 2 3 5" xfId="29155"/>
    <cellStyle name="표준 6 3 2 3 4 2 4" xfId="6687"/>
    <cellStyle name="표준 6 3 2 3 4 2 4 2" xfId="14172"/>
    <cellStyle name="표준 6 3 2 3 4 2 4 2 2" xfId="36639"/>
    <cellStyle name="표준 6 3 2 3 4 2 4 3" xfId="21656"/>
    <cellStyle name="표준 6 3 2 3 4 2 4 3 2" xfId="44121"/>
    <cellStyle name="표준 6 3 2 3 4 2 4 4" xfId="29157"/>
    <cellStyle name="표준 6 3 2 3 4 2 5" xfId="14165"/>
    <cellStyle name="표준 6 3 2 3 4 2 5 2" xfId="36632"/>
    <cellStyle name="표준 6 3 2 3 4 2 6" xfId="21649"/>
    <cellStyle name="표준 6 3 2 3 4 2 6 2" xfId="44114"/>
    <cellStyle name="표준 6 3 2 3 4 2 7" xfId="29150"/>
    <cellStyle name="표준 6 3 2 3 4 3" xfId="6688"/>
    <cellStyle name="표준 6 3 2 3 4 3 2" xfId="6689"/>
    <cellStyle name="표준 6 3 2 3 4 3 2 2" xfId="6690"/>
    <cellStyle name="표준 6 3 2 3 4 3 2 2 2" xfId="14175"/>
    <cellStyle name="표준 6 3 2 3 4 3 2 2 2 2" xfId="36642"/>
    <cellStyle name="표준 6 3 2 3 4 3 2 2 3" xfId="21659"/>
    <cellStyle name="표준 6 3 2 3 4 3 2 2 3 2" xfId="44124"/>
    <cellStyle name="표준 6 3 2 3 4 3 2 2 4" xfId="29160"/>
    <cellStyle name="표준 6 3 2 3 4 3 2 3" xfId="14174"/>
    <cellStyle name="표준 6 3 2 3 4 3 2 3 2" xfId="36641"/>
    <cellStyle name="표준 6 3 2 3 4 3 2 4" xfId="21658"/>
    <cellStyle name="표준 6 3 2 3 4 3 2 4 2" xfId="44123"/>
    <cellStyle name="표준 6 3 2 3 4 3 2 5" xfId="29159"/>
    <cellStyle name="표준 6 3 2 3 4 3 3" xfId="6691"/>
    <cellStyle name="표준 6 3 2 3 4 3 3 2" xfId="14176"/>
    <cellStyle name="표준 6 3 2 3 4 3 3 2 2" xfId="36643"/>
    <cellStyle name="표준 6 3 2 3 4 3 3 3" xfId="21660"/>
    <cellStyle name="표준 6 3 2 3 4 3 3 3 2" xfId="44125"/>
    <cellStyle name="표준 6 3 2 3 4 3 3 4" xfId="29161"/>
    <cellStyle name="표준 6 3 2 3 4 3 4" xfId="14173"/>
    <cellStyle name="표준 6 3 2 3 4 3 4 2" xfId="36640"/>
    <cellStyle name="표준 6 3 2 3 4 3 5" xfId="21657"/>
    <cellStyle name="표준 6 3 2 3 4 3 5 2" xfId="44122"/>
    <cellStyle name="표준 6 3 2 3 4 3 6" xfId="29158"/>
    <cellStyle name="표준 6 3 2 3 4 4" xfId="6692"/>
    <cellStyle name="표준 6 3 2 3 4 4 2" xfId="6693"/>
    <cellStyle name="표준 6 3 2 3 4 4 2 2" xfId="14178"/>
    <cellStyle name="표준 6 3 2 3 4 4 2 2 2" xfId="36645"/>
    <cellStyle name="표준 6 3 2 3 4 4 2 3" xfId="21662"/>
    <cellStyle name="표준 6 3 2 3 4 4 2 3 2" xfId="44127"/>
    <cellStyle name="표준 6 3 2 3 4 4 2 4" xfId="29163"/>
    <cellStyle name="표준 6 3 2 3 4 4 3" xfId="14177"/>
    <cellStyle name="표준 6 3 2 3 4 4 3 2" xfId="36644"/>
    <cellStyle name="표준 6 3 2 3 4 4 4" xfId="21661"/>
    <cellStyle name="표준 6 3 2 3 4 4 4 2" xfId="44126"/>
    <cellStyle name="표준 6 3 2 3 4 4 5" xfId="29162"/>
    <cellStyle name="표준 6 3 2 3 4 5" xfId="6694"/>
    <cellStyle name="표준 6 3 2 3 4 5 2" xfId="14179"/>
    <cellStyle name="표준 6 3 2 3 4 5 2 2" xfId="36646"/>
    <cellStyle name="표준 6 3 2 3 4 5 3" xfId="21663"/>
    <cellStyle name="표준 6 3 2 3 4 5 3 2" xfId="44128"/>
    <cellStyle name="표준 6 3 2 3 4 5 4" xfId="29164"/>
    <cellStyle name="표준 6 3 2 3 4 6" xfId="14164"/>
    <cellStyle name="표준 6 3 2 3 4 6 2" xfId="36631"/>
    <cellStyle name="표준 6 3 2 3 4 7" xfId="21648"/>
    <cellStyle name="표준 6 3 2 3 4 7 2" xfId="44113"/>
    <cellStyle name="표준 6 3 2 3 4 8" xfId="29149"/>
    <cellStyle name="표준 6 3 2 3 5" xfId="6695"/>
    <cellStyle name="표준 6 3 2 3 5 2" xfId="6696"/>
    <cellStyle name="표준 6 3 2 3 5 2 2" xfId="6697"/>
    <cellStyle name="표준 6 3 2 3 5 2 2 2" xfId="6698"/>
    <cellStyle name="표준 6 3 2 3 5 2 2 2 2" xfId="14183"/>
    <cellStyle name="표준 6 3 2 3 5 2 2 2 2 2" xfId="36650"/>
    <cellStyle name="표준 6 3 2 3 5 2 2 2 3" xfId="21667"/>
    <cellStyle name="표준 6 3 2 3 5 2 2 2 3 2" xfId="44132"/>
    <cellStyle name="표준 6 3 2 3 5 2 2 2 4" xfId="29168"/>
    <cellStyle name="표준 6 3 2 3 5 2 2 3" xfId="14182"/>
    <cellStyle name="표준 6 3 2 3 5 2 2 3 2" xfId="36649"/>
    <cellStyle name="표준 6 3 2 3 5 2 2 4" xfId="21666"/>
    <cellStyle name="표준 6 3 2 3 5 2 2 4 2" xfId="44131"/>
    <cellStyle name="표준 6 3 2 3 5 2 2 5" xfId="29167"/>
    <cellStyle name="표준 6 3 2 3 5 2 3" xfId="6699"/>
    <cellStyle name="표준 6 3 2 3 5 2 3 2" xfId="14184"/>
    <cellStyle name="표준 6 3 2 3 5 2 3 2 2" xfId="36651"/>
    <cellStyle name="표준 6 3 2 3 5 2 3 3" xfId="21668"/>
    <cellStyle name="표준 6 3 2 3 5 2 3 3 2" xfId="44133"/>
    <cellStyle name="표준 6 3 2 3 5 2 3 4" xfId="29169"/>
    <cellStyle name="표준 6 3 2 3 5 2 4" xfId="14181"/>
    <cellStyle name="표준 6 3 2 3 5 2 4 2" xfId="36648"/>
    <cellStyle name="표준 6 3 2 3 5 2 5" xfId="21665"/>
    <cellStyle name="표준 6 3 2 3 5 2 5 2" xfId="44130"/>
    <cellStyle name="표준 6 3 2 3 5 2 6" xfId="29166"/>
    <cellStyle name="표준 6 3 2 3 5 3" xfId="6700"/>
    <cellStyle name="표준 6 3 2 3 5 3 2" xfId="6701"/>
    <cellStyle name="표준 6 3 2 3 5 3 2 2" xfId="14186"/>
    <cellStyle name="표준 6 3 2 3 5 3 2 2 2" xfId="36653"/>
    <cellStyle name="표준 6 3 2 3 5 3 2 3" xfId="21670"/>
    <cellStyle name="표준 6 3 2 3 5 3 2 3 2" xfId="44135"/>
    <cellStyle name="표준 6 3 2 3 5 3 2 4" xfId="29171"/>
    <cellStyle name="표준 6 3 2 3 5 3 3" xfId="14185"/>
    <cellStyle name="표준 6 3 2 3 5 3 3 2" xfId="36652"/>
    <cellStyle name="표준 6 3 2 3 5 3 4" xfId="21669"/>
    <cellStyle name="표준 6 3 2 3 5 3 4 2" xfId="44134"/>
    <cellStyle name="표준 6 3 2 3 5 3 5" xfId="29170"/>
    <cellStyle name="표준 6 3 2 3 5 4" xfId="6702"/>
    <cellStyle name="표준 6 3 2 3 5 4 2" xfId="14187"/>
    <cellStyle name="표준 6 3 2 3 5 4 2 2" xfId="36654"/>
    <cellStyle name="표준 6 3 2 3 5 4 3" xfId="21671"/>
    <cellStyle name="표준 6 3 2 3 5 4 3 2" xfId="44136"/>
    <cellStyle name="표준 6 3 2 3 5 4 4" xfId="29172"/>
    <cellStyle name="표준 6 3 2 3 5 5" xfId="14180"/>
    <cellStyle name="표준 6 3 2 3 5 5 2" xfId="36647"/>
    <cellStyle name="표준 6 3 2 3 5 6" xfId="21664"/>
    <cellStyle name="표준 6 3 2 3 5 6 2" xfId="44129"/>
    <cellStyle name="표준 6 3 2 3 5 7" xfId="29165"/>
    <cellStyle name="표준 6 3 2 3 6" xfId="6703"/>
    <cellStyle name="표준 6 3 2 3 6 2" xfId="6704"/>
    <cellStyle name="표준 6 3 2 3 6 2 2" xfId="6705"/>
    <cellStyle name="표준 6 3 2 3 6 2 2 2" xfId="14190"/>
    <cellStyle name="표준 6 3 2 3 6 2 2 2 2" xfId="36657"/>
    <cellStyle name="표준 6 3 2 3 6 2 2 3" xfId="21674"/>
    <cellStyle name="표준 6 3 2 3 6 2 2 3 2" xfId="44139"/>
    <cellStyle name="표준 6 3 2 3 6 2 2 4" xfId="29175"/>
    <cellStyle name="표준 6 3 2 3 6 2 3" xfId="14189"/>
    <cellStyle name="표준 6 3 2 3 6 2 3 2" xfId="36656"/>
    <cellStyle name="표준 6 3 2 3 6 2 4" xfId="21673"/>
    <cellStyle name="표준 6 3 2 3 6 2 4 2" xfId="44138"/>
    <cellStyle name="표준 6 3 2 3 6 2 5" xfId="29174"/>
    <cellStyle name="표준 6 3 2 3 6 3" xfId="6706"/>
    <cellStyle name="표준 6 3 2 3 6 3 2" xfId="14191"/>
    <cellStyle name="표준 6 3 2 3 6 3 2 2" xfId="36658"/>
    <cellStyle name="표준 6 3 2 3 6 3 3" xfId="21675"/>
    <cellStyle name="표준 6 3 2 3 6 3 3 2" xfId="44140"/>
    <cellStyle name="표준 6 3 2 3 6 3 4" xfId="29176"/>
    <cellStyle name="표준 6 3 2 3 6 4" xfId="14188"/>
    <cellStyle name="표준 6 3 2 3 6 4 2" xfId="36655"/>
    <cellStyle name="표준 6 3 2 3 6 5" xfId="21672"/>
    <cellStyle name="표준 6 3 2 3 6 5 2" xfId="44137"/>
    <cellStyle name="표준 6 3 2 3 6 6" xfId="29173"/>
    <cellStyle name="표준 6 3 2 3 7" xfId="6707"/>
    <cellStyle name="표준 6 3 2 3 7 2" xfId="6708"/>
    <cellStyle name="표준 6 3 2 3 7 2 2" xfId="6709"/>
    <cellStyle name="표준 6 3 2 3 7 2 2 2" xfId="14194"/>
    <cellStyle name="표준 6 3 2 3 7 2 2 2 2" xfId="36661"/>
    <cellStyle name="표준 6 3 2 3 7 2 2 3" xfId="21678"/>
    <cellStyle name="표준 6 3 2 3 7 2 2 3 2" xfId="44143"/>
    <cellStyle name="표준 6 3 2 3 7 2 2 4" xfId="29179"/>
    <cellStyle name="표준 6 3 2 3 7 2 3" xfId="14193"/>
    <cellStyle name="표준 6 3 2 3 7 2 3 2" xfId="36660"/>
    <cellStyle name="표준 6 3 2 3 7 2 4" xfId="21677"/>
    <cellStyle name="표준 6 3 2 3 7 2 4 2" xfId="44142"/>
    <cellStyle name="표준 6 3 2 3 7 2 5" xfId="29178"/>
    <cellStyle name="표준 6 3 2 3 7 3" xfId="6710"/>
    <cellStyle name="표준 6 3 2 3 7 3 2" xfId="14195"/>
    <cellStyle name="표준 6 3 2 3 7 3 2 2" xfId="36662"/>
    <cellStyle name="표준 6 3 2 3 7 3 3" xfId="21679"/>
    <cellStyle name="표준 6 3 2 3 7 3 3 2" xfId="44144"/>
    <cellStyle name="표준 6 3 2 3 7 3 4" xfId="29180"/>
    <cellStyle name="표준 6 3 2 3 7 4" xfId="14192"/>
    <cellStyle name="표준 6 3 2 3 7 4 2" xfId="36659"/>
    <cellStyle name="표준 6 3 2 3 7 5" xfId="21676"/>
    <cellStyle name="표준 6 3 2 3 7 5 2" xfId="44141"/>
    <cellStyle name="표준 6 3 2 3 7 6" xfId="29177"/>
    <cellStyle name="표준 6 3 2 3 8" xfId="6711"/>
    <cellStyle name="표준 6 3 2 3 8 2" xfId="6712"/>
    <cellStyle name="표준 6 3 2 3 8 2 2" xfId="14197"/>
    <cellStyle name="표준 6 3 2 3 8 2 2 2" xfId="36664"/>
    <cellStyle name="표준 6 3 2 3 8 2 3" xfId="21681"/>
    <cellStyle name="표준 6 3 2 3 8 2 3 2" xfId="44146"/>
    <cellStyle name="표준 6 3 2 3 8 2 4" xfId="29182"/>
    <cellStyle name="표준 6 3 2 3 8 3" xfId="14196"/>
    <cellStyle name="표준 6 3 2 3 8 3 2" xfId="36663"/>
    <cellStyle name="표준 6 3 2 3 8 4" xfId="21680"/>
    <cellStyle name="표준 6 3 2 3 8 4 2" xfId="44145"/>
    <cellStyle name="표준 6 3 2 3 8 5" xfId="29181"/>
    <cellStyle name="표준 6 3 2 3 9" xfId="6713"/>
    <cellStyle name="표준 6 3 2 3 9 2" xfId="14198"/>
    <cellStyle name="표준 6 3 2 3 9 2 2" xfId="36665"/>
    <cellStyle name="표준 6 3 2 3 9 3" xfId="21682"/>
    <cellStyle name="표준 6 3 2 3 9 3 2" xfId="44147"/>
    <cellStyle name="표준 6 3 2 3 9 4" xfId="29183"/>
    <cellStyle name="표준 6 3 2 4" xfId="6714"/>
    <cellStyle name="표준 6 3 2 4 10" xfId="21683"/>
    <cellStyle name="표준 6 3 2 4 10 2" xfId="44148"/>
    <cellStyle name="표준 6 3 2 4 11" xfId="29184"/>
    <cellStyle name="표준 6 3 2 4 2" xfId="6715"/>
    <cellStyle name="표준 6 3 2 4 2 10" xfId="29185"/>
    <cellStyle name="표준 6 3 2 4 2 2" xfId="6716"/>
    <cellStyle name="표준 6 3 2 4 2 2 2" xfId="6717"/>
    <cellStyle name="표준 6 3 2 4 2 2 2 2" xfId="6718"/>
    <cellStyle name="표준 6 3 2 4 2 2 2 2 2" xfId="6719"/>
    <cellStyle name="표준 6 3 2 4 2 2 2 2 2 2" xfId="6720"/>
    <cellStyle name="표준 6 3 2 4 2 2 2 2 2 2 2" xfId="14205"/>
    <cellStyle name="표준 6 3 2 4 2 2 2 2 2 2 2 2" xfId="36672"/>
    <cellStyle name="표준 6 3 2 4 2 2 2 2 2 2 3" xfId="21689"/>
    <cellStyle name="표준 6 3 2 4 2 2 2 2 2 2 3 2" xfId="44154"/>
    <cellStyle name="표준 6 3 2 4 2 2 2 2 2 2 4" xfId="29190"/>
    <cellStyle name="표준 6 3 2 4 2 2 2 2 2 3" xfId="14204"/>
    <cellStyle name="표준 6 3 2 4 2 2 2 2 2 3 2" xfId="36671"/>
    <cellStyle name="표준 6 3 2 4 2 2 2 2 2 4" xfId="21688"/>
    <cellStyle name="표준 6 3 2 4 2 2 2 2 2 4 2" xfId="44153"/>
    <cellStyle name="표준 6 3 2 4 2 2 2 2 2 5" xfId="29189"/>
    <cellStyle name="표준 6 3 2 4 2 2 2 2 3" xfId="6721"/>
    <cellStyle name="표준 6 3 2 4 2 2 2 2 3 2" xfId="14206"/>
    <cellStyle name="표준 6 3 2 4 2 2 2 2 3 2 2" xfId="36673"/>
    <cellStyle name="표준 6 3 2 4 2 2 2 2 3 3" xfId="21690"/>
    <cellStyle name="표준 6 3 2 4 2 2 2 2 3 3 2" xfId="44155"/>
    <cellStyle name="표준 6 3 2 4 2 2 2 2 3 4" xfId="29191"/>
    <cellStyle name="표준 6 3 2 4 2 2 2 2 4" xfId="14203"/>
    <cellStyle name="표준 6 3 2 4 2 2 2 2 4 2" xfId="36670"/>
    <cellStyle name="표준 6 3 2 4 2 2 2 2 5" xfId="21687"/>
    <cellStyle name="표준 6 3 2 4 2 2 2 2 5 2" xfId="44152"/>
    <cellStyle name="표준 6 3 2 4 2 2 2 2 6" xfId="29188"/>
    <cellStyle name="표준 6 3 2 4 2 2 2 3" xfId="6722"/>
    <cellStyle name="표준 6 3 2 4 2 2 2 3 2" xfId="6723"/>
    <cellStyle name="표준 6 3 2 4 2 2 2 3 2 2" xfId="14208"/>
    <cellStyle name="표준 6 3 2 4 2 2 2 3 2 2 2" xfId="36675"/>
    <cellStyle name="표준 6 3 2 4 2 2 2 3 2 3" xfId="21692"/>
    <cellStyle name="표준 6 3 2 4 2 2 2 3 2 3 2" xfId="44157"/>
    <cellStyle name="표준 6 3 2 4 2 2 2 3 2 4" xfId="29193"/>
    <cellStyle name="표준 6 3 2 4 2 2 2 3 3" xfId="14207"/>
    <cellStyle name="표준 6 3 2 4 2 2 2 3 3 2" xfId="36674"/>
    <cellStyle name="표준 6 3 2 4 2 2 2 3 4" xfId="21691"/>
    <cellStyle name="표준 6 3 2 4 2 2 2 3 4 2" xfId="44156"/>
    <cellStyle name="표준 6 3 2 4 2 2 2 3 5" xfId="29192"/>
    <cellStyle name="표준 6 3 2 4 2 2 2 4" xfId="6724"/>
    <cellStyle name="표준 6 3 2 4 2 2 2 4 2" xfId="14209"/>
    <cellStyle name="표준 6 3 2 4 2 2 2 4 2 2" xfId="36676"/>
    <cellStyle name="표준 6 3 2 4 2 2 2 4 3" xfId="21693"/>
    <cellStyle name="표준 6 3 2 4 2 2 2 4 3 2" xfId="44158"/>
    <cellStyle name="표준 6 3 2 4 2 2 2 4 4" xfId="29194"/>
    <cellStyle name="표준 6 3 2 4 2 2 2 5" xfId="14202"/>
    <cellStyle name="표준 6 3 2 4 2 2 2 5 2" xfId="36669"/>
    <cellStyle name="표준 6 3 2 4 2 2 2 6" xfId="21686"/>
    <cellStyle name="표준 6 3 2 4 2 2 2 6 2" xfId="44151"/>
    <cellStyle name="표준 6 3 2 4 2 2 2 7" xfId="29187"/>
    <cellStyle name="표준 6 3 2 4 2 2 3" xfId="6725"/>
    <cellStyle name="표준 6 3 2 4 2 2 3 2" xfId="6726"/>
    <cellStyle name="표준 6 3 2 4 2 2 3 2 2" xfId="6727"/>
    <cellStyle name="표준 6 3 2 4 2 2 3 2 2 2" xfId="14212"/>
    <cellStyle name="표준 6 3 2 4 2 2 3 2 2 2 2" xfId="36679"/>
    <cellStyle name="표준 6 3 2 4 2 2 3 2 2 3" xfId="21696"/>
    <cellStyle name="표준 6 3 2 4 2 2 3 2 2 3 2" xfId="44161"/>
    <cellStyle name="표준 6 3 2 4 2 2 3 2 2 4" xfId="29197"/>
    <cellStyle name="표준 6 3 2 4 2 2 3 2 3" xfId="14211"/>
    <cellStyle name="표준 6 3 2 4 2 2 3 2 3 2" xfId="36678"/>
    <cellStyle name="표준 6 3 2 4 2 2 3 2 4" xfId="21695"/>
    <cellStyle name="표준 6 3 2 4 2 2 3 2 4 2" xfId="44160"/>
    <cellStyle name="표준 6 3 2 4 2 2 3 2 5" xfId="29196"/>
    <cellStyle name="표준 6 3 2 4 2 2 3 3" xfId="6728"/>
    <cellStyle name="표준 6 3 2 4 2 2 3 3 2" xfId="14213"/>
    <cellStyle name="표준 6 3 2 4 2 2 3 3 2 2" xfId="36680"/>
    <cellStyle name="표준 6 3 2 4 2 2 3 3 3" xfId="21697"/>
    <cellStyle name="표준 6 3 2 4 2 2 3 3 3 2" xfId="44162"/>
    <cellStyle name="표준 6 3 2 4 2 2 3 3 4" xfId="29198"/>
    <cellStyle name="표준 6 3 2 4 2 2 3 4" xfId="14210"/>
    <cellStyle name="표준 6 3 2 4 2 2 3 4 2" xfId="36677"/>
    <cellStyle name="표준 6 3 2 4 2 2 3 5" xfId="21694"/>
    <cellStyle name="표준 6 3 2 4 2 2 3 5 2" xfId="44159"/>
    <cellStyle name="표준 6 3 2 4 2 2 3 6" xfId="29195"/>
    <cellStyle name="표준 6 3 2 4 2 2 4" xfId="6729"/>
    <cellStyle name="표준 6 3 2 4 2 2 4 2" xfId="6730"/>
    <cellStyle name="표준 6 3 2 4 2 2 4 2 2" xfId="14215"/>
    <cellStyle name="표준 6 3 2 4 2 2 4 2 2 2" xfId="36682"/>
    <cellStyle name="표준 6 3 2 4 2 2 4 2 3" xfId="21699"/>
    <cellStyle name="표준 6 3 2 4 2 2 4 2 3 2" xfId="44164"/>
    <cellStyle name="표준 6 3 2 4 2 2 4 2 4" xfId="29200"/>
    <cellStyle name="표준 6 3 2 4 2 2 4 3" xfId="14214"/>
    <cellStyle name="표준 6 3 2 4 2 2 4 3 2" xfId="36681"/>
    <cellStyle name="표준 6 3 2 4 2 2 4 4" xfId="21698"/>
    <cellStyle name="표준 6 3 2 4 2 2 4 4 2" xfId="44163"/>
    <cellStyle name="표준 6 3 2 4 2 2 4 5" xfId="29199"/>
    <cellStyle name="표준 6 3 2 4 2 2 5" xfId="6731"/>
    <cellStyle name="표준 6 3 2 4 2 2 5 2" xfId="14216"/>
    <cellStyle name="표준 6 3 2 4 2 2 5 2 2" xfId="36683"/>
    <cellStyle name="표준 6 3 2 4 2 2 5 3" xfId="21700"/>
    <cellStyle name="표준 6 3 2 4 2 2 5 3 2" xfId="44165"/>
    <cellStyle name="표준 6 3 2 4 2 2 5 4" xfId="29201"/>
    <cellStyle name="표준 6 3 2 4 2 2 6" xfId="14201"/>
    <cellStyle name="표준 6 3 2 4 2 2 6 2" xfId="36668"/>
    <cellStyle name="표준 6 3 2 4 2 2 7" xfId="21685"/>
    <cellStyle name="표준 6 3 2 4 2 2 7 2" xfId="44150"/>
    <cellStyle name="표준 6 3 2 4 2 2 8" xfId="29186"/>
    <cellStyle name="표준 6 3 2 4 2 3" xfId="6732"/>
    <cellStyle name="표준 6 3 2 4 2 3 2" xfId="6733"/>
    <cellStyle name="표준 6 3 2 4 2 3 2 2" xfId="6734"/>
    <cellStyle name="표준 6 3 2 4 2 3 2 2 2" xfId="6735"/>
    <cellStyle name="표준 6 3 2 4 2 3 2 2 2 2" xfId="6736"/>
    <cellStyle name="표준 6 3 2 4 2 3 2 2 2 2 2" xfId="14221"/>
    <cellStyle name="표준 6 3 2 4 2 3 2 2 2 2 2 2" xfId="36688"/>
    <cellStyle name="표준 6 3 2 4 2 3 2 2 2 2 3" xfId="21705"/>
    <cellStyle name="표준 6 3 2 4 2 3 2 2 2 2 3 2" xfId="44170"/>
    <cellStyle name="표준 6 3 2 4 2 3 2 2 2 2 4" xfId="29206"/>
    <cellStyle name="표준 6 3 2 4 2 3 2 2 2 3" xfId="14220"/>
    <cellStyle name="표준 6 3 2 4 2 3 2 2 2 3 2" xfId="36687"/>
    <cellStyle name="표준 6 3 2 4 2 3 2 2 2 4" xfId="21704"/>
    <cellStyle name="표준 6 3 2 4 2 3 2 2 2 4 2" xfId="44169"/>
    <cellStyle name="표준 6 3 2 4 2 3 2 2 2 5" xfId="29205"/>
    <cellStyle name="표준 6 3 2 4 2 3 2 2 3" xfId="6737"/>
    <cellStyle name="표준 6 3 2 4 2 3 2 2 3 2" xfId="14222"/>
    <cellStyle name="표준 6 3 2 4 2 3 2 2 3 2 2" xfId="36689"/>
    <cellStyle name="표준 6 3 2 4 2 3 2 2 3 3" xfId="21706"/>
    <cellStyle name="표준 6 3 2 4 2 3 2 2 3 3 2" xfId="44171"/>
    <cellStyle name="표준 6 3 2 4 2 3 2 2 3 4" xfId="29207"/>
    <cellStyle name="표준 6 3 2 4 2 3 2 2 4" xfId="14219"/>
    <cellStyle name="표준 6 3 2 4 2 3 2 2 4 2" xfId="36686"/>
    <cellStyle name="표준 6 3 2 4 2 3 2 2 5" xfId="21703"/>
    <cellStyle name="표준 6 3 2 4 2 3 2 2 5 2" xfId="44168"/>
    <cellStyle name="표준 6 3 2 4 2 3 2 2 6" xfId="29204"/>
    <cellStyle name="표준 6 3 2 4 2 3 2 3" xfId="6738"/>
    <cellStyle name="표준 6 3 2 4 2 3 2 3 2" xfId="6739"/>
    <cellStyle name="표준 6 3 2 4 2 3 2 3 2 2" xfId="14224"/>
    <cellStyle name="표준 6 3 2 4 2 3 2 3 2 2 2" xfId="36691"/>
    <cellStyle name="표준 6 3 2 4 2 3 2 3 2 3" xfId="21708"/>
    <cellStyle name="표준 6 3 2 4 2 3 2 3 2 3 2" xfId="44173"/>
    <cellStyle name="표준 6 3 2 4 2 3 2 3 2 4" xfId="29209"/>
    <cellStyle name="표준 6 3 2 4 2 3 2 3 3" xfId="14223"/>
    <cellStyle name="표준 6 3 2 4 2 3 2 3 3 2" xfId="36690"/>
    <cellStyle name="표준 6 3 2 4 2 3 2 3 4" xfId="21707"/>
    <cellStyle name="표준 6 3 2 4 2 3 2 3 4 2" xfId="44172"/>
    <cellStyle name="표준 6 3 2 4 2 3 2 3 5" xfId="29208"/>
    <cellStyle name="표준 6 3 2 4 2 3 2 4" xfId="6740"/>
    <cellStyle name="표준 6 3 2 4 2 3 2 4 2" xfId="14225"/>
    <cellStyle name="표준 6 3 2 4 2 3 2 4 2 2" xfId="36692"/>
    <cellStyle name="표준 6 3 2 4 2 3 2 4 3" xfId="21709"/>
    <cellStyle name="표준 6 3 2 4 2 3 2 4 3 2" xfId="44174"/>
    <cellStyle name="표준 6 3 2 4 2 3 2 4 4" xfId="29210"/>
    <cellStyle name="표준 6 3 2 4 2 3 2 5" xfId="14218"/>
    <cellStyle name="표준 6 3 2 4 2 3 2 5 2" xfId="36685"/>
    <cellStyle name="표준 6 3 2 4 2 3 2 6" xfId="21702"/>
    <cellStyle name="표준 6 3 2 4 2 3 2 6 2" xfId="44167"/>
    <cellStyle name="표준 6 3 2 4 2 3 2 7" xfId="29203"/>
    <cellStyle name="표준 6 3 2 4 2 3 3" xfId="6741"/>
    <cellStyle name="표준 6 3 2 4 2 3 3 2" xfId="6742"/>
    <cellStyle name="표준 6 3 2 4 2 3 3 2 2" xfId="6743"/>
    <cellStyle name="표준 6 3 2 4 2 3 3 2 2 2" xfId="14228"/>
    <cellStyle name="표준 6 3 2 4 2 3 3 2 2 2 2" xfId="36695"/>
    <cellStyle name="표준 6 3 2 4 2 3 3 2 2 3" xfId="21712"/>
    <cellStyle name="표준 6 3 2 4 2 3 3 2 2 3 2" xfId="44177"/>
    <cellStyle name="표준 6 3 2 4 2 3 3 2 2 4" xfId="29213"/>
    <cellStyle name="표준 6 3 2 4 2 3 3 2 3" xfId="14227"/>
    <cellStyle name="표준 6 3 2 4 2 3 3 2 3 2" xfId="36694"/>
    <cellStyle name="표준 6 3 2 4 2 3 3 2 4" xfId="21711"/>
    <cellStyle name="표준 6 3 2 4 2 3 3 2 4 2" xfId="44176"/>
    <cellStyle name="표준 6 3 2 4 2 3 3 2 5" xfId="29212"/>
    <cellStyle name="표준 6 3 2 4 2 3 3 3" xfId="6744"/>
    <cellStyle name="표준 6 3 2 4 2 3 3 3 2" xfId="14229"/>
    <cellStyle name="표준 6 3 2 4 2 3 3 3 2 2" xfId="36696"/>
    <cellStyle name="표준 6 3 2 4 2 3 3 3 3" xfId="21713"/>
    <cellStyle name="표준 6 3 2 4 2 3 3 3 3 2" xfId="44178"/>
    <cellStyle name="표준 6 3 2 4 2 3 3 3 4" xfId="29214"/>
    <cellStyle name="표준 6 3 2 4 2 3 3 4" xfId="14226"/>
    <cellStyle name="표준 6 3 2 4 2 3 3 4 2" xfId="36693"/>
    <cellStyle name="표준 6 3 2 4 2 3 3 5" xfId="21710"/>
    <cellStyle name="표준 6 3 2 4 2 3 3 5 2" xfId="44175"/>
    <cellStyle name="표준 6 3 2 4 2 3 3 6" xfId="29211"/>
    <cellStyle name="표준 6 3 2 4 2 3 4" xfId="6745"/>
    <cellStyle name="표준 6 3 2 4 2 3 4 2" xfId="6746"/>
    <cellStyle name="표준 6 3 2 4 2 3 4 2 2" xfId="14231"/>
    <cellStyle name="표준 6 3 2 4 2 3 4 2 2 2" xfId="36698"/>
    <cellStyle name="표준 6 3 2 4 2 3 4 2 3" xfId="21715"/>
    <cellStyle name="표준 6 3 2 4 2 3 4 2 3 2" xfId="44180"/>
    <cellStyle name="표준 6 3 2 4 2 3 4 2 4" xfId="29216"/>
    <cellStyle name="표준 6 3 2 4 2 3 4 3" xfId="14230"/>
    <cellStyle name="표준 6 3 2 4 2 3 4 3 2" xfId="36697"/>
    <cellStyle name="표준 6 3 2 4 2 3 4 4" xfId="21714"/>
    <cellStyle name="표준 6 3 2 4 2 3 4 4 2" xfId="44179"/>
    <cellStyle name="표준 6 3 2 4 2 3 4 5" xfId="29215"/>
    <cellStyle name="표준 6 3 2 4 2 3 5" xfId="6747"/>
    <cellStyle name="표준 6 3 2 4 2 3 5 2" xfId="14232"/>
    <cellStyle name="표준 6 3 2 4 2 3 5 2 2" xfId="36699"/>
    <cellStyle name="표준 6 3 2 4 2 3 5 3" xfId="21716"/>
    <cellStyle name="표준 6 3 2 4 2 3 5 3 2" xfId="44181"/>
    <cellStyle name="표준 6 3 2 4 2 3 5 4" xfId="29217"/>
    <cellStyle name="표준 6 3 2 4 2 3 6" xfId="14217"/>
    <cellStyle name="표준 6 3 2 4 2 3 6 2" xfId="36684"/>
    <cellStyle name="표준 6 3 2 4 2 3 7" xfId="21701"/>
    <cellStyle name="표준 6 3 2 4 2 3 7 2" xfId="44166"/>
    <cellStyle name="표준 6 3 2 4 2 3 8" xfId="29202"/>
    <cellStyle name="표준 6 3 2 4 2 4" xfId="6748"/>
    <cellStyle name="표준 6 3 2 4 2 4 2" xfId="6749"/>
    <cellStyle name="표준 6 3 2 4 2 4 2 2" xfId="6750"/>
    <cellStyle name="표준 6 3 2 4 2 4 2 2 2" xfId="6751"/>
    <cellStyle name="표준 6 3 2 4 2 4 2 2 2 2" xfId="14236"/>
    <cellStyle name="표준 6 3 2 4 2 4 2 2 2 2 2" xfId="36703"/>
    <cellStyle name="표준 6 3 2 4 2 4 2 2 2 3" xfId="21720"/>
    <cellStyle name="표준 6 3 2 4 2 4 2 2 2 3 2" xfId="44185"/>
    <cellStyle name="표준 6 3 2 4 2 4 2 2 2 4" xfId="29221"/>
    <cellStyle name="표준 6 3 2 4 2 4 2 2 3" xfId="14235"/>
    <cellStyle name="표준 6 3 2 4 2 4 2 2 3 2" xfId="36702"/>
    <cellStyle name="표준 6 3 2 4 2 4 2 2 4" xfId="21719"/>
    <cellStyle name="표준 6 3 2 4 2 4 2 2 4 2" xfId="44184"/>
    <cellStyle name="표준 6 3 2 4 2 4 2 2 5" xfId="29220"/>
    <cellStyle name="표준 6 3 2 4 2 4 2 3" xfId="6752"/>
    <cellStyle name="표준 6 3 2 4 2 4 2 3 2" xfId="14237"/>
    <cellStyle name="표준 6 3 2 4 2 4 2 3 2 2" xfId="36704"/>
    <cellStyle name="표준 6 3 2 4 2 4 2 3 3" xfId="21721"/>
    <cellStyle name="표준 6 3 2 4 2 4 2 3 3 2" xfId="44186"/>
    <cellStyle name="표준 6 3 2 4 2 4 2 3 4" xfId="29222"/>
    <cellStyle name="표준 6 3 2 4 2 4 2 4" xfId="14234"/>
    <cellStyle name="표준 6 3 2 4 2 4 2 4 2" xfId="36701"/>
    <cellStyle name="표준 6 3 2 4 2 4 2 5" xfId="21718"/>
    <cellStyle name="표준 6 3 2 4 2 4 2 5 2" xfId="44183"/>
    <cellStyle name="표준 6 3 2 4 2 4 2 6" xfId="29219"/>
    <cellStyle name="표준 6 3 2 4 2 4 3" xfId="6753"/>
    <cellStyle name="표준 6 3 2 4 2 4 3 2" xfId="6754"/>
    <cellStyle name="표준 6 3 2 4 2 4 3 2 2" xfId="14239"/>
    <cellStyle name="표준 6 3 2 4 2 4 3 2 2 2" xfId="36706"/>
    <cellStyle name="표준 6 3 2 4 2 4 3 2 3" xfId="21723"/>
    <cellStyle name="표준 6 3 2 4 2 4 3 2 3 2" xfId="44188"/>
    <cellStyle name="표준 6 3 2 4 2 4 3 2 4" xfId="29224"/>
    <cellStyle name="표준 6 3 2 4 2 4 3 3" xfId="14238"/>
    <cellStyle name="표준 6 3 2 4 2 4 3 3 2" xfId="36705"/>
    <cellStyle name="표준 6 3 2 4 2 4 3 4" xfId="21722"/>
    <cellStyle name="표준 6 3 2 4 2 4 3 4 2" xfId="44187"/>
    <cellStyle name="표준 6 3 2 4 2 4 3 5" xfId="29223"/>
    <cellStyle name="표준 6 3 2 4 2 4 4" xfId="6755"/>
    <cellStyle name="표준 6 3 2 4 2 4 4 2" xfId="14240"/>
    <cellStyle name="표준 6 3 2 4 2 4 4 2 2" xfId="36707"/>
    <cellStyle name="표준 6 3 2 4 2 4 4 3" xfId="21724"/>
    <cellStyle name="표준 6 3 2 4 2 4 4 3 2" xfId="44189"/>
    <cellStyle name="표준 6 3 2 4 2 4 4 4" xfId="29225"/>
    <cellStyle name="표준 6 3 2 4 2 4 5" xfId="14233"/>
    <cellStyle name="표준 6 3 2 4 2 4 5 2" xfId="36700"/>
    <cellStyle name="표준 6 3 2 4 2 4 6" xfId="21717"/>
    <cellStyle name="표준 6 3 2 4 2 4 6 2" xfId="44182"/>
    <cellStyle name="표준 6 3 2 4 2 4 7" xfId="29218"/>
    <cellStyle name="표준 6 3 2 4 2 5" xfId="6756"/>
    <cellStyle name="표준 6 3 2 4 2 5 2" xfId="6757"/>
    <cellStyle name="표준 6 3 2 4 2 5 2 2" xfId="6758"/>
    <cellStyle name="표준 6 3 2 4 2 5 2 2 2" xfId="14243"/>
    <cellStyle name="표준 6 3 2 4 2 5 2 2 2 2" xfId="36710"/>
    <cellStyle name="표준 6 3 2 4 2 5 2 2 3" xfId="21727"/>
    <cellStyle name="표준 6 3 2 4 2 5 2 2 3 2" xfId="44192"/>
    <cellStyle name="표준 6 3 2 4 2 5 2 2 4" xfId="29228"/>
    <cellStyle name="표준 6 3 2 4 2 5 2 3" xfId="14242"/>
    <cellStyle name="표준 6 3 2 4 2 5 2 3 2" xfId="36709"/>
    <cellStyle name="표준 6 3 2 4 2 5 2 4" xfId="21726"/>
    <cellStyle name="표준 6 3 2 4 2 5 2 4 2" xfId="44191"/>
    <cellStyle name="표준 6 3 2 4 2 5 2 5" xfId="29227"/>
    <cellStyle name="표준 6 3 2 4 2 5 3" xfId="6759"/>
    <cellStyle name="표준 6 3 2 4 2 5 3 2" xfId="14244"/>
    <cellStyle name="표준 6 3 2 4 2 5 3 2 2" xfId="36711"/>
    <cellStyle name="표준 6 3 2 4 2 5 3 3" xfId="21728"/>
    <cellStyle name="표준 6 3 2 4 2 5 3 3 2" xfId="44193"/>
    <cellStyle name="표준 6 3 2 4 2 5 3 4" xfId="29229"/>
    <cellStyle name="표준 6 3 2 4 2 5 4" xfId="14241"/>
    <cellStyle name="표준 6 3 2 4 2 5 4 2" xfId="36708"/>
    <cellStyle name="표준 6 3 2 4 2 5 5" xfId="21725"/>
    <cellStyle name="표준 6 3 2 4 2 5 5 2" xfId="44190"/>
    <cellStyle name="표준 6 3 2 4 2 5 6" xfId="29226"/>
    <cellStyle name="표준 6 3 2 4 2 6" xfId="6760"/>
    <cellStyle name="표준 6 3 2 4 2 6 2" xfId="6761"/>
    <cellStyle name="표준 6 3 2 4 2 6 2 2" xfId="14246"/>
    <cellStyle name="표준 6 3 2 4 2 6 2 2 2" xfId="36713"/>
    <cellStyle name="표준 6 3 2 4 2 6 2 3" xfId="21730"/>
    <cellStyle name="표준 6 3 2 4 2 6 2 3 2" xfId="44195"/>
    <cellStyle name="표준 6 3 2 4 2 6 2 4" xfId="29231"/>
    <cellStyle name="표준 6 3 2 4 2 6 3" xfId="14245"/>
    <cellStyle name="표준 6 3 2 4 2 6 3 2" xfId="36712"/>
    <cellStyle name="표준 6 3 2 4 2 6 4" xfId="21729"/>
    <cellStyle name="표준 6 3 2 4 2 6 4 2" xfId="44194"/>
    <cellStyle name="표준 6 3 2 4 2 6 5" xfId="29230"/>
    <cellStyle name="표준 6 3 2 4 2 7" xfId="6762"/>
    <cellStyle name="표준 6 3 2 4 2 7 2" xfId="14247"/>
    <cellStyle name="표준 6 3 2 4 2 7 2 2" xfId="36714"/>
    <cellStyle name="표준 6 3 2 4 2 7 3" xfId="21731"/>
    <cellStyle name="표준 6 3 2 4 2 7 3 2" xfId="44196"/>
    <cellStyle name="표준 6 3 2 4 2 7 4" xfId="29232"/>
    <cellStyle name="표준 6 3 2 4 2 8" xfId="14200"/>
    <cellStyle name="표준 6 3 2 4 2 8 2" xfId="36667"/>
    <cellStyle name="표준 6 3 2 4 2 9" xfId="21684"/>
    <cellStyle name="표준 6 3 2 4 2 9 2" xfId="44149"/>
    <cellStyle name="표준 6 3 2 4 3" xfId="6763"/>
    <cellStyle name="표준 6 3 2 4 3 2" xfId="6764"/>
    <cellStyle name="표준 6 3 2 4 3 2 2" xfId="6765"/>
    <cellStyle name="표준 6 3 2 4 3 2 2 2" xfId="6766"/>
    <cellStyle name="표준 6 3 2 4 3 2 2 2 2" xfId="6767"/>
    <cellStyle name="표준 6 3 2 4 3 2 2 2 2 2" xfId="14252"/>
    <cellStyle name="표준 6 3 2 4 3 2 2 2 2 2 2" xfId="36719"/>
    <cellStyle name="표준 6 3 2 4 3 2 2 2 2 3" xfId="21736"/>
    <cellStyle name="표준 6 3 2 4 3 2 2 2 2 3 2" xfId="44201"/>
    <cellStyle name="표준 6 3 2 4 3 2 2 2 2 4" xfId="29237"/>
    <cellStyle name="표준 6 3 2 4 3 2 2 2 3" xfId="14251"/>
    <cellStyle name="표준 6 3 2 4 3 2 2 2 3 2" xfId="36718"/>
    <cellStyle name="표준 6 3 2 4 3 2 2 2 4" xfId="21735"/>
    <cellStyle name="표준 6 3 2 4 3 2 2 2 4 2" xfId="44200"/>
    <cellStyle name="표준 6 3 2 4 3 2 2 2 5" xfId="29236"/>
    <cellStyle name="표준 6 3 2 4 3 2 2 3" xfId="6768"/>
    <cellStyle name="표준 6 3 2 4 3 2 2 3 2" xfId="14253"/>
    <cellStyle name="표준 6 3 2 4 3 2 2 3 2 2" xfId="36720"/>
    <cellStyle name="표준 6 3 2 4 3 2 2 3 3" xfId="21737"/>
    <cellStyle name="표준 6 3 2 4 3 2 2 3 3 2" xfId="44202"/>
    <cellStyle name="표준 6 3 2 4 3 2 2 3 4" xfId="29238"/>
    <cellStyle name="표준 6 3 2 4 3 2 2 4" xfId="14250"/>
    <cellStyle name="표준 6 3 2 4 3 2 2 4 2" xfId="36717"/>
    <cellStyle name="표준 6 3 2 4 3 2 2 5" xfId="21734"/>
    <cellStyle name="표준 6 3 2 4 3 2 2 5 2" xfId="44199"/>
    <cellStyle name="표준 6 3 2 4 3 2 2 6" xfId="29235"/>
    <cellStyle name="표준 6 3 2 4 3 2 3" xfId="6769"/>
    <cellStyle name="표준 6 3 2 4 3 2 3 2" xfId="6770"/>
    <cellStyle name="표준 6 3 2 4 3 2 3 2 2" xfId="14255"/>
    <cellStyle name="표준 6 3 2 4 3 2 3 2 2 2" xfId="36722"/>
    <cellStyle name="표준 6 3 2 4 3 2 3 2 3" xfId="21739"/>
    <cellStyle name="표준 6 3 2 4 3 2 3 2 3 2" xfId="44204"/>
    <cellStyle name="표준 6 3 2 4 3 2 3 2 4" xfId="29240"/>
    <cellStyle name="표준 6 3 2 4 3 2 3 3" xfId="14254"/>
    <cellStyle name="표준 6 3 2 4 3 2 3 3 2" xfId="36721"/>
    <cellStyle name="표준 6 3 2 4 3 2 3 4" xfId="21738"/>
    <cellStyle name="표준 6 3 2 4 3 2 3 4 2" xfId="44203"/>
    <cellStyle name="표준 6 3 2 4 3 2 3 5" xfId="29239"/>
    <cellStyle name="표준 6 3 2 4 3 2 4" xfId="6771"/>
    <cellStyle name="표준 6 3 2 4 3 2 4 2" xfId="14256"/>
    <cellStyle name="표준 6 3 2 4 3 2 4 2 2" xfId="36723"/>
    <cellStyle name="표준 6 3 2 4 3 2 4 3" xfId="21740"/>
    <cellStyle name="표준 6 3 2 4 3 2 4 3 2" xfId="44205"/>
    <cellStyle name="표준 6 3 2 4 3 2 4 4" xfId="29241"/>
    <cellStyle name="표준 6 3 2 4 3 2 5" xfId="14249"/>
    <cellStyle name="표준 6 3 2 4 3 2 5 2" xfId="36716"/>
    <cellStyle name="표준 6 3 2 4 3 2 6" xfId="21733"/>
    <cellStyle name="표준 6 3 2 4 3 2 6 2" xfId="44198"/>
    <cellStyle name="표준 6 3 2 4 3 2 7" xfId="29234"/>
    <cellStyle name="표준 6 3 2 4 3 3" xfId="6772"/>
    <cellStyle name="표준 6 3 2 4 3 3 2" xfId="6773"/>
    <cellStyle name="표준 6 3 2 4 3 3 2 2" xfId="6774"/>
    <cellStyle name="표준 6 3 2 4 3 3 2 2 2" xfId="14259"/>
    <cellStyle name="표준 6 3 2 4 3 3 2 2 2 2" xfId="36726"/>
    <cellStyle name="표준 6 3 2 4 3 3 2 2 3" xfId="21743"/>
    <cellStyle name="표준 6 3 2 4 3 3 2 2 3 2" xfId="44208"/>
    <cellStyle name="표준 6 3 2 4 3 3 2 2 4" xfId="29244"/>
    <cellStyle name="표준 6 3 2 4 3 3 2 3" xfId="14258"/>
    <cellStyle name="표준 6 3 2 4 3 3 2 3 2" xfId="36725"/>
    <cellStyle name="표준 6 3 2 4 3 3 2 4" xfId="21742"/>
    <cellStyle name="표준 6 3 2 4 3 3 2 4 2" xfId="44207"/>
    <cellStyle name="표준 6 3 2 4 3 3 2 5" xfId="29243"/>
    <cellStyle name="표준 6 3 2 4 3 3 3" xfId="6775"/>
    <cellStyle name="표준 6 3 2 4 3 3 3 2" xfId="14260"/>
    <cellStyle name="표준 6 3 2 4 3 3 3 2 2" xfId="36727"/>
    <cellStyle name="표준 6 3 2 4 3 3 3 3" xfId="21744"/>
    <cellStyle name="표준 6 3 2 4 3 3 3 3 2" xfId="44209"/>
    <cellStyle name="표준 6 3 2 4 3 3 3 4" xfId="29245"/>
    <cellStyle name="표준 6 3 2 4 3 3 4" xfId="14257"/>
    <cellStyle name="표준 6 3 2 4 3 3 4 2" xfId="36724"/>
    <cellStyle name="표준 6 3 2 4 3 3 5" xfId="21741"/>
    <cellStyle name="표준 6 3 2 4 3 3 5 2" xfId="44206"/>
    <cellStyle name="표준 6 3 2 4 3 3 6" xfId="29242"/>
    <cellStyle name="표준 6 3 2 4 3 4" xfId="6776"/>
    <cellStyle name="표준 6 3 2 4 3 4 2" xfId="6777"/>
    <cellStyle name="표준 6 3 2 4 3 4 2 2" xfId="14262"/>
    <cellStyle name="표준 6 3 2 4 3 4 2 2 2" xfId="36729"/>
    <cellStyle name="표준 6 3 2 4 3 4 2 3" xfId="21746"/>
    <cellStyle name="표준 6 3 2 4 3 4 2 3 2" xfId="44211"/>
    <cellStyle name="표준 6 3 2 4 3 4 2 4" xfId="29247"/>
    <cellStyle name="표준 6 3 2 4 3 4 3" xfId="14261"/>
    <cellStyle name="표준 6 3 2 4 3 4 3 2" xfId="36728"/>
    <cellStyle name="표준 6 3 2 4 3 4 4" xfId="21745"/>
    <cellStyle name="표준 6 3 2 4 3 4 4 2" xfId="44210"/>
    <cellStyle name="표준 6 3 2 4 3 4 5" xfId="29246"/>
    <cellStyle name="표준 6 3 2 4 3 5" xfId="6778"/>
    <cellStyle name="표준 6 3 2 4 3 5 2" xfId="14263"/>
    <cellStyle name="표준 6 3 2 4 3 5 2 2" xfId="36730"/>
    <cellStyle name="표준 6 3 2 4 3 5 3" xfId="21747"/>
    <cellStyle name="표준 6 3 2 4 3 5 3 2" xfId="44212"/>
    <cellStyle name="표준 6 3 2 4 3 5 4" xfId="29248"/>
    <cellStyle name="표준 6 3 2 4 3 6" xfId="14248"/>
    <cellStyle name="표준 6 3 2 4 3 6 2" xfId="36715"/>
    <cellStyle name="표준 6 3 2 4 3 7" xfId="21732"/>
    <cellStyle name="표준 6 3 2 4 3 7 2" xfId="44197"/>
    <cellStyle name="표준 6 3 2 4 3 8" xfId="29233"/>
    <cellStyle name="표준 6 3 2 4 4" xfId="6779"/>
    <cellStyle name="표준 6 3 2 4 4 2" xfId="6780"/>
    <cellStyle name="표준 6 3 2 4 4 2 2" xfId="6781"/>
    <cellStyle name="표준 6 3 2 4 4 2 2 2" xfId="6782"/>
    <cellStyle name="표준 6 3 2 4 4 2 2 2 2" xfId="6783"/>
    <cellStyle name="표준 6 3 2 4 4 2 2 2 2 2" xfId="14268"/>
    <cellStyle name="표준 6 3 2 4 4 2 2 2 2 2 2" xfId="36735"/>
    <cellStyle name="표준 6 3 2 4 4 2 2 2 2 3" xfId="21752"/>
    <cellStyle name="표준 6 3 2 4 4 2 2 2 2 3 2" xfId="44217"/>
    <cellStyle name="표준 6 3 2 4 4 2 2 2 2 4" xfId="29253"/>
    <cellStyle name="표준 6 3 2 4 4 2 2 2 3" xfId="14267"/>
    <cellStyle name="표준 6 3 2 4 4 2 2 2 3 2" xfId="36734"/>
    <cellStyle name="표준 6 3 2 4 4 2 2 2 4" xfId="21751"/>
    <cellStyle name="표준 6 3 2 4 4 2 2 2 4 2" xfId="44216"/>
    <cellStyle name="표준 6 3 2 4 4 2 2 2 5" xfId="29252"/>
    <cellStyle name="표준 6 3 2 4 4 2 2 3" xfId="6784"/>
    <cellStyle name="표준 6 3 2 4 4 2 2 3 2" xfId="14269"/>
    <cellStyle name="표준 6 3 2 4 4 2 2 3 2 2" xfId="36736"/>
    <cellStyle name="표준 6 3 2 4 4 2 2 3 3" xfId="21753"/>
    <cellStyle name="표준 6 3 2 4 4 2 2 3 3 2" xfId="44218"/>
    <cellStyle name="표준 6 3 2 4 4 2 2 3 4" xfId="29254"/>
    <cellStyle name="표준 6 3 2 4 4 2 2 4" xfId="14266"/>
    <cellStyle name="표준 6 3 2 4 4 2 2 4 2" xfId="36733"/>
    <cellStyle name="표준 6 3 2 4 4 2 2 5" xfId="21750"/>
    <cellStyle name="표준 6 3 2 4 4 2 2 5 2" xfId="44215"/>
    <cellStyle name="표준 6 3 2 4 4 2 2 6" xfId="29251"/>
    <cellStyle name="표준 6 3 2 4 4 2 3" xfId="6785"/>
    <cellStyle name="표준 6 3 2 4 4 2 3 2" xfId="6786"/>
    <cellStyle name="표준 6 3 2 4 4 2 3 2 2" xfId="14271"/>
    <cellStyle name="표준 6 3 2 4 4 2 3 2 2 2" xfId="36738"/>
    <cellStyle name="표준 6 3 2 4 4 2 3 2 3" xfId="21755"/>
    <cellStyle name="표준 6 3 2 4 4 2 3 2 3 2" xfId="44220"/>
    <cellStyle name="표준 6 3 2 4 4 2 3 2 4" xfId="29256"/>
    <cellStyle name="표준 6 3 2 4 4 2 3 3" xfId="14270"/>
    <cellStyle name="표준 6 3 2 4 4 2 3 3 2" xfId="36737"/>
    <cellStyle name="표준 6 3 2 4 4 2 3 4" xfId="21754"/>
    <cellStyle name="표준 6 3 2 4 4 2 3 4 2" xfId="44219"/>
    <cellStyle name="표준 6 3 2 4 4 2 3 5" xfId="29255"/>
    <cellStyle name="표준 6 3 2 4 4 2 4" xfId="6787"/>
    <cellStyle name="표준 6 3 2 4 4 2 4 2" xfId="14272"/>
    <cellStyle name="표준 6 3 2 4 4 2 4 2 2" xfId="36739"/>
    <cellStyle name="표준 6 3 2 4 4 2 4 3" xfId="21756"/>
    <cellStyle name="표준 6 3 2 4 4 2 4 3 2" xfId="44221"/>
    <cellStyle name="표준 6 3 2 4 4 2 4 4" xfId="29257"/>
    <cellStyle name="표준 6 3 2 4 4 2 5" xfId="14265"/>
    <cellStyle name="표준 6 3 2 4 4 2 5 2" xfId="36732"/>
    <cellStyle name="표준 6 3 2 4 4 2 6" xfId="21749"/>
    <cellStyle name="표준 6 3 2 4 4 2 6 2" xfId="44214"/>
    <cellStyle name="표준 6 3 2 4 4 2 7" xfId="29250"/>
    <cellStyle name="표준 6 3 2 4 4 3" xfId="6788"/>
    <cellStyle name="표준 6 3 2 4 4 3 2" xfId="6789"/>
    <cellStyle name="표준 6 3 2 4 4 3 2 2" xfId="6790"/>
    <cellStyle name="표준 6 3 2 4 4 3 2 2 2" xfId="14275"/>
    <cellStyle name="표준 6 3 2 4 4 3 2 2 2 2" xfId="36742"/>
    <cellStyle name="표준 6 3 2 4 4 3 2 2 3" xfId="21759"/>
    <cellStyle name="표준 6 3 2 4 4 3 2 2 3 2" xfId="44224"/>
    <cellStyle name="표준 6 3 2 4 4 3 2 2 4" xfId="29260"/>
    <cellStyle name="표준 6 3 2 4 4 3 2 3" xfId="14274"/>
    <cellStyle name="표준 6 3 2 4 4 3 2 3 2" xfId="36741"/>
    <cellStyle name="표준 6 3 2 4 4 3 2 4" xfId="21758"/>
    <cellStyle name="표준 6 3 2 4 4 3 2 4 2" xfId="44223"/>
    <cellStyle name="표준 6 3 2 4 4 3 2 5" xfId="29259"/>
    <cellStyle name="표준 6 3 2 4 4 3 3" xfId="6791"/>
    <cellStyle name="표준 6 3 2 4 4 3 3 2" xfId="14276"/>
    <cellStyle name="표준 6 3 2 4 4 3 3 2 2" xfId="36743"/>
    <cellStyle name="표준 6 3 2 4 4 3 3 3" xfId="21760"/>
    <cellStyle name="표준 6 3 2 4 4 3 3 3 2" xfId="44225"/>
    <cellStyle name="표준 6 3 2 4 4 3 3 4" xfId="29261"/>
    <cellStyle name="표준 6 3 2 4 4 3 4" xfId="14273"/>
    <cellStyle name="표준 6 3 2 4 4 3 4 2" xfId="36740"/>
    <cellStyle name="표준 6 3 2 4 4 3 5" xfId="21757"/>
    <cellStyle name="표준 6 3 2 4 4 3 5 2" xfId="44222"/>
    <cellStyle name="표준 6 3 2 4 4 3 6" xfId="29258"/>
    <cellStyle name="표준 6 3 2 4 4 4" xfId="6792"/>
    <cellStyle name="표준 6 3 2 4 4 4 2" xfId="6793"/>
    <cellStyle name="표준 6 3 2 4 4 4 2 2" xfId="14278"/>
    <cellStyle name="표준 6 3 2 4 4 4 2 2 2" xfId="36745"/>
    <cellStyle name="표준 6 3 2 4 4 4 2 3" xfId="21762"/>
    <cellStyle name="표준 6 3 2 4 4 4 2 3 2" xfId="44227"/>
    <cellStyle name="표준 6 3 2 4 4 4 2 4" xfId="29263"/>
    <cellStyle name="표준 6 3 2 4 4 4 3" xfId="14277"/>
    <cellStyle name="표준 6 3 2 4 4 4 3 2" xfId="36744"/>
    <cellStyle name="표준 6 3 2 4 4 4 4" xfId="21761"/>
    <cellStyle name="표준 6 3 2 4 4 4 4 2" xfId="44226"/>
    <cellStyle name="표준 6 3 2 4 4 4 5" xfId="29262"/>
    <cellStyle name="표준 6 3 2 4 4 5" xfId="6794"/>
    <cellStyle name="표준 6 3 2 4 4 5 2" xfId="14279"/>
    <cellStyle name="표준 6 3 2 4 4 5 2 2" xfId="36746"/>
    <cellStyle name="표준 6 3 2 4 4 5 3" xfId="21763"/>
    <cellStyle name="표준 6 3 2 4 4 5 3 2" xfId="44228"/>
    <cellStyle name="표준 6 3 2 4 4 5 4" xfId="29264"/>
    <cellStyle name="표준 6 3 2 4 4 6" xfId="14264"/>
    <cellStyle name="표준 6 3 2 4 4 6 2" xfId="36731"/>
    <cellStyle name="표준 6 3 2 4 4 7" xfId="21748"/>
    <cellStyle name="표준 6 3 2 4 4 7 2" xfId="44213"/>
    <cellStyle name="표준 6 3 2 4 4 8" xfId="29249"/>
    <cellStyle name="표준 6 3 2 4 5" xfId="6795"/>
    <cellStyle name="표준 6 3 2 4 5 2" xfId="6796"/>
    <cellStyle name="표준 6 3 2 4 5 2 2" xfId="6797"/>
    <cellStyle name="표준 6 3 2 4 5 2 2 2" xfId="6798"/>
    <cellStyle name="표준 6 3 2 4 5 2 2 2 2" xfId="14283"/>
    <cellStyle name="표준 6 3 2 4 5 2 2 2 2 2" xfId="36750"/>
    <cellStyle name="표준 6 3 2 4 5 2 2 2 3" xfId="21767"/>
    <cellStyle name="표준 6 3 2 4 5 2 2 2 3 2" xfId="44232"/>
    <cellStyle name="표준 6 3 2 4 5 2 2 2 4" xfId="29268"/>
    <cellStyle name="표준 6 3 2 4 5 2 2 3" xfId="14282"/>
    <cellStyle name="표준 6 3 2 4 5 2 2 3 2" xfId="36749"/>
    <cellStyle name="표준 6 3 2 4 5 2 2 4" xfId="21766"/>
    <cellStyle name="표준 6 3 2 4 5 2 2 4 2" xfId="44231"/>
    <cellStyle name="표준 6 3 2 4 5 2 2 5" xfId="29267"/>
    <cellStyle name="표준 6 3 2 4 5 2 3" xfId="6799"/>
    <cellStyle name="표준 6 3 2 4 5 2 3 2" xfId="14284"/>
    <cellStyle name="표준 6 3 2 4 5 2 3 2 2" xfId="36751"/>
    <cellStyle name="표준 6 3 2 4 5 2 3 3" xfId="21768"/>
    <cellStyle name="표준 6 3 2 4 5 2 3 3 2" xfId="44233"/>
    <cellStyle name="표준 6 3 2 4 5 2 3 4" xfId="29269"/>
    <cellStyle name="표준 6 3 2 4 5 2 4" xfId="14281"/>
    <cellStyle name="표준 6 3 2 4 5 2 4 2" xfId="36748"/>
    <cellStyle name="표준 6 3 2 4 5 2 5" xfId="21765"/>
    <cellStyle name="표준 6 3 2 4 5 2 5 2" xfId="44230"/>
    <cellStyle name="표준 6 3 2 4 5 2 6" xfId="29266"/>
    <cellStyle name="표준 6 3 2 4 5 3" xfId="6800"/>
    <cellStyle name="표준 6 3 2 4 5 3 2" xfId="6801"/>
    <cellStyle name="표준 6 3 2 4 5 3 2 2" xfId="14286"/>
    <cellStyle name="표준 6 3 2 4 5 3 2 2 2" xfId="36753"/>
    <cellStyle name="표준 6 3 2 4 5 3 2 3" xfId="21770"/>
    <cellStyle name="표준 6 3 2 4 5 3 2 3 2" xfId="44235"/>
    <cellStyle name="표준 6 3 2 4 5 3 2 4" xfId="29271"/>
    <cellStyle name="표준 6 3 2 4 5 3 3" xfId="14285"/>
    <cellStyle name="표준 6 3 2 4 5 3 3 2" xfId="36752"/>
    <cellStyle name="표준 6 3 2 4 5 3 4" xfId="21769"/>
    <cellStyle name="표준 6 3 2 4 5 3 4 2" xfId="44234"/>
    <cellStyle name="표준 6 3 2 4 5 3 5" xfId="29270"/>
    <cellStyle name="표준 6 3 2 4 5 4" xfId="6802"/>
    <cellStyle name="표준 6 3 2 4 5 4 2" xfId="14287"/>
    <cellStyle name="표준 6 3 2 4 5 4 2 2" xfId="36754"/>
    <cellStyle name="표준 6 3 2 4 5 4 3" xfId="21771"/>
    <cellStyle name="표준 6 3 2 4 5 4 3 2" xfId="44236"/>
    <cellStyle name="표준 6 3 2 4 5 4 4" xfId="29272"/>
    <cellStyle name="표준 6 3 2 4 5 5" xfId="14280"/>
    <cellStyle name="표준 6 3 2 4 5 5 2" xfId="36747"/>
    <cellStyle name="표준 6 3 2 4 5 6" xfId="21764"/>
    <cellStyle name="표준 6 3 2 4 5 6 2" xfId="44229"/>
    <cellStyle name="표준 6 3 2 4 5 7" xfId="29265"/>
    <cellStyle name="표준 6 3 2 4 6" xfId="6803"/>
    <cellStyle name="표준 6 3 2 4 6 2" xfId="6804"/>
    <cellStyle name="표준 6 3 2 4 6 2 2" xfId="6805"/>
    <cellStyle name="표준 6 3 2 4 6 2 2 2" xfId="14290"/>
    <cellStyle name="표준 6 3 2 4 6 2 2 2 2" xfId="36757"/>
    <cellStyle name="표준 6 3 2 4 6 2 2 3" xfId="21774"/>
    <cellStyle name="표준 6 3 2 4 6 2 2 3 2" xfId="44239"/>
    <cellStyle name="표준 6 3 2 4 6 2 2 4" xfId="29275"/>
    <cellStyle name="표준 6 3 2 4 6 2 3" xfId="14289"/>
    <cellStyle name="표준 6 3 2 4 6 2 3 2" xfId="36756"/>
    <cellStyle name="표준 6 3 2 4 6 2 4" xfId="21773"/>
    <cellStyle name="표준 6 3 2 4 6 2 4 2" xfId="44238"/>
    <cellStyle name="표준 6 3 2 4 6 2 5" xfId="29274"/>
    <cellStyle name="표준 6 3 2 4 6 3" xfId="6806"/>
    <cellStyle name="표준 6 3 2 4 6 3 2" xfId="14291"/>
    <cellStyle name="표준 6 3 2 4 6 3 2 2" xfId="36758"/>
    <cellStyle name="표준 6 3 2 4 6 3 3" xfId="21775"/>
    <cellStyle name="표준 6 3 2 4 6 3 3 2" xfId="44240"/>
    <cellStyle name="표준 6 3 2 4 6 3 4" xfId="29276"/>
    <cellStyle name="표준 6 3 2 4 6 4" xfId="14288"/>
    <cellStyle name="표준 6 3 2 4 6 4 2" xfId="36755"/>
    <cellStyle name="표준 6 3 2 4 6 5" xfId="21772"/>
    <cellStyle name="표준 6 3 2 4 6 5 2" xfId="44237"/>
    <cellStyle name="표준 6 3 2 4 6 6" xfId="29273"/>
    <cellStyle name="표준 6 3 2 4 7" xfId="6807"/>
    <cellStyle name="표준 6 3 2 4 7 2" xfId="6808"/>
    <cellStyle name="표준 6 3 2 4 7 2 2" xfId="14293"/>
    <cellStyle name="표준 6 3 2 4 7 2 2 2" xfId="36760"/>
    <cellStyle name="표준 6 3 2 4 7 2 3" xfId="21777"/>
    <cellStyle name="표준 6 3 2 4 7 2 3 2" xfId="44242"/>
    <cellStyle name="표준 6 3 2 4 7 2 4" xfId="29278"/>
    <cellStyle name="표준 6 3 2 4 7 3" xfId="14292"/>
    <cellStyle name="표준 6 3 2 4 7 3 2" xfId="36759"/>
    <cellStyle name="표준 6 3 2 4 7 4" xfId="21776"/>
    <cellStyle name="표준 6 3 2 4 7 4 2" xfId="44241"/>
    <cellStyle name="표준 6 3 2 4 7 5" xfId="29277"/>
    <cellStyle name="표준 6 3 2 4 8" xfId="6809"/>
    <cellStyle name="표준 6 3 2 4 8 2" xfId="14294"/>
    <cellStyle name="표준 6 3 2 4 8 2 2" xfId="36761"/>
    <cellStyle name="표준 6 3 2 4 8 3" xfId="21778"/>
    <cellStyle name="표준 6 3 2 4 8 3 2" xfId="44243"/>
    <cellStyle name="표준 6 3 2 4 8 4" xfId="29279"/>
    <cellStyle name="표준 6 3 2 4 9" xfId="14199"/>
    <cellStyle name="표준 6 3 2 4 9 2" xfId="36666"/>
    <cellStyle name="표준 6 3 2 5" xfId="6810"/>
    <cellStyle name="표준 6 3 2 5 10" xfId="29280"/>
    <cellStyle name="표준 6 3 2 5 2" xfId="6811"/>
    <cellStyle name="표준 6 3 2 5 2 2" xfId="6812"/>
    <cellStyle name="표준 6 3 2 5 2 2 2" xfId="6813"/>
    <cellStyle name="표준 6 3 2 5 2 2 2 2" xfId="6814"/>
    <cellStyle name="표준 6 3 2 5 2 2 2 2 2" xfId="6815"/>
    <cellStyle name="표준 6 3 2 5 2 2 2 2 2 2" xfId="14300"/>
    <cellStyle name="표준 6 3 2 5 2 2 2 2 2 2 2" xfId="36767"/>
    <cellStyle name="표준 6 3 2 5 2 2 2 2 2 3" xfId="21784"/>
    <cellStyle name="표준 6 3 2 5 2 2 2 2 2 3 2" xfId="44249"/>
    <cellStyle name="표준 6 3 2 5 2 2 2 2 2 4" xfId="29285"/>
    <cellStyle name="표준 6 3 2 5 2 2 2 2 3" xfId="14299"/>
    <cellStyle name="표준 6 3 2 5 2 2 2 2 3 2" xfId="36766"/>
    <cellStyle name="표준 6 3 2 5 2 2 2 2 4" xfId="21783"/>
    <cellStyle name="표준 6 3 2 5 2 2 2 2 4 2" xfId="44248"/>
    <cellStyle name="표준 6 3 2 5 2 2 2 2 5" xfId="29284"/>
    <cellStyle name="표준 6 3 2 5 2 2 2 3" xfId="6816"/>
    <cellStyle name="표준 6 3 2 5 2 2 2 3 2" xfId="14301"/>
    <cellStyle name="표준 6 3 2 5 2 2 2 3 2 2" xfId="36768"/>
    <cellStyle name="표준 6 3 2 5 2 2 2 3 3" xfId="21785"/>
    <cellStyle name="표준 6 3 2 5 2 2 2 3 3 2" xfId="44250"/>
    <cellStyle name="표준 6 3 2 5 2 2 2 3 4" xfId="29286"/>
    <cellStyle name="표준 6 3 2 5 2 2 2 4" xfId="14298"/>
    <cellStyle name="표준 6 3 2 5 2 2 2 4 2" xfId="36765"/>
    <cellStyle name="표준 6 3 2 5 2 2 2 5" xfId="21782"/>
    <cellStyle name="표준 6 3 2 5 2 2 2 5 2" xfId="44247"/>
    <cellStyle name="표준 6 3 2 5 2 2 2 6" xfId="29283"/>
    <cellStyle name="표준 6 3 2 5 2 2 3" xfId="6817"/>
    <cellStyle name="표준 6 3 2 5 2 2 3 2" xfId="6818"/>
    <cellStyle name="표준 6 3 2 5 2 2 3 2 2" xfId="14303"/>
    <cellStyle name="표준 6 3 2 5 2 2 3 2 2 2" xfId="36770"/>
    <cellStyle name="표준 6 3 2 5 2 2 3 2 3" xfId="21787"/>
    <cellStyle name="표준 6 3 2 5 2 2 3 2 3 2" xfId="44252"/>
    <cellStyle name="표준 6 3 2 5 2 2 3 2 4" xfId="29288"/>
    <cellStyle name="표준 6 3 2 5 2 2 3 3" xfId="14302"/>
    <cellStyle name="표준 6 3 2 5 2 2 3 3 2" xfId="36769"/>
    <cellStyle name="표준 6 3 2 5 2 2 3 4" xfId="21786"/>
    <cellStyle name="표준 6 3 2 5 2 2 3 4 2" xfId="44251"/>
    <cellStyle name="표준 6 3 2 5 2 2 3 5" xfId="29287"/>
    <cellStyle name="표준 6 3 2 5 2 2 4" xfId="6819"/>
    <cellStyle name="표준 6 3 2 5 2 2 4 2" xfId="14304"/>
    <cellStyle name="표준 6 3 2 5 2 2 4 2 2" xfId="36771"/>
    <cellStyle name="표준 6 3 2 5 2 2 4 3" xfId="21788"/>
    <cellStyle name="표준 6 3 2 5 2 2 4 3 2" xfId="44253"/>
    <cellStyle name="표준 6 3 2 5 2 2 4 4" xfId="29289"/>
    <cellStyle name="표준 6 3 2 5 2 2 5" xfId="14297"/>
    <cellStyle name="표준 6 3 2 5 2 2 5 2" xfId="36764"/>
    <cellStyle name="표준 6 3 2 5 2 2 6" xfId="21781"/>
    <cellStyle name="표준 6 3 2 5 2 2 6 2" xfId="44246"/>
    <cellStyle name="표준 6 3 2 5 2 2 7" xfId="29282"/>
    <cellStyle name="표준 6 3 2 5 2 3" xfId="6820"/>
    <cellStyle name="표준 6 3 2 5 2 3 2" xfId="6821"/>
    <cellStyle name="표준 6 3 2 5 2 3 2 2" xfId="6822"/>
    <cellStyle name="표준 6 3 2 5 2 3 2 2 2" xfId="14307"/>
    <cellStyle name="표준 6 3 2 5 2 3 2 2 2 2" xfId="36774"/>
    <cellStyle name="표준 6 3 2 5 2 3 2 2 3" xfId="21791"/>
    <cellStyle name="표준 6 3 2 5 2 3 2 2 3 2" xfId="44256"/>
    <cellStyle name="표준 6 3 2 5 2 3 2 2 4" xfId="29292"/>
    <cellStyle name="표준 6 3 2 5 2 3 2 3" xfId="14306"/>
    <cellStyle name="표준 6 3 2 5 2 3 2 3 2" xfId="36773"/>
    <cellStyle name="표준 6 3 2 5 2 3 2 4" xfId="21790"/>
    <cellStyle name="표준 6 3 2 5 2 3 2 4 2" xfId="44255"/>
    <cellStyle name="표준 6 3 2 5 2 3 2 5" xfId="29291"/>
    <cellStyle name="표준 6 3 2 5 2 3 3" xfId="6823"/>
    <cellStyle name="표준 6 3 2 5 2 3 3 2" xfId="14308"/>
    <cellStyle name="표준 6 3 2 5 2 3 3 2 2" xfId="36775"/>
    <cellStyle name="표준 6 3 2 5 2 3 3 3" xfId="21792"/>
    <cellStyle name="표준 6 3 2 5 2 3 3 3 2" xfId="44257"/>
    <cellStyle name="표준 6 3 2 5 2 3 3 4" xfId="29293"/>
    <cellStyle name="표준 6 3 2 5 2 3 4" xfId="14305"/>
    <cellStyle name="표준 6 3 2 5 2 3 4 2" xfId="36772"/>
    <cellStyle name="표준 6 3 2 5 2 3 5" xfId="21789"/>
    <cellStyle name="표준 6 3 2 5 2 3 5 2" xfId="44254"/>
    <cellStyle name="표준 6 3 2 5 2 3 6" xfId="29290"/>
    <cellStyle name="표준 6 3 2 5 2 4" xfId="6824"/>
    <cellStyle name="표준 6 3 2 5 2 4 2" xfId="6825"/>
    <cellStyle name="표준 6 3 2 5 2 4 2 2" xfId="14310"/>
    <cellStyle name="표준 6 3 2 5 2 4 2 2 2" xfId="36777"/>
    <cellStyle name="표준 6 3 2 5 2 4 2 3" xfId="21794"/>
    <cellStyle name="표준 6 3 2 5 2 4 2 3 2" xfId="44259"/>
    <cellStyle name="표준 6 3 2 5 2 4 2 4" xfId="29295"/>
    <cellStyle name="표준 6 3 2 5 2 4 3" xfId="14309"/>
    <cellStyle name="표준 6 3 2 5 2 4 3 2" xfId="36776"/>
    <cellStyle name="표준 6 3 2 5 2 4 4" xfId="21793"/>
    <cellStyle name="표준 6 3 2 5 2 4 4 2" xfId="44258"/>
    <cellStyle name="표준 6 3 2 5 2 4 5" xfId="29294"/>
    <cellStyle name="표준 6 3 2 5 2 5" xfId="6826"/>
    <cellStyle name="표준 6 3 2 5 2 5 2" xfId="14311"/>
    <cellStyle name="표준 6 3 2 5 2 5 2 2" xfId="36778"/>
    <cellStyle name="표준 6 3 2 5 2 5 3" xfId="21795"/>
    <cellStyle name="표준 6 3 2 5 2 5 3 2" xfId="44260"/>
    <cellStyle name="표준 6 3 2 5 2 5 4" xfId="29296"/>
    <cellStyle name="표준 6 3 2 5 2 6" xfId="14296"/>
    <cellStyle name="표준 6 3 2 5 2 6 2" xfId="36763"/>
    <cellStyle name="표준 6 3 2 5 2 7" xfId="21780"/>
    <cellStyle name="표준 6 3 2 5 2 7 2" xfId="44245"/>
    <cellStyle name="표준 6 3 2 5 2 8" xfId="29281"/>
    <cellStyle name="표준 6 3 2 5 3" xfId="6827"/>
    <cellStyle name="표준 6 3 2 5 3 2" xfId="6828"/>
    <cellStyle name="표준 6 3 2 5 3 2 2" xfId="6829"/>
    <cellStyle name="표준 6 3 2 5 3 2 2 2" xfId="6830"/>
    <cellStyle name="표준 6 3 2 5 3 2 2 2 2" xfId="6831"/>
    <cellStyle name="표준 6 3 2 5 3 2 2 2 2 2" xfId="14316"/>
    <cellStyle name="표준 6 3 2 5 3 2 2 2 2 2 2" xfId="36783"/>
    <cellStyle name="표준 6 3 2 5 3 2 2 2 2 3" xfId="21800"/>
    <cellStyle name="표준 6 3 2 5 3 2 2 2 2 3 2" xfId="44265"/>
    <cellStyle name="표준 6 3 2 5 3 2 2 2 2 4" xfId="29301"/>
    <cellStyle name="표준 6 3 2 5 3 2 2 2 3" xfId="14315"/>
    <cellStyle name="표준 6 3 2 5 3 2 2 2 3 2" xfId="36782"/>
    <cellStyle name="표준 6 3 2 5 3 2 2 2 4" xfId="21799"/>
    <cellStyle name="표준 6 3 2 5 3 2 2 2 4 2" xfId="44264"/>
    <cellStyle name="표준 6 3 2 5 3 2 2 2 5" xfId="29300"/>
    <cellStyle name="표준 6 3 2 5 3 2 2 3" xfId="6832"/>
    <cellStyle name="표준 6 3 2 5 3 2 2 3 2" xfId="14317"/>
    <cellStyle name="표준 6 3 2 5 3 2 2 3 2 2" xfId="36784"/>
    <cellStyle name="표준 6 3 2 5 3 2 2 3 3" xfId="21801"/>
    <cellStyle name="표준 6 3 2 5 3 2 2 3 3 2" xfId="44266"/>
    <cellStyle name="표준 6 3 2 5 3 2 2 3 4" xfId="29302"/>
    <cellStyle name="표준 6 3 2 5 3 2 2 4" xfId="14314"/>
    <cellStyle name="표준 6 3 2 5 3 2 2 4 2" xfId="36781"/>
    <cellStyle name="표준 6 3 2 5 3 2 2 5" xfId="21798"/>
    <cellStyle name="표준 6 3 2 5 3 2 2 5 2" xfId="44263"/>
    <cellStyle name="표준 6 3 2 5 3 2 2 6" xfId="29299"/>
    <cellStyle name="표준 6 3 2 5 3 2 3" xfId="6833"/>
    <cellStyle name="표준 6 3 2 5 3 2 3 2" xfId="6834"/>
    <cellStyle name="표준 6 3 2 5 3 2 3 2 2" xfId="14319"/>
    <cellStyle name="표준 6 3 2 5 3 2 3 2 2 2" xfId="36786"/>
    <cellStyle name="표준 6 3 2 5 3 2 3 2 3" xfId="21803"/>
    <cellStyle name="표준 6 3 2 5 3 2 3 2 3 2" xfId="44268"/>
    <cellStyle name="표준 6 3 2 5 3 2 3 2 4" xfId="29304"/>
    <cellStyle name="표준 6 3 2 5 3 2 3 3" xfId="14318"/>
    <cellStyle name="표준 6 3 2 5 3 2 3 3 2" xfId="36785"/>
    <cellStyle name="표준 6 3 2 5 3 2 3 4" xfId="21802"/>
    <cellStyle name="표준 6 3 2 5 3 2 3 4 2" xfId="44267"/>
    <cellStyle name="표준 6 3 2 5 3 2 3 5" xfId="29303"/>
    <cellStyle name="표준 6 3 2 5 3 2 4" xfId="6835"/>
    <cellStyle name="표준 6 3 2 5 3 2 4 2" xfId="14320"/>
    <cellStyle name="표준 6 3 2 5 3 2 4 2 2" xfId="36787"/>
    <cellStyle name="표준 6 3 2 5 3 2 4 3" xfId="21804"/>
    <cellStyle name="표준 6 3 2 5 3 2 4 3 2" xfId="44269"/>
    <cellStyle name="표준 6 3 2 5 3 2 4 4" xfId="29305"/>
    <cellStyle name="표준 6 3 2 5 3 2 5" xfId="14313"/>
    <cellStyle name="표준 6 3 2 5 3 2 5 2" xfId="36780"/>
    <cellStyle name="표준 6 3 2 5 3 2 6" xfId="21797"/>
    <cellStyle name="표준 6 3 2 5 3 2 6 2" xfId="44262"/>
    <cellStyle name="표준 6 3 2 5 3 2 7" xfId="29298"/>
    <cellStyle name="표준 6 3 2 5 3 3" xfId="6836"/>
    <cellStyle name="표준 6 3 2 5 3 3 2" xfId="6837"/>
    <cellStyle name="표준 6 3 2 5 3 3 2 2" xfId="6838"/>
    <cellStyle name="표준 6 3 2 5 3 3 2 2 2" xfId="14323"/>
    <cellStyle name="표준 6 3 2 5 3 3 2 2 2 2" xfId="36790"/>
    <cellStyle name="표준 6 3 2 5 3 3 2 2 3" xfId="21807"/>
    <cellStyle name="표준 6 3 2 5 3 3 2 2 3 2" xfId="44272"/>
    <cellStyle name="표준 6 3 2 5 3 3 2 2 4" xfId="29308"/>
    <cellStyle name="표준 6 3 2 5 3 3 2 3" xfId="14322"/>
    <cellStyle name="표준 6 3 2 5 3 3 2 3 2" xfId="36789"/>
    <cellStyle name="표준 6 3 2 5 3 3 2 4" xfId="21806"/>
    <cellStyle name="표준 6 3 2 5 3 3 2 4 2" xfId="44271"/>
    <cellStyle name="표준 6 3 2 5 3 3 2 5" xfId="29307"/>
    <cellStyle name="표준 6 3 2 5 3 3 3" xfId="6839"/>
    <cellStyle name="표준 6 3 2 5 3 3 3 2" xfId="14324"/>
    <cellStyle name="표준 6 3 2 5 3 3 3 2 2" xfId="36791"/>
    <cellStyle name="표준 6 3 2 5 3 3 3 3" xfId="21808"/>
    <cellStyle name="표준 6 3 2 5 3 3 3 3 2" xfId="44273"/>
    <cellStyle name="표준 6 3 2 5 3 3 3 4" xfId="29309"/>
    <cellStyle name="표준 6 3 2 5 3 3 4" xfId="14321"/>
    <cellStyle name="표준 6 3 2 5 3 3 4 2" xfId="36788"/>
    <cellStyle name="표준 6 3 2 5 3 3 5" xfId="21805"/>
    <cellStyle name="표준 6 3 2 5 3 3 5 2" xfId="44270"/>
    <cellStyle name="표준 6 3 2 5 3 3 6" xfId="29306"/>
    <cellStyle name="표준 6 3 2 5 3 4" xfId="6840"/>
    <cellStyle name="표준 6 3 2 5 3 4 2" xfId="6841"/>
    <cellStyle name="표준 6 3 2 5 3 4 2 2" xfId="14326"/>
    <cellStyle name="표준 6 3 2 5 3 4 2 2 2" xfId="36793"/>
    <cellStyle name="표준 6 3 2 5 3 4 2 3" xfId="21810"/>
    <cellStyle name="표준 6 3 2 5 3 4 2 3 2" xfId="44275"/>
    <cellStyle name="표준 6 3 2 5 3 4 2 4" xfId="29311"/>
    <cellStyle name="표준 6 3 2 5 3 4 3" xfId="14325"/>
    <cellStyle name="표준 6 3 2 5 3 4 3 2" xfId="36792"/>
    <cellStyle name="표준 6 3 2 5 3 4 4" xfId="21809"/>
    <cellStyle name="표준 6 3 2 5 3 4 4 2" xfId="44274"/>
    <cellStyle name="표준 6 3 2 5 3 4 5" xfId="29310"/>
    <cellStyle name="표준 6 3 2 5 3 5" xfId="6842"/>
    <cellStyle name="표준 6 3 2 5 3 5 2" xfId="14327"/>
    <cellStyle name="표준 6 3 2 5 3 5 2 2" xfId="36794"/>
    <cellStyle name="표준 6 3 2 5 3 5 3" xfId="21811"/>
    <cellStyle name="표준 6 3 2 5 3 5 3 2" xfId="44276"/>
    <cellStyle name="표준 6 3 2 5 3 5 4" xfId="29312"/>
    <cellStyle name="표준 6 3 2 5 3 6" xfId="14312"/>
    <cellStyle name="표준 6 3 2 5 3 6 2" xfId="36779"/>
    <cellStyle name="표준 6 3 2 5 3 7" xfId="21796"/>
    <cellStyle name="표준 6 3 2 5 3 7 2" xfId="44261"/>
    <cellStyle name="표준 6 3 2 5 3 8" xfId="29297"/>
    <cellStyle name="표준 6 3 2 5 4" xfId="6843"/>
    <cellStyle name="표준 6 3 2 5 4 2" xfId="6844"/>
    <cellStyle name="표준 6 3 2 5 4 2 2" xfId="6845"/>
    <cellStyle name="표준 6 3 2 5 4 2 2 2" xfId="6846"/>
    <cellStyle name="표준 6 3 2 5 4 2 2 2 2" xfId="14331"/>
    <cellStyle name="표준 6 3 2 5 4 2 2 2 2 2" xfId="36798"/>
    <cellStyle name="표준 6 3 2 5 4 2 2 2 3" xfId="21815"/>
    <cellStyle name="표준 6 3 2 5 4 2 2 2 3 2" xfId="44280"/>
    <cellStyle name="표준 6 3 2 5 4 2 2 2 4" xfId="29316"/>
    <cellStyle name="표준 6 3 2 5 4 2 2 3" xfId="14330"/>
    <cellStyle name="표준 6 3 2 5 4 2 2 3 2" xfId="36797"/>
    <cellStyle name="표준 6 3 2 5 4 2 2 4" xfId="21814"/>
    <cellStyle name="표준 6 3 2 5 4 2 2 4 2" xfId="44279"/>
    <cellStyle name="표준 6 3 2 5 4 2 2 5" xfId="29315"/>
    <cellStyle name="표준 6 3 2 5 4 2 3" xfId="6847"/>
    <cellStyle name="표준 6 3 2 5 4 2 3 2" xfId="14332"/>
    <cellStyle name="표준 6 3 2 5 4 2 3 2 2" xfId="36799"/>
    <cellStyle name="표준 6 3 2 5 4 2 3 3" xfId="21816"/>
    <cellStyle name="표준 6 3 2 5 4 2 3 3 2" xfId="44281"/>
    <cellStyle name="표준 6 3 2 5 4 2 3 4" xfId="29317"/>
    <cellStyle name="표준 6 3 2 5 4 2 4" xfId="14329"/>
    <cellStyle name="표준 6 3 2 5 4 2 4 2" xfId="36796"/>
    <cellStyle name="표준 6 3 2 5 4 2 5" xfId="21813"/>
    <cellStyle name="표준 6 3 2 5 4 2 5 2" xfId="44278"/>
    <cellStyle name="표준 6 3 2 5 4 2 6" xfId="29314"/>
    <cellStyle name="표준 6 3 2 5 4 3" xfId="6848"/>
    <cellStyle name="표준 6 3 2 5 4 3 2" xfId="6849"/>
    <cellStyle name="표준 6 3 2 5 4 3 2 2" xfId="14334"/>
    <cellStyle name="표준 6 3 2 5 4 3 2 2 2" xfId="36801"/>
    <cellStyle name="표준 6 3 2 5 4 3 2 3" xfId="21818"/>
    <cellStyle name="표준 6 3 2 5 4 3 2 3 2" xfId="44283"/>
    <cellStyle name="표준 6 3 2 5 4 3 2 4" xfId="29319"/>
    <cellStyle name="표준 6 3 2 5 4 3 3" xfId="14333"/>
    <cellStyle name="표준 6 3 2 5 4 3 3 2" xfId="36800"/>
    <cellStyle name="표준 6 3 2 5 4 3 4" xfId="21817"/>
    <cellStyle name="표준 6 3 2 5 4 3 4 2" xfId="44282"/>
    <cellStyle name="표준 6 3 2 5 4 3 5" xfId="29318"/>
    <cellStyle name="표준 6 3 2 5 4 4" xfId="6850"/>
    <cellStyle name="표준 6 3 2 5 4 4 2" xfId="14335"/>
    <cellStyle name="표준 6 3 2 5 4 4 2 2" xfId="36802"/>
    <cellStyle name="표준 6 3 2 5 4 4 3" xfId="21819"/>
    <cellStyle name="표준 6 3 2 5 4 4 3 2" xfId="44284"/>
    <cellStyle name="표준 6 3 2 5 4 4 4" xfId="29320"/>
    <cellStyle name="표준 6 3 2 5 4 5" xfId="14328"/>
    <cellStyle name="표준 6 3 2 5 4 5 2" xfId="36795"/>
    <cellStyle name="표준 6 3 2 5 4 6" xfId="21812"/>
    <cellStyle name="표준 6 3 2 5 4 6 2" xfId="44277"/>
    <cellStyle name="표준 6 3 2 5 4 7" xfId="29313"/>
    <cellStyle name="표준 6 3 2 5 5" xfId="6851"/>
    <cellStyle name="표준 6 3 2 5 5 2" xfId="6852"/>
    <cellStyle name="표준 6 3 2 5 5 2 2" xfId="6853"/>
    <cellStyle name="표준 6 3 2 5 5 2 2 2" xfId="14338"/>
    <cellStyle name="표준 6 3 2 5 5 2 2 2 2" xfId="36805"/>
    <cellStyle name="표준 6 3 2 5 5 2 2 3" xfId="21822"/>
    <cellStyle name="표준 6 3 2 5 5 2 2 3 2" xfId="44287"/>
    <cellStyle name="표준 6 3 2 5 5 2 2 4" xfId="29323"/>
    <cellStyle name="표준 6 3 2 5 5 2 3" xfId="14337"/>
    <cellStyle name="표준 6 3 2 5 5 2 3 2" xfId="36804"/>
    <cellStyle name="표준 6 3 2 5 5 2 4" xfId="21821"/>
    <cellStyle name="표준 6 3 2 5 5 2 4 2" xfId="44286"/>
    <cellStyle name="표준 6 3 2 5 5 2 5" xfId="29322"/>
    <cellStyle name="표준 6 3 2 5 5 3" xfId="6854"/>
    <cellStyle name="표준 6 3 2 5 5 3 2" xfId="14339"/>
    <cellStyle name="표준 6 3 2 5 5 3 2 2" xfId="36806"/>
    <cellStyle name="표준 6 3 2 5 5 3 3" xfId="21823"/>
    <cellStyle name="표준 6 3 2 5 5 3 3 2" xfId="44288"/>
    <cellStyle name="표준 6 3 2 5 5 3 4" xfId="29324"/>
    <cellStyle name="표준 6 3 2 5 5 4" xfId="14336"/>
    <cellStyle name="표준 6 3 2 5 5 4 2" xfId="36803"/>
    <cellStyle name="표준 6 3 2 5 5 5" xfId="21820"/>
    <cellStyle name="표준 6 3 2 5 5 5 2" xfId="44285"/>
    <cellStyle name="표준 6 3 2 5 5 6" xfId="29321"/>
    <cellStyle name="표준 6 3 2 5 6" xfId="6855"/>
    <cellStyle name="표준 6 3 2 5 6 2" xfId="6856"/>
    <cellStyle name="표준 6 3 2 5 6 2 2" xfId="14341"/>
    <cellStyle name="표준 6 3 2 5 6 2 2 2" xfId="36808"/>
    <cellStyle name="표준 6 3 2 5 6 2 3" xfId="21825"/>
    <cellStyle name="표준 6 3 2 5 6 2 3 2" xfId="44290"/>
    <cellStyle name="표준 6 3 2 5 6 2 4" xfId="29326"/>
    <cellStyle name="표준 6 3 2 5 6 3" xfId="14340"/>
    <cellStyle name="표준 6 3 2 5 6 3 2" xfId="36807"/>
    <cellStyle name="표준 6 3 2 5 6 4" xfId="21824"/>
    <cellStyle name="표준 6 3 2 5 6 4 2" xfId="44289"/>
    <cellStyle name="표준 6 3 2 5 6 5" xfId="29325"/>
    <cellStyle name="표준 6 3 2 5 7" xfId="6857"/>
    <cellStyle name="표준 6 3 2 5 7 2" xfId="14342"/>
    <cellStyle name="표준 6 3 2 5 7 2 2" xfId="36809"/>
    <cellStyle name="표준 6 3 2 5 7 3" xfId="21826"/>
    <cellStyle name="표준 6 3 2 5 7 3 2" xfId="44291"/>
    <cellStyle name="표준 6 3 2 5 7 4" xfId="29327"/>
    <cellStyle name="표준 6 3 2 5 8" xfId="14295"/>
    <cellStyle name="표준 6 3 2 5 8 2" xfId="36762"/>
    <cellStyle name="표준 6 3 2 5 9" xfId="21779"/>
    <cellStyle name="표준 6 3 2 5 9 2" xfId="44244"/>
    <cellStyle name="표준 6 3 2 6" xfId="6858"/>
    <cellStyle name="표준 6 3 2 6 2" xfId="6859"/>
    <cellStyle name="표준 6 3 2 6 2 2" xfId="6860"/>
    <cellStyle name="표준 6 3 2 6 2 2 2" xfId="6861"/>
    <cellStyle name="표준 6 3 2 6 2 2 2 2" xfId="6862"/>
    <cellStyle name="표준 6 3 2 6 2 2 2 2 2" xfId="14347"/>
    <cellStyle name="표준 6 3 2 6 2 2 2 2 2 2" xfId="36814"/>
    <cellStyle name="표준 6 3 2 6 2 2 2 2 3" xfId="21831"/>
    <cellStyle name="표준 6 3 2 6 2 2 2 2 3 2" xfId="44296"/>
    <cellStyle name="표준 6 3 2 6 2 2 2 2 4" xfId="29332"/>
    <cellStyle name="표준 6 3 2 6 2 2 2 3" xfId="14346"/>
    <cellStyle name="표준 6 3 2 6 2 2 2 3 2" xfId="36813"/>
    <cellStyle name="표준 6 3 2 6 2 2 2 4" xfId="21830"/>
    <cellStyle name="표준 6 3 2 6 2 2 2 4 2" xfId="44295"/>
    <cellStyle name="표준 6 3 2 6 2 2 2 5" xfId="29331"/>
    <cellStyle name="표준 6 3 2 6 2 2 3" xfId="6863"/>
    <cellStyle name="표준 6 3 2 6 2 2 3 2" xfId="14348"/>
    <cellStyle name="표준 6 3 2 6 2 2 3 2 2" xfId="36815"/>
    <cellStyle name="표준 6 3 2 6 2 2 3 3" xfId="21832"/>
    <cellStyle name="표준 6 3 2 6 2 2 3 3 2" xfId="44297"/>
    <cellStyle name="표준 6 3 2 6 2 2 3 4" xfId="29333"/>
    <cellStyle name="표준 6 3 2 6 2 2 4" xfId="14345"/>
    <cellStyle name="표준 6 3 2 6 2 2 4 2" xfId="36812"/>
    <cellStyle name="표준 6 3 2 6 2 2 5" xfId="21829"/>
    <cellStyle name="표준 6 3 2 6 2 2 5 2" xfId="44294"/>
    <cellStyle name="표준 6 3 2 6 2 2 6" xfId="29330"/>
    <cellStyle name="표준 6 3 2 6 2 3" xfId="6864"/>
    <cellStyle name="표준 6 3 2 6 2 3 2" xfId="6865"/>
    <cellStyle name="표준 6 3 2 6 2 3 2 2" xfId="14350"/>
    <cellStyle name="표준 6 3 2 6 2 3 2 2 2" xfId="36817"/>
    <cellStyle name="표준 6 3 2 6 2 3 2 3" xfId="21834"/>
    <cellStyle name="표준 6 3 2 6 2 3 2 3 2" xfId="44299"/>
    <cellStyle name="표준 6 3 2 6 2 3 2 4" xfId="29335"/>
    <cellStyle name="표준 6 3 2 6 2 3 3" xfId="14349"/>
    <cellStyle name="표준 6 3 2 6 2 3 3 2" xfId="36816"/>
    <cellStyle name="표준 6 3 2 6 2 3 4" xfId="21833"/>
    <cellStyle name="표준 6 3 2 6 2 3 4 2" xfId="44298"/>
    <cellStyle name="표준 6 3 2 6 2 3 5" xfId="29334"/>
    <cellStyle name="표준 6 3 2 6 2 4" xfId="6866"/>
    <cellStyle name="표준 6 3 2 6 2 4 2" xfId="14351"/>
    <cellStyle name="표준 6 3 2 6 2 4 2 2" xfId="36818"/>
    <cellStyle name="표준 6 3 2 6 2 4 3" xfId="21835"/>
    <cellStyle name="표준 6 3 2 6 2 4 3 2" xfId="44300"/>
    <cellStyle name="표준 6 3 2 6 2 4 4" xfId="29336"/>
    <cellStyle name="표준 6 3 2 6 2 5" xfId="14344"/>
    <cellStyle name="표준 6 3 2 6 2 5 2" xfId="36811"/>
    <cellStyle name="표준 6 3 2 6 2 6" xfId="21828"/>
    <cellStyle name="표준 6 3 2 6 2 6 2" xfId="44293"/>
    <cellStyle name="표준 6 3 2 6 2 7" xfId="29329"/>
    <cellStyle name="표준 6 3 2 6 3" xfId="6867"/>
    <cellStyle name="표준 6 3 2 6 3 2" xfId="6868"/>
    <cellStyle name="표준 6 3 2 6 3 2 2" xfId="6869"/>
    <cellStyle name="표준 6 3 2 6 3 2 2 2" xfId="14354"/>
    <cellStyle name="표준 6 3 2 6 3 2 2 2 2" xfId="36821"/>
    <cellStyle name="표준 6 3 2 6 3 2 2 3" xfId="21838"/>
    <cellStyle name="표준 6 3 2 6 3 2 2 3 2" xfId="44303"/>
    <cellStyle name="표준 6 3 2 6 3 2 2 4" xfId="29339"/>
    <cellStyle name="표준 6 3 2 6 3 2 3" xfId="14353"/>
    <cellStyle name="표준 6 3 2 6 3 2 3 2" xfId="36820"/>
    <cellStyle name="표준 6 3 2 6 3 2 4" xfId="21837"/>
    <cellStyle name="표준 6 3 2 6 3 2 4 2" xfId="44302"/>
    <cellStyle name="표준 6 3 2 6 3 2 5" xfId="29338"/>
    <cellStyle name="표준 6 3 2 6 3 3" xfId="6870"/>
    <cellStyle name="표준 6 3 2 6 3 3 2" xfId="14355"/>
    <cellStyle name="표준 6 3 2 6 3 3 2 2" xfId="36822"/>
    <cellStyle name="표준 6 3 2 6 3 3 3" xfId="21839"/>
    <cellStyle name="표준 6 3 2 6 3 3 3 2" xfId="44304"/>
    <cellStyle name="표준 6 3 2 6 3 3 4" xfId="29340"/>
    <cellStyle name="표준 6 3 2 6 3 4" xfId="14352"/>
    <cellStyle name="표준 6 3 2 6 3 4 2" xfId="36819"/>
    <cellStyle name="표준 6 3 2 6 3 5" xfId="21836"/>
    <cellStyle name="표준 6 3 2 6 3 5 2" xfId="44301"/>
    <cellStyle name="표준 6 3 2 6 3 6" xfId="29337"/>
    <cellStyle name="표준 6 3 2 6 4" xfId="6871"/>
    <cellStyle name="표준 6 3 2 6 4 2" xfId="6872"/>
    <cellStyle name="표준 6 3 2 6 4 2 2" xfId="14357"/>
    <cellStyle name="표준 6 3 2 6 4 2 2 2" xfId="36824"/>
    <cellStyle name="표준 6 3 2 6 4 2 3" xfId="21841"/>
    <cellStyle name="표준 6 3 2 6 4 2 3 2" xfId="44306"/>
    <cellStyle name="표준 6 3 2 6 4 2 4" xfId="29342"/>
    <cellStyle name="표준 6 3 2 6 4 3" xfId="14356"/>
    <cellStyle name="표준 6 3 2 6 4 3 2" xfId="36823"/>
    <cellStyle name="표준 6 3 2 6 4 4" xfId="21840"/>
    <cellStyle name="표준 6 3 2 6 4 4 2" xfId="44305"/>
    <cellStyle name="표준 6 3 2 6 4 5" xfId="29341"/>
    <cellStyle name="표준 6 3 2 6 5" xfId="6873"/>
    <cellStyle name="표준 6 3 2 6 5 2" xfId="14358"/>
    <cellStyle name="표준 6 3 2 6 5 2 2" xfId="36825"/>
    <cellStyle name="표준 6 3 2 6 5 3" xfId="21842"/>
    <cellStyle name="표준 6 3 2 6 5 3 2" xfId="44307"/>
    <cellStyle name="표준 6 3 2 6 5 4" xfId="29343"/>
    <cellStyle name="표준 6 3 2 6 6" xfId="14343"/>
    <cellStyle name="표준 6 3 2 6 6 2" xfId="36810"/>
    <cellStyle name="표준 6 3 2 6 7" xfId="21827"/>
    <cellStyle name="표준 6 3 2 6 7 2" xfId="44292"/>
    <cellStyle name="표준 6 3 2 6 8" xfId="29328"/>
    <cellStyle name="표준 6 3 2 7" xfId="6874"/>
    <cellStyle name="표준 6 3 2 7 2" xfId="6875"/>
    <cellStyle name="표준 6 3 2 7 2 2" xfId="6876"/>
    <cellStyle name="표준 6 3 2 7 2 2 2" xfId="6877"/>
    <cellStyle name="표준 6 3 2 7 2 2 2 2" xfId="6878"/>
    <cellStyle name="표준 6 3 2 7 2 2 2 2 2" xfId="14363"/>
    <cellStyle name="표준 6 3 2 7 2 2 2 2 2 2" xfId="36830"/>
    <cellStyle name="표준 6 3 2 7 2 2 2 2 3" xfId="21847"/>
    <cellStyle name="표준 6 3 2 7 2 2 2 2 3 2" xfId="44312"/>
    <cellStyle name="표준 6 3 2 7 2 2 2 2 4" xfId="29348"/>
    <cellStyle name="표준 6 3 2 7 2 2 2 3" xfId="14362"/>
    <cellStyle name="표준 6 3 2 7 2 2 2 3 2" xfId="36829"/>
    <cellStyle name="표준 6 3 2 7 2 2 2 4" xfId="21846"/>
    <cellStyle name="표준 6 3 2 7 2 2 2 4 2" xfId="44311"/>
    <cellStyle name="표준 6 3 2 7 2 2 2 5" xfId="29347"/>
    <cellStyle name="표준 6 3 2 7 2 2 3" xfId="6879"/>
    <cellStyle name="표준 6 3 2 7 2 2 3 2" xfId="14364"/>
    <cellStyle name="표준 6 3 2 7 2 2 3 2 2" xfId="36831"/>
    <cellStyle name="표준 6 3 2 7 2 2 3 3" xfId="21848"/>
    <cellStyle name="표준 6 3 2 7 2 2 3 3 2" xfId="44313"/>
    <cellStyle name="표준 6 3 2 7 2 2 3 4" xfId="29349"/>
    <cellStyle name="표준 6 3 2 7 2 2 4" xfId="14361"/>
    <cellStyle name="표준 6 3 2 7 2 2 4 2" xfId="36828"/>
    <cellStyle name="표준 6 3 2 7 2 2 5" xfId="21845"/>
    <cellStyle name="표준 6 3 2 7 2 2 5 2" xfId="44310"/>
    <cellStyle name="표준 6 3 2 7 2 2 6" xfId="29346"/>
    <cellStyle name="표준 6 3 2 7 2 3" xfId="6880"/>
    <cellStyle name="표준 6 3 2 7 2 3 2" xfId="6881"/>
    <cellStyle name="표준 6 3 2 7 2 3 2 2" xfId="14366"/>
    <cellStyle name="표준 6 3 2 7 2 3 2 2 2" xfId="36833"/>
    <cellStyle name="표준 6 3 2 7 2 3 2 3" xfId="21850"/>
    <cellStyle name="표준 6 3 2 7 2 3 2 3 2" xfId="44315"/>
    <cellStyle name="표준 6 3 2 7 2 3 2 4" xfId="29351"/>
    <cellStyle name="표준 6 3 2 7 2 3 3" xfId="14365"/>
    <cellStyle name="표준 6 3 2 7 2 3 3 2" xfId="36832"/>
    <cellStyle name="표준 6 3 2 7 2 3 4" xfId="21849"/>
    <cellStyle name="표준 6 3 2 7 2 3 4 2" xfId="44314"/>
    <cellStyle name="표준 6 3 2 7 2 3 5" xfId="29350"/>
    <cellStyle name="표준 6 3 2 7 2 4" xfId="6882"/>
    <cellStyle name="표준 6 3 2 7 2 4 2" xfId="14367"/>
    <cellStyle name="표준 6 3 2 7 2 4 2 2" xfId="36834"/>
    <cellStyle name="표준 6 3 2 7 2 4 3" xfId="21851"/>
    <cellStyle name="표준 6 3 2 7 2 4 3 2" xfId="44316"/>
    <cellStyle name="표준 6 3 2 7 2 4 4" xfId="29352"/>
    <cellStyle name="표준 6 3 2 7 2 5" xfId="14360"/>
    <cellStyle name="표준 6 3 2 7 2 5 2" xfId="36827"/>
    <cellStyle name="표준 6 3 2 7 2 6" xfId="21844"/>
    <cellStyle name="표준 6 3 2 7 2 6 2" xfId="44309"/>
    <cellStyle name="표준 6 3 2 7 2 7" xfId="29345"/>
    <cellStyle name="표준 6 3 2 7 3" xfId="6883"/>
    <cellStyle name="표준 6 3 2 7 3 2" xfId="6884"/>
    <cellStyle name="표준 6 3 2 7 3 2 2" xfId="6885"/>
    <cellStyle name="표준 6 3 2 7 3 2 2 2" xfId="14370"/>
    <cellStyle name="표준 6 3 2 7 3 2 2 2 2" xfId="36837"/>
    <cellStyle name="표준 6 3 2 7 3 2 2 3" xfId="21854"/>
    <cellStyle name="표준 6 3 2 7 3 2 2 3 2" xfId="44319"/>
    <cellStyle name="표준 6 3 2 7 3 2 2 4" xfId="29355"/>
    <cellStyle name="표준 6 3 2 7 3 2 3" xfId="14369"/>
    <cellStyle name="표준 6 3 2 7 3 2 3 2" xfId="36836"/>
    <cellStyle name="표준 6 3 2 7 3 2 4" xfId="21853"/>
    <cellStyle name="표준 6 3 2 7 3 2 4 2" xfId="44318"/>
    <cellStyle name="표준 6 3 2 7 3 2 5" xfId="29354"/>
    <cellStyle name="표준 6 3 2 7 3 3" xfId="6886"/>
    <cellStyle name="표준 6 3 2 7 3 3 2" xfId="14371"/>
    <cellStyle name="표준 6 3 2 7 3 3 2 2" xfId="36838"/>
    <cellStyle name="표준 6 3 2 7 3 3 3" xfId="21855"/>
    <cellStyle name="표준 6 3 2 7 3 3 3 2" xfId="44320"/>
    <cellStyle name="표준 6 3 2 7 3 3 4" xfId="29356"/>
    <cellStyle name="표준 6 3 2 7 3 4" xfId="14368"/>
    <cellStyle name="표준 6 3 2 7 3 4 2" xfId="36835"/>
    <cellStyle name="표준 6 3 2 7 3 5" xfId="21852"/>
    <cellStyle name="표준 6 3 2 7 3 5 2" xfId="44317"/>
    <cellStyle name="표준 6 3 2 7 3 6" xfId="29353"/>
    <cellStyle name="표준 6 3 2 7 4" xfId="6887"/>
    <cellStyle name="표준 6 3 2 7 4 2" xfId="6888"/>
    <cellStyle name="표준 6 3 2 7 4 2 2" xfId="14373"/>
    <cellStyle name="표준 6 3 2 7 4 2 2 2" xfId="36840"/>
    <cellStyle name="표준 6 3 2 7 4 2 3" xfId="21857"/>
    <cellStyle name="표준 6 3 2 7 4 2 3 2" xfId="44322"/>
    <cellStyle name="표준 6 3 2 7 4 2 4" xfId="29358"/>
    <cellStyle name="표준 6 3 2 7 4 3" xfId="14372"/>
    <cellStyle name="표준 6 3 2 7 4 3 2" xfId="36839"/>
    <cellStyle name="표준 6 3 2 7 4 4" xfId="21856"/>
    <cellStyle name="표준 6 3 2 7 4 4 2" xfId="44321"/>
    <cellStyle name="표준 6 3 2 7 4 5" xfId="29357"/>
    <cellStyle name="표준 6 3 2 7 5" xfId="6889"/>
    <cellStyle name="표준 6 3 2 7 5 2" xfId="14374"/>
    <cellStyle name="표준 6 3 2 7 5 2 2" xfId="36841"/>
    <cellStyle name="표준 6 3 2 7 5 3" xfId="21858"/>
    <cellStyle name="표준 6 3 2 7 5 3 2" xfId="44323"/>
    <cellStyle name="표준 6 3 2 7 5 4" xfId="29359"/>
    <cellStyle name="표준 6 3 2 7 6" xfId="14359"/>
    <cellStyle name="표준 6 3 2 7 6 2" xfId="36826"/>
    <cellStyle name="표준 6 3 2 7 7" xfId="21843"/>
    <cellStyle name="표준 6 3 2 7 7 2" xfId="44308"/>
    <cellStyle name="표준 6 3 2 7 8" xfId="29344"/>
    <cellStyle name="표준 6 3 2 8" xfId="6890"/>
    <cellStyle name="표준 6 3 2 8 2" xfId="6891"/>
    <cellStyle name="표준 6 3 2 8 2 2" xfId="6892"/>
    <cellStyle name="표준 6 3 2 8 2 2 2" xfId="6893"/>
    <cellStyle name="표준 6 3 2 8 2 2 2 2" xfId="14378"/>
    <cellStyle name="표준 6 3 2 8 2 2 2 2 2" xfId="36845"/>
    <cellStyle name="표준 6 3 2 8 2 2 2 3" xfId="21862"/>
    <cellStyle name="표준 6 3 2 8 2 2 2 3 2" xfId="44327"/>
    <cellStyle name="표준 6 3 2 8 2 2 2 4" xfId="29363"/>
    <cellStyle name="표준 6 3 2 8 2 2 3" xfId="14377"/>
    <cellStyle name="표준 6 3 2 8 2 2 3 2" xfId="36844"/>
    <cellStyle name="표준 6 3 2 8 2 2 4" xfId="21861"/>
    <cellStyle name="표준 6 3 2 8 2 2 4 2" xfId="44326"/>
    <cellStyle name="표준 6 3 2 8 2 2 5" xfId="29362"/>
    <cellStyle name="표준 6 3 2 8 2 3" xfId="6894"/>
    <cellStyle name="표준 6 3 2 8 2 3 2" xfId="14379"/>
    <cellStyle name="표준 6 3 2 8 2 3 2 2" xfId="36846"/>
    <cellStyle name="표준 6 3 2 8 2 3 3" xfId="21863"/>
    <cellStyle name="표준 6 3 2 8 2 3 3 2" xfId="44328"/>
    <cellStyle name="표준 6 3 2 8 2 3 4" xfId="29364"/>
    <cellStyle name="표준 6 3 2 8 2 4" xfId="14376"/>
    <cellStyle name="표준 6 3 2 8 2 4 2" xfId="36843"/>
    <cellStyle name="표준 6 3 2 8 2 5" xfId="21860"/>
    <cellStyle name="표준 6 3 2 8 2 5 2" xfId="44325"/>
    <cellStyle name="표준 6 3 2 8 2 6" xfId="29361"/>
    <cellStyle name="표준 6 3 2 8 3" xfId="6895"/>
    <cellStyle name="표준 6 3 2 8 3 2" xfId="6896"/>
    <cellStyle name="표준 6 3 2 8 3 2 2" xfId="14381"/>
    <cellStyle name="표준 6 3 2 8 3 2 2 2" xfId="36848"/>
    <cellStyle name="표준 6 3 2 8 3 2 3" xfId="21865"/>
    <cellStyle name="표준 6 3 2 8 3 2 3 2" xfId="44330"/>
    <cellStyle name="표준 6 3 2 8 3 2 4" xfId="29366"/>
    <cellStyle name="표준 6 3 2 8 3 3" xfId="14380"/>
    <cellStyle name="표준 6 3 2 8 3 3 2" xfId="36847"/>
    <cellStyle name="표준 6 3 2 8 3 4" xfId="21864"/>
    <cellStyle name="표준 6 3 2 8 3 4 2" xfId="44329"/>
    <cellStyle name="표준 6 3 2 8 3 5" xfId="29365"/>
    <cellStyle name="표준 6 3 2 8 4" xfId="6897"/>
    <cellStyle name="표준 6 3 2 8 4 2" xfId="14382"/>
    <cellStyle name="표준 6 3 2 8 4 2 2" xfId="36849"/>
    <cellStyle name="표준 6 3 2 8 4 3" xfId="21866"/>
    <cellStyle name="표준 6 3 2 8 4 3 2" xfId="44331"/>
    <cellStyle name="표준 6 3 2 8 4 4" xfId="29367"/>
    <cellStyle name="표준 6 3 2 8 5" xfId="14375"/>
    <cellStyle name="표준 6 3 2 8 5 2" xfId="36842"/>
    <cellStyle name="표준 6 3 2 8 6" xfId="21859"/>
    <cellStyle name="표준 6 3 2 8 6 2" xfId="44324"/>
    <cellStyle name="표준 6 3 2 8 7" xfId="29360"/>
    <cellStyle name="표준 6 3 2 9" xfId="6898"/>
    <cellStyle name="표준 6 3 2 9 2" xfId="6899"/>
    <cellStyle name="표준 6 3 2 9 2 2" xfId="6900"/>
    <cellStyle name="표준 6 3 2 9 2 2 2" xfId="6901"/>
    <cellStyle name="표준 6 3 2 9 2 2 2 2" xfId="14386"/>
    <cellStyle name="표준 6 3 2 9 2 2 2 2 2" xfId="36853"/>
    <cellStyle name="표준 6 3 2 9 2 2 2 3" xfId="21870"/>
    <cellStyle name="표준 6 3 2 9 2 2 2 3 2" xfId="44335"/>
    <cellStyle name="표준 6 3 2 9 2 2 2 4" xfId="29371"/>
    <cellStyle name="표준 6 3 2 9 2 2 3" xfId="14385"/>
    <cellStyle name="표준 6 3 2 9 2 2 3 2" xfId="36852"/>
    <cellStyle name="표준 6 3 2 9 2 2 4" xfId="21869"/>
    <cellStyle name="표준 6 3 2 9 2 2 4 2" xfId="44334"/>
    <cellStyle name="표준 6 3 2 9 2 2 5" xfId="29370"/>
    <cellStyle name="표준 6 3 2 9 2 3" xfId="6902"/>
    <cellStyle name="표준 6 3 2 9 2 3 2" xfId="14387"/>
    <cellStyle name="표준 6 3 2 9 2 3 2 2" xfId="36854"/>
    <cellStyle name="표준 6 3 2 9 2 3 3" xfId="21871"/>
    <cellStyle name="표준 6 3 2 9 2 3 3 2" xfId="44336"/>
    <cellStyle name="표준 6 3 2 9 2 3 4" xfId="29372"/>
    <cellStyle name="표준 6 3 2 9 2 4" xfId="14384"/>
    <cellStyle name="표준 6 3 2 9 2 4 2" xfId="36851"/>
    <cellStyle name="표준 6 3 2 9 2 5" xfId="21868"/>
    <cellStyle name="표준 6 3 2 9 2 5 2" xfId="44333"/>
    <cellStyle name="표준 6 3 2 9 2 6" xfId="29369"/>
    <cellStyle name="표준 6 3 2 9 3" xfId="6903"/>
    <cellStyle name="표준 6 3 2 9 3 2" xfId="6904"/>
    <cellStyle name="표준 6 3 2 9 3 2 2" xfId="14389"/>
    <cellStyle name="표준 6 3 2 9 3 2 2 2" xfId="36856"/>
    <cellStyle name="표준 6 3 2 9 3 2 3" xfId="21873"/>
    <cellStyle name="표준 6 3 2 9 3 2 3 2" xfId="44338"/>
    <cellStyle name="표준 6 3 2 9 3 2 4" xfId="29374"/>
    <cellStyle name="표준 6 3 2 9 3 3" xfId="14388"/>
    <cellStyle name="표준 6 3 2 9 3 3 2" xfId="36855"/>
    <cellStyle name="표준 6 3 2 9 3 4" xfId="21872"/>
    <cellStyle name="표준 6 3 2 9 3 4 2" xfId="44337"/>
    <cellStyle name="표준 6 3 2 9 3 5" xfId="29373"/>
    <cellStyle name="표준 6 3 2 9 4" xfId="6905"/>
    <cellStyle name="표준 6 3 2 9 4 2" xfId="14390"/>
    <cellStyle name="표준 6 3 2 9 4 2 2" xfId="36857"/>
    <cellStyle name="표준 6 3 2 9 4 3" xfId="21874"/>
    <cellStyle name="표준 6 3 2 9 4 3 2" xfId="44339"/>
    <cellStyle name="표준 6 3 2 9 4 4" xfId="29375"/>
    <cellStyle name="표준 6 3 2 9 5" xfId="14383"/>
    <cellStyle name="표준 6 3 2 9 5 2" xfId="36850"/>
    <cellStyle name="표준 6 3 2 9 6" xfId="21867"/>
    <cellStyle name="표준 6 3 2 9 6 2" xfId="44332"/>
    <cellStyle name="표준 6 3 2 9 7" xfId="29368"/>
    <cellStyle name="표준 6 3 20" xfId="21293"/>
    <cellStyle name="표준 6 3 20 2" xfId="43758"/>
    <cellStyle name="표준 6 3 21" xfId="28794"/>
    <cellStyle name="표준 6 3 3" xfId="6906"/>
    <cellStyle name="표준 6 3 3 10" xfId="6907"/>
    <cellStyle name="표준 6 3 3 10 2" xfId="6908"/>
    <cellStyle name="표준 6 3 3 10 2 2" xfId="6909"/>
    <cellStyle name="표준 6 3 3 10 2 2 2" xfId="14394"/>
    <cellStyle name="표준 6 3 3 10 2 2 2 2" xfId="36861"/>
    <cellStyle name="표준 6 3 3 10 2 2 3" xfId="21878"/>
    <cellStyle name="표준 6 3 3 10 2 2 3 2" xfId="44343"/>
    <cellStyle name="표준 6 3 3 10 2 2 4" xfId="29379"/>
    <cellStyle name="표준 6 3 3 10 2 3" xfId="14393"/>
    <cellStyle name="표준 6 3 3 10 2 3 2" xfId="36860"/>
    <cellStyle name="표준 6 3 3 10 2 4" xfId="21877"/>
    <cellStyle name="표준 6 3 3 10 2 4 2" xfId="44342"/>
    <cellStyle name="표준 6 3 3 10 2 5" xfId="29378"/>
    <cellStyle name="표준 6 3 3 10 3" xfId="6910"/>
    <cellStyle name="표준 6 3 3 10 3 2" xfId="14395"/>
    <cellStyle name="표준 6 3 3 10 3 2 2" xfId="36862"/>
    <cellStyle name="표준 6 3 3 10 3 3" xfId="21879"/>
    <cellStyle name="표준 6 3 3 10 3 3 2" xfId="44344"/>
    <cellStyle name="표준 6 3 3 10 3 4" xfId="29380"/>
    <cellStyle name="표준 6 3 3 10 4" xfId="14392"/>
    <cellStyle name="표준 6 3 3 10 4 2" xfId="36859"/>
    <cellStyle name="표준 6 3 3 10 5" xfId="21876"/>
    <cellStyle name="표준 6 3 3 10 5 2" xfId="44341"/>
    <cellStyle name="표준 6 3 3 10 6" xfId="29377"/>
    <cellStyle name="표준 6 3 3 11" xfId="6911"/>
    <cellStyle name="표준 6 3 3 11 2" xfId="6912"/>
    <cellStyle name="표준 6 3 3 11 2 2" xfId="6913"/>
    <cellStyle name="표준 6 3 3 11 2 2 2" xfId="14398"/>
    <cellStyle name="표준 6 3 3 11 2 2 2 2" xfId="36865"/>
    <cellStyle name="표준 6 3 3 11 2 2 3" xfId="21882"/>
    <cellStyle name="표준 6 3 3 11 2 2 3 2" xfId="44347"/>
    <cellStyle name="표준 6 3 3 11 2 2 4" xfId="29383"/>
    <cellStyle name="표준 6 3 3 11 2 3" xfId="14397"/>
    <cellStyle name="표준 6 3 3 11 2 3 2" xfId="36864"/>
    <cellStyle name="표준 6 3 3 11 2 4" xfId="21881"/>
    <cellStyle name="표준 6 3 3 11 2 4 2" xfId="44346"/>
    <cellStyle name="표준 6 3 3 11 2 5" xfId="29382"/>
    <cellStyle name="표준 6 3 3 11 3" xfId="6914"/>
    <cellStyle name="표준 6 3 3 11 3 2" xfId="14399"/>
    <cellStyle name="표준 6 3 3 11 3 2 2" xfId="36866"/>
    <cellStyle name="표준 6 3 3 11 3 3" xfId="21883"/>
    <cellStyle name="표준 6 3 3 11 3 3 2" xfId="44348"/>
    <cellStyle name="표준 6 3 3 11 3 4" xfId="29384"/>
    <cellStyle name="표준 6 3 3 11 4" xfId="14396"/>
    <cellStyle name="표준 6 3 3 11 4 2" xfId="36863"/>
    <cellStyle name="표준 6 3 3 11 5" xfId="21880"/>
    <cellStyle name="표준 6 3 3 11 5 2" xfId="44345"/>
    <cellStyle name="표준 6 3 3 11 6" xfId="29381"/>
    <cellStyle name="표준 6 3 3 12" xfId="6915"/>
    <cellStyle name="표준 6 3 3 12 2" xfId="6916"/>
    <cellStyle name="표준 6 3 3 12 2 2" xfId="6917"/>
    <cellStyle name="표준 6 3 3 12 2 2 2" xfId="14402"/>
    <cellStyle name="표준 6 3 3 12 2 2 2 2" xfId="36869"/>
    <cellStyle name="표준 6 3 3 12 2 2 3" xfId="21886"/>
    <cellStyle name="표준 6 3 3 12 2 2 3 2" xfId="44351"/>
    <cellStyle name="표준 6 3 3 12 2 2 4" xfId="29387"/>
    <cellStyle name="표준 6 3 3 12 2 3" xfId="14401"/>
    <cellStyle name="표준 6 3 3 12 2 3 2" xfId="36868"/>
    <cellStyle name="표준 6 3 3 12 2 4" xfId="21885"/>
    <cellStyle name="표준 6 3 3 12 2 4 2" xfId="44350"/>
    <cellStyle name="표준 6 3 3 12 2 5" xfId="29386"/>
    <cellStyle name="표준 6 3 3 12 3" xfId="6918"/>
    <cellStyle name="표준 6 3 3 12 3 2" xfId="14403"/>
    <cellStyle name="표준 6 3 3 12 3 2 2" xfId="36870"/>
    <cellStyle name="표준 6 3 3 12 3 3" xfId="21887"/>
    <cellStyle name="표준 6 3 3 12 3 3 2" xfId="44352"/>
    <cellStyle name="표준 6 3 3 12 3 4" xfId="29388"/>
    <cellStyle name="표준 6 3 3 12 4" xfId="14400"/>
    <cellStyle name="표준 6 3 3 12 4 2" xfId="36867"/>
    <cellStyle name="표준 6 3 3 12 5" xfId="21884"/>
    <cellStyle name="표준 6 3 3 12 5 2" xfId="44349"/>
    <cellStyle name="표준 6 3 3 12 6" xfId="29385"/>
    <cellStyle name="표준 6 3 3 13" xfId="6919"/>
    <cellStyle name="표준 6 3 3 13 2" xfId="6920"/>
    <cellStyle name="표준 6 3 3 13 2 2" xfId="14405"/>
    <cellStyle name="표준 6 3 3 13 2 2 2" xfId="36872"/>
    <cellStyle name="표준 6 3 3 13 2 3" xfId="21889"/>
    <cellStyle name="표준 6 3 3 13 2 3 2" xfId="44354"/>
    <cellStyle name="표준 6 3 3 13 2 4" xfId="29390"/>
    <cellStyle name="표준 6 3 3 13 3" xfId="14404"/>
    <cellStyle name="표준 6 3 3 13 3 2" xfId="36871"/>
    <cellStyle name="표준 6 3 3 13 4" xfId="21888"/>
    <cellStyle name="표준 6 3 3 13 4 2" xfId="44353"/>
    <cellStyle name="표준 6 3 3 13 5" xfId="29389"/>
    <cellStyle name="표준 6 3 3 14" xfId="6921"/>
    <cellStyle name="표준 6 3 3 14 2" xfId="14406"/>
    <cellStyle name="표준 6 3 3 14 2 2" xfId="36873"/>
    <cellStyle name="표준 6 3 3 14 3" xfId="21890"/>
    <cellStyle name="표준 6 3 3 14 3 2" xfId="44355"/>
    <cellStyle name="표준 6 3 3 14 4" xfId="29391"/>
    <cellStyle name="표준 6 3 3 15" xfId="14391"/>
    <cellStyle name="표준 6 3 3 15 2" xfId="36858"/>
    <cellStyle name="표준 6 3 3 16" xfId="21875"/>
    <cellStyle name="표준 6 3 3 16 2" xfId="44340"/>
    <cellStyle name="표준 6 3 3 17" xfId="29376"/>
    <cellStyle name="표준 6 3 3 2" xfId="6922"/>
    <cellStyle name="표준 6 3 3 2 10" xfId="14407"/>
    <cellStyle name="표준 6 3 3 2 10 2" xfId="36874"/>
    <cellStyle name="표준 6 3 3 2 11" xfId="21891"/>
    <cellStyle name="표준 6 3 3 2 11 2" xfId="44356"/>
    <cellStyle name="표준 6 3 3 2 12" xfId="29392"/>
    <cellStyle name="표준 6 3 3 2 2" xfId="6923"/>
    <cellStyle name="표준 6 3 3 2 2 10" xfId="29393"/>
    <cellStyle name="표준 6 3 3 2 2 2" xfId="6924"/>
    <cellStyle name="표준 6 3 3 2 2 2 2" xfId="6925"/>
    <cellStyle name="표준 6 3 3 2 2 2 2 2" xfId="6926"/>
    <cellStyle name="표준 6 3 3 2 2 2 2 2 2" xfId="6927"/>
    <cellStyle name="표준 6 3 3 2 2 2 2 2 2 2" xfId="6928"/>
    <cellStyle name="표준 6 3 3 2 2 2 2 2 2 2 2" xfId="14413"/>
    <cellStyle name="표준 6 3 3 2 2 2 2 2 2 2 2 2" xfId="36880"/>
    <cellStyle name="표준 6 3 3 2 2 2 2 2 2 2 3" xfId="21897"/>
    <cellStyle name="표준 6 3 3 2 2 2 2 2 2 2 3 2" xfId="44362"/>
    <cellStyle name="표준 6 3 3 2 2 2 2 2 2 2 4" xfId="29398"/>
    <cellStyle name="표준 6 3 3 2 2 2 2 2 2 3" xfId="14412"/>
    <cellStyle name="표준 6 3 3 2 2 2 2 2 2 3 2" xfId="36879"/>
    <cellStyle name="표준 6 3 3 2 2 2 2 2 2 4" xfId="21896"/>
    <cellStyle name="표준 6 3 3 2 2 2 2 2 2 4 2" xfId="44361"/>
    <cellStyle name="표준 6 3 3 2 2 2 2 2 2 5" xfId="29397"/>
    <cellStyle name="표준 6 3 3 2 2 2 2 2 3" xfId="6929"/>
    <cellStyle name="표준 6 3 3 2 2 2 2 2 3 2" xfId="14414"/>
    <cellStyle name="표준 6 3 3 2 2 2 2 2 3 2 2" xfId="36881"/>
    <cellStyle name="표준 6 3 3 2 2 2 2 2 3 3" xfId="21898"/>
    <cellStyle name="표준 6 3 3 2 2 2 2 2 3 3 2" xfId="44363"/>
    <cellStyle name="표준 6 3 3 2 2 2 2 2 3 4" xfId="29399"/>
    <cellStyle name="표준 6 3 3 2 2 2 2 2 4" xfId="14411"/>
    <cellStyle name="표준 6 3 3 2 2 2 2 2 4 2" xfId="36878"/>
    <cellStyle name="표준 6 3 3 2 2 2 2 2 5" xfId="21895"/>
    <cellStyle name="표준 6 3 3 2 2 2 2 2 5 2" xfId="44360"/>
    <cellStyle name="표준 6 3 3 2 2 2 2 2 6" xfId="29396"/>
    <cellStyle name="표준 6 3 3 2 2 2 2 3" xfId="6930"/>
    <cellStyle name="표준 6 3 3 2 2 2 2 3 2" xfId="6931"/>
    <cellStyle name="표준 6 3 3 2 2 2 2 3 2 2" xfId="14416"/>
    <cellStyle name="표준 6 3 3 2 2 2 2 3 2 2 2" xfId="36883"/>
    <cellStyle name="표준 6 3 3 2 2 2 2 3 2 3" xfId="21900"/>
    <cellStyle name="표준 6 3 3 2 2 2 2 3 2 3 2" xfId="44365"/>
    <cellStyle name="표준 6 3 3 2 2 2 2 3 2 4" xfId="29401"/>
    <cellStyle name="표준 6 3 3 2 2 2 2 3 3" xfId="14415"/>
    <cellStyle name="표준 6 3 3 2 2 2 2 3 3 2" xfId="36882"/>
    <cellStyle name="표준 6 3 3 2 2 2 2 3 4" xfId="21899"/>
    <cellStyle name="표준 6 3 3 2 2 2 2 3 4 2" xfId="44364"/>
    <cellStyle name="표준 6 3 3 2 2 2 2 3 5" xfId="29400"/>
    <cellStyle name="표준 6 3 3 2 2 2 2 4" xfId="6932"/>
    <cellStyle name="표준 6 3 3 2 2 2 2 4 2" xfId="14417"/>
    <cellStyle name="표준 6 3 3 2 2 2 2 4 2 2" xfId="36884"/>
    <cellStyle name="표준 6 3 3 2 2 2 2 4 3" xfId="21901"/>
    <cellStyle name="표준 6 3 3 2 2 2 2 4 3 2" xfId="44366"/>
    <cellStyle name="표준 6 3 3 2 2 2 2 4 4" xfId="29402"/>
    <cellStyle name="표준 6 3 3 2 2 2 2 5" xfId="14410"/>
    <cellStyle name="표준 6 3 3 2 2 2 2 5 2" xfId="36877"/>
    <cellStyle name="표준 6 3 3 2 2 2 2 6" xfId="21894"/>
    <cellStyle name="표준 6 3 3 2 2 2 2 6 2" xfId="44359"/>
    <cellStyle name="표준 6 3 3 2 2 2 2 7" xfId="29395"/>
    <cellStyle name="표준 6 3 3 2 2 2 3" xfId="6933"/>
    <cellStyle name="표준 6 3 3 2 2 2 3 2" xfId="6934"/>
    <cellStyle name="표준 6 3 3 2 2 2 3 2 2" xfId="6935"/>
    <cellStyle name="표준 6 3 3 2 2 2 3 2 2 2" xfId="14420"/>
    <cellStyle name="표준 6 3 3 2 2 2 3 2 2 2 2" xfId="36887"/>
    <cellStyle name="표준 6 3 3 2 2 2 3 2 2 3" xfId="21904"/>
    <cellStyle name="표준 6 3 3 2 2 2 3 2 2 3 2" xfId="44369"/>
    <cellStyle name="표준 6 3 3 2 2 2 3 2 2 4" xfId="29405"/>
    <cellStyle name="표준 6 3 3 2 2 2 3 2 3" xfId="14419"/>
    <cellStyle name="표준 6 3 3 2 2 2 3 2 3 2" xfId="36886"/>
    <cellStyle name="표준 6 3 3 2 2 2 3 2 4" xfId="21903"/>
    <cellStyle name="표준 6 3 3 2 2 2 3 2 4 2" xfId="44368"/>
    <cellStyle name="표준 6 3 3 2 2 2 3 2 5" xfId="29404"/>
    <cellStyle name="표준 6 3 3 2 2 2 3 3" xfId="6936"/>
    <cellStyle name="표준 6 3 3 2 2 2 3 3 2" xfId="14421"/>
    <cellStyle name="표준 6 3 3 2 2 2 3 3 2 2" xfId="36888"/>
    <cellStyle name="표준 6 3 3 2 2 2 3 3 3" xfId="21905"/>
    <cellStyle name="표준 6 3 3 2 2 2 3 3 3 2" xfId="44370"/>
    <cellStyle name="표준 6 3 3 2 2 2 3 3 4" xfId="29406"/>
    <cellStyle name="표준 6 3 3 2 2 2 3 4" xfId="14418"/>
    <cellStyle name="표준 6 3 3 2 2 2 3 4 2" xfId="36885"/>
    <cellStyle name="표준 6 3 3 2 2 2 3 5" xfId="21902"/>
    <cellStyle name="표준 6 3 3 2 2 2 3 5 2" xfId="44367"/>
    <cellStyle name="표준 6 3 3 2 2 2 3 6" xfId="29403"/>
    <cellStyle name="표준 6 3 3 2 2 2 4" xfId="6937"/>
    <cellStyle name="표준 6 3 3 2 2 2 4 2" xfId="6938"/>
    <cellStyle name="표준 6 3 3 2 2 2 4 2 2" xfId="14423"/>
    <cellStyle name="표준 6 3 3 2 2 2 4 2 2 2" xfId="36890"/>
    <cellStyle name="표준 6 3 3 2 2 2 4 2 3" xfId="21907"/>
    <cellStyle name="표준 6 3 3 2 2 2 4 2 3 2" xfId="44372"/>
    <cellStyle name="표준 6 3 3 2 2 2 4 2 4" xfId="29408"/>
    <cellStyle name="표준 6 3 3 2 2 2 4 3" xfId="14422"/>
    <cellStyle name="표준 6 3 3 2 2 2 4 3 2" xfId="36889"/>
    <cellStyle name="표준 6 3 3 2 2 2 4 4" xfId="21906"/>
    <cellStyle name="표준 6 3 3 2 2 2 4 4 2" xfId="44371"/>
    <cellStyle name="표준 6 3 3 2 2 2 4 5" xfId="29407"/>
    <cellStyle name="표준 6 3 3 2 2 2 5" xfId="6939"/>
    <cellStyle name="표준 6 3 3 2 2 2 5 2" xfId="14424"/>
    <cellStyle name="표준 6 3 3 2 2 2 5 2 2" xfId="36891"/>
    <cellStyle name="표준 6 3 3 2 2 2 5 3" xfId="21908"/>
    <cellStyle name="표준 6 3 3 2 2 2 5 3 2" xfId="44373"/>
    <cellStyle name="표준 6 3 3 2 2 2 5 4" xfId="29409"/>
    <cellStyle name="표준 6 3 3 2 2 2 6" xfId="14409"/>
    <cellStyle name="표준 6 3 3 2 2 2 6 2" xfId="36876"/>
    <cellStyle name="표준 6 3 3 2 2 2 7" xfId="21893"/>
    <cellStyle name="표준 6 3 3 2 2 2 7 2" xfId="44358"/>
    <cellStyle name="표준 6 3 3 2 2 2 8" xfId="29394"/>
    <cellStyle name="표준 6 3 3 2 2 3" xfId="6940"/>
    <cellStyle name="표준 6 3 3 2 2 3 2" xfId="6941"/>
    <cellStyle name="표준 6 3 3 2 2 3 2 2" xfId="6942"/>
    <cellStyle name="표준 6 3 3 2 2 3 2 2 2" xfId="6943"/>
    <cellStyle name="표준 6 3 3 2 2 3 2 2 2 2" xfId="6944"/>
    <cellStyle name="표준 6 3 3 2 2 3 2 2 2 2 2" xfId="14429"/>
    <cellStyle name="표준 6 3 3 2 2 3 2 2 2 2 2 2" xfId="36896"/>
    <cellStyle name="표준 6 3 3 2 2 3 2 2 2 2 3" xfId="21913"/>
    <cellStyle name="표준 6 3 3 2 2 3 2 2 2 2 3 2" xfId="44378"/>
    <cellStyle name="표준 6 3 3 2 2 3 2 2 2 2 4" xfId="29414"/>
    <cellStyle name="표준 6 3 3 2 2 3 2 2 2 3" xfId="14428"/>
    <cellStyle name="표준 6 3 3 2 2 3 2 2 2 3 2" xfId="36895"/>
    <cellStyle name="표준 6 3 3 2 2 3 2 2 2 4" xfId="21912"/>
    <cellStyle name="표준 6 3 3 2 2 3 2 2 2 4 2" xfId="44377"/>
    <cellStyle name="표준 6 3 3 2 2 3 2 2 2 5" xfId="29413"/>
    <cellStyle name="표준 6 3 3 2 2 3 2 2 3" xfId="6945"/>
    <cellStyle name="표준 6 3 3 2 2 3 2 2 3 2" xfId="14430"/>
    <cellStyle name="표준 6 3 3 2 2 3 2 2 3 2 2" xfId="36897"/>
    <cellStyle name="표준 6 3 3 2 2 3 2 2 3 3" xfId="21914"/>
    <cellStyle name="표준 6 3 3 2 2 3 2 2 3 3 2" xfId="44379"/>
    <cellStyle name="표준 6 3 3 2 2 3 2 2 3 4" xfId="29415"/>
    <cellStyle name="표준 6 3 3 2 2 3 2 2 4" xfId="14427"/>
    <cellStyle name="표준 6 3 3 2 2 3 2 2 4 2" xfId="36894"/>
    <cellStyle name="표준 6 3 3 2 2 3 2 2 5" xfId="21911"/>
    <cellStyle name="표준 6 3 3 2 2 3 2 2 5 2" xfId="44376"/>
    <cellStyle name="표준 6 3 3 2 2 3 2 2 6" xfId="29412"/>
    <cellStyle name="표준 6 3 3 2 2 3 2 3" xfId="6946"/>
    <cellStyle name="표준 6 3 3 2 2 3 2 3 2" xfId="6947"/>
    <cellStyle name="표준 6 3 3 2 2 3 2 3 2 2" xfId="14432"/>
    <cellStyle name="표준 6 3 3 2 2 3 2 3 2 2 2" xfId="36899"/>
    <cellStyle name="표준 6 3 3 2 2 3 2 3 2 3" xfId="21916"/>
    <cellStyle name="표준 6 3 3 2 2 3 2 3 2 3 2" xfId="44381"/>
    <cellStyle name="표준 6 3 3 2 2 3 2 3 2 4" xfId="29417"/>
    <cellStyle name="표준 6 3 3 2 2 3 2 3 3" xfId="14431"/>
    <cellStyle name="표준 6 3 3 2 2 3 2 3 3 2" xfId="36898"/>
    <cellStyle name="표준 6 3 3 2 2 3 2 3 4" xfId="21915"/>
    <cellStyle name="표준 6 3 3 2 2 3 2 3 4 2" xfId="44380"/>
    <cellStyle name="표준 6 3 3 2 2 3 2 3 5" xfId="29416"/>
    <cellStyle name="표준 6 3 3 2 2 3 2 4" xfId="6948"/>
    <cellStyle name="표준 6 3 3 2 2 3 2 4 2" xfId="14433"/>
    <cellStyle name="표준 6 3 3 2 2 3 2 4 2 2" xfId="36900"/>
    <cellStyle name="표준 6 3 3 2 2 3 2 4 3" xfId="21917"/>
    <cellStyle name="표준 6 3 3 2 2 3 2 4 3 2" xfId="44382"/>
    <cellStyle name="표준 6 3 3 2 2 3 2 4 4" xfId="29418"/>
    <cellStyle name="표준 6 3 3 2 2 3 2 5" xfId="14426"/>
    <cellStyle name="표준 6 3 3 2 2 3 2 5 2" xfId="36893"/>
    <cellStyle name="표준 6 3 3 2 2 3 2 6" xfId="21910"/>
    <cellStyle name="표준 6 3 3 2 2 3 2 6 2" xfId="44375"/>
    <cellStyle name="표준 6 3 3 2 2 3 2 7" xfId="29411"/>
    <cellStyle name="표준 6 3 3 2 2 3 3" xfId="6949"/>
    <cellStyle name="표준 6 3 3 2 2 3 3 2" xfId="6950"/>
    <cellStyle name="표준 6 3 3 2 2 3 3 2 2" xfId="6951"/>
    <cellStyle name="표준 6 3 3 2 2 3 3 2 2 2" xfId="14436"/>
    <cellStyle name="표준 6 3 3 2 2 3 3 2 2 2 2" xfId="36903"/>
    <cellStyle name="표준 6 3 3 2 2 3 3 2 2 3" xfId="21920"/>
    <cellStyle name="표준 6 3 3 2 2 3 3 2 2 3 2" xfId="44385"/>
    <cellStyle name="표준 6 3 3 2 2 3 3 2 2 4" xfId="29421"/>
    <cellStyle name="표준 6 3 3 2 2 3 3 2 3" xfId="14435"/>
    <cellStyle name="표준 6 3 3 2 2 3 3 2 3 2" xfId="36902"/>
    <cellStyle name="표준 6 3 3 2 2 3 3 2 4" xfId="21919"/>
    <cellStyle name="표준 6 3 3 2 2 3 3 2 4 2" xfId="44384"/>
    <cellStyle name="표준 6 3 3 2 2 3 3 2 5" xfId="29420"/>
    <cellStyle name="표준 6 3 3 2 2 3 3 3" xfId="6952"/>
    <cellStyle name="표준 6 3 3 2 2 3 3 3 2" xfId="14437"/>
    <cellStyle name="표준 6 3 3 2 2 3 3 3 2 2" xfId="36904"/>
    <cellStyle name="표준 6 3 3 2 2 3 3 3 3" xfId="21921"/>
    <cellStyle name="표준 6 3 3 2 2 3 3 3 3 2" xfId="44386"/>
    <cellStyle name="표준 6 3 3 2 2 3 3 3 4" xfId="29422"/>
    <cellStyle name="표준 6 3 3 2 2 3 3 4" xfId="14434"/>
    <cellStyle name="표준 6 3 3 2 2 3 3 4 2" xfId="36901"/>
    <cellStyle name="표준 6 3 3 2 2 3 3 5" xfId="21918"/>
    <cellStyle name="표준 6 3 3 2 2 3 3 5 2" xfId="44383"/>
    <cellStyle name="표준 6 3 3 2 2 3 3 6" xfId="29419"/>
    <cellStyle name="표준 6 3 3 2 2 3 4" xfId="6953"/>
    <cellStyle name="표준 6 3 3 2 2 3 4 2" xfId="6954"/>
    <cellStyle name="표준 6 3 3 2 2 3 4 2 2" xfId="14439"/>
    <cellStyle name="표준 6 3 3 2 2 3 4 2 2 2" xfId="36906"/>
    <cellStyle name="표준 6 3 3 2 2 3 4 2 3" xfId="21923"/>
    <cellStyle name="표준 6 3 3 2 2 3 4 2 3 2" xfId="44388"/>
    <cellStyle name="표준 6 3 3 2 2 3 4 2 4" xfId="29424"/>
    <cellStyle name="표준 6 3 3 2 2 3 4 3" xfId="14438"/>
    <cellStyle name="표준 6 3 3 2 2 3 4 3 2" xfId="36905"/>
    <cellStyle name="표준 6 3 3 2 2 3 4 4" xfId="21922"/>
    <cellStyle name="표준 6 3 3 2 2 3 4 4 2" xfId="44387"/>
    <cellStyle name="표준 6 3 3 2 2 3 4 5" xfId="29423"/>
    <cellStyle name="표준 6 3 3 2 2 3 5" xfId="6955"/>
    <cellStyle name="표준 6 3 3 2 2 3 5 2" xfId="14440"/>
    <cellStyle name="표준 6 3 3 2 2 3 5 2 2" xfId="36907"/>
    <cellStyle name="표준 6 3 3 2 2 3 5 3" xfId="21924"/>
    <cellStyle name="표준 6 3 3 2 2 3 5 3 2" xfId="44389"/>
    <cellStyle name="표준 6 3 3 2 2 3 5 4" xfId="29425"/>
    <cellStyle name="표준 6 3 3 2 2 3 6" xfId="14425"/>
    <cellStyle name="표준 6 3 3 2 2 3 6 2" xfId="36892"/>
    <cellStyle name="표준 6 3 3 2 2 3 7" xfId="21909"/>
    <cellStyle name="표준 6 3 3 2 2 3 7 2" xfId="44374"/>
    <cellStyle name="표준 6 3 3 2 2 3 8" xfId="29410"/>
    <cellStyle name="표준 6 3 3 2 2 4" xfId="6956"/>
    <cellStyle name="표준 6 3 3 2 2 4 2" xfId="6957"/>
    <cellStyle name="표준 6 3 3 2 2 4 2 2" xfId="6958"/>
    <cellStyle name="표준 6 3 3 2 2 4 2 2 2" xfId="6959"/>
    <cellStyle name="표준 6 3 3 2 2 4 2 2 2 2" xfId="14444"/>
    <cellStyle name="표준 6 3 3 2 2 4 2 2 2 2 2" xfId="36911"/>
    <cellStyle name="표준 6 3 3 2 2 4 2 2 2 3" xfId="21928"/>
    <cellStyle name="표준 6 3 3 2 2 4 2 2 2 3 2" xfId="44393"/>
    <cellStyle name="표준 6 3 3 2 2 4 2 2 2 4" xfId="29429"/>
    <cellStyle name="표준 6 3 3 2 2 4 2 2 3" xfId="14443"/>
    <cellStyle name="표준 6 3 3 2 2 4 2 2 3 2" xfId="36910"/>
    <cellStyle name="표준 6 3 3 2 2 4 2 2 4" xfId="21927"/>
    <cellStyle name="표준 6 3 3 2 2 4 2 2 4 2" xfId="44392"/>
    <cellStyle name="표준 6 3 3 2 2 4 2 2 5" xfId="29428"/>
    <cellStyle name="표준 6 3 3 2 2 4 2 3" xfId="6960"/>
    <cellStyle name="표준 6 3 3 2 2 4 2 3 2" xfId="14445"/>
    <cellStyle name="표준 6 3 3 2 2 4 2 3 2 2" xfId="36912"/>
    <cellStyle name="표준 6 3 3 2 2 4 2 3 3" xfId="21929"/>
    <cellStyle name="표준 6 3 3 2 2 4 2 3 3 2" xfId="44394"/>
    <cellStyle name="표준 6 3 3 2 2 4 2 3 4" xfId="29430"/>
    <cellStyle name="표준 6 3 3 2 2 4 2 4" xfId="14442"/>
    <cellStyle name="표준 6 3 3 2 2 4 2 4 2" xfId="36909"/>
    <cellStyle name="표준 6 3 3 2 2 4 2 5" xfId="21926"/>
    <cellStyle name="표준 6 3 3 2 2 4 2 5 2" xfId="44391"/>
    <cellStyle name="표준 6 3 3 2 2 4 2 6" xfId="29427"/>
    <cellStyle name="표준 6 3 3 2 2 4 3" xfId="6961"/>
    <cellStyle name="표준 6 3 3 2 2 4 3 2" xfId="6962"/>
    <cellStyle name="표준 6 3 3 2 2 4 3 2 2" xfId="14447"/>
    <cellStyle name="표준 6 3 3 2 2 4 3 2 2 2" xfId="36914"/>
    <cellStyle name="표준 6 3 3 2 2 4 3 2 3" xfId="21931"/>
    <cellStyle name="표준 6 3 3 2 2 4 3 2 3 2" xfId="44396"/>
    <cellStyle name="표준 6 3 3 2 2 4 3 2 4" xfId="29432"/>
    <cellStyle name="표준 6 3 3 2 2 4 3 3" xfId="14446"/>
    <cellStyle name="표준 6 3 3 2 2 4 3 3 2" xfId="36913"/>
    <cellStyle name="표준 6 3 3 2 2 4 3 4" xfId="21930"/>
    <cellStyle name="표준 6 3 3 2 2 4 3 4 2" xfId="44395"/>
    <cellStyle name="표준 6 3 3 2 2 4 3 5" xfId="29431"/>
    <cellStyle name="표준 6 3 3 2 2 4 4" xfId="6963"/>
    <cellStyle name="표준 6 3 3 2 2 4 4 2" xfId="14448"/>
    <cellStyle name="표준 6 3 3 2 2 4 4 2 2" xfId="36915"/>
    <cellStyle name="표준 6 3 3 2 2 4 4 3" xfId="21932"/>
    <cellStyle name="표준 6 3 3 2 2 4 4 3 2" xfId="44397"/>
    <cellStyle name="표준 6 3 3 2 2 4 4 4" xfId="29433"/>
    <cellStyle name="표준 6 3 3 2 2 4 5" xfId="14441"/>
    <cellStyle name="표준 6 3 3 2 2 4 5 2" xfId="36908"/>
    <cellStyle name="표준 6 3 3 2 2 4 6" xfId="21925"/>
    <cellStyle name="표준 6 3 3 2 2 4 6 2" xfId="44390"/>
    <cellStyle name="표준 6 3 3 2 2 4 7" xfId="29426"/>
    <cellStyle name="표준 6 3 3 2 2 5" xfId="6964"/>
    <cellStyle name="표준 6 3 3 2 2 5 2" xfId="6965"/>
    <cellStyle name="표준 6 3 3 2 2 5 2 2" xfId="6966"/>
    <cellStyle name="표준 6 3 3 2 2 5 2 2 2" xfId="14451"/>
    <cellStyle name="표준 6 3 3 2 2 5 2 2 2 2" xfId="36918"/>
    <cellStyle name="표준 6 3 3 2 2 5 2 2 3" xfId="21935"/>
    <cellStyle name="표준 6 3 3 2 2 5 2 2 3 2" xfId="44400"/>
    <cellStyle name="표준 6 3 3 2 2 5 2 2 4" xfId="29436"/>
    <cellStyle name="표준 6 3 3 2 2 5 2 3" xfId="14450"/>
    <cellStyle name="표준 6 3 3 2 2 5 2 3 2" xfId="36917"/>
    <cellStyle name="표준 6 3 3 2 2 5 2 4" xfId="21934"/>
    <cellStyle name="표준 6 3 3 2 2 5 2 4 2" xfId="44399"/>
    <cellStyle name="표준 6 3 3 2 2 5 2 5" xfId="29435"/>
    <cellStyle name="표준 6 3 3 2 2 5 3" xfId="6967"/>
    <cellStyle name="표준 6 3 3 2 2 5 3 2" xfId="14452"/>
    <cellStyle name="표준 6 3 3 2 2 5 3 2 2" xfId="36919"/>
    <cellStyle name="표준 6 3 3 2 2 5 3 3" xfId="21936"/>
    <cellStyle name="표준 6 3 3 2 2 5 3 3 2" xfId="44401"/>
    <cellStyle name="표준 6 3 3 2 2 5 3 4" xfId="29437"/>
    <cellStyle name="표준 6 3 3 2 2 5 4" xfId="14449"/>
    <cellStyle name="표준 6 3 3 2 2 5 4 2" xfId="36916"/>
    <cellStyle name="표준 6 3 3 2 2 5 5" xfId="21933"/>
    <cellStyle name="표준 6 3 3 2 2 5 5 2" xfId="44398"/>
    <cellStyle name="표준 6 3 3 2 2 5 6" xfId="29434"/>
    <cellStyle name="표준 6 3 3 2 2 6" xfId="6968"/>
    <cellStyle name="표준 6 3 3 2 2 6 2" xfId="6969"/>
    <cellStyle name="표준 6 3 3 2 2 6 2 2" xfId="14454"/>
    <cellStyle name="표준 6 3 3 2 2 6 2 2 2" xfId="36921"/>
    <cellStyle name="표준 6 3 3 2 2 6 2 3" xfId="21938"/>
    <cellStyle name="표준 6 3 3 2 2 6 2 3 2" xfId="44403"/>
    <cellStyle name="표준 6 3 3 2 2 6 2 4" xfId="29439"/>
    <cellStyle name="표준 6 3 3 2 2 6 3" xfId="14453"/>
    <cellStyle name="표준 6 3 3 2 2 6 3 2" xfId="36920"/>
    <cellStyle name="표준 6 3 3 2 2 6 4" xfId="21937"/>
    <cellStyle name="표준 6 3 3 2 2 6 4 2" xfId="44402"/>
    <cellStyle name="표준 6 3 3 2 2 6 5" xfId="29438"/>
    <cellStyle name="표준 6 3 3 2 2 7" xfId="6970"/>
    <cellStyle name="표준 6 3 3 2 2 7 2" xfId="14455"/>
    <cellStyle name="표준 6 3 3 2 2 7 2 2" xfId="36922"/>
    <cellStyle name="표준 6 3 3 2 2 7 3" xfId="21939"/>
    <cellStyle name="표준 6 3 3 2 2 7 3 2" xfId="44404"/>
    <cellStyle name="표준 6 3 3 2 2 7 4" xfId="29440"/>
    <cellStyle name="표준 6 3 3 2 2 8" xfId="14408"/>
    <cellStyle name="표준 6 3 3 2 2 8 2" xfId="36875"/>
    <cellStyle name="표준 6 3 3 2 2 9" xfId="21892"/>
    <cellStyle name="표준 6 3 3 2 2 9 2" xfId="44357"/>
    <cellStyle name="표준 6 3 3 2 3" xfId="6971"/>
    <cellStyle name="표준 6 3 3 2 3 2" xfId="6972"/>
    <cellStyle name="표준 6 3 3 2 3 2 2" xfId="6973"/>
    <cellStyle name="표준 6 3 3 2 3 2 2 2" xfId="6974"/>
    <cellStyle name="표준 6 3 3 2 3 2 2 2 2" xfId="6975"/>
    <cellStyle name="표준 6 3 3 2 3 2 2 2 2 2" xfId="14460"/>
    <cellStyle name="표준 6 3 3 2 3 2 2 2 2 2 2" xfId="36927"/>
    <cellStyle name="표준 6 3 3 2 3 2 2 2 2 3" xfId="21944"/>
    <cellStyle name="표준 6 3 3 2 3 2 2 2 2 3 2" xfId="44409"/>
    <cellStyle name="표준 6 3 3 2 3 2 2 2 2 4" xfId="29445"/>
    <cellStyle name="표준 6 3 3 2 3 2 2 2 3" xfId="14459"/>
    <cellStyle name="표준 6 3 3 2 3 2 2 2 3 2" xfId="36926"/>
    <cellStyle name="표준 6 3 3 2 3 2 2 2 4" xfId="21943"/>
    <cellStyle name="표준 6 3 3 2 3 2 2 2 4 2" xfId="44408"/>
    <cellStyle name="표준 6 3 3 2 3 2 2 2 5" xfId="29444"/>
    <cellStyle name="표준 6 3 3 2 3 2 2 3" xfId="6976"/>
    <cellStyle name="표준 6 3 3 2 3 2 2 3 2" xfId="14461"/>
    <cellStyle name="표준 6 3 3 2 3 2 2 3 2 2" xfId="36928"/>
    <cellStyle name="표준 6 3 3 2 3 2 2 3 3" xfId="21945"/>
    <cellStyle name="표준 6 3 3 2 3 2 2 3 3 2" xfId="44410"/>
    <cellStyle name="표준 6 3 3 2 3 2 2 3 4" xfId="29446"/>
    <cellStyle name="표준 6 3 3 2 3 2 2 4" xfId="14458"/>
    <cellStyle name="표준 6 3 3 2 3 2 2 4 2" xfId="36925"/>
    <cellStyle name="표준 6 3 3 2 3 2 2 5" xfId="21942"/>
    <cellStyle name="표준 6 3 3 2 3 2 2 5 2" xfId="44407"/>
    <cellStyle name="표준 6 3 3 2 3 2 2 6" xfId="29443"/>
    <cellStyle name="표준 6 3 3 2 3 2 3" xfId="6977"/>
    <cellStyle name="표준 6 3 3 2 3 2 3 2" xfId="6978"/>
    <cellStyle name="표준 6 3 3 2 3 2 3 2 2" xfId="14463"/>
    <cellStyle name="표준 6 3 3 2 3 2 3 2 2 2" xfId="36930"/>
    <cellStyle name="표준 6 3 3 2 3 2 3 2 3" xfId="21947"/>
    <cellStyle name="표준 6 3 3 2 3 2 3 2 3 2" xfId="44412"/>
    <cellStyle name="표준 6 3 3 2 3 2 3 2 4" xfId="29448"/>
    <cellStyle name="표준 6 3 3 2 3 2 3 3" xfId="14462"/>
    <cellStyle name="표준 6 3 3 2 3 2 3 3 2" xfId="36929"/>
    <cellStyle name="표준 6 3 3 2 3 2 3 4" xfId="21946"/>
    <cellStyle name="표준 6 3 3 2 3 2 3 4 2" xfId="44411"/>
    <cellStyle name="표준 6 3 3 2 3 2 3 5" xfId="29447"/>
    <cellStyle name="표준 6 3 3 2 3 2 4" xfId="6979"/>
    <cellStyle name="표준 6 3 3 2 3 2 4 2" xfId="14464"/>
    <cellStyle name="표준 6 3 3 2 3 2 4 2 2" xfId="36931"/>
    <cellStyle name="표준 6 3 3 2 3 2 4 3" xfId="21948"/>
    <cellStyle name="표준 6 3 3 2 3 2 4 3 2" xfId="44413"/>
    <cellStyle name="표준 6 3 3 2 3 2 4 4" xfId="29449"/>
    <cellStyle name="표준 6 3 3 2 3 2 5" xfId="14457"/>
    <cellStyle name="표준 6 3 3 2 3 2 5 2" xfId="36924"/>
    <cellStyle name="표준 6 3 3 2 3 2 6" xfId="21941"/>
    <cellStyle name="표준 6 3 3 2 3 2 6 2" xfId="44406"/>
    <cellStyle name="표준 6 3 3 2 3 2 7" xfId="29442"/>
    <cellStyle name="표준 6 3 3 2 3 3" xfId="6980"/>
    <cellStyle name="표준 6 3 3 2 3 3 2" xfId="6981"/>
    <cellStyle name="표준 6 3 3 2 3 3 2 2" xfId="6982"/>
    <cellStyle name="표준 6 3 3 2 3 3 2 2 2" xfId="14467"/>
    <cellStyle name="표준 6 3 3 2 3 3 2 2 2 2" xfId="36934"/>
    <cellStyle name="표준 6 3 3 2 3 3 2 2 3" xfId="21951"/>
    <cellStyle name="표준 6 3 3 2 3 3 2 2 3 2" xfId="44416"/>
    <cellStyle name="표준 6 3 3 2 3 3 2 2 4" xfId="29452"/>
    <cellStyle name="표준 6 3 3 2 3 3 2 3" xfId="14466"/>
    <cellStyle name="표준 6 3 3 2 3 3 2 3 2" xfId="36933"/>
    <cellStyle name="표준 6 3 3 2 3 3 2 4" xfId="21950"/>
    <cellStyle name="표준 6 3 3 2 3 3 2 4 2" xfId="44415"/>
    <cellStyle name="표준 6 3 3 2 3 3 2 5" xfId="29451"/>
    <cellStyle name="표준 6 3 3 2 3 3 3" xfId="6983"/>
    <cellStyle name="표준 6 3 3 2 3 3 3 2" xfId="14468"/>
    <cellStyle name="표준 6 3 3 2 3 3 3 2 2" xfId="36935"/>
    <cellStyle name="표준 6 3 3 2 3 3 3 3" xfId="21952"/>
    <cellStyle name="표준 6 3 3 2 3 3 3 3 2" xfId="44417"/>
    <cellStyle name="표준 6 3 3 2 3 3 3 4" xfId="29453"/>
    <cellStyle name="표준 6 3 3 2 3 3 4" xfId="14465"/>
    <cellStyle name="표준 6 3 3 2 3 3 4 2" xfId="36932"/>
    <cellStyle name="표준 6 3 3 2 3 3 5" xfId="21949"/>
    <cellStyle name="표준 6 3 3 2 3 3 5 2" xfId="44414"/>
    <cellStyle name="표준 6 3 3 2 3 3 6" xfId="29450"/>
    <cellStyle name="표준 6 3 3 2 3 4" xfId="6984"/>
    <cellStyle name="표준 6 3 3 2 3 4 2" xfId="6985"/>
    <cellStyle name="표준 6 3 3 2 3 4 2 2" xfId="14470"/>
    <cellStyle name="표준 6 3 3 2 3 4 2 2 2" xfId="36937"/>
    <cellStyle name="표준 6 3 3 2 3 4 2 3" xfId="21954"/>
    <cellStyle name="표준 6 3 3 2 3 4 2 3 2" xfId="44419"/>
    <cellStyle name="표준 6 3 3 2 3 4 2 4" xfId="29455"/>
    <cellStyle name="표준 6 3 3 2 3 4 3" xfId="14469"/>
    <cellStyle name="표준 6 3 3 2 3 4 3 2" xfId="36936"/>
    <cellStyle name="표준 6 3 3 2 3 4 4" xfId="21953"/>
    <cellStyle name="표준 6 3 3 2 3 4 4 2" xfId="44418"/>
    <cellStyle name="표준 6 3 3 2 3 4 5" xfId="29454"/>
    <cellStyle name="표준 6 3 3 2 3 5" xfId="6986"/>
    <cellStyle name="표준 6 3 3 2 3 5 2" xfId="14471"/>
    <cellStyle name="표준 6 3 3 2 3 5 2 2" xfId="36938"/>
    <cellStyle name="표준 6 3 3 2 3 5 3" xfId="21955"/>
    <cellStyle name="표준 6 3 3 2 3 5 3 2" xfId="44420"/>
    <cellStyle name="표준 6 3 3 2 3 5 4" xfId="29456"/>
    <cellStyle name="표준 6 3 3 2 3 6" xfId="14456"/>
    <cellStyle name="표준 6 3 3 2 3 6 2" xfId="36923"/>
    <cellStyle name="표준 6 3 3 2 3 7" xfId="21940"/>
    <cellStyle name="표준 6 3 3 2 3 7 2" xfId="44405"/>
    <cellStyle name="표준 6 3 3 2 3 8" xfId="29441"/>
    <cellStyle name="표준 6 3 3 2 4" xfId="6987"/>
    <cellStyle name="표준 6 3 3 2 4 2" xfId="6988"/>
    <cellStyle name="표준 6 3 3 2 4 2 2" xfId="6989"/>
    <cellStyle name="표준 6 3 3 2 4 2 2 2" xfId="6990"/>
    <cellStyle name="표준 6 3 3 2 4 2 2 2 2" xfId="6991"/>
    <cellStyle name="표준 6 3 3 2 4 2 2 2 2 2" xfId="14476"/>
    <cellStyle name="표준 6 3 3 2 4 2 2 2 2 2 2" xfId="36943"/>
    <cellStyle name="표준 6 3 3 2 4 2 2 2 2 3" xfId="21960"/>
    <cellStyle name="표준 6 3 3 2 4 2 2 2 2 3 2" xfId="44425"/>
    <cellStyle name="표준 6 3 3 2 4 2 2 2 2 4" xfId="29461"/>
    <cellStyle name="표준 6 3 3 2 4 2 2 2 3" xfId="14475"/>
    <cellStyle name="표준 6 3 3 2 4 2 2 2 3 2" xfId="36942"/>
    <cellStyle name="표준 6 3 3 2 4 2 2 2 4" xfId="21959"/>
    <cellStyle name="표준 6 3 3 2 4 2 2 2 4 2" xfId="44424"/>
    <cellStyle name="표준 6 3 3 2 4 2 2 2 5" xfId="29460"/>
    <cellStyle name="표준 6 3 3 2 4 2 2 3" xfId="6992"/>
    <cellStyle name="표준 6 3 3 2 4 2 2 3 2" xfId="14477"/>
    <cellStyle name="표준 6 3 3 2 4 2 2 3 2 2" xfId="36944"/>
    <cellStyle name="표준 6 3 3 2 4 2 2 3 3" xfId="21961"/>
    <cellStyle name="표준 6 3 3 2 4 2 2 3 3 2" xfId="44426"/>
    <cellStyle name="표준 6 3 3 2 4 2 2 3 4" xfId="29462"/>
    <cellStyle name="표준 6 3 3 2 4 2 2 4" xfId="14474"/>
    <cellStyle name="표준 6 3 3 2 4 2 2 4 2" xfId="36941"/>
    <cellStyle name="표준 6 3 3 2 4 2 2 5" xfId="21958"/>
    <cellStyle name="표준 6 3 3 2 4 2 2 5 2" xfId="44423"/>
    <cellStyle name="표준 6 3 3 2 4 2 2 6" xfId="29459"/>
    <cellStyle name="표준 6 3 3 2 4 2 3" xfId="6993"/>
    <cellStyle name="표준 6 3 3 2 4 2 3 2" xfId="6994"/>
    <cellStyle name="표준 6 3 3 2 4 2 3 2 2" xfId="14479"/>
    <cellStyle name="표준 6 3 3 2 4 2 3 2 2 2" xfId="36946"/>
    <cellStyle name="표준 6 3 3 2 4 2 3 2 3" xfId="21963"/>
    <cellStyle name="표준 6 3 3 2 4 2 3 2 3 2" xfId="44428"/>
    <cellStyle name="표준 6 3 3 2 4 2 3 2 4" xfId="29464"/>
    <cellStyle name="표준 6 3 3 2 4 2 3 3" xfId="14478"/>
    <cellStyle name="표준 6 3 3 2 4 2 3 3 2" xfId="36945"/>
    <cellStyle name="표준 6 3 3 2 4 2 3 4" xfId="21962"/>
    <cellStyle name="표준 6 3 3 2 4 2 3 4 2" xfId="44427"/>
    <cellStyle name="표준 6 3 3 2 4 2 3 5" xfId="29463"/>
    <cellStyle name="표준 6 3 3 2 4 2 4" xfId="6995"/>
    <cellStyle name="표준 6 3 3 2 4 2 4 2" xfId="14480"/>
    <cellStyle name="표준 6 3 3 2 4 2 4 2 2" xfId="36947"/>
    <cellStyle name="표준 6 3 3 2 4 2 4 3" xfId="21964"/>
    <cellStyle name="표준 6 3 3 2 4 2 4 3 2" xfId="44429"/>
    <cellStyle name="표준 6 3 3 2 4 2 4 4" xfId="29465"/>
    <cellStyle name="표준 6 3 3 2 4 2 5" xfId="14473"/>
    <cellStyle name="표준 6 3 3 2 4 2 5 2" xfId="36940"/>
    <cellStyle name="표준 6 3 3 2 4 2 6" xfId="21957"/>
    <cellStyle name="표준 6 3 3 2 4 2 6 2" xfId="44422"/>
    <cellStyle name="표준 6 3 3 2 4 2 7" xfId="29458"/>
    <cellStyle name="표준 6 3 3 2 4 3" xfId="6996"/>
    <cellStyle name="표준 6 3 3 2 4 3 2" xfId="6997"/>
    <cellStyle name="표준 6 3 3 2 4 3 2 2" xfId="6998"/>
    <cellStyle name="표준 6 3 3 2 4 3 2 2 2" xfId="14483"/>
    <cellStyle name="표준 6 3 3 2 4 3 2 2 2 2" xfId="36950"/>
    <cellStyle name="표준 6 3 3 2 4 3 2 2 3" xfId="21967"/>
    <cellStyle name="표준 6 3 3 2 4 3 2 2 3 2" xfId="44432"/>
    <cellStyle name="표준 6 3 3 2 4 3 2 2 4" xfId="29468"/>
    <cellStyle name="표준 6 3 3 2 4 3 2 3" xfId="14482"/>
    <cellStyle name="표준 6 3 3 2 4 3 2 3 2" xfId="36949"/>
    <cellStyle name="표준 6 3 3 2 4 3 2 4" xfId="21966"/>
    <cellStyle name="표준 6 3 3 2 4 3 2 4 2" xfId="44431"/>
    <cellStyle name="표준 6 3 3 2 4 3 2 5" xfId="29467"/>
    <cellStyle name="표준 6 3 3 2 4 3 3" xfId="6999"/>
    <cellStyle name="표준 6 3 3 2 4 3 3 2" xfId="14484"/>
    <cellStyle name="표준 6 3 3 2 4 3 3 2 2" xfId="36951"/>
    <cellStyle name="표준 6 3 3 2 4 3 3 3" xfId="21968"/>
    <cellStyle name="표준 6 3 3 2 4 3 3 3 2" xfId="44433"/>
    <cellStyle name="표준 6 3 3 2 4 3 3 4" xfId="29469"/>
    <cellStyle name="표준 6 3 3 2 4 3 4" xfId="14481"/>
    <cellStyle name="표준 6 3 3 2 4 3 4 2" xfId="36948"/>
    <cellStyle name="표준 6 3 3 2 4 3 5" xfId="21965"/>
    <cellStyle name="표준 6 3 3 2 4 3 5 2" xfId="44430"/>
    <cellStyle name="표준 6 3 3 2 4 3 6" xfId="29466"/>
    <cellStyle name="표준 6 3 3 2 4 4" xfId="7000"/>
    <cellStyle name="표준 6 3 3 2 4 4 2" xfId="7001"/>
    <cellStyle name="표준 6 3 3 2 4 4 2 2" xfId="14486"/>
    <cellStyle name="표준 6 3 3 2 4 4 2 2 2" xfId="36953"/>
    <cellStyle name="표준 6 3 3 2 4 4 2 3" xfId="21970"/>
    <cellStyle name="표준 6 3 3 2 4 4 2 3 2" xfId="44435"/>
    <cellStyle name="표준 6 3 3 2 4 4 2 4" xfId="29471"/>
    <cellStyle name="표준 6 3 3 2 4 4 3" xfId="14485"/>
    <cellStyle name="표준 6 3 3 2 4 4 3 2" xfId="36952"/>
    <cellStyle name="표준 6 3 3 2 4 4 4" xfId="21969"/>
    <cellStyle name="표준 6 3 3 2 4 4 4 2" xfId="44434"/>
    <cellStyle name="표준 6 3 3 2 4 4 5" xfId="29470"/>
    <cellStyle name="표준 6 3 3 2 4 5" xfId="7002"/>
    <cellStyle name="표준 6 3 3 2 4 5 2" xfId="14487"/>
    <cellStyle name="표준 6 3 3 2 4 5 2 2" xfId="36954"/>
    <cellStyle name="표준 6 3 3 2 4 5 3" xfId="21971"/>
    <cellStyle name="표준 6 3 3 2 4 5 3 2" xfId="44436"/>
    <cellStyle name="표준 6 3 3 2 4 5 4" xfId="29472"/>
    <cellStyle name="표준 6 3 3 2 4 6" xfId="14472"/>
    <cellStyle name="표준 6 3 3 2 4 6 2" xfId="36939"/>
    <cellStyle name="표준 6 3 3 2 4 7" xfId="21956"/>
    <cellStyle name="표준 6 3 3 2 4 7 2" xfId="44421"/>
    <cellStyle name="표준 6 3 3 2 4 8" xfId="29457"/>
    <cellStyle name="표준 6 3 3 2 5" xfId="7003"/>
    <cellStyle name="표준 6 3 3 2 5 2" xfId="7004"/>
    <cellStyle name="표준 6 3 3 2 5 2 2" xfId="7005"/>
    <cellStyle name="표준 6 3 3 2 5 2 2 2" xfId="7006"/>
    <cellStyle name="표준 6 3 3 2 5 2 2 2 2" xfId="14491"/>
    <cellStyle name="표준 6 3 3 2 5 2 2 2 2 2" xfId="36958"/>
    <cellStyle name="표준 6 3 3 2 5 2 2 2 3" xfId="21975"/>
    <cellStyle name="표준 6 3 3 2 5 2 2 2 3 2" xfId="44440"/>
    <cellStyle name="표준 6 3 3 2 5 2 2 2 4" xfId="29476"/>
    <cellStyle name="표준 6 3 3 2 5 2 2 3" xfId="14490"/>
    <cellStyle name="표준 6 3 3 2 5 2 2 3 2" xfId="36957"/>
    <cellStyle name="표준 6 3 3 2 5 2 2 4" xfId="21974"/>
    <cellStyle name="표준 6 3 3 2 5 2 2 4 2" xfId="44439"/>
    <cellStyle name="표준 6 3 3 2 5 2 2 5" xfId="29475"/>
    <cellStyle name="표준 6 3 3 2 5 2 3" xfId="7007"/>
    <cellStyle name="표준 6 3 3 2 5 2 3 2" xfId="14492"/>
    <cellStyle name="표준 6 3 3 2 5 2 3 2 2" xfId="36959"/>
    <cellStyle name="표준 6 3 3 2 5 2 3 3" xfId="21976"/>
    <cellStyle name="표준 6 3 3 2 5 2 3 3 2" xfId="44441"/>
    <cellStyle name="표준 6 3 3 2 5 2 3 4" xfId="29477"/>
    <cellStyle name="표준 6 3 3 2 5 2 4" xfId="14489"/>
    <cellStyle name="표준 6 3 3 2 5 2 4 2" xfId="36956"/>
    <cellStyle name="표준 6 3 3 2 5 2 5" xfId="21973"/>
    <cellStyle name="표준 6 3 3 2 5 2 5 2" xfId="44438"/>
    <cellStyle name="표준 6 3 3 2 5 2 6" xfId="29474"/>
    <cellStyle name="표준 6 3 3 2 5 3" xfId="7008"/>
    <cellStyle name="표준 6 3 3 2 5 3 2" xfId="7009"/>
    <cellStyle name="표준 6 3 3 2 5 3 2 2" xfId="14494"/>
    <cellStyle name="표준 6 3 3 2 5 3 2 2 2" xfId="36961"/>
    <cellStyle name="표준 6 3 3 2 5 3 2 3" xfId="21978"/>
    <cellStyle name="표준 6 3 3 2 5 3 2 3 2" xfId="44443"/>
    <cellStyle name="표준 6 3 3 2 5 3 2 4" xfId="29479"/>
    <cellStyle name="표준 6 3 3 2 5 3 3" xfId="14493"/>
    <cellStyle name="표준 6 3 3 2 5 3 3 2" xfId="36960"/>
    <cellStyle name="표준 6 3 3 2 5 3 4" xfId="21977"/>
    <cellStyle name="표준 6 3 3 2 5 3 4 2" xfId="44442"/>
    <cellStyle name="표준 6 3 3 2 5 3 5" xfId="29478"/>
    <cellStyle name="표준 6 3 3 2 5 4" xfId="7010"/>
    <cellStyle name="표준 6 3 3 2 5 4 2" xfId="14495"/>
    <cellStyle name="표준 6 3 3 2 5 4 2 2" xfId="36962"/>
    <cellStyle name="표준 6 3 3 2 5 4 3" xfId="21979"/>
    <cellStyle name="표준 6 3 3 2 5 4 3 2" xfId="44444"/>
    <cellStyle name="표준 6 3 3 2 5 4 4" xfId="29480"/>
    <cellStyle name="표준 6 3 3 2 5 5" xfId="14488"/>
    <cellStyle name="표준 6 3 3 2 5 5 2" xfId="36955"/>
    <cellStyle name="표준 6 3 3 2 5 6" xfId="21972"/>
    <cellStyle name="표준 6 3 3 2 5 6 2" xfId="44437"/>
    <cellStyle name="표준 6 3 3 2 5 7" xfId="29473"/>
    <cellStyle name="표준 6 3 3 2 6" xfId="7011"/>
    <cellStyle name="표준 6 3 3 2 6 2" xfId="7012"/>
    <cellStyle name="표준 6 3 3 2 6 2 2" xfId="7013"/>
    <cellStyle name="표준 6 3 3 2 6 2 2 2" xfId="14498"/>
    <cellStyle name="표준 6 3 3 2 6 2 2 2 2" xfId="36965"/>
    <cellStyle name="표준 6 3 3 2 6 2 2 3" xfId="21982"/>
    <cellStyle name="표준 6 3 3 2 6 2 2 3 2" xfId="44447"/>
    <cellStyle name="표준 6 3 3 2 6 2 2 4" xfId="29483"/>
    <cellStyle name="표준 6 3 3 2 6 2 3" xfId="14497"/>
    <cellStyle name="표준 6 3 3 2 6 2 3 2" xfId="36964"/>
    <cellStyle name="표준 6 3 3 2 6 2 4" xfId="21981"/>
    <cellStyle name="표준 6 3 3 2 6 2 4 2" xfId="44446"/>
    <cellStyle name="표준 6 3 3 2 6 2 5" xfId="29482"/>
    <cellStyle name="표준 6 3 3 2 6 3" xfId="7014"/>
    <cellStyle name="표준 6 3 3 2 6 3 2" xfId="14499"/>
    <cellStyle name="표준 6 3 3 2 6 3 2 2" xfId="36966"/>
    <cellStyle name="표준 6 3 3 2 6 3 3" xfId="21983"/>
    <cellStyle name="표준 6 3 3 2 6 3 3 2" xfId="44448"/>
    <cellStyle name="표준 6 3 3 2 6 3 4" xfId="29484"/>
    <cellStyle name="표준 6 3 3 2 6 4" xfId="14496"/>
    <cellStyle name="표준 6 3 3 2 6 4 2" xfId="36963"/>
    <cellStyle name="표준 6 3 3 2 6 5" xfId="21980"/>
    <cellStyle name="표준 6 3 3 2 6 5 2" xfId="44445"/>
    <cellStyle name="표준 6 3 3 2 6 6" xfId="29481"/>
    <cellStyle name="표준 6 3 3 2 7" xfId="7015"/>
    <cellStyle name="표준 6 3 3 2 7 2" xfId="7016"/>
    <cellStyle name="표준 6 3 3 2 7 2 2" xfId="7017"/>
    <cellStyle name="표준 6 3 3 2 7 2 2 2" xfId="14502"/>
    <cellStyle name="표준 6 3 3 2 7 2 2 2 2" xfId="36969"/>
    <cellStyle name="표준 6 3 3 2 7 2 2 3" xfId="21986"/>
    <cellStyle name="표준 6 3 3 2 7 2 2 3 2" xfId="44451"/>
    <cellStyle name="표준 6 3 3 2 7 2 2 4" xfId="29487"/>
    <cellStyle name="표준 6 3 3 2 7 2 3" xfId="14501"/>
    <cellStyle name="표준 6 3 3 2 7 2 3 2" xfId="36968"/>
    <cellStyle name="표준 6 3 3 2 7 2 4" xfId="21985"/>
    <cellStyle name="표준 6 3 3 2 7 2 4 2" xfId="44450"/>
    <cellStyle name="표준 6 3 3 2 7 2 5" xfId="29486"/>
    <cellStyle name="표준 6 3 3 2 7 3" xfId="7018"/>
    <cellStyle name="표준 6 3 3 2 7 3 2" xfId="14503"/>
    <cellStyle name="표준 6 3 3 2 7 3 2 2" xfId="36970"/>
    <cellStyle name="표준 6 3 3 2 7 3 3" xfId="21987"/>
    <cellStyle name="표준 6 3 3 2 7 3 3 2" xfId="44452"/>
    <cellStyle name="표준 6 3 3 2 7 3 4" xfId="29488"/>
    <cellStyle name="표준 6 3 3 2 7 4" xfId="14500"/>
    <cellStyle name="표준 6 3 3 2 7 4 2" xfId="36967"/>
    <cellStyle name="표준 6 3 3 2 7 5" xfId="21984"/>
    <cellStyle name="표준 6 3 3 2 7 5 2" xfId="44449"/>
    <cellStyle name="표준 6 3 3 2 7 6" xfId="29485"/>
    <cellStyle name="표준 6 3 3 2 8" xfId="7019"/>
    <cellStyle name="표준 6 3 3 2 8 2" xfId="7020"/>
    <cellStyle name="표준 6 3 3 2 8 2 2" xfId="14505"/>
    <cellStyle name="표준 6 3 3 2 8 2 2 2" xfId="36972"/>
    <cellStyle name="표준 6 3 3 2 8 2 3" xfId="21989"/>
    <cellStyle name="표준 6 3 3 2 8 2 3 2" xfId="44454"/>
    <cellStyle name="표준 6 3 3 2 8 2 4" xfId="29490"/>
    <cellStyle name="표준 6 3 3 2 8 3" xfId="14504"/>
    <cellStyle name="표준 6 3 3 2 8 3 2" xfId="36971"/>
    <cellStyle name="표준 6 3 3 2 8 4" xfId="21988"/>
    <cellStyle name="표준 6 3 3 2 8 4 2" xfId="44453"/>
    <cellStyle name="표준 6 3 3 2 8 5" xfId="29489"/>
    <cellStyle name="표준 6 3 3 2 9" xfId="7021"/>
    <cellStyle name="표준 6 3 3 2 9 2" xfId="14506"/>
    <cellStyle name="표준 6 3 3 2 9 2 2" xfId="36973"/>
    <cellStyle name="표준 6 3 3 2 9 3" xfId="21990"/>
    <cellStyle name="표준 6 3 3 2 9 3 2" xfId="44455"/>
    <cellStyle name="표준 6 3 3 2 9 4" xfId="29491"/>
    <cellStyle name="표준 6 3 3 3" xfId="7022"/>
    <cellStyle name="표준 6 3 3 3 10" xfId="29492"/>
    <cellStyle name="표준 6 3 3 3 2" xfId="7023"/>
    <cellStyle name="표준 6 3 3 3 2 2" xfId="7024"/>
    <cellStyle name="표준 6 3 3 3 2 2 2" xfId="7025"/>
    <cellStyle name="표준 6 3 3 3 2 2 2 2" xfId="7026"/>
    <cellStyle name="표준 6 3 3 3 2 2 2 2 2" xfId="7027"/>
    <cellStyle name="표준 6 3 3 3 2 2 2 2 2 2" xfId="14512"/>
    <cellStyle name="표준 6 3 3 3 2 2 2 2 2 2 2" xfId="36979"/>
    <cellStyle name="표준 6 3 3 3 2 2 2 2 2 3" xfId="21996"/>
    <cellStyle name="표준 6 3 3 3 2 2 2 2 2 3 2" xfId="44461"/>
    <cellStyle name="표준 6 3 3 3 2 2 2 2 2 4" xfId="29497"/>
    <cellStyle name="표준 6 3 3 3 2 2 2 2 3" xfId="14511"/>
    <cellStyle name="표준 6 3 3 3 2 2 2 2 3 2" xfId="36978"/>
    <cellStyle name="표준 6 3 3 3 2 2 2 2 4" xfId="21995"/>
    <cellStyle name="표준 6 3 3 3 2 2 2 2 4 2" xfId="44460"/>
    <cellStyle name="표준 6 3 3 3 2 2 2 2 5" xfId="29496"/>
    <cellStyle name="표준 6 3 3 3 2 2 2 3" xfId="7028"/>
    <cellStyle name="표준 6 3 3 3 2 2 2 3 2" xfId="14513"/>
    <cellStyle name="표준 6 3 3 3 2 2 2 3 2 2" xfId="36980"/>
    <cellStyle name="표준 6 3 3 3 2 2 2 3 3" xfId="21997"/>
    <cellStyle name="표준 6 3 3 3 2 2 2 3 3 2" xfId="44462"/>
    <cellStyle name="표준 6 3 3 3 2 2 2 3 4" xfId="29498"/>
    <cellStyle name="표준 6 3 3 3 2 2 2 4" xfId="14510"/>
    <cellStyle name="표준 6 3 3 3 2 2 2 4 2" xfId="36977"/>
    <cellStyle name="표준 6 3 3 3 2 2 2 5" xfId="21994"/>
    <cellStyle name="표준 6 3 3 3 2 2 2 5 2" xfId="44459"/>
    <cellStyle name="표준 6 3 3 3 2 2 2 6" xfId="29495"/>
    <cellStyle name="표준 6 3 3 3 2 2 3" xfId="7029"/>
    <cellStyle name="표준 6 3 3 3 2 2 3 2" xfId="7030"/>
    <cellStyle name="표준 6 3 3 3 2 2 3 2 2" xfId="14515"/>
    <cellStyle name="표준 6 3 3 3 2 2 3 2 2 2" xfId="36982"/>
    <cellStyle name="표준 6 3 3 3 2 2 3 2 3" xfId="21999"/>
    <cellStyle name="표준 6 3 3 3 2 2 3 2 3 2" xfId="44464"/>
    <cellStyle name="표준 6 3 3 3 2 2 3 2 4" xfId="29500"/>
    <cellStyle name="표준 6 3 3 3 2 2 3 3" xfId="14514"/>
    <cellStyle name="표준 6 3 3 3 2 2 3 3 2" xfId="36981"/>
    <cellStyle name="표준 6 3 3 3 2 2 3 4" xfId="21998"/>
    <cellStyle name="표준 6 3 3 3 2 2 3 4 2" xfId="44463"/>
    <cellStyle name="표준 6 3 3 3 2 2 3 5" xfId="29499"/>
    <cellStyle name="표준 6 3 3 3 2 2 4" xfId="7031"/>
    <cellStyle name="표준 6 3 3 3 2 2 4 2" xfId="14516"/>
    <cellStyle name="표준 6 3 3 3 2 2 4 2 2" xfId="36983"/>
    <cellStyle name="표준 6 3 3 3 2 2 4 3" xfId="22000"/>
    <cellStyle name="표준 6 3 3 3 2 2 4 3 2" xfId="44465"/>
    <cellStyle name="표준 6 3 3 3 2 2 4 4" xfId="29501"/>
    <cellStyle name="표준 6 3 3 3 2 2 5" xfId="14509"/>
    <cellStyle name="표준 6 3 3 3 2 2 5 2" xfId="36976"/>
    <cellStyle name="표준 6 3 3 3 2 2 6" xfId="21993"/>
    <cellStyle name="표준 6 3 3 3 2 2 6 2" xfId="44458"/>
    <cellStyle name="표준 6 3 3 3 2 2 7" xfId="29494"/>
    <cellStyle name="표준 6 3 3 3 2 3" xfId="7032"/>
    <cellStyle name="표준 6 3 3 3 2 3 2" xfId="7033"/>
    <cellStyle name="표준 6 3 3 3 2 3 2 2" xfId="7034"/>
    <cellStyle name="표준 6 3 3 3 2 3 2 2 2" xfId="14519"/>
    <cellStyle name="표준 6 3 3 3 2 3 2 2 2 2" xfId="36986"/>
    <cellStyle name="표준 6 3 3 3 2 3 2 2 3" xfId="22003"/>
    <cellStyle name="표준 6 3 3 3 2 3 2 2 3 2" xfId="44468"/>
    <cellStyle name="표준 6 3 3 3 2 3 2 2 4" xfId="29504"/>
    <cellStyle name="표준 6 3 3 3 2 3 2 3" xfId="14518"/>
    <cellStyle name="표준 6 3 3 3 2 3 2 3 2" xfId="36985"/>
    <cellStyle name="표준 6 3 3 3 2 3 2 4" xfId="22002"/>
    <cellStyle name="표준 6 3 3 3 2 3 2 4 2" xfId="44467"/>
    <cellStyle name="표준 6 3 3 3 2 3 2 5" xfId="29503"/>
    <cellStyle name="표준 6 3 3 3 2 3 3" xfId="7035"/>
    <cellStyle name="표준 6 3 3 3 2 3 3 2" xfId="14520"/>
    <cellStyle name="표준 6 3 3 3 2 3 3 2 2" xfId="36987"/>
    <cellStyle name="표준 6 3 3 3 2 3 3 3" xfId="22004"/>
    <cellStyle name="표준 6 3 3 3 2 3 3 3 2" xfId="44469"/>
    <cellStyle name="표준 6 3 3 3 2 3 3 4" xfId="29505"/>
    <cellStyle name="표준 6 3 3 3 2 3 4" xfId="14517"/>
    <cellStyle name="표준 6 3 3 3 2 3 4 2" xfId="36984"/>
    <cellStyle name="표준 6 3 3 3 2 3 5" xfId="22001"/>
    <cellStyle name="표준 6 3 3 3 2 3 5 2" xfId="44466"/>
    <cellStyle name="표준 6 3 3 3 2 3 6" xfId="29502"/>
    <cellStyle name="표준 6 3 3 3 2 4" xfId="7036"/>
    <cellStyle name="표준 6 3 3 3 2 4 2" xfId="7037"/>
    <cellStyle name="표준 6 3 3 3 2 4 2 2" xfId="14522"/>
    <cellStyle name="표준 6 3 3 3 2 4 2 2 2" xfId="36989"/>
    <cellStyle name="표준 6 3 3 3 2 4 2 3" xfId="22006"/>
    <cellStyle name="표준 6 3 3 3 2 4 2 3 2" xfId="44471"/>
    <cellStyle name="표준 6 3 3 3 2 4 2 4" xfId="29507"/>
    <cellStyle name="표준 6 3 3 3 2 4 3" xfId="14521"/>
    <cellStyle name="표준 6 3 3 3 2 4 3 2" xfId="36988"/>
    <cellStyle name="표준 6 3 3 3 2 4 4" xfId="22005"/>
    <cellStyle name="표준 6 3 3 3 2 4 4 2" xfId="44470"/>
    <cellStyle name="표준 6 3 3 3 2 4 5" xfId="29506"/>
    <cellStyle name="표준 6 3 3 3 2 5" xfId="7038"/>
    <cellStyle name="표준 6 3 3 3 2 5 2" xfId="14523"/>
    <cellStyle name="표준 6 3 3 3 2 5 2 2" xfId="36990"/>
    <cellStyle name="표준 6 3 3 3 2 5 3" xfId="22007"/>
    <cellStyle name="표준 6 3 3 3 2 5 3 2" xfId="44472"/>
    <cellStyle name="표준 6 3 3 3 2 5 4" xfId="29508"/>
    <cellStyle name="표준 6 3 3 3 2 6" xfId="14508"/>
    <cellStyle name="표준 6 3 3 3 2 6 2" xfId="36975"/>
    <cellStyle name="표준 6 3 3 3 2 7" xfId="21992"/>
    <cellStyle name="표준 6 3 3 3 2 7 2" xfId="44457"/>
    <cellStyle name="표준 6 3 3 3 2 8" xfId="29493"/>
    <cellStyle name="표준 6 3 3 3 3" xfId="7039"/>
    <cellStyle name="표준 6 3 3 3 3 2" xfId="7040"/>
    <cellStyle name="표준 6 3 3 3 3 2 2" xfId="7041"/>
    <cellStyle name="표준 6 3 3 3 3 2 2 2" xfId="7042"/>
    <cellStyle name="표준 6 3 3 3 3 2 2 2 2" xfId="7043"/>
    <cellStyle name="표준 6 3 3 3 3 2 2 2 2 2" xfId="14528"/>
    <cellStyle name="표준 6 3 3 3 3 2 2 2 2 2 2" xfId="36995"/>
    <cellStyle name="표준 6 3 3 3 3 2 2 2 2 3" xfId="22012"/>
    <cellStyle name="표준 6 3 3 3 3 2 2 2 2 3 2" xfId="44477"/>
    <cellStyle name="표준 6 3 3 3 3 2 2 2 2 4" xfId="29513"/>
    <cellStyle name="표준 6 3 3 3 3 2 2 2 3" xfId="14527"/>
    <cellStyle name="표준 6 3 3 3 3 2 2 2 3 2" xfId="36994"/>
    <cellStyle name="표준 6 3 3 3 3 2 2 2 4" xfId="22011"/>
    <cellStyle name="표준 6 3 3 3 3 2 2 2 4 2" xfId="44476"/>
    <cellStyle name="표준 6 3 3 3 3 2 2 2 5" xfId="29512"/>
    <cellStyle name="표준 6 3 3 3 3 2 2 3" xfId="7044"/>
    <cellStyle name="표준 6 3 3 3 3 2 2 3 2" xfId="14529"/>
    <cellStyle name="표준 6 3 3 3 3 2 2 3 2 2" xfId="36996"/>
    <cellStyle name="표준 6 3 3 3 3 2 2 3 3" xfId="22013"/>
    <cellStyle name="표준 6 3 3 3 3 2 2 3 3 2" xfId="44478"/>
    <cellStyle name="표준 6 3 3 3 3 2 2 3 4" xfId="29514"/>
    <cellStyle name="표준 6 3 3 3 3 2 2 4" xfId="14526"/>
    <cellStyle name="표준 6 3 3 3 3 2 2 4 2" xfId="36993"/>
    <cellStyle name="표준 6 3 3 3 3 2 2 5" xfId="22010"/>
    <cellStyle name="표준 6 3 3 3 3 2 2 5 2" xfId="44475"/>
    <cellStyle name="표준 6 3 3 3 3 2 2 6" xfId="29511"/>
    <cellStyle name="표준 6 3 3 3 3 2 3" xfId="7045"/>
    <cellStyle name="표준 6 3 3 3 3 2 3 2" xfId="7046"/>
    <cellStyle name="표준 6 3 3 3 3 2 3 2 2" xfId="14531"/>
    <cellStyle name="표준 6 3 3 3 3 2 3 2 2 2" xfId="36998"/>
    <cellStyle name="표준 6 3 3 3 3 2 3 2 3" xfId="22015"/>
    <cellStyle name="표준 6 3 3 3 3 2 3 2 3 2" xfId="44480"/>
    <cellStyle name="표준 6 3 3 3 3 2 3 2 4" xfId="29516"/>
    <cellStyle name="표준 6 3 3 3 3 2 3 3" xfId="14530"/>
    <cellStyle name="표준 6 3 3 3 3 2 3 3 2" xfId="36997"/>
    <cellStyle name="표준 6 3 3 3 3 2 3 4" xfId="22014"/>
    <cellStyle name="표준 6 3 3 3 3 2 3 4 2" xfId="44479"/>
    <cellStyle name="표준 6 3 3 3 3 2 3 5" xfId="29515"/>
    <cellStyle name="표준 6 3 3 3 3 2 4" xfId="7047"/>
    <cellStyle name="표준 6 3 3 3 3 2 4 2" xfId="14532"/>
    <cellStyle name="표준 6 3 3 3 3 2 4 2 2" xfId="36999"/>
    <cellStyle name="표준 6 3 3 3 3 2 4 3" xfId="22016"/>
    <cellStyle name="표준 6 3 3 3 3 2 4 3 2" xfId="44481"/>
    <cellStyle name="표준 6 3 3 3 3 2 4 4" xfId="29517"/>
    <cellStyle name="표준 6 3 3 3 3 2 5" xfId="14525"/>
    <cellStyle name="표준 6 3 3 3 3 2 5 2" xfId="36992"/>
    <cellStyle name="표준 6 3 3 3 3 2 6" xfId="22009"/>
    <cellStyle name="표준 6 3 3 3 3 2 6 2" xfId="44474"/>
    <cellStyle name="표준 6 3 3 3 3 2 7" xfId="29510"/>
    <cellStyle name="표준 6 3 3 3 3 3" xfId="7048"/>
    <cellStyle name="표준 6 3 3 3 3 3 2" xfId="7049"/>
    <cellStyle name="표준 6 3 3 3 3 3 2 2" xfId="7050"/>
    <cellStyle name="표준 6 3 3 3 3 3 2 2 2" xfId="14535"/>
    <cellStyle name="표준 6 3 3 3 3 3 2 2 2 2" xfId="37002"/>
    <cellStyle name="표준 6 3 3 3 3 3 2 2 3" xfId="22019"/>
    <cellStyle name="표준 6 3 3 3 3 3 2 2 3 2" xfId="44484"/>
    <cellStyle name="표준 6 3 3 3 3 3 2 2 4" xfId="29520"/>
    <cellStyle name="표준 6 3 3 3 3 3 2 3" xfId="14534"/>
    <cellStyle name="표준 6 3 3 3 3 3 2 3 2" xfId="37001"/>
    <cellStyle name="표준 6 3 3 3 3 3 2 4" xfId="22018"/>
    <cellStyle name="표준 6 3 3 3 3 3 2 4 2" xfId="44483"/>
    <cellStyle name="표준 6 3 3 3 3 3 2 5" xfId="29519"/>
    <cellStyle name="표준 6 3 3 3 3 3 3" xfId="7051"/>
    <cellStyle name="표준 6 3 3 3 3 3 3 2" xfId="14536"/>
    <cellStyle name="표준 6 3 3 3 3 3 3 2 2" xfId="37003"/>
    <cellStyle name="표준 6 3 3 3 3 3 3 3" xfId="22020"/>
    <cellStyle name="표준 6 3 3 3 3 3 3 3 2" xfId="44485"/>
    <cellStyle name="표준 6 3 3 3 3 3 3 4" xfId="29521"/>
    <cellStyle name="표준 6 3 3 3 3 3 4" xfId="14533"/>
    <cellStyle name="표준 6 3 3 3 3 3 4 2" xfId="37000"/>
    <cellStyle name="표준 6 3 3 3 3 3 5" xfId="22017"/>
    <cellStyle name="표준 6 3 3 3 3 3 5 2" xfId="44482"/>
    <cellStyle name="표준 6 3 3 3 3 3 6" xfId="29518"/>
    <cellStyle name="표준 6 3 3 3 3 4" xfId="7052"/>
    <cellStyle name="표준 6 3 3 3 3 4 2" xfId="7053"/>
    <cellStyle name="표준 6 3 3 3 3 4 2 2" xfId="14538"/>
    <cellStyle name="표준 6 3 3 3 3 4 2 2 2" xfId="37005"/>
    <cellStyle name="표준 6 3 3 3 3 4 2 3" xfId="22022"/>
    <cellStyle name="표준 6 3 3 3 3 4 2 3 2" xfId="44487"/>
    <cellStyle name="표준 6 3 3 3 3 4 2 4" xfId="29523"/>
    <cellStyle name="표준 6 3 3 3 3 4 3" xfId="14537"/>
    <cellStyle name="표준 6 3 3 3 3 4 3 2" xfId="37004"/>
    <cellStyle name="표준 6 3 3 3 3 4 4" xfId="22021"/>
    <cellStyle name="표준 6 3 3 3 3 4 4 2" xfId="44486"/>
    <cellStyle name="표준 6 3 3 3 3 4 5" xfId="29522"/>
    <cellStyle name="표준 6 3 3 3 3 5" xfId="7054"/>
    <cellStyle name="표준 6 3 3 3 3 5 2" xfId="14539"/>
    <cellStyle name="표준 6 3 3 3 3 5 2 2" xfId="37006"/>
    <cellStyle name="표준 6 3 3 3 3 5 3" xfId="22023"/>
    <cellStyle name="표준 6 3 3 3 3 5 3 2" xfId="44488"/>
    <cellStyle name="표준 6 3 3 3 3 5 4" xfId="29524"/>
    <cellStyle name="표준 6 3 3 3 3 6" xfId="14524"/>
    <cellStyle name="표준 6 3 3 3 3 6 2" xfId="36991"/>
    <cellStyle name="표준 6 3 3 3 3 7" xfId="22008"/>
    <cellStyle name="표준 6 3 3 3 3 7 2" xfId="44473"/>
    <cellStyle name="표준 6 3 3 3 3 8" xfId="29509"/>
    <cellStyle name="표준 6 3 3 3 4" xfId="7055"/>
    <cellStyle name="표준 6 3 3 3 4 2" xfId="7056"/>
    <cellStyle name="표준 6 3 3 3 4 2 2" xfId="7057"/>
    <cellStyle name="표준 6 3 3 3 4 2 2 2" xfId="7058"/>
    <cellStyle name="표준 6 3 3 3 4 2 2 2 2" xfId="14543"/>
    <cellStyle name="표준 6 3 3 3 4 2 2 2 2 2" xfId="37010"/>
    <cellStyle name="표준 6 3 3 3 4 2 2 2 3" xfId="22027"/>
    <cellStyle name="표준 6 3 3 3 4 2 2 2 3 2" xfId="44492"/>
    <cellStyle name="표준 6 3 3 3 4 2 2 2 4" xfId="29528"/>
    <cellStyle name="표준 6 3 3 3 4 2 2 3" xfId="14542"/>
    <cellStyle name="표준 6 3 3 3 4 2 2 3 2" xfId="37009"/>
    <cellStyle name="표준 6 3 3 3 4 2 2 4" xfId="22026"/>
    <cellStyle name="표준 6 3 3 3 4 2 2 4 2" xfId="44491"/>
    <cellStyle name="표준 6 3 3 3 4 2 2 5" xfId="29527"/>
    <cellStyle name="표준 6 3 3 3 4 2 3" xfId="7059"/>
    <cellStyle name="표준 6 3 3 3 4 2 3 2" xfId="14544"/>
    <cellStyle name="표준 6 3 3 3 4 2 3 2 2" xfId="37011"/>
    <cellStyle name="표준 6 3 3 3 4 2 3 3" xfId="22028"/>
    <cellStyle name="표준 6 3 3 3 4 2 3 3 2" xfId="44493"/>
    <cellStyle name="표준 6 3 3 3 4 2 3 4" xfId="29529"/>
    <cellStyle name="표준 6 3 3 3 4 2 4" xfId="14541"/>
    <cellStyle name="표준 6 3 3 3 4 2 4 2" xfId="37008"/>
    <cellStyle name="표준 6 3 3 3 4 2 5" xfId="22025"/>
    <cellStyle name="표준 6 3 3 3 4 2 5 2" xfId="44490"/>
    <cellStyle name="표준 6 3 3 3 4 2 6" xfId="29526"/>
    <cellStyle name="표준 6 3 3 3 4 3" xfId="7060"/>
    <cellStyle name="표준 6 3 3 3 4 3 2" xfId="7061"/>
    <cellStyle name="표준 6 3 3 3 4 3 2 2" xfId="14546"/>
    <cellStyle name="표준 6 3 3 3 4 3 2 2 2" xfId="37013"/>
    <cellStyle name="표준 6 3 3 3 4 3 2 3" xfId="22030"/>
    <cellStyle name="표준 6 3 3 3 4 3 2 3 2" xfId="44495"/>
    <cellStyle name="표준 6 3 3 3 4 3 2 4" xfId="29531"/>
    <cellStyle name="표준 6 3 3 3 4 3 3" xfId="14545"/>
    <cellStyle name="표준 6 3 3 3 4 3 3 2" xfId="37012"/>
    <cellStyle name="표준 6 3 3 3 4 3 4" xfId="22029"/>
    <cellStyle name="표준 6 3 3 3 4 3 4 2" xfId="44494"/>
    <cellStyle name="표준 6 3 3 3 4 3 5" xfId="29530"/>
    <cellStyle name="표준 6 3 3 3 4 4" xfId="7062"/>
    <cellStyle name="표준 6 3 3 3 4 4 2" xfId="14547"/>
    <cellStyle name="표준 6 3 3 3 4 4 2 2" xfId="37014"/>
    <cellStyle name="표준 6 3 3 3 4 4 3" xfId="22031"/>
    <cellStyle name="표준 6 3 3 3 4 4 3 2" xfId="44496"/>
    <cellStyle name="표준 6 3 3 3 4 4 4" xfId="29532"/>
    <cellStyle name="표준 6 3 3 3 4 5" xfId="14540"/>
    <cellStyle name="표준 6 3 3 3 4 5 2" xfId="37007"/>
    <cellStyle name="표준 6 3 3 3 4 6" xfId="22024"/>
    <cellStyle name="표준 6 3 3 3 4 6 2" xfId="44489"/>
    <cellStyle name="표준 6 3 3 3 4 7" xfId="29525"/>
    <cellStyle name="표준 6 3 3 3 5" xfId="7063"/>
    <cellStyle name="표준 6 3 3 3 5 2" xfId="7064"/>
    <cellStyle name="표준 6 3 3 3 5 2 2" xfId="7065"/>
    <cellStyle name="표준 6 3 3 3 5 2 2 2" xfId="14550"/>
    <cellStyle name="표준 6 3 3 3 5 2 2 2 2" xfId="37017"/>
    <cellStyle name="표준 6 3 3 3 5 2 2 3" xfId="22034"/>
    <cellStyle name="표준 6 3 3 3 5 2 2 3 2" xfId="44499"/>
    <cellStyle name="표준 6 3 3 3 5 2 2 4" xfId="29535"/>
    <cellStyle name="표준 6 3 3 3 5 2 3" xfId="14549"/>
    <cellStyle name="표준 6 3 3 3 5 2 3 2" xfId="37016"/>
    <cellStyle name="표준 6 3 3 3 5 2 4" xfId="22033"/>
    <cellStyle name="표준 6 3 3 3 5 2 4 2" xfId="44498"/>
    <cellStyle name="표준 6 3 3 3 5 2 5" xfId="29534"/>
    <cellStyle name="표준 6 3 3 3 5 3" xfId="7066"/>
    <cellStyle name="표준 6 3 3 3 5 3 2" xfId="14551"/>
    <cellStyle name="표준 6 3 3 3 5 3 2 2" xfId="37018"/>
    <cellStyle name="표준 6 3 3 3 5 3 3" xfId="22035"/>
    <cellStyle name="표준 6 3 3 3 5 3 3 2" xfId="44500"/>
    <cellStyle name="표준 6 3 3 3 5 3 4" xfId="29536"/>
    <cellStyle name="표준 6 3 3 3 5 4" xfId="14548"/>
    <cellStyle name="표준 6 3 3 3 5 4 2" xfId="37015"/>
    <cellStyle name="표준 6 3 3 3 5 5" xfId="22032"/>
    <cellStyle name="표준 6 3 3 3 5 5 2" xfId="44497"/>
    <cellStyle name="표준 6 3 3 3 5 6" xfId="29533"/>
    <cellStyle name="표준 6 3 3 3 6" xfId="7067"/>
    <cellStyle name="표준 6 3 3 3 6 2" xfId="7068"/>
    <cellStyle name="표준 6 3 3 3 6 2 2" xfId="14553"/>
    <cellStyle name="표준 6 3 3 3 6 2 2 2" xfId="37020"/>
    <cellStyle name="표준 6 3 3 3 6 2 3" xfId="22037"/>
    <cellStyle name="표준 6 3 3 3 6 2 3 2" xfId="44502"/>
    <cellStyle name="표준 6 3 3 3 6 2 4" xfId="29538"/>
    <cellStyle name="표준 6 3 3 3 6 3" xfId="14552"/>
    <cellStyle name="표준 6 3 3 3 6 3 2" xfId="37019"/>
    <cellStyle name="표준 6 3 3 3 6 4" xfId="22036"/>
    <cellStyle name="표준 6 3 3 3 6 4 2" xfId="44501"/>
    <cellStyle name="표준 6 3 3 3 6 5" xfId="29537"/>
    <cellStyle name="표준 6 3 3 3 7" xfId="7069"/>
    <cellStyle name="표준 6 3 3 3 7 2" xfId="14554"/>
    <cellStyle name="표준 6 3 3 3 7 2 2" xfId="37021"/>
    <cellStyle name="표준 6 3 3 3 7 3" xfId="22038"/>
    <cellStyle name="표준 6 3 3 3 7 3 2" xfId="44503"/>
    <cellStyle name="표준 6 3 3 3 7 4" xfId="29539"/>
    <cellStyle name="표준 6 3 3 3 8" xfId="14507"/>
    <cellStyle name="표준 6 3 3 3 8 2" xfId="36974"/>
    <cellStyle name="표준 6 3 3 3 9" xfId="21991"/>
    <cellStyle name="표준 6 3 3 3 9 2" xfId="44456"/>
    <cellStyle name="표준 6 3 3 4" xfId="7070"/>
    <cellStyle name="표준 6 3 3 4 2" xfId="7071"/>
    <cellStyle name="표준 6 3 3 4 2 2" xfId="7072"/>
    <cellStyle name="표준 6 3 3 4 2 2 2" xfId="7073"/>
    <cellStyle name="표준 6 3 3 4 2 2 2 2" xfId="7074"/>
    <cellStyle name="표준 6 3 3 4 2 2 2 2 2" xfId="14559"/>
    <cellStyle name="표준 6 3 3 4 2 2 2 2 2 2" xfId="37026"/>
    <cellStyle name="표준 6 3 3 4 2 2 2 2 3" xfId="22043"/>
    <cellStyle name="표준 6 3 3 4 2 2 2 2 3 2" xfId="44508"/>
    <cellStyle name="표준 6 3 3 4 2 2 2 2 4" xfId="29544"/>
    <cellStyle name="표준 6 3 3 4 2 2 2 3" xfId="14558"/>
    <cellStyle name="표준 6 3 3 4 2 2 2 3 2" xfId="37025"/>
    <cellStyle name="표준 6 3 3 4 2 2 2 4" xfId="22042"/>
    <cellStyle name="표준 6 3 3 4 2 2 2 4 2" xfId="44507"/>
    <cellStyle name="표준 6 3 3 4 2 2 2 5" xfId="29543"/>
    <cellStyle name="표준 6 3 3 4 2 2 3" xfId="7075"/>
    <cellStyle name="표준 6 3 3 4 2 2 3 2" xfId="14560"/>
    <cellStyle name="표준 6 3 3 4 2 2 3 2 2" xfId="37027"/>
    <cellStyle name="표준 6 3 3 4 2 2 3 3" xfId="22044"/>
    <cellStyle name="표준 6 3 3 4 2 2 3 3 2" xfId="44509"/>
    <cellStyle name="표준 6 3 3 4 2 2 3 4" xfId="29545"/>
    <cellStyle name="표준 6 3 3 4 2 2 4" xfId="14557"/>
    <cellStyle name="표준 6 3 3 4 2 2 4 2" xfId="37024"/>
    <cellStyle name="표준 6 3 3 4 2 2 5" xfId="22041"/>
    <cellStyle name="표준 6 3 3 4 2 2 5 2" xfId="44506"/>
    <cellStyle name="표준 6 3 3 4 2 2 6" xfId="29542"/>
    <cellStyle name="표준 6 3 3 4 2 3" xfId="7076"/>
    <cellStyle name="표준 6 3 3 4 2 3 2" xfId="7077"/>
    <cellStyle name="표준 6 3 3 4 2 3 2 2" xfId="14562"/>
    <cellStyle name="표준 6 3 3 4 2 3 2 2 2" xfId="37029"/>
    <cellStyle name="표준 6 3 3 4 2 3 2 3" xfId="22046"/>
    <cellStyle name="표준 6 3 3 4 2 3 2 3 2" xfId="44511"/>
    <cellStyle name="표준 6 3 3 4 2 3 2 4" xfId="29547"/>
    <cellStyle name="표준 6 3 3 4 2 3 3" xfId="14561"/>
    <cellStyle name="표준 6 3 3 4 2 3 3 2" xfId="37028"/>
    <cellStyle name="표준 6 3 3 4 2 3 4" xfId="22045"/>
    <cellStyle name="표준 6 3 3 4 2 3 4 2" xfId="44510"/>
    <cellStyle name="표준 6 3 3 4 2 3 5" xfId="29546"/>
    <cellStyle name="표준 6 3 3 4 2 4" xfId="7078"/>
    <cellStyle name="표준 6 3 3 4 2 4 2" xfId="14563"/>
    <cellStyle name="표준 6 3 3 4 2 4 2 2" xfId="37030"/>
    <cellStyle name="표준 6 3 3 4 2 4 3" xfId="22047"/>
    <cellStyle name="표준 6 3 3 4 2 4 3 2" xfId="44512"/>
    <cellStyle name="표준 6 3 3 4 2 4 4" xfId="29548"/>
    <cellStyle name="표준 6 3 3 4 2 5" xfId="14556"/>
    <cellStyle name="표준 6 3 3 4 2 5 2" xfId="37023"/>
    <cellStyle name="표준 6 3 3 4 2 6" xfId="22040"/>
    <cellStyle name="표준 6 3 3 4 2 6 2" xfId="44505"/>
    <cellStyle name="표준 6 3 3 4 2 7" xfId="29541"/>
    <cellStyle name="표준 6 3 3 4 3" xfId="7079"/>
    <cellStyle name="표준 6 3 3 4 3 2" xfId="7080"/>
    <cellStyle name="표준 6 3 3 4 3 2 2" xfId="7081"/>
    <cellStyle name="표준 6 3 3 4 3 2 2 2" xfId="14566"/>
    <cellStyle name="표준 6 3 3 4 3 2 2 2 2" xfId="37033"/>
    <cellStyle name="표준 6 3 3 4 3 2 2 3" xfId="22050"/>
    <cellStyle name="표준 6 3 3 4 3 2 2 3 2" xfId="44515"/>
    <cellStyle name="표준 6 3 3 4 3 2 2 4" xfId="29551"/>
    <cellStyle name="표준 6 3 3 4 3 2 3" xfId="14565"/>
    <cellStyle name="표준 6 3 3 4 3 2 3 2" xfId="37032"/>
    <cellStyle name="표준 6 3 3 4 3 2 4" xfId="22049"/>
    <cellStyle name="표준 6 3 3 4 3 2 4 2" xfId="44514"/>
    <cellStyle name="표준 6 3 3 4 3 2 5" xfId="29550"/>
    <cellStyle name="표준 6 3 3 4 3 3" xfId="7082"/>
    <cellStyle name="표준 6 3 3 4 3 3 2" xfId="14567"/>
    <cellStyle name="표준 6 3 3 4 3 3 2 2" xfId="37034"/>
    <cellStyle name="표준 6 3 3 4 3 3 3" xfId="22051"/>
    <cellStyle name="표준 6 3 3 4 3 3 3 2" xfId="44516"/>
    <cellStyle name="표준 6 3 3 4 3 3 4" xfId="29552"/>
    <cellStyle name="표준 6 3 3 4 3 4" xfId="14564"/>
    <cellStyle name="표준 6 3 3 4 3 4 2" xfId="37031"/>
    <cellStyle name="표준 6 3 3 4 3 5" xfId="22048"/>
    <cellStyle name="표준 6 3 3 4 3 5 2" xfId="44513"/>
    <cellStyle name="표준 6 3 3 4 3 6" xfId="29549"/>
    <cellStyle name="표준 6 3 3 4 4" xfId="7083"/>
    <cellStyle name="표준 6 3 3 4 4 2" xfId="7084"/>
    <cellStyle name="표준 6 3 3 4 4 2 2" xfId="14569"/>
    <cellStyle name="표준 6 3 3 4 4 2 2 2" xfId="37036"/>
    <cellStyle name="표준 6 3 3 4 4 2 3" xfId="22053"/>
    <cellStyle name="표준 6 3 3 4 4 2 3 2" xfId="44518"/>
    <cellStyle name="표준 6 3 3 4 4 2 4" xfId="29554"/>
    <cellStyle name="표준 6 3 3 4 4 3" xfId="14568"/>
    <cellStyle name="표준 6 3 3 4 4 3 2" xfId="37035"/>
    <cellStyle name="표준 6 3 3 4 4 4" xfId="22052"/>
    <cellStyle name="표준 6 3 3 4 4 4 2" xfId="44517"/>
    <cellStyle name="표준 6 3 3 4 4 5" xfId="29553"/>
    <cellStyle name="표준 6 3 3 4 5" xfId="7085"/>
    <cellStyle name="표준 6 3 3 4 5 2" xfId="14570"/>
    <cellStyle name="표준 6 3 3 4 5 2 2" xfId="37037"/>
    <cellStyle name="표준 6 3 3 4 5 3" xfId="22054"/>
    <cellStyle name="표준 6 3 3 4 5 3 2" xfId="44519"/>
    <cellStyle name="표준 6 3 3 4 5 4" xfId="29555"/>
    <cellStyle name="표준 6 3 3 4 6" xfId="14555"/>
    <cellStyle name="표준 6 3 3 4 6 2" xfId="37022"/>
    <cellStyle name="표준 6 3 3 4 7" xfId="22039"/>
    <cellStyle name="표준 6 3 3 4 7 2" xfId="44504"/>
    <cellStyle name="표준 6 3 3 4 8" xfId="29540"/>
    <cellStyle name="표준 6 3 3 5" xfId="7086"/>
    <cellStyle name="표준 6 3 3 5 2" xfId="7087"/>
    <cellStyle name="표준 6 3 3 5 2 2" xfId="7088"/>
    <cellStyle name="표준 6 3 3 5 2 2 2" xfId="7089"/>
    <cellStyle name="표준 6 3 3 5 2 2 2 2" xfId="7090"/>
    <cellStyle name="표준 6 3 3 5 2 2 2 2 2" xfId="14575"/>
    <cellStyle name="표준 6 3 3 5 2 2 2 2 2 2" xfId="37042"/>
    <cellStyle name="표준 6 3 3 5 2 2 2 2 3" xfId="22059"/>
    <cellStyle name="표준 6 3 3 5 2 2 2 2 3 2" xfId="44524"/>
    <cellStyle name="표준 6 3 3 5 2 2 2 2 4" xfId="29560"/>
    <cellStyle name="표준 6 3 3 5 2 2 2 3" xfId="14574"/>
    <cellStyle name="표준 6 3 3 5 2 2 2 3 2" xfId="37041"/>
    <cellStyle name="표준 6 3 3 5 2 2 2 4" xfId="22058"/>
    <cellStyle name="표준 6 3 3 5 2 2 2 4 2" xfId="44523"/>
    <cellStyle name="표준 6 3 3 5 2 2 2 5" xfId="29559"/>
    <cellStyle name="표준 6 3 3 5 2 2 3" xfId="7091"/>
    <cellStyle name="표준 6 3 3 5 2 2 3 2" xfId="14576"/>
    <cellStyle name="표준 6 3 3 5 2 2 3 2 2" xfId="37043"/>
    <cellStyle name="표준 6 3 3 5 2 2 3 3" xfId="22060"/>
    <cellStyle name="표준 6 3 3 5 2 2 3 3 2" xfId="44525"/>
    <cellStyle name="표준 6 3 3 5 2 2 3 4" xfId="29561"/>
    <cellStyle name="표준 6 3 3 5 2 2 4" xfId="14573"/>
    <cellStyle name="표준 6 3 3 5 2 2 4 2" xfId="37040"/>
    <cellStyle name="표준 6 3 3 5 2 2 5" xfId="22057"/>
    <cellStyle name="표준 6 3 3 5 2 2 5 2" xfId="44522"/>
    <cellStyle name="표준 6 3 3 5 2 2 6" xfId="29558"/>
    <cellStyle name="표준 6 3 3 5 2 3" xfId="7092"/>
    <cellStyle name="표준 6 3 3 5 2 3 2" xfId="7093"/>
    <cellStyle name="표준 6 3 3 5 2 3 2 2" xfId="14578"/>
    <cellStyle name="표준 6 3 3 5 2 3 2 2 2" xfId="37045"/>
    <cellStyle name="표준 6 3 3 5 2 3 2 3" xfId="22062"/>
    <cellStyle name="표준 6 3 3 5 2 3 2 3 2" xfId="44527"/>
    <cellStyle name="표준 6 3 3 5 2 3 2 4" xfId="29563"/>
    <cellStyle name="표준 6 3 3 5 2 3 3" xfId="14577"/>
    <cellStyle name="표준 6 3 3 5 2 3 3 2" xfId="37044"/>
    <cellStyle name="표준 6 3 3 5 2 3 4" xfId="22061"/>
    <cellStyle name="표준 6 3 3 5 2 3 4 2" xfId="44526"/>
    <cellStyle name="표준 6 3 3 5 2 3 5" xfId="29562"/>
    <cellStyle name="표준 6 3 3 5 2 4" xfId="7094"/>
    <cellStyle name="표준 6 3 3 5 2 4 2" xfId="14579"/>
    <cellStyle name="표준 6 3 3 5 2 4 2 2" xfId="37046"/>
    <cellStyle name="표준 6 3 3 5 2 4 3" xfId="22063"/>
    <cellStyle name="표준 6 3 3 5 2 4 3 2" xfId="44528"/>
    <cellStyle name="표준 6 3 3 5 2 4 4" xfId="29564"/>
    <cellStyle name="표준 6 3 3 5 2 5" xfId="14572"/>
    <cellStyle name="표준 6 3 3 5 2 5 2" xfId="37039"/>
    <cellStyle name="표준 6 3 3 5 2 6" xfId="22056"/>
    <cellStyle name="표준 6 3 3 5 2 6 2" xfId="44521"/>
    <cellStyle name="표준 6 3 3 5 2 7" xfId="29557"/>
    <cellStyle name="표준 6 3 3 5 3" xfId="7095"/>
    <cellStyle name="표준 6 3 3 5 3 2" xfId="7096"/>
    <cellStyle name="표준 6 3 3 5 3 2 2" xfId="7097"/>
    <cellStyle name="표준 6 3 3 5 3 2 2 2" xfId="14582"/>
    <cellStyle name="표준 6 3 3 5 3 2 2 2 2" xfId="37049"/>
    <cellStyle name="표준 6 3 3 5 3 2 2 3" xfId="22066"/>
    <cellStyle name="표준 6 3 3 5 3 2 2 3 2" xfId="44531"/>
    <cellStyle name="표준 6 3 3 5 3 2 2 4" xfId="29567"/>
    <cellStyle name="표준 6 3 3 5 3 2 3" xfId="14581"/>
    <cellStyle name="표준 6 3 3 5 3 2 3 2" xfId="37048"/>
    <cellStyle name="표준 6 3 3 5 3 2 4" xfId="22065"/>
    <cellStyle name="표준 6 3 3 5 3 2 4 2" xfId="44530"/>
    <cellStyle name="표준 6 3 3 5 3 2 5" xfId="29566"/>
    <cellStyle name="표준 6 3 3 5 3 3" xfId="7098"/>
    <cellStyle name="표준 6 3 3 5 3 3 2" xfId="14583"/>
    <cellStyle name="표준 6 3 3 5 3 3 2 2" xfId="37050"/>
    <cellStyle name="표준 6 3 3 5 3 3 3" xfId="22067"/>
    <cellStyle name="표준 6 3 3 5 3 3 3 2" xfId="44532"/>
    <cellStyle name="표준 6 3 3 5 3 3 4" xfId="29568"/>
    <cellStyle name="표준 6 3 3 5 3 4" xfId="14580"/>
    <cellStyle name="표준 6 3 3 5 3 4 2" xfId="37047"/>
    <cellStyle name="표준 6 3 3 5 3 5" xfId="22064"/>
    <cellStyle name="표준 6 3 3 5 3 5 2" xfId="44529"/>
    <cellStyle name="표준 6 3 3 5 3 6" xfId="29565"/>
    <cellStyle name="표준 6 3 3 5 4" xfId="7099"/>
    <cellStyle name="표준 6 3 3 5 4 2" xfId="7100"/>
    <cellStyle name="표준 6 3 3 5 4 2 2" xfId="14585"/>
    <cellStyle name="표준 6 3 3 5 4 2 2 2" xfId="37052"/>
    <cellStyle name="표준 6 3 3 5 4 2 3" xfId="22069"/>
    <cellStyle name="표준 6 3 3 5 4 2 3 2" xfId="44534"/>
    <cellStyle name="표준 6 3 3 5 4 2 4" xfId="29570"/>
    <cellStyle name="표준 6 3 3 5 4 3" xfId="14584"/>
    <cellStyle name="표준 6 3 3 5 4 3 2" xfId="37051"/>
    <cellStyle name="표준 6 3 3 5 4 4" xfId="22068"/>
    <cellStyle name="표준 6 3 3 5 4 4 2" xfId="44533"/>
    <cellStyle name="표준 6 3 3 5 4 5" xfId="29569"/>
    <cellStyle name="표준 6 3 3 5 5" xfId="7101"/>
    <cellStyle name="표준 6 3 3 5 5 2" xfId="14586"/>
    <cellStyle name="표준 6 3 3 5 5 2 2" xfId="37053"/>
    <cellStyle name="표준 6 3 3 5 5 3" xfId="22070"/>
    <cellStyle name="표준 6 3 3 5 5 3 2" xfId="44535"/>
    <cellStyle name="표준 6 3 3 5 5 4" xfId="29571"/>
    <cellStyle name="표준 6 3 3 5 6" xfId="14571"/>
    <cellStyle name="표준 6 3 3 5 6 2" xfId="37038"/>
    <cellStyle name="표준 6 3 3 5 7" xfId="22055"/>
    <cellStyle name="표준 6 3 3 5 7 2" xfId="44520"/>
    <cellStyle name="표준 6 3 3 5 8" xfId="29556"/>
    <cellStyle name="표준 6 3 3 6" xfId="7102"/>
    <cellStyle name="표준 6 3 3 6 2" xfId="7103"/>
    <cellStyle name="표준 6 3 3 6 2 2" xfId="7104"/>
    <cellStyle name="표준 6 3 3 6 2 2 2" xfId="7105"/>
    <cellStyle name="표준 6 3 3 6 2 2 2 2" xfId="14590"/>
    <cellStyle name="표준 6 3 3 6 2 2 2 2 2" xfId="37057"/>
    <cellStyle name="표준 6 3 3 6 2 2 2 3" xfId="22074"/>
    <cellStyle name="표준 6 3 3 6 2 2 2 3 2" xfId="44539"/>
    <cellStyle name="표준 6 3 3 6 2 2 2 4" xfId="29575"/>
    <cellStyle name="표준 6 3 3 6 2 2 3" xfId="14589"/>
    <cellStyle name="표준 6 3 3 6 2 2 3 2" xfId="37056"/>
    <cellStyle name="표준 6 3 3 6 2 2 4" xfId="22073"/>
    <cellStyle name="표준 6 3 3 6 2 2 4 2" xfId="44538"/>
    <cellStyle name="표준 6 3 3 6 2 2 5" xfId="29574"/>
    <cellStyle name="표준 6 3 3 6 2 3" xfId="7106"/>
    <cellStyle name="표준 6 3 3 6 2 3 2" xfId="14591"/>
    <cellStyle name="표준 6 3 3 6 2 3 2 2" xfId="37058"/>
    <cellStyle name="표준 6 3 3 6 2 3 3" xfId="22075"/>
    <cellStyle name="표준 6 3 3 6 2 3 3 2" xfId="44540"/>
    <cellStyle name="표준 6 3 3 6 2 3 4" xfId="29576"/>
    <cellStyle name="표준 6 3 3 6 2 4" xfId="14588"/>
    <cellStyle name="표준 6 3 3 6 2 4 2" xfId="37055"/>
    <cellStyle name="표준 6 3 3 6 2 5" xfId="22072"/>
    <cellStyle name="표준 6 3 3 6 2 5 2" xfId="44537"/>
    <cellStyle name="표준 6 3 3 6 2 6" xfId="29573"/>
    <cellStyle name="표준 6 3 3 6 3" xfId="7107"/>
    <cellStyle name="표준 6 3 3 6 3 2" xfId="7108"/>
    <cellStyle name="표준 6 3 3 6 3 2 2" xfId="14593"/>
    <cellStyle name="표준 6 3 3 6 3 2 2 2" xfId="37060"/>
    <cellStyle name="표준 6 3 3 6 3 2 3" xfId="22077"/>
    <cellStyle name="표준 6 3 3 6 3 2 3 2" xfId="44542"/>
    <cellStyle name="표준 6 3 3 6 3 2 4" xfId="29578"/>
    <cellStyle name="표준 6 3 3 6 3 3" xfId="14592"/>
    <cellStyle name="표준 6 3 3 6 3 3 2" xfId="37059"/>
    <cellStyle name="표준 6 3 3 6 3 4" xfId="22076"/>
    <cellStyle name="표준 6 3 3 6 3 4 2" xfId="44541"/>
    <cellStyle name="표준 6 3 3 6 3 5" xfId="29577"/>
    <cellStyle name="표준 6 3 3 6 4" xfId="7109"/>
    <cellStyle name="표준 6 3 3 6 4 2" xfId="14594"/>
    <cellStyle name="표준 6 3 3 6 4 2 2" xfId="37061"/>
    <cellStyle name="표준 6 3 3 6 4 3" xfId="22078"/>
    <cellStyle name="표준 6 3 3 6 4 3 2" xfId="44543"/>
    <cellStyle name="표준 6 3 3 6 4 4" xfId="29579"/>
    <cellStyle name="표준 6 3 3 6 5" xfId="14587"/>
    <cellStyle name="표준 6 3 3 6 5 2" xfId="37054"/>
    <cellStyle name="표준 6 3 3 6 6" xfId="22071"/>
    <cellStyle name="표준 6 3 3 6 6 2" xfId="44536"/>
    <cellStyle name="표준 6 3 3 6 7" xfId="29572"/>
    <cellStyle name="표준 6 3 3 7" xfId="7110"/>
    <cellStyle name="표준 6 3 3 7 2" xfId="7111"/>
    <cellStyle name="표준 6 3 3 7 2 2" xfId="7112"/>
    <cellStyle name="표준 6 3 3 7 2 2 2" xfId="7113"/>
    <cellStyle name="표준 6 3 3 7 2 2 2 2" xfId="14598"/>
    <cellStyle name="표준 6 3 3 7 2 2 2 2 2" xfId="37065"/>
    <cellStyle name="표준 6 3 3 7 2 2 2 3" xfId="22082"/>
    <cellStyle name="표준 6 3 3 7 2 2 2 3 2" xfId="44547"/>
    <cellStyle name="표준 6 3 3 7 2 2 2 4" xfId="29583"/>
    <cellStyle name="표준 6 3 3 7 2 2 3" xfId="14597"/>
    <cellStyle name="표준 6 3 3 7 2 2 3 2" xfId="37064"/>
    <cellStyle name="표준 6 3 3 7 2 2 4" xfId="22081"/>
    <cellStyle name="표준 6 3 3 7 2 2 4 2" xfId="44546"/>
    <cellStyle name="표준 6 3 3 7 2 2 5" xfId="29582"/>
    <cellStyle name="표준 6 3 3 7 2 3" xfId="7114"/>
    <cellStyle name="표준 6 3 3 7 2 3 2" xfId="14599"/>
    <cellStyle name="표준 6 3 3 7 2 3 2 2" xfId="37066"/>
    <cellStyle name="표준 6 3 3 7 2 3 3" xfId="22083"/>
    <cellStyle name="표준 6 3 3 7 2 3 3 2" xfId="44548"/>
    <cellStyle name="표준 6 3 3 7 2 3 4" xfId="29584"/>
    <cellStyle name="표준 6 3 3 7 2 4" xfId="14596"/>
    <cellStyle name="표준 6 3 3 7 2 4 2" xfId="37063"/>
    <cellStyle name="표준 6 3 3 7 2 5" xfId="22080"/>
    <cellStyle name="표준 6 3 3 7 2 5 2" xfId="44545"/>
    <cellStyle name="표준 6 3 3 7 2 6" xfId="29581"/>
    <cellStyle name="표준 6 3 3 7 3" xfId="7115"/>
    <cellStyle name="표준 6 3 3 7 3 2" xfId="7116"/>
    <cellStyle name="표준 6 3 3 7 3 2 2" xfId="14601"/>
    <cellStyle name="표준 6 3 3 7 3 2 2 2" xfId="37068"/>
    <cellStyle name="표준 6 3 3 7 3 2 3" xfId="22085"/>
    <cellStyle name="표준 6 3 3 7 3 2 3 2" xfId="44550"/>
    <cellStyle name="표준 6 3 3 7 3 2 4" xfId="29586"/>
    <cellStyle name="표준 6 3 3 7 3 3" xfId="14600"/>
    <cellStyle name="표준 6 3 3 7 3 3 2" xfId="37067"/>
    <cellStyle name="표준 6 3 3 7 3 4" xfId="22084"/>
    <cellStyle name="표준 6 3 3 7 3 4 2" xfId="44549"/>
    <cellStyle name="표준 6 3 3 7 3 5" xfId="29585"/>
    <cellStyle name="표준 6 3 3 7 4" xfId="7117"/>
    <cellStyle name="표준 6 3 3 7 4 2" xfId="14602"/>
    <cellStyle name="표준 6 3 3 7 4 2 2" xfId="37069"/>
    <cellStyle name="표준 6 3 3 7 4 3" xfId="22086"/>
    <cellStyle name="표준 6 3 3 7 4 3 2" xfId="44551"/>
    <cellStyle name="표준 6 3 3 7 4 4" xfId="29587"/>
    <cellStyle name="표준 6 3 3 7 5" xfId="14595"/>
    <cellStyle name="표준 6 3 3 7 5 2" xfId="37062"/>
    <cellStyle name="표준 6 3 3 7 6" xfId="22079"/>
    <cellStyle name="표준 6 3 3 7 6 2" xfId="44544"/>
    <cellStyle name="표준 6 3 3 7 7" xfId="29580"/>
    <cellStyle name="표준 6 3 3 8" xfId="7118"/>
    <cellStyle name="표준 6 3 3 8 2" xfId="7119"/>
    <cellStyle name="표준 6 3 3 8 2 2" xfId="7120"/>
    <cellStyle name="표준 6 3 3 8 2 2 2" xfId="7121"/>
    <cellStyle name="표준 6 3 3 8 2 2 2 2" xfId="14606"/>
    <cellStyle name="표준 6 3 3 8 2 2 2 2 2" xfId="37073"/>
    <cellStyle name="표준 6 3 3 8 2 2 2 3" xfId="22090"/>
    <cellStyle name="표준 6 3 3 8 2 2 2 3 2" xfId="44555"/>
    <cellStyle name="표준 6 3 3 8 2 2 2 4" xfId="29591"/>
    <cellStyle name="표준 6 3 3 8 2 2 3" xfId="14605"/>
    <cellStyle name="표준 6 3 3 8 2 2 3 2" xfId="37072"/>
    <cellStyle name="표준 6 3 3 8 2 2 4" xfId="22089"/>
    <cellStyle name="표준 6 3 3 8 2 2 4 2" xfId="44554"/>
    <cellStyle name="표준 6 3 3 8 2 2 5" xfId="29590"/>
    <cellStyle name="표준 6 3 3 8 2 3" xfId="7122"/>
    <cellStyle name="표준 6 3 3 8 2 3 2" xfId="14607"/>
    <cellStyle name="표준 6 3 3 8 2 3 2 2" xfId="37074"/>
    <cellStyle name="표준 6 3 3 8 2 3 3" xfId="22091"/>
    <cellStyle name="표준 6 3 3 8 2 3 3 2" xfId="44556"/>
    <cellStyle name="표준 6 3 3 8 2 3 4" xfId="29592"/>
    <cellStyle name="표준 6 3 3 8 2 4" xfId="14604"/>
    <cellStyle name="표준 6 3 3 8 2 4 2" xfId="37071"/>
    <cellStyle name="표준 6 3 3 8 2 5" xfId="22088"/>
    <cellStyle name="표준 6 3 3 8 2 5 2" xfId="44553"/>
    <cellStyle name="표준 6 3 3 8 2 6" xfId="29589"/>
    <cellStyle name="표준 6 3 3 8 3" xfId="7123"/>
    <cellStyle name="표준 6 3 3 8 3 2" xfId="7124"/>
    <cellStyle name="표준 6 3 3 8 3 2 2" xfId="14609"/>
    <cellStyle name="표준 6 3 3 8 3 2 2 2" xfId="37076"/>
    <cellStyle name="표준 6 3 3 8 3 2 3" xfId="22093"/>
    <cellStyle name="표준 6 3 3 8 3 2 3 2" xfId="44558"/>
    <cellStyle name="표준 6 3 3 8 3 2 4" xfId="29594"/>
    <cellStyle name="표준 6 3 3 8 3 3" xfId="14608"/>
    <cellStyle name="표준 6 3 3 8 3 3 2" xfId="37075"/>
    <cellStyle name="표준 6 3 3 8 3 4" xfId="22092"/>
    <cellStyle name="표준 6 3 3 8 3 4 2" xfId="44557"/>
    <cellStyle name="표준 6 3 3 8 3 5" xfId="29593"/>
    <cellStyle name="표준 6 3 3 8 4" xfId="7125"/>
    <cellStyle name="표준 6 3 3 8 4 2" xfId="14610"/>
    <cellStyle name="표준 6 3 3 8 4 2 2" xfId="37077"/>
    <cellStyle name="표준 6 3 3 8 4 3" xfId="22094"/>
    <cellStyle name="표준 6 3 3 8 4 3 2" xfId="44559"/>
    <cellStyle name="표준 6 3 3 8 4 4" xfId="29595"/>
    <cellStyle name="표준 6 3 3 8 5" xfId="14603"/>
    <cellStyle name="표준 6 3 3 8 5 2" xfId="37070"/>
    <cellStyle name="표준 6 3 3 8 6" xfId="22087"/>
    <cellStyle name="표준 6 3 3 8 6 2" xfId="44552"/>
    <cellStyle name="표준 6 3 3 8 7" xfId="29588"/>
    <cellStyle name="표준 6 3 3 9" xfId="7126"/>
    <cellStyle name="표준 6 3 3 9 2" xfId="7127"/>
    <cellStyle name="표준 6 3 3 9 2 2" xfId="7128"/>
    <cellStyle name="표준 6 3 3 9 2 2 2" xfId="14613"/>
    <cellStyle name="표준 6 3 3 9 2 2 2 2" xfId="37080"/>
    <cellStyle name="표준 6 3 3 9 2 2 3" xfId="22097"/>
    <cellStyle name="표준 6 3 3 9 2 2 3 2" xfId="44562"/>
    <cellStyle name="표준 6 3 3 9 2 2 4" xfId="29598"/>
    <cellStyle name="표준 6 3 3 9 2 3" xfId="14612"/>
    <cellStyle name="표준 6 3 3 9 2 3 2" xfId="37079"/>
    <cellStyle name="표준 6 3 3 9 2 4" xfId="22096"/>
    <cellStyle name="표준 6 3 3 9 2 4 2" xfId="44561"/>
    <cellStyle name="표준 6 3 3 9 2 5" xfId="29597"/>
    <cellStyle name="표준 6 3 3 9 3" xfId="7129"/>
    <cellStyle name="표준 6 3 3 9 3 2" xfId="14614"/>
    <cellStyle name="표준 6 3 3 9 3 2 2" xfId="37081"/>
    <cellStyle name="표준 6 3 3 9 3 3" xfId="22098"/>
    <cellStyle name="표준 6 3 3 9 3 3 2" xfId="44563"/>
    <cellStyle name="표준 6 3 3 9 3 4" xfId="29599"/>
    <cellStyle name="표준 6 3 3 9 4" xfId="14611"/>
    <cellStyle name="표준 6 3 3 9 4 2" xfId="37078"/>
    <cellStyle name="표준 6 3 3 9 5" xfId="22095"/>
    <cellStyle name="표준 6 3 3 9 5 2" xfId="44560"/>
    <cellStyle name="표준 6 3 3 9 6" xfId="29596"/>
    <cellStyle name="표준 6 3 4" xfId="7130"/>
    <cellStyle name="표준 6 3 4 10" xfId="14615"/>
    <cellStyle name="표준 6 3 4 10 2" xfId="37082"/>
    <cellStyle name="표준 6 3 4 11" xfId="22099"/>
    <cellStyle name="표준 6 3 4 11 2" xfId="44564"/>
    <cellStyle name="표준 6 3 4 12" xfId="29600"/>
    <cellStyle name="표준 6 3 4 2" xfId="7131"/>
    <cellStyle name="표준 6 3 4 2 10" xfId="29601"/>
    <cellStyle name="표준 6 3 4 2 2" xfId="7132"/>
    <cellStyle name="표준 6 3 4 2 2 2" xfId="7133"/>
    <cellStyle name="표준 6 3 4 2 2 2 2" xfId="7134"/>
    <cellStyle name="표준 6 3 4 2 2 2 2 2" xfId="7135"/>
    <cellStyle name="표준 6 3 4 2 2 2 2 2 2" xfId="7136"/>
    <cellStyle name="표준 6 3 4 2 2 2 2 2 2 2" xfId="14621"/>
    <cellStyle name="표준 6 3 4 2 2 2 2 2 2 2 2" xfId="37088"/>
    <cellStyle name="표준 6 3 4 2 2 2 2 2 2 3" xfId="22105"/>
    <cellStyle name="표준 6 3 4 2 2 2 2 2 2 3 2" xfId="44570"/>
    <cellStyle name="표준 6 3 4 2 2 2 2 2 2 4" xfId="29606"/>
    <cellStyle name="표준 6 3 4 2 2 2 2 2 3" xfId="14620"/>
    <cellStyle name="표준 6 3 4 2 2 2 2 2 3 2" xfId="37087"/>
    <cellStyle name="표준 6 3 4 2 2 2 2 2 4" xfId="22104"/>
    <cellStyle name="표준 6 3 4 2 2 2 2 2 4 2" xfId="44569"/>
    <cellStyle name="표준 6 3 4 2 2 2 2 2 5" xfId="29605"/>
    <cellStyle name="표준 6 3 4 2 2 2 2 3" xfId="7137"/>
    <cellStyle name="표준 6 3 4 2 2 2 2 3 2" xfId="14622"/>
    <cellStyle name="표준 6 3 4 2 2 2 2 3 2 2" xfId="37089"/>
    <cellStyle name="표준 6 3 4 2 2 2 2 3 3" xfId="22106"/>
    <cellStyle name="표준 6 3 4 2 2 2 2 3 3 2" xfId="44571"/>
    <cellStyle name="표준 6 3 4 2 2 2 2 3 4" xfId="29607"/>
    <cellStyle name="표준 6 3 4 2 2 2 2 4" xfId="14619"/>
    <cellStyle name="표준 6 3 4 2 2 2 2 4 2" xfId="37086"/>
    <cellStyle name="표준 6 3 4 2 2 2 2 5" xfId="22103"/>
    <cellStyle name="표준 6 3 4 2 2 2 2 5 2" xfId="44568"/>
    <cellStyle name="표준 6 3 4 2 2 2 2 6" xfId="29604"/>
    <cellStyle name="표준 6 3 4 2 2 2 3" xfId="7138"/>
    <cellStyle name="표준 6 3 4 2 2 2 3 2" xfId="7139"/>
    <cellStyle name="표준 6 3 4 2 2 2 3 2 2" xfId="14624"/>
    <cellStyle name="표준 6 3 4 2 2 2 3 2 2 2" xfId="37091"/>
    <cellStyle name="표준 6 3 4 2 2 2 3 2 3" xfId="22108"/>
    <cellStyle name="표준 6 3 4 2 2 2 3 2 3 2" xfId="44573"/>
    <cellStyle name="표준 6 3 4 2 2 2 3 2 4" xfId="29609"/>
    <cellStyle name="표준 6 3 4 2 2 2 3 3" xfId="14623"/>
    <cellStyle name="표준 6 3 4 2 2 2 3 3 2" xfId="37090"/>
    <cellStyle name="표준 6 3 4 2 2 2 3 4" xfId="22107"/>
    <cellStyle name="표준 6 3 4 2 2 2 3 4 2" xfId="44572"/>
    <cellStyle name="표준 6 3 4 2 2 2 3 5" xfId="29608"/>
    <cellStyle name="표준 6 3 4 2 2 2 4" xfId="7140"/>
    <cellStyle name="표준 6 3 4 2 2 2 4 2" xfId="14625"/>
    <cellStyle name="표준 6 3 4 2 2 2 4 2 2" xfId="37092"/>
    <cellStyle name="표준 6 3 4 2 2 2 4 3" xfId="22109"/>
    <cellStyle name="표준 6 3 4 2 2 2 4 3 2" xfId="44574"/>
    <cellStyle name="표준 6 3 4 2 2 2 4 4" xfId="29610"/>
    <cellStyle name="표준 6 3 4 2 2 2 5" xfId="14618"/>
    <cellStyle name="표준 6 3 4 2 2 2 5 2" xfId="37085"/>
    <cellStyle name="표준 6 3 4 2 2 2 6" xfId="22102"/>
    <cellStyle name="표준 6 3 4 2 2 2 6 2" xfId="44567"/>
    <cellStyle name="표준 6 3 4 2 2 2 7" xfId="29603"/>
    <cellStyle name="표준 6 3 4 2 2 3" xfId="7141"/>
    <cellStyle name="표준 6 3 4 2 2 3 2" xfId="7142"/>
    <cellStyle name="표준 6 3 4 2 2 3 2 2" xfId="7143"/>
    <cellStyle name="표준 6 3 4 2 2 3 2 2 2" xfId="14628"/>
    <cellStyle name="표준 6 3 4 2 2 3 2 2 2 2" xfId="37095"/>
    <cellStyle name="표준 6 3 4 2 2 3 2 2 3" xfId="22112"/>
    <cellStyle name="표준 6 3 4 2 2 3 2 2 3 2" xfId="44577"/>
    <cellStyle name="표준 6 3 4 2 2 3 2 2 4" xfId="29613"/>
    <cellStyle name="표준 6 3 4 2 2 3 2 3" xfId="14627"/>
    <cellStyle name="표준 6 3 4 2 2 3 2 3 2" xfId="37094"/>
    <cellStyle name="표준 6 3 4 2 2 3 2 4" xfId="22111"/>
    <cellStyle name="표준 6 3 4 2 2 3 2 4 2" xfId="44576"/>
    <cellStyle name="표준 6 3 4 2 2 3 2 5" xfId="29612"/>
    <cellStyle name="표준 6 3 4 2 2 3 3" xfId="7144"/>
    <cellStyle name="표준 6 3 4 2 2 3 3 2" xfId="14629"/>
    <cellStyle name="표준 6 3 4 2 2 3 3 2 2" xfId="37096"/>
    <cellStyle name="표준 6 3 4 2 2 3 3 3" xfId="22113"/>
    <cellStyle name="표준 6 3 4 2 2 3 3 3 2" xfId="44578"/>
    <cellStyle name="표준 6 3 4 2 2 3 3 4" xfId="29614"/>
    <cellStyle name="표준 6 3 4 2 2 3 4" xfId="14626"/>
    <cellStyle name="표준 6 3 4 2 2 3 4 2" xfId="37093"/>
    <cellStyle name="표준 6 3 4 2 2 3 5" xfId="22110"/>
    <cellStyle name="표준 6 3 4 2 2 3 5 2" xfId="44575"/>
    <cellStyle name="표준 6 3 4 2 2 3 6" xfId="29611"/>
    <cellStyle name="표준 6 3 4 2 2 4" xfId="7145"/>
    <cellStyle name="표준 6 3 4 2 2 4 2" xfId="7146"/>
    <cellStyle name="표준 6 3 4 2 2 4 2 2" xfId="14631"/>
    <cellStyle name="표준 6 3 4 2 2 4 2 2 2" xfId="37098"/>
    <cellStyle name="표준 6 3 4 2 2 4 2 3" xfId="22115"/>
    <cellStyle name="표준 6 3 4 2 2 4 2 3 2" xfId="44580"/>
    <cellStyle name="표준 6 3 4 2 2 4 2 4" xfId="29616"/>
    <cellStyle name="표준 6 3 4 2 2 4 3" xfId="14630"/>
    <cellStyle name="표준 6 3 4 2 2 4 3 2" xfId="37097"/>
    <cellStyle name="표준 6 3 4 2 2 4 4" xfId="22114"/>
    <cellStyle name="표준 6 3 4 2 2 4 4 2" xfId="44579"/>
    <cellStyle name="표준 6 3 4 2 2 4 5" xfId="29615"/>
    <cellStyle name="표준 6 3 4 2 2 5" xfId="7147"/>
    <cellStyle name="표준 6 3 4 2 2 5 2" xfId="14632"/>
    <cellStyle name="표준 6 3 4 2 2 5 2 2" xfId="37099"/>
    <cellStyle name="표준 6 3 4 2 2 5 3" xfId="22116"/>
    <cellStyle name="표준 6 3 4 2 2 5 3 2" xfId="44581"/>
    <cellStyle name="표준 6 3 4 2 2 5 4" xfId="29617"/>
    <cellStyle name="표준 6 3 4 2 2 6" xfId="14617"/>
    <cellStyle name="표준 6 3 4 2 2 6 2" xfId="37084"/>
    <cellStyle name="표준 6 3 4 2 2 7" xfId="22101"/>
    <cellStyle name="표준 6 3 4 2 2 7 2" xfId="44566"/>
    <cellStyle name="표준 6 3 4 2 2 8" xfId="29602"/>
    <cellStyle name="표준 6 3 4 2 3" xfId="7148"/>
    <cellStyle name="표준 6 3 4 2 3 2" xfId="7149"/>
    <cellStyle name="표준 6 3 4 2 3 2 2" xfId="7150"/>
    <cellStyle name="표준 6 3 4 2 3 2 2 2" xfId="7151"/>
    <cellStyle name="표준 6 3 4 2 3 2 2 2 2" xfId="7152"/>
    <cellStyle name="표준 6 3 4 2 3 2 2 2 2 2" xfId="14637"/>
    <cellStyle name="표준 6 3 4 2 3 2 2 2 2 2 2" xfId="37104"/>
    <cellStyle name="표준 6 3 4 2 3 2 2 2 2 3" xfId="22121"/>
    <cellStyle name="표준 6 3 4 2 3 2 2 2 2 3 2" xfId="44586"/>
    <cellStyle name="표준 6 3 4 2 3 2 2 2 2 4" xfId="29622"/>
    <cellStyle name="표준 6 3 4 2 3 2 2 2 3" xfId="14636"/>
    <cellStyle name="표준 6 3 4 2 3 2 2 2 3 2" xfId="37103"/>
    <cellStyle name="표준 6 3 4 2 3 2 2 2 4" xfId="22120"/>
    <cellStyle name="표준 6 3 4 2 3 2 2 2 4 2" xfId="44585"/>
    <cellStyle name="표준 6 3 4 2 3 2 2 2 5" xfId="29621"/>
    <cellStyle name="표준 6 3 4 2 3 2 2 3" xfId="7153"/>
    <cellStyle name="표준 6 3 4 2 3 2 2 3 2" xfId="14638"/>
    <cellStyle name="표준 6 3 4 2 3 2 2 3 2 2" xfId="37105"/>
    <cellStyle name="표준 6 3 4 2 3 2 2 3 3" xfId="22122"/>
    <cellStyle name="표준 6 3 4 2 3 2 2 3 3 2" xfId="44587"/>
    <cellStyle name="표준 6 3 4 2 3 2 2 3 4" xfId="29623"/>
    <cellStyle name="표준 6 3 4 2 3 2 2 4" xfId="14635"/>
    <cellStyle name="표준 6 3 4 2 3 2 2 4 2" xfId="37102"/>
    <cellStyle name="표준 6 3 4 2 3 2 2 5" xfId="22119"/>
    <cellStyle name="표준 6 3 4 2 3 2 2 5 2" xfId="44584"/>
    <cellStyle name="표준 6 3 4 2 3 2 2 6" xfId="29620"/>
    <cellStyle name="표준 6 3 4 2 3 2 3" xfId="7154"/>
    <cellStyle name="표준 6 3 4 2 3 2 3 2" xfId="7155"/>
    <cellStyle name="표준 6 3 4 2 3 2 3 2 2" xfId="14640"/>
    <cellStyle name="표준 6 3 4 2 3 2 3 2 2 2" xfId="37107"/>
    <cellStyle name="표준 6 3 4 2 3 2 3 2 3" xfId="22124"/>
    <cellStyle name="표준 6 3 4 2 3 2 3 2 3 2" xfId="44589"/>
    <cellStyle name="표준 6 3 4 2 3 2 3 2 4" xfId="29625"/>
    <cellStyle name="표준 6 3 4 2 3 2 3 3" xfId="14639"/>
    <cellStyle name="표준 6 3 4 2 3 2 3 3 2" xfId="37106"/>
    <cellStyle name="표준 6 3 4 2 3 2 3 4" xfId="22123"/>
    <cellStyle name="표준 6 3 4 2 3 2 3 4 2" xfId="44588"/>
    <cellStyle name="표준 6 3 4 2 3 2 3 5" xfId="29624"/>
    <cellStyle name="표준 6 3 4 2 3 2 4" xfId="7156"/>
    <cellStyle name="표준 6 3 4 2 3 2 4 2" xfId="14641"/>
    <cellStyle name="표준 6 3 4 2 3 2 4 2 2" xfId="37108"/>
    <cellStyle name="표준 6 3 4 2 3 2 4 3" xfId="22125"/>
    <cellStyle name="표준 6 3 4 2 3 2 4 3 2" xfId="44590"/>
    <cellStyle name="표준 6 3 4 2 3 2 4 4" xfId="29626"/>
    <cellStyle name="표준 6 3 4 2 3 2 5" xfId="14634"/>
    <cellStyle name="표준 6 3 4 2 3 2 5 2" xfId="37101"/>
    <cellStyle name="표준 6 3 4 2 3 2 6" xfId="22118"/>
    <cellStyle name="표준 6 3 4 2 3 2 6 2" xfId="44583"/>
    <cellStyle name="표준 6 3 4 2 3 2 7" xfId="29619"/>
    <cellStyle name="표준 6 3 4 2 3 3" xfId="7157"/>
    <cellStyle name="표준 6 3 4 2 3 3 2" xfId="7158"/>
    <cellStyle name="표준 6 3 4 2 3 3 2 2" xfId="7159"/>
    <cellStyle name="표준 6 3 4 2 3 3 2 2 2" xfId="14644"/>
    <cellStyle name="표준 6 3 4 2 3 3 2 2 2 2" xfId="37111"/>
    <cellStyle name="표준 6 3 4 2 3 3 2 2 3" xfId="22128"/>
    <cellStyle name="표준 6 3 4 2 3 3 2 2 3 2" xfId="44593"/>
    <cellStyle name="표준 6 3 4 2 3 3 2 2 4" xfId="29629"/>
    <cellStyle name="표준 6 3 4 2 3 3 2 3" xfId="14643"/>
    <cellStyle name="표준 6 3 4 2 3 3 2 3 2" xfId="37110"/>
    <cellStyle name="표준 6 3 4 2 3 3 2 4" xfId="22127"/>
    <cellStyle name="표준 6 3 4 2 3 3 2 4 2" xfId="44592"/>
    <cellStyle name="표준 6 3 4 2 3 3 2 5" xfId="29628"/>
    <cellStyle name="표준 6 3 4 2 3 3 3" xfId="7160"/>
    <cellStyle name="표준 6 3 4 2 3 3 3 2" xfId="14645"/>
    <cellStyle name="표준 6 3 4 2 3 3 3 2 2" xfId="37112"/>
    <cellStyle name="표준 6 3 4 2 3 3 3 3" xfId="22129"/>
    <cellStyle name="표준 6 3 4 2 3 3 3 3 2" xfId="44594"/>
    <cellStyle name="표준 6 3 4 2 3 3 3 4" xfId="29630"/>
    <cellStyle name="표준 6 3 4 2 3 3 4" xfId="14642"/>
    <cellStyle name="표준 6 3 4 2 3 3 4 2" xfId="37109"/>
    <cellStyle name="표준 6 3 4 2 3 3 5" xfId="22126"/>
    <cellStyle name="표준 6 3 4 2 3 3 5 2" xfId="44591"/>
    <cellStyle name="표준 6 3 4 2 3 3 6" xfId="29627"/>
    <cellStyle name="표준 6 3 4 2 3 4" xfId="7161"/>
    <cellStyle name="표준 6 3 4 2 3 4 2" xfId="7162"/>
    <cellStyle name="표준 6 3 4 2 3 4 2 2" xfId="14647"/>
    <cellStyle name="표준 6 3 4 2 3 4 2 2 2" xfId="37114"/>
    <cellStyle name="표준 6 3 4 2 3 4 2 3" xfId="22131"/>
    <cellStyle name="표준 6 3 4 2 3 4 2 3 2" xfId="44596"/>
    <cellStyle name="표준 6 3 4 2 3 4 2 4" xfId="29632"/>
    <cellStyle name="표준 6 3 4 2 3 4 3" xfId="14646"/>
    <cellStyle name="표준 6 3 4 2 3 4 3 2" xfId="37113"/>
    <cellStyle name="표준 6 3 4 2 3 4 4" xfId="22130"/>
    <cellStyle name="표준 6 3 4 2 3 4 4 2" xfId="44595"/>
    <cellStyle name="표준 6 3 4 2 3 4 5" xfId="29631"/>
    <cellStyle name="표준 6 3 4 2 3 5" xfId="7163"/>
    <cellStyle name="표준 6 3 4 2 3 5 2" xfId="14648"/>
    <cellStyle name="표준 6 3 4 2 3 5 2 2" xfId="37115"/>
    <cellStyle name="표준 6 3 4 2 3 5 3" xfId="22132"/>
    <cellStyle name="표준 6 3 4 2 3 5 3 2" xfId="44597"/>
    <cellStyle name="표준 6 3 4 2 3 5 4" xfId="29633"/>
    <cellStyle name="표준 6 3 4 2 3 6" xfId="14633"/>
    <cellStyle name="표준 6 3 4 2 3 6 2" xfId="37100"/>
    <cellStyle name="표준 6 3 4 2 3 7" xfId="22117"/>
    <cellStyle name="표준 6 3 4 2 3 7 2" xfId="44582"/>
    <cellStyle name="표준 6 3 4 2 3 8" xfId="29618"/>
    <cellStyle name="표준 6 3 4 2 4" xfId="7164"/>
    <cellStyle name="표준 6 3 4 2 4 2" xfId="7165"/>
    <cellStyle name="표준 6 3 4 2 4 2 2" xfId="7166"/>
    <cellStyle name="표준 6 3 4 2 4 2 2 2" xfId="7167"/>
    <cellStyle name="표준 6 3 4 2 4 2 2 2 2" xfId="14652"/>
    <cellStyle name="표준 6 3 4 2 4 2 2 2 2 2" xfId="37119"/>
    <cellStyle name="표준 6 3 4 2 4 2 2 2 3" xfId="22136"/>
    <cellStyle name="표준 6 3 4 2 4 2 2 2 3 2" xfId="44601"/>
    <cellStyle name="표준 6 3 4 2 4 2 2 2 4" xfId="29637"/>
    <cellStyle name="표준 6 3 4 2 4 2 2 3" xfId="14651"/>
    <cellStyle name="표준 6 3 4 2 4 2 2 3 2" xfId="37118"/>
    <cellStyle name="표준 6 3 4 2 4 2 2 4" xfId="22135"/>
    <cellStyle name="표준 6 3 4 2 4 2 2 4 2" xfId="44600"/>
    <cellStyle name="표준 6 3 4 2 4 2 2 5" xfId="29636"/>
    <cellStyle name="표준 6 3 4 2 4 2 3" xfId="7168"/>
    <cellStyle name="표준 6 3 4 2 4 2 3 2" xfId="14653"/>
    <cellStyle name="표준 6 3 4 2 4 2 3 2 2" xfId="37120"/>
    <cellStyle name="표준 6 3 4 2 4 2 3 3" xfId="22137"/>
    <cellStyle name="표준 6 3 4 2 4 2 3 3 2" xfId="44602"/>
    <cellStyle name="표준 6 3 4 2 4 2 3 4" xfId="29638"/>
    <cellStyle name="표준 6 3 4 2 4 2 4" xfId="14650"/>
    <cellStyle name="표준 6 3 4 2 4 2 4 2" xfId="37117"/>
    <cellStyle name="표준 6 3 4 2 4 2 5" xfId="22134"/>
    <cellStyle name="표준 6 3 4 2 4 2 5 2" xfId="44599"/>
    <cellStyle name="표준 6 3 4 2 4 2 6" xfId="29635"/>
    <cellStyle name="표준 6 3 4 2 4 3" xfId="7169"/>
    <cellStyle name="표준 6 3 4 2 4 3 2" xfId="7170"/>
    <cellStyle name="표준 6 3 4 2 4 3 2 2" xfId="14655"/>
    <cellStyle name="표준 6 3 4 2 4 3 2 2 2" xfId="37122"/>
    <cellStyle name="표준 6 3 4 2 4 3 2 3" xfId="22139"/>
    <cellStyle name="표준 6 3 4 2 4 3 2 3 2" xfId="44604"/>
    <cellStyle name="표준 6 3 4 2 4 3 2 4" xfId="29640"/>
    <cellStyle name="표준 6 3 4 2 4 3 3" xfId="14654"/>
    <cellStyle name="표준 6 3 4 2 4 3 3 2" xfId="37121"/>
    <cellStyle name="표준 6 3 4 2 4 3 4" xfId="22138"/>
    <cellStyle name="표준 6 3 4 2 4 3 4 2" xfId="44603"/>
    <cellStyle name="표준 6 3 4 2 4 3 5" xfId="29639"/>
    <cellStyle name="표준 6 3 4 2 4 4" xfId="7171"/>
    <cellStyle name="표준 6 3 4 2 4 4 2" xfId="14656"/>
    <cellStyle name="표준 6 3 4 2 4 4 2 2" xfId="37123"/>
    <cellStyle name="표준 6 3 4 2 4 4 3" xfId="22140"/>
    <cellStyle name="표준 6 3 4 2 4 4 3 2" xfId="44605"/>
    <cellStyle name="표준 6 3 4 2 4 4 4" xfId="29641"/>
    <cellStyle name="표준 6 3 4 2 4 5" xfId="14649"/>
    <cellStyle name="표준 6 3 4 2 4 5 2" xfId="37116"/>
    <cellStyle name="표준 6 3 4 2 4 6" xfId="22133"/>
    <cellStyle name="표준 6 3 4 2 4 6 2" xfId="44598"/>
    <cellStyle name="표준 6 3 4 2 4 7" xfId="29634"/>
    <cellStyle name="표준 6 3 4 2 5" xfId="7172"/>
    <cellStyle name="표준 6 3 4 2 5 2" xfId="7173"/>
    <cellStyle name="표준 6 3 4 2 5 2 2" xfId="7174"/>
    <cellStyle name="표준 6 3 4 2 5 2 2 2" xfId="14659"/>
    <cellStyle name="표준 6 3 4 2 5 2 2 2 2" xfId="37126"/>
    <cellStyle name="표준 6 3 4 2 5 2 2 3" xfId="22143"/>
    <cellStyle name="표준 6 3 4 2 5 2 2 3 2" xfId="44608"/>
    <cellStyle name="표준 6 3 4 2 5 2 2 4" xfId="29644"/>
    <cellStyle name="표준 6 3 4 2 5 2 3" xfId="14658"/>
    <cellStyle name="표준 6 3 4 2 5 2 3 2" xfId="37125"/>
    <cellStyle name="표준 6 3 4 2 5 2 4" xfId="22142"/>
    <cellStyle name="표준 6 3 4 2 5 2 4 2" xfId="44607"/>
    <cellStyle name="표준 6 3 4 2 5 2 5" xfId="29643"/>
    <cellStyle name="표준 6 3 4 2 5 3" xfId="7175"/>
    <cellStyle name="표준 6 3 4 2 5 3 2" xfId="14660"/>
    <cellStyle name="표준 6 3 4 2 5 3 2 2" xfId="37127"/>
    <cellStyle name="표준 6 3 4 2 5 3 3" xfId="22144"/>
    <cellStyle name="표준 6 3 4 2 5 3 3 2" xfId="44609"/>
    <cellStyle name="표준 6 3 4 2 5 3 4" xfId="29645"/>
    <cellStyle name="표준 6 3 4 2 5 4" xfId="14657"/>
    <cellStyle name="표준 6 3 4 2 5 4 2" xfId="37124"/>
    <cellStyle name="표준 6 3 4 2 5 5" xfId="22141"/>
    <cellStyle name="표준 6 3 4 2 5 5 2" xfId="44606"/>
    <cellStyle name="표준 6 3 4 2 5 6" xfId="29642"/>
    <cellStyle name="표준 6 3 4 2 6" xfId="7176"/>
    <cellStyle name="표준 6 3 4 2 6 2" xfId="7177"/>
    <cellStyle name="표준 6 3 4 2 6 2 2" xfId="14662"/>
    <cellStyle name="표준 6 3 4 2 6 2 2 2" xfId="37129"/>
    <cellStyle name="표준 6 3 4 2 6 2 3" xfId="22146"/>
    <cellStyle name="표준 6 3 4 2 6 2 3 2" xfId="44611"/>
    <cellStyle name="표준 6 3 4 2 6 2 4" xfId="29647"/>
    <cellStyle name="표준 6 3 4 2 6 3" xfId="14661"/>
    <cellStyle name="표준 6 3 4 2 6 3 2" xfId="37128"/>
    <cellStyle name="표준 6 3 4 2 6 4" xfId="22145"/>
    <cellStyle name="표준 6 3 4 2 6 4 2" xfId="44610"/>
    <cellStyle name="표준 6 3 4 2 6 5" xfId="29646"/>
    <cellStyle name="표준 6 3 4 2 7" xfId="7178"/>
    <cellStyle name="표준 6 3 4 2 7 2" xfId="14663"/>
    <cellStyle name="표준 6 3 4 2 7 2 2" xfId="37130"/>
    <cellStyle name="표준 6 3 4 2 7 3" xfId="22147"/>
    <cellStyle name="표준 6 3 4 2 7 3 2" xfId="44612"/>
    <cellStyle name="표준 6 3 4 2 7 4" xfId="29648"/>
    <cellStyle name="표준 6 3 4 2 8" xfId="14616"/>
    <cellStyle name="표준 6 3 4 2 8 2" xfId="37083"/>
    <cellStyle name="표준 6 3 4 2 9" xfId="22100"/>
    <cellStyle name="표준 6 3 4 2 9 2" xfId="44565"/>
    <cellStyle name="표준 6 3 4 3" xfId="7179"/>
    <cellStyle name="표준 6 3 4 3 2" xfId="7180"/>
    <cellStyle name="표준 6 3 4 3 2 2" xfId="7181"/>
    <cellStyle name="표준 6 3 4 3 2 2 2" xfId="7182"/>
    <cellStyle name="표준 6 3 4 3 2 2 2 2" xfId="7183"/>
    <cellStyle name="표준 6 3 4 3 2 2 2 2 2" xfId="14668"/>
    <cellStyle name="표준 6 3 4 3 2 2 2 2 2 2" xfId="37135"/>
    <cellStyle name="표준 6 3 4 3 2 2 2 2 3" xfId="22152"/>
    <cellStyle name="표준 6 3 4 3 2 2 2 2 3 2" xfId="44617"/>
    <cellStyle name="표준 6 3 4 3 2 2 2 2 4" xfId="29653"/>
    <cellStyle name="표준 6 3 4 3 2 2 2 3" xfId="14667"/>
    <cellStyle name="표준 6 3 4 3 2 2 2 3 2" xfId="37134"/>
    <cellStyle name="표준 6 3 4 3 2 2 2 4" xfId="22151"/>
    <cellStyle name="표준 6 3 4 3 2 2 2 4 2" xfId="44616"/>
    <cellStyle name="표준 6 3 4 3 2 2 2 5" xfId="29652"/>
    <cellStyle name="표준 6 3 4 3 2 2 3" xfId="7184"/>
    <cellStyle name="표준 6 3 4 3 2 2 3 2" xfId="14669"/>
    <cellStyle name="표준 6 3 4 3 2 2 3 2 2" xfId="37136"/>
    <cellStyle name="표준 6 3 4 3 2 2 3 3" xfId="22153"/>
    <cellStyle name="표준 6 3 4 3 2 2 3 3 2" xfId="44618"/>
    <cellStyle name="표준 6 3 4 3 2 2 3 4" xfId="29654"/>
    <cellStyle name="표준 6 3 4 3 2 2 4" xfId="14666"/>
    <cellStyle name="표준 6 3 4 3 2 2 4 2" xfId="37133"/>
    <cellStyle name="표준 6 3 4 3 2 2 5" xfId="22150"/>
    <cellStyle name="표준 6 3 4 3 2 2 5 2" xfId="44615"/>
    <cellStyle name="표준 6 3 4 3 2 2 6" xfId="29651"/>
    <cellStyle name="표준 6 3 4 3 2 3" xfId="7185"/>
    <cellStyle name="표준 6 3 4 3 2 3 2" xfId="7186"/>
    <cellStyle name="표준 6 3 4 3 2 3 2 2" xfId="14671"/>
    <cellStyle name="표준 6 3 4 3 2 3 2 2 2" xfId="37138"/>
    <cellStyle name="표준 6 3 4 3 2 3 2 3" xfId="22155"/>
    <cellStyle name="표준 6 3 4 3 2 3 2 3 2" xfId="44620"/>
    <cellStyle name="표준 6 3 4 3 2 3 2 4" xfId="29656"/>
    <cellStyle name="표준 6 3 4 3 2 3 3" xfId="14670"/>
    <cellStyle name="표준 6 3 4 3 2 3 3 2" xfId="37137"/>
    <cellStyle name="표준 6 3 4 3 2 3 4" xfId="22154"/>
    <cellStyle name="표준 6 3 4 3 2 3 4 2" xfId="44619"/>
    <cellStyle name="표준 6 3 4 3 2 3 5" xfId="29655"/>
    <cellStyle name="표준 6 3 4 3 2 4" xfId="7187"/>
    <cellStyle name="표준 6 3 4 3 2 4 2" xfId="14672"/>
    <cellStyle name="표준 6 3 4 3 2 4 2 2" xfId="37139"/>
    <cellStyle name="표준 6 3 4 3 2 4 3" xfId="22156"/>
    <cellStyle name="표준 6 3 4 3 2 4 3 2" xfId="44621"/>
    <cellStyle name="표준 6 3 4 3 2 4 4" xfId="29657"/>
    <cellStyle name="표준 6 3 4 3 2 5" xfId="14665"/>
    <cellStyle name="표준 6 3 4 3 2 5 2" xfId="37132"/>
    <cellStyle name="표준 6 3 4 3 2 6" xfId="22149"/>
    <cellStyle name="표준 6 3 4 3 2 6 2" xfId="44614"/>
    <cellStyle name="표준 6 3 4 3 2 7" xfId="29650"/>
    <cellStyle name="표준 6 3 4 3 3" xfId="7188"/>
    <cellStyle name="표준 6 3 4 3 3 2" xfId="7189"/>
    <cellStyle name="표준 6 3 4 3 3 2 2" xfId="7190"/>
    <cellStyle name="표준 6 3 4 3 3 2 2 2" xfId="14675"/>
    <cellStyle name="표준 6 3 4 3 3 2 2 2 2" xfId="37142"/>
    <cellStyle name="표준 6 3 4 3 3 2 2 3" xfId="22159"/>
    <cellStyle name="표준 6 3 4 3 3 2 2 3 2" xfId="44624"/>
    <cellStyle name="표준 6 3 4 3 3 2 2 4" xfId="29660"/>
    <cellStyle name="표준 6 3 4 3 3 2 3" xfId="14674"/>
    <cellStyle name="표준 6 3 4 3 3 2 3 2" xfId="37141"/>
    <cellStyle name="표준 6 3 4 3 3 2 4" xfId="22158"/>
    <cellStyle name="표준 6 3 4 3 3 2 4 2" xfId="44623"/>
    <cellStyle name="표준 6 3 4 3 3 2 5" xfId="29659"/>
    <cellStyle name="표준 6 3 4 3 3 3" xfId="7191"/>
    <cellStyle name="표준 6 3 4 3 3 3 2" xfId="14676"/>
    <cellStyle name="표준 6 3 4 3 3 3 2 2" xfId="37143"/>
    <cellStyle name="표준 6 3 4 3 3 3 3" xfId="22160"/>
    <cellStyle name="표준 6 3 4 3 3 3 3 2" xfId="44625"/>
    <cellStyle name="표준 6 3 4 3 3 3 4" xfId="29661"/>
    <cellStyle name="표준 6 3 4 3 3 4" xfId="14673"/>
    <cellStyle name="표준 6 3 4 3 3 4 2" xfId="37140"/>
    <cellStyle name="표준 6 3 4 3 3 5" xfId="22157"/>
    <cellStyle name="표준 6 3 4 3 3 5 2" xfId="44622"/>
    <cellStyle name="표준 6 3 4 3 3 6" xfId="29658"/>
    <cellStyle name="표준 6 3 4 3 4" xfId="7192"/>
    <cellStyle name="표준 6 3 4 3 4 2" xfId="7193"/>
    <cellStyle name="표준 6 3 4 3 4 2 2" xfId="14678"/>
    <cellStyle name="표준 6 3 4 3 4 2 2 2" xfId="37145"/>
    <cellStyle name="표준 6 3 4 3 4 2 3" xfId="22162"/>
    <cellStyle name="표준 6 3 4 3 4 2 3 2" xfId="44627"/>
    <cellStyle name="표준 6 3 4 3 4 2 4" xfId="29663"/>
    <cellStyle name="표준 6 3 4 3 4 3" xfId="14677"/>
    <cellStyle name="표준 6 3 4 3 4 3 2" xfId="37144"/>
    <cellStyle name="표준 6 3 4 3 4 4" xfId="22161"/>
    <cellStyle name="표준 6 3 4 3 4 4 2" xfId="44626"/>
    <cellStyle name="표준 6 3 4 3 4 5" xfId="29662"/>
    <cellStyle name="표준 6 3 4 3 5" xfId="7194"/>
    <cellStyle name="표준 6 3 4 3 5 2" xfId="14679"/>
    <cellStyle name="표준 6 3 4 3 5 2 2" xfId="37146"/>
    <cellStyle name="표준 6 3 4 3 5 3" xfId="22163"/>
    <cellStyle name="표준 6 3 4 3 5 3 2" xfId="44628"/>
    <cellStyle name="표준 6 3 4 3 5 4" xfId="29664"/>
    <cellStyle name="표준 6 3 4 3 6" xfId="14664"/>
    <cellStyle name="표준 6 3 4 3 6 2" xfId="37131"/>
    <cellStyle name="표준 6 3 4 3 7" xfId="22148"/>
    <cellStyle name="표준 6 3 4 3 7 2" xfId="44613"/>
    <cellStyle name="표준 6 3 4 3 8" xfId="29649"/>
    <cellStyle name="표준 6 3 4 4" xfId="7195"/>
    <cellStyle name="표준 6 3 4 4 2" xfId="7196"/>
    <cellStyle name="표준 6 3 4 4 2 2" xfId="7197"/>
    <cellStyle name="표준 6 3 4 4 2 2 2" xfId="7198"/>
    <cellStyle name="표준 6 3 4 4 2 2 2 2" xfId="7199"/>
    <cellStyle name="표준 6 3 4 4 2 2 2 2 2" xfId="14684"/>
    <cellStyle name="표준 6 3 4 4 2 2 2 2 2 2" xfId="37151"/>
    <cellStyle name="표준 6 3 4 4 2 2 2 2 3" xfId="22168"/>
    <cellStyle name="표준 6 3 4 4 2 2 2 2 3 2" xfId="44633"/>
    <cellStyle name="표준 6 3 4 4 2 2 2 2 4" xfId="29669"/>
    <cellStyle name="표준 6 3 4 4 2 2 2 3" xfId="14683"/>
    <cellStyle name="표준 6 3 4 4 2 2 2 3 2" xfId="37150"/>
    <cellStyle name="표준 6 3 4 4 2 2 2 4" xfId="22167"/>
    <cellStyle name="표준 6 3 4 4 2 2 2 4 2" xfId="44632"/>
    <cellStyle name="표준 6 3 4 4 2 2 2 5" xfId="29668"/>
    <cellStyle name="표준 6 3 4 4 2 2 3" xfId="7200"/>
    <cellStyle name="표준 6 3 4 4 2 2 3 2" xfId="14685"/>
    <cellStyle name="표준 6 3 4 4 2 2 3 2 2" xfId="37152"/>
    <cellStyle name="표준 6 3 4 4 2 2 3 3" xfId="22169"/>
    <cellStyle name="표준 6 3 4 4 2 2 3 3 2" xfId="44634"/>
    <cellStyle name="표준 6 3 4 4 2 2 3 4" xfId="29670"/>
    <cellStyle name="표준 6 3 4 4 2 2 4" xfId="14682"/>
    <cellStyle name="표준 6 3 4 4 2 2 4 2" xfId="37149"/>
    <cellStyle name="표준 6 3 4 4 2 2 5" xfId="22166"/>
    <cellStyle name="표준 6 3 4 4 2 2 5 2" xfId="44631"/>
    <cellStyle name="표준 6 3 4 4 2 2 6" xfId="29667"/>
    <cellStyle name="표준 6 3 4 4 2 3" xfId="7201"/>
    <cellStyle name="표준 6 3 4 4 2 3 2" xfId="7202"/>
    <cellStyle name="표준 6 3 4 4 2 3 2 2" xfId="14687"/>
    <cellStyle name="표준 6 3 4 4 2 3 2 2 2" xfId="37154"/>
    <cellStyle name="표준 6 3 4 4 2 3 2 3" xfId="22171"/>
    <cellStyle name="표준 6 3 4 4 2 3 2 3 2" xfId="44636"/>
    <cellStyle name="표준 6 3 4 4 2 3 2 4" xfId="29672"/>
    <cellStyle name="표준 6 3 4 4 2 3 3" xfId="14686"/>
    <cellStyle name="표준 6 3 4 4 2 3 3 2" xfId="37153"/>
    <cellStyle name="표준 6 3 4 4 2 3 4" xfId="22170"/>
    <cellStyle name="표준 6 3 4 4 2 3 4 2" xfId="44635"/>
    <cellStyle name="표준 6 3 4 4 2 3 5" xfId="29671"/>
    <cellStyle name="표준 6 3 4 4 2 4" xfId="7203"/>
    <cellStyle name="표준 6 3 4 4 2 4 2" xfId="14688"/>
    <cellStyle name="표준 6 3 4 4 2 4 2 2" xfId="37155"/>
    <cellStyle name="표준 6 3 4 4 2 4 3" xfId="22172"/>
    <cellStyle name="표준 6 3 4 4 2 4 3 2" xfId="44637"/>
    <cellStyle name="표준 6 3 4 4 2 4 4" xfId="29673"/>
    <cellStyle name="표준 6 3 4 4 2 5" xfId="14681"/>
    <cellStyle name="표준 6 3 4 4 2 5 2" xfId="37148"/>
    <cellStyle name="표준 6 3 4 4 2 6" xfId="22165"/>
    <cellStyle name="표준 6 3 4 4 2 6 2" xfId="44630"/>
    <cellStyle name="표준 6 3 4 4 2 7" xfId="29666"/>
    <cellStyle name="표준 6 3 4 4 3" xfId="7204"/>
    <cellStyle name="표준 6 3 4 4 3 2" xfId="7205"/>
    <cellStyle name="표준 6 3 4 4 3 2 2" xfId="7206"/>
    <cellStyle name="표준 6 3 4 4 3 2 2 2" xfId="14691"/>
    <cellStyle name="표준 6 3 4 4 3 2 2 2 2" xfId="37158"/>
    <cellStyle name="표준 6 3 4 4 3 2 2 3" xfId="22175"/>
    <cellStyle name="표준 6 3 4 4 3 2 2 3 2" xfId="44640"/>
    <cellStyle name="표준 6 3 4 4 3 2 2 4" xfId="29676"/>
    <cellStyle name="표준 6 3 4 4 3 2 3" xfId="14690"/>
    <cellStyle name="표준 6 3 4 4 3 2 3 2" xfId="37157"/>
    <cellStyle name="표준 6 3 4 4 3 2 4" xfId="22174"/>
    <cellStyle name="표준 6 3 4 4 3 2 4 2" xfId="44639"/>
    <cellStyle name="표준 6 3 4 4 3 2 5" xfId="29675"/>
    <cellStyle name="표준 6 3 4 4 3 3" xfId="7207"/>
    <cellStyle name="표준 6 3 4 4 3 3 2" xfId="14692"/>
    <cellStyle name="표준 6 3 4 4 3 3 2 2" xfId="37159"/>
    <cellStyle name="표준 6 3 4 4 3 3 3" xfId="22176"/>
    <cellStyle name="표준 6 3 4 4 3 3 3 2" xfId="44641"/>
    <cellStyle name="표준 6 3 4 4 3 3 4" xfId="29677"/>
    <cellStyle name="표준 6 3 4 4 3 4" xfId="14689"/>
    <cellStyle name="표준 6 3 4 4 3 4 2" xfId="37156"/>
    <cellStyle name="표준 6 3 4 4 3 5" xfId="22173"/>
    <cellStyle name="표준 6 3 4 4 3 5 2" xfId="44638"/>
    <cellStyle name="표준 6 3 4 4 3 6" xfId="29674"/>
    <cellStyle name="표준 6 3 4 4 4" xfId="7208"/>
    <cellStyle name="표준 6 3 4 4 4 2" xfId="7209"/>
    <cellStyle name="표준 6 3 4 4 4 2 2" xfId="14694"/>
    <cellStyle name="표준 6 3 4 4 4 2 2 2" xfId="37161"/>
    <cellStyle name="표준 6 3 4 4 4 2 3" xfId="22178"/>
    <cellStyle name="표준 6 3 4 4 4 2 3 2" xfId="44643"/>
    <cellStyle name="표준 6 3 4 4 4 2 4" xfId="29679"/>
    <cellStyle name="표준 6 3 4 4 4 3" xfId="14693"/>
    <cellStyle name="표준 6 3 4 4 4 3 2" xfId="37160"/>
    <cellStyle name="표준 6 3 4 4 4 4" xfId="22177"/>
    <cellStyle name="표준 6 3 4 4 4 4 2" xfId="44642"/>
    <cellStyle name="표준 6 3 4 4 4 5" xfId="29678"/>
    <cellStyle name="표준 6 3 4 4 5" xfId="7210"/>
    <cellStyle name="표준 6 3 4 4 5 2" xfId="14695"/>
    <cellStyle name="표준 6 3 4 4 5 2 2" xfId="37162"/>
    <cellStyle name="표준 6 3 4 4 5 3" xfId="22179"/>
    <cellStyle name="표준 6 3 4 4 5 3 2" xfId="44644"/>
    <cellStyle name="표준 6 3 4 4 5 4" xfId="29680"/>
    <cellStyle name="표준 6 3 4 4 6" xfId="14680"/>
    <cellStyle name="표준 6 3 4 4 6 2" xfId="37147"/>
    <cellStyle name="표준 6 3 4 4 7" xfId="22164"/>
    <cellStyle name="표준 6 3 4 4 7 2" xfId="44629"/>
    <cellStyle name="표준 6 3 4 4 8" xfId="29665"/>
    <cellStyle name="표준 6 3 4 5" xfId="7211"/>
    <cellStyle name="표준 6 3 4 5 2" xfId="7212"/>
    <cellStyle name="표준 6 3 4 5 2 2" xfId="7213"/>
    <cellStyle name="표준 6 3 4 5 2 2 2" xfId="7214"/>
    <cellStyle name="표준 6 3 4 5 2 2 2 2" xfId="14699"/>
    <cellStyle name="표준 6 3 4 5 2 2 2 2 2" xfId="37166"/>
    <cellStyle name="표준 6 3 4 5 2 2 2 3" xfId="22183"/>
    <cellStyle name="표준 6 3 4 5 2 2 2 3 2" xfId="44648"/>
    <cellStyle name="표준 6 3 4 5 2 2 2 4" xfId="29684"/>
    <cellStyle name="표준 6 3 4 5 2 2 3" xfId="14698"/>
    <cellStyle name="표준 6 3 4 5 2 2 3 2" xfId="37165"/>
    <cellStyle name="표준 6 3 4 5 2 2 4" xfId="22182"/>
    <cellStyle name="표준 6 3 4 5 2 2 4 2" xfId="44647"/>
    <cellStyle name="표준 6 3 4 5 2 2 5" xfId="29683"/>
    <cellStyle name="표준 6 3 4 5 2 3" xfId="7215"/>
    <cellStyle name="표준 6 3 4 5 2 3 2" xfId="14700"/>
    <cellStyle name="표준 6 3 4 5 2 3 2 2" xfId="37167"/>
    <cellStyle name="표준 6 3 4 5 2 3 3" xfId="22184"/>
    <cellStyle name="표준 6 3 4 5 2 3 3 2" xfId="44649"/>
    <cellStyle name="표준 6 3 4 5 2 3 4" xfId="29685"/>
    <cellStyle name="표준 6 3 4 5 2 4" xfId="14697"/>
    <cellStyle name="표준 6 3 4 5 2 4 2" xfId="37164"/>
    <cellStyle name="표준 6 3 4 5 2 5" xfId="22181"/>
    <cellStyle name="표준 6 3 4 5 2 5 2" xfId="44646"/>
    <cellStyle name="표준 6 3 4 5 2 6" xfId="29682"/>
    <cellStyle name="표준 6 3 4 5 3" xfId="7216"/>
    <cellStyle name="표준 6 3 4 5 3 2" xfId="7217"/>
    <cellStyle name="표준 6 3 4 5 3 2 2" xfId="14702"/>
    <cellStyle name="표준 6 3 4 5 3 2 2 2" xfId="37169"/>
    <cellStyle name="표준 6 3 4 5 3 2 3" xfId="22186"/>
    <cellStyle name="표준 6 3 4 5 3 2 3 2" xfId="44651"/>
    <cellStyle name="표준 6 3 4 5 3 2 4" xfId="29687"/>
    <cellStyle name="표준 6 3 4 5 3 3" xfId="14701"/>
    <cellStyle name="표준 6 3 4 5 3 3 2" xfId="37168"/>
    <cellStyle name="표준 6 3 4 5 3 4" xfId="22185"/>
    <cellStyle name="표준 6 3 4 5 3 4 2" xfId="44650"/>
    <cellStyle name="표준 6 3 4 5 3 5" xfId="29686"/>
    <cellStyle name="표준 6 3 4 5 4" xfId="7218"/>
    <cellStyle name="표준 6 3 4 5 4 2" xfId="14703"/>
    <cellStyle name="표준 6 3 4 5 4 2 2" xfId="37170"/>
    <cellStyle name="표준 6 3 4 5 4 3" xfId="22187"/>
    <cellStyle name="표준 6 3 4 5 4 3 2" xfId="44652"/>
    <cellStyle name="표준 6 3 4 5 4 4" xfId="29688"/>
    <cellStyle name="표준 6 3 4 5 5" xfId="14696"/>
    <cellStyle name="표준 6 3 4 5 5 2" xfId="37163"/>
    <cellStyle name="표준 6 3 4 5 6" xfId="22180"/>
    <cellStyle name="표준 6 3 4 5 6 2" xfId="44645"/>
    <cellStyle name="표준 6 3 4 5 7" xfId="29681"/>
    <cellStyle name="표준 6 3 4 6" xfId="7219"/>
    <cellStyle name="표준 6 3 4 6 2" xfId="7220"/>
    <cellStyle name="표준 6 3 4 6 2 2" xfId="7221"/>
    <cellStyle name="표준 6 3 4 6 2 2 2" xfId="14706"/>
    <cellStyle name="표준 6 3 4 6 2 2 2 2" xfId="37173"/>
    <cellStyle name="표준 6 3 4 6 2 2 3" xfId="22190"/>
    <cellStyle name="표준 6 3 4 6 2 2 3 2" xfId="44655"/>
    <cellStyle name="표준 6 3 4 6 2 2 4" xfId="29691"/>
    <cellStyle name="표준 6 3 4 6 2 3" xfId="14705"/>
    <cellStyle name="표준 6 3 4 6 2 3 2" xfId="37172"/>
    <cellStyle name="표준 6 3 4 6 2 4" xfId="22189"/>
    <cellStyle name="표준 6 3 4 6 2 4 2" xfId="44654"/>
    <cellStyle name="표준 6 3 4 6 2 5" xfId="29690"/>
    <cellStyle name="표준 6 3 4 6 3" xfId="7222"/>
    <cellStyle name="표준 6 3 4 6 3 2" xfId="14707"/>
    <cellStyle name="표준 6 3 4 6 3 2 2" xfId="37174"/>
    <cellStyle name="표준 6 3 4 6 3 3" xfId="22191"/>
    <cellStyle name="표준 6 3 4 6 3 3 2" xfId="44656"/>
    <cellStyle name="표준 6 3 4 6 3 4" xfId="29692"/>
    <cellStyle name="표준 6 3 4 6 4" xfId="14704"/>
    <cellStyle name="표준 6 3 4 6 4 2" xfId="37171"/>
    <cellStyle name="표준 6 3 4 6 5" xfId="22188"/>
    <cellStyle name="표준 6 3 4 6 5 2" xfId="44653"/>
    <cellStyle name="표준 6 3 4 6 6" xfId="29689"/>
    <cellStyle name="표준 6 3 4 7" xfId="7223"/>
    <cellStyle name="표준 6 3 4 7 2" xfId="7224"/>
    <cellStyle name="표준 6 3 4 7 2 2" xfId="7225"/>
    <cellStyle name="표준 6 3 4 7 2 2 2" xfId="14710"/>
    <cellStyle name="표준 6 3 4 7 2 2 2 2" xfId="37177"/>
    <cellStyle name="표준 6 3 4 7 2 2 3" xfId="22194"/>
    <cellStyle name="표준 6 3 4 7 2 2 3 2" xfId="44659"/>
    <cellStyle name="표준 6 3 4 7 2 2 4" xfId="29695"/>
    <cellStyle name="표준 6 3 4 7 2 3" xfId="14709"/>
    <cellStyle name="표준 6 3 4 7 2 3 2" xfId="37176"/>
    <cellStyle name="표준 6 3 4 7 2 4" xfId="22193"/>
    <cellStyle name="표준 6 3 4 7 2 4 2" xfId="44658"/>
    <cellStyle name="표준 6 3 4 7 2 5" xfId="29694"/>
    <cellStyle name="표준 6 3 4 7 3" xfId="7226"/>
    <cellStyle name="표준 6 3 4 7 3 2" xfId="14711"/>
    <cellStyle name="표준 6 3 4 7 3 2 2" xfId="37178"/>
    <cellStyle name="표준 6 3 4 7 3 3" xfId="22195"/>
    <cellStyle name="표준 6 3 4 7 3 3 2" xfId="44660"/>
    <cellStyle name="표준 6 3 4 7 3 4" xfId="29696"/>
    <cellStyle name="표준 6 3 4 7 4" xfId="14708"/>
    <cellStyle name="표준 6 3 4 7 4 2" xfId="37175"/>
    <cellStyle name="표준 6 3 4 7 5" xfId="22192"/>
    <cellStyle name="표준 6 3 4 7 5 2" xfId="44657"/>
    <cellStyle name="표준 6 3 4 7 6" xfId="29693"/>
    <cellStyle name="표준 6 3 4 8" xfId="7227"/>
    <cellStyle name="표준 6 3 4 8 2" xfId="7228"/>
    <cellStyle name="표준 6 3 4 8 2 2" xfId="14713"/>
    <cellStyle name="표준 6 3 4 8 2 2 2" xfId="37180"/>
    <cellStyle name="표준 6 3 4 8 2 3" xfId="22197"/>
    <cellStyle name="표준 6 3 4 8 2 3 2" xfId="44662"/>
    <cellStyle name="표준 6 3 4 8 2 4" xfId="29698"/>
    <cellStyle name="표준 6 3 4 8 3" xfId="14712"/>
    <cellStyle name="표준 6 3 4 8 3 2" xfId="37179"/>
    <cellStyle name="표준 6 3 4 8 4" xfId="22196"/>
    <cellStyle name="표준 6 3 4 8 4 2" xfId="44661"/>
    <cellStyle name="표준 6 3 4 8 5" xfId="29697"/>
    <cellStyle name="표준 6 3 4 9" xfId="7229"/>
    <cellStyle name="표준 6 3 4 9 2" xfId="14714"/>
    <cellStyle name="표준 6 3 4 9 2 2" xfId="37181"/>
    <cellStyle name="표준 6 3 4 9 3" xfId="22198"/>
    <cellStyle name="표준 6 3 4 9 3 2" xfId="44663"/>
    <cellStyle name="표준 6 3 4 9 4" xfId="29699"/>
    <cellStyle name="표준 6 3 5" xfId="7230"/>
    <cellStyle name="표준 6 3 5 10" xfId="22199"/>
    <cellStyle name="표준 6 3 5 10 2" xfId="44664"/>
    <cellStyle name="표준 6 3 5 11" xfId="29700"/>
    <cellStyle name="표준 6 3 5 2" xfId="7231"/>
    <cellStyle name="표준 6 3 5 2 10" xfId="29701"/>
    <cellStyle name="표준 6 3 5 2 2" xfId="7232"/>
    <cellStyle name="표준 6 3 5 2 2 2" xfId="7233"/>
    <cellStyle name="표준 6 3 5 2 2 2 2" xfId="7234"/>
    <cellStyle name="표준 6 3 5 2 2 2 2 2" xfId="7235"/>
    <cellStyle name="표준 6 3 5 2 2 2 2 2 2" xfId="7236"/>
    <cellStyle name="표준 6 3 5 2 2 2 2 2 2 2" xfId="14721"/>
    <cellStyle name="표준 6 3 5 2 2 2 2 2 2 2 2" xfId="37188"/>
    <cellStyle name="표준 6 3 5 2 2 2 2 2 2 3" xfId="22205"/>
    <cellStyle name="표준 6 3 5 2 2 2 2 2 2 3 2" xfId="44670"/>
    <cellStyle name="표준 6 3 5 2 2 2 2 2 2 4" xfId="29706"/>
    <cellStyle name="표준 6 3 5 2 2 2 2 2 3" xfId="14720"/>
    <cellStyle name="표준 6 3 5 2 2 2 2 2 3 2" xfId="37187"/>
    <cellStyle name="표준 6 3 5 2 2 2 2 2 4" xfId="22204"/>
    <cellStyle name="표준 6 3 5 2 2 2 2 2 4 2" xfId="44669"/>
    <cellStyle name="표준 6 3 5 2 2 2 2 2 5" xfId="29705"/>
    <cellStyle name="표준 6 3 5 2 2 2 2 3" xfId="7237"/>
    <cellStyle name="표준 6 3 5 2 2 2 2 3 2" xfId="14722"/>
    <cellStyle name="표준 6 3 5 2 2 2 2 3 2 2" xfId="37189"/>
    <cellStyle name="표준 6 3 5 2 2 2 2 3 3" xfId="22206"/>
    <cellStyle name="표준 6 3 5 2 2 2 2 3 3 2" xfId="44671"/>
    <cellStyle name="표준 6 3 5 2 2 2 2 3 4" xfId="29707"/>
    <cellStyle name="표준 6 3 5 2 2 2 2 4" xfId="14719"/>
    <cellStyle name="표준 6 3 5 2 2 2 2 4 2" xfId="37186"/>
    <cellStyle name="표준 6 3 5 2 2 2 2 5" xfId="22203"/>
    <cellStyle name="표준 6 3 5 2 2 2 2 5 2" xfId="44668"/>
    <cellStyle name="표준 6 3 5 2 2 2 2 6" xfId="29704"/>
    <cellStyle name="표준 6 3 5 2 2 2 3" xfId="7238"/>
    <cellStyle name="표준 6 3 5 2 2 2 3 2" xfId="7239"/>
    <cellStyle name="표준 6 3 5 2 2 2 3 2 2" xfId="14724"/>
    <cellStyle name="표준 6 3 5 2 2 2 3 2 2 2" xfId="37191"/>
    <cellStyle name="표준 6 3 5 2 2 2 3 2 3" xfId="22208"/>
    <cellStyle name="표준 6 3 5 2 2 2 3 2 3 2" xfId="44673"/>
    <cellStyle name="표준 6 3 5 2 2 2 3 2 4" xfId="29709"/>
    <cellStyle name="표준 6 3 5 2 2 2 3 3" xfId="14723"/>
    <cellStyle name="표준 6 3 5 2 2 2 3 3 2" xfId="37190"/>
    <cellStyle name="표준 6 3 5 2 2 2 3 4" xfId="22207"/>
    <cellStyle name="표준 6 3 5 2 2 2 3 4 2" xfId="44672"/>
    <cellStyle name="표준 6 3 5 2 2 2 3 5" xfId="29708"/>
    <cellStyle name="표준 6 3 5 2 2 2 4" xfId="7240"/>
    <cellStyle name="표준 6 3 5 2 2 2 4 2" xfId="14725"/>
    <cellStyle name="표준 6 3 5 2 2 2 4 2 2" xfId="37192"/>
    <cellStyle name="표준 6 3 5 2 2 2 4 3" xfId="22209"/>
    <cellStyle name="표준 6 3 5 2 2 2 4 3 2" xfId="44674"/>
    <cellStyle name="표준 6 3 5 2 2 2 4 4" xfId="29710"/>
    <cellStyle name="표준 6 3 5 2 2 2 5" xfId="14718"/>
    <cellStyle name="표준 6 3 5 2 2 2 5 2" xfId="37185"/>
    <cellStyle name="표준 6 3 5 2 2 2 6" xfId="22202"/>
    <cellStyle name="표준 6 3 5 2 2 2 6 2" xfId="44667"/>
    <cellStyle name="표준 6 3 5 2 2 2 7" xfId="29703"/>
    <cellStyle name="표준 6 3 5 2 2 3" xfId="7241"/>
    <cellStyle name="표준 6 3 5 2 2 3 2" xfId="7242"/>
    <cellStyle name="표준 6 3 5 2 2 3 2 2" xfId="7243"/>
    <cellStyle name="표준 6 3 5 2 2 3 2 2 2" xfId="14728"/>
    <cellStyle name="표준 6 3 5 2 2 3 2 2 2 2" xfId="37195"/>
    <cellStyle name="표준 6 3 5 2 2 3 2 2 3" xfId="22212"/>
    <cellStyle name="표준 6 3 5 2 2 3 2 2 3 2" xfId="44677"/>
    <cellStyle name="표준 6 3 5 2 2 3 2 2 4" xfId="29713"/>
    <cellStyle name="표준 6 3 5 2 2 3 2 3" xfId="14727"/>
    <cellStyle name="표준 6 3 5 2 2 3 2 3 2" xfId="37194"/>
    <cellStyle name="표준 6 3 5 2 2 3 2 4" xfId="22211"/>
    <cellStyle name="표준 6 3 5 2 2 3 2 4 2" xfId="44676"/>
    <cellStyle name="표준 6 3 5 2 2 3 2 5" xfId="29712"/>
    <cellStyle name="표준 6 3 5 2 2 3 3" xfId="7244"/>
    <cellStyle name="표준 6 3 5 2 2 3 3 2" xfId="14729"/>
    <cellStyle name="표준 6 3 5 2 2 3 3 2 2" xfId="37196"/>
    <cellStyle name="표준 6 3 5 2 2 3 3 3" xfId="22213"/>
    <cellStyle name="표준 6 3 5 2 2 3 3 3 2" xfId="44678"/>
    <cellStyle name="표준 6 3 5 2 2 3 3 4" xfId="29714"/>
    <cellStyle name="표준 6 3 5 2 2 3 4" xfId="14726"/>
    <cellStyle name="표준 6 3 5 2 2 3 4 2" xfId="37193"/>
    <cellStyle name="표준 6 3 5 2 2 3 5" xfId="22210"/>
    <cellStyle name="표준 6 3 5 2 2 3 5 2" xfId="44675"/>
    <cellStyle name="표준 6 3 5 2 2 3 6" xfId="29711"/>
    <cellStyle name="표준 6 3 5 2 2 4" xfId="7245"/>
    <cellStyle name="표준 6 3 5 2 2 4 2" xfId="7246"/>
    <cellStyle name="표준 6 3 5 2 2 4 2 2" xfId="14731"/>
    <cellStyle name="표준 6 3 5 2 2 4 2 2 2" xfId="37198"/>
    <cellStyle name="표준 6 3 5 2 2 4 2 3" xfId="22215"/>
    <cellStyle name="표준 6 3 5 2 2 4 2 3 2" xfId="44680"/>
    <cellStyle name="표준 6 3 5 2 2 4 2 4" xfId="29716"/>
    <cellStyle name="표준 6 3 5 2 2 4 3" xfId="14730"/>
    <cellStyle name="표준 6 3 5 2 2 4 3 2" xfId="37197"/>
    <cellStyle name="표준 6 3 5 2 2 4 4" xfId="22214"/>
    <cellStyle name="표준 6 3 5 2 2 4 4 2" xfId="44679"/>
    <cellStyle name="표준 6 3 5 2 2 4 5" xfId="29715"/>
    <cellStyle name="표준 6 3 5 2 2 5" xfId="7247"/>
    <cellStyle name="표준 6 3 5 2 2 5 2" xfId="14732"/>
    <cellStyle name="표준 6 3 5 2 2 5 2 2" xfId="37199"/>
    <cellStyle name="표준 6 3 5 2 2 5 3" xfId="22216"/>
    <cellStyle name="표준 6 3 5 2 2 5 3 2" xfId="44681"/>
    <cellStyle name="표준 6 3 5 2 2 5 4" xfId="29717"/>
    <cellStyle name="표준 6 3 5 2 2 6" xfId="14717"/>
    <cellStyle name="표준 6 3 5 2 2 6 2" xfId="37184"/>
    <cellStyle name="표준 6 3 5 2 2 7" xfId="22201"/>
    <cellStyle name="표준 6 3 5 2 2 7 2" xfId="44666"/>
    <cellStyle name="표준 6 3 5 2 2 8" xfId="29702"/>
    <cellStyle name="표준 6 3 5 2 3" xfId="7248"/>
    <cellStyle name="표준 6 3 5 2 3 2" xfId="7249"/>
    <cellStyle name="표준 6 3 5 2 3 2 2" xfId="7250"/>
    <cellStyle name="표준 6 3 5 2 3 2 2 2" xfId="7251"/>
    <cellStyle name="표준 6 3 5 2 3 2 2 2 2" xfId="7252"/>
    <cellStyle name="표준 6 3 5 2 3 2 2 2 2 2" xfId="14737"/>
    <cellStyle name="표준 6 3 5 2 3 2 2 2 2 2 2" xfId="37204"/>
    <cellStyle name="표준 6 3 5 2 3 2 2 2 2 3" xfId="22221"/>
    <cellStyle name="표준 6 3 5 2 3 2 2 2 2 3 2" xfId="44686"/>
    <cellStyle name="표준 6 3 5 2 3 2 2 2 2 4" xfId="29722"/>
    <cellStyle name="표준 6 3 5 2 3 2 2 2 3" xfId="14736"/>
    <cellStyle name="표준 6 3 5 2 3 2 2 2 3 2" xfId="37203"/>
    <cellStyle name="표준 6 3 5 2 3 2 2 2 4" xfId="22220"/>
    <cellStyle name="표준 6 3 5 2 3 2 2 2 4 2" xfId="44685"/>
    <cellStyle name="표준 6 3 5 2 3 2 2 2 5" xfId="29721"/>
    <cellStyle name="표준 6 3 5 2 3 2 2 3" xfId="7253"/>
    <cellStyle name="표준 6 3 5 2 3 2 2 3 2" xfId="14738"/>
    <cellStyle name="표준 6 3 5 2 3 2 2 3 2 2" xfId="37205"/>
    <cellStyle name="표준 6 3 5 2 3 2 2 3 3" xfId="22222"/>
    <cellStyle name="표준 6 3 5 2 3 2 2 3 3 2" xfId="44687"/>
    <cellStyle name="표준 6 3 5 2 3 2 2 3 4" xfId="29723"/>
    <cellStyle name="표준 6 3 5 2 3 2 2 4" xfId="14735"/>
    <cellStyle name="표준 6 3 5 2 3 2 2 4 2" xfId="37202"/>
    <cellStyle name="표준 6 3 5 2 3 2 2 5" xfId="22219"/>
    <cellStyle name="표준 6 3 5 2 3 2 2 5 2" xfId="44684"/>
    <cellStyle name="표준 6 3 5 2 3 2 2 6" xfId="29720"/>
    <cellStyle name="표준 6 3 5 2 3 2 3" xfId="7254"/>
    <cellStyle name="표준 6 3 5 2 3 2 3 2" xfId="7255"/>
    <cellStyle name="표준 6 3 5 2 3 2 3 2 2" xfId="14740"/>
    <cellStyle name="표준 6 3 5 2 3 2 3 2 2 2" xfId="37207"/>
    <cellStyle name="표준 6 3 5 2 3 2 3 2 3" xfId="22224"/>
    <cellStyle name="표준 6 3 5 2 3 2 3 2 3 2" xfId="44689"/>
    <cellStyle name="표준 6 3 5 2 3 2 3 2 4" xfId="29725"/>
    <cellStyle name="표준 6 3 5 2 3 2 3 3" xfId="14739"/>
    <cellStyle name="표준 6 3 5 2 3 2 3 3 2" xfId="37206"/>
    <cellStyle name="표준 6 3 5 2 3 2 3 4" xfId="22223"/>
    <cellStyle name="표준 6 3 5 2 3 2 3 4 2" xfId="44688"/>
    <cellStyle name="표준 6 3 5 2 3 2 3 5" xfId="29724"/>
    <cellStyle name="표준 6 3 5 2 3 2 4" xfId="7256"/>
    <cellStyle name="표준 6 3 5 2 3 2 4 2" xfId="14741"/>
    <cellStyle name="표준 6 3 5 2 3 2 4 2 2" xfId="37208"/>
    <cellStyle name="표준 6 3 5 2 3 2 4 3" xfId="22225"/>
    <cellStyle name="표준 6 3 5 2 3 2 4 3 2" xfId="44690"/>
    <cellStyle name="표준 6 3 5 2 3 2 4 4" xfId="29726"/>
    <cellStyle name="표준 6 3 5 2 3 2 5" xfId="14734"/>
    <cellStyle name="표준 6 3 5 2 3 2 5 2" xfId="37201"/>
    <cellStyle name="표준 6 3 5 2 3 2 6" xfId="22218"/>
    <cellStyle name="표준 6 3 5 2 3 2 6 2" xfId="44683"/>
    <cellStyle name="표준 6 3 5 2 3 2 7" xfId="29719"/>
    <cellStyle name="표준 6 3 5 2 3 3" xfId="7257"/>
    <cellStyle name="표준 6 3 5 2 3 3 2" xfId="7258"/>
    <cellStyle name="표준 6 3 5 2 3 3 2 2" xfId="7259"/>
    <cellStyle name="표준 6 3 5 2 3 3 2 2 2" xfId="14744"/>
    <cellStyle name="표준 6 3 5 2 3 3 2 2 2 2" xfId="37211"/>
    <cellStyle name="표준 6 3 5 2 3 3 2 2 3" xfId="22228"/>
    <cellStyle name="표준 6 3 5 2 3 3 2 2 3 2" xfId="44693"/>
    <cellStyle name="표준 6 3 5 2 3 3 2 2 4" xfId="29729"/>
    <cellStyle name="표준 6 3 5 2 3 3 2 3" xfId="14743"/>
    <cellStyle name="표준 6 3 5 2 3 3 2 3 2" xfId="37210"/>
    <cellStyle name="표준 6 3 5 2 3 3 2 4" xfId="22227"/>
    <cellStyle name="표준 6 3 5 2 3 3 2 4 2" xfId="44692"/>
    <cellStyle name="표준 6 3 5 2 3 3 2 5" xfId="29728"/>
    <cellStyle name="표준 6 3 5 2 3 3 3" xfId="7260"/>
    <cellStyle name="표준 6 3 5 2 3 3 3 2" xfId="14745"/>
    <cellStyle name="표준 6 3 5 2 3 3 3 2 2" xfId="37212"/>
    <cellStyle name="표준 6 3 5 2 3 3 3 3" xfId="22229"/>
    <cellStyle name="표준 6 3 5 2 3 3 3 3 2" xfId="44694"/>
    <cellStyle name="표준 6 3 5 2 3 3 3 4" xfId="29730"/>
    <cellStyle name="표준 6 3 5 2 3 3 4" xfId="14742"/>
    <cellStyle name="표준 6 3 5 2 3 3 4 2" xfId="37209"/>
    <cellStyle name="표준 6 3 5 2 3 3 5" xfId="22226"/>
    <cellStyle name="표준 6 3 5 2 3 3 5 2" xfId="44691"/>
    <cellStyle name="표준 6 3 5 2 3 3 6" xfId="29727"/>
    <cellStyle name="표준 6 3 5 2 3 4" xfId="7261"/>
    <cellStyle name="표준 6 3 5 2 3 4 2" xfId="7262"/>
    <cellStyle name="표준 6 3 5 2 3 4 2 2" xfId="14747"/>
    <cellStyle name="표준 6 3 5 2 3 4 2 2 2" xfId="37214"/>
    <cellStyle name="표준 6 3 5 2 3 4 2 3" xfId="22231"/>
    <cellStyle name="표준 6 3 5 2 3 4 2 3 2" xfId="44696"/>
    <cellStyle name="표준 6 3 5 2 3 4 2 4" xfId="29732"/>
    <cellStyle name="표준 6 3 5 2 3 4 3" xfId="14746"/>
    <cellStyle name="표준 6 3 5 2 3 4 3 2" xfId="37213"/>
    <cellStyle name="표준 6 3 5 2 3 4 4" xfId="22230"/>
    <cellStyle name="표준 6 3 5 2 3 4 4 2" xfId="44695"/>
    <cellStyle name="표준 6 3 5 2 3 4 5" xfId="29731"/>
    <cellStyle name="표준 6 3 5 2 3 5" xfId="7263"/>
    <cellStyle name="표준 6 3 5 2 3 5 2" xfId="14748"/>
    <cellStyle name="표준 6 3 5 2 3 5 2 2" xfId="37215"/>
    <cellStyle name="표준 6 3 5 2 3 5 3" xfId="22232"/>
    <cellStyle name="표준 6 3 5 2 3 5 3 2" xfId="44697"/>
    <cellStyle name="표준 6 3 5 2 3 5 4" xfId="29733"/>
    <cellStyle name="표준 6 3 5 2 3 6" xfId="14733"/>
    <cellStyle name="표준 6 3 5 2 3 6 2" xfId="37200"/>
    <cellStyle name="표준 6 3 5 2 3 7" xfId="22217"/>
    <cellStyle name="표준 6 3 5 2 3 7 2" xfId="44682"/>
    <cellStyle name="표준 6 3 5 2 3 8" xfId="29718"/>
    <cellStyle name="표준 6 3 5 2 4" xfId="7264"/>
    <cellStyle name="표준 6 3 5 2 4 2" xfId="7265"/>
    <cellStyle name="표준 6 3 5 2 4 2 2" xfId="7266"/>
    <cellStyle name="표준 6 3 5 2 4 2 2 2" xfId="7267"/>
    <cellStyle name="표준 6 3 5 2 4 2 2 2 2" xfId="14752"/>
    <cellStyle name="표준 6 3 5 2 4 2 2 2 2 2" xfId="37219"/>
    <cellStyle name="표준 6 3 5 2 4 2 2 2 3" xfId="22236"/>
    <cellStyle name="표준 6 3 5 2 4 2 2 2 3 2" xfId="44701"/>
    <cellStyle name="표준 6 3 5 2 4 2 2 2 4" xfId="29737"/>
    <cellStyle name="표준 6 3 5 2 4 2 2 3" xfId="14751"/>
    <cellStyle name="표준 6 3 5 2 4 2 2 3 2" xfId="37218"/>
    <cellStyle name="표준 6 3 5 2 4 2 2 4" xfId="22235"/>
    <cellStyle name="표준 6 3 5 2 4 2 2 4 2" xfId="44700"/>
    <cellStyle name="표준 6 3 5 2 4 2 2 5" xfId="29736"/>
    <cellStyle name="표준 6 3 5 2 4 2 3" xfId="7268"/>
    <cellStyle name="표준 6 3 5 2 4 2 3 2" xfId="14753"/>
    <cellStyle name="표준 6 3 5 2 4 2 3 2 2" xfId="37220"/>
    <cellStyle name="표준 6 3 5 2 4 2 3 3" xfId="22237"/>
    <cellStyle name="표준 6 3 5 2 4 2 3 3 2" xfId="44702"/>
    <cellStyle name="표준 6 3 5 2 4 2 3 4" xfId="29738"/>
    <cellStyle name="표준 6 3 5 2 4 2 4" xfId="14750"/>
    <cellStyle name="표준 6 3 5 2 4 2 4 2" xfId="37217"/>
    <cellStyle name="표준 6 3 5 2 4 2 5" xfId="22234"/>
    <cellStyle name="표준 6 3 5 2 4 2 5 2" xfId="44699"/>
    <cellStyle name="표준 6 3 5 2 4 2 6" xfId="29735"/>
    <cellStyle name="표준 6 3 5 2 4 3" xfId="7269"/>
    <cellStyle name="표준 6 3 5 2 4 3 2" xfId="7270"/>
    <cellStyle name="표준 6 3 5 2 4 3 2 2" xfId="14755"/>
    <cellStyle name="표준 6 3 5 2 4 3 2 2 2" xfId="37222"/>
    <cellStyle name="표준 6 3 5 2 4 3 2 3" xfId="22239"/>
    <cellStyle name="표준 6 3 5 2 4 3 2 3 2" xfId="44704"/>
    <cellStyle name="표준 6 3 5 2 4 3 2 4" xfId="29740"/>
    <cellStyle name="표준 6 3 5 2 4 3 3" xfId="14754"/>
    <cellStyle name="표준 6 3 5 2 4 3 3 2" xfId="37221"/>
    <cellStyle name="표준 6 3 5 2 4 3 4" xfId="22238"/>
    <cellStyle name="표준 6 3 5 2 4 3 4 2" xfId="44703"/>
    <cellStyle name="표준 6 3 5 2 4 3 5" xfId="29739"/>
    <cellStyle name="표준 6 3 5 2 4 4" xfId="7271"/>
    <cellStyle name="표준 6 3 5 2 4 4 2" xfId="14756"/>
    <cellStyle name="표준 6 3 5 2 4 4 2 2" xfId="37223"/>
    <cellStyle name="표준 6 3 5 2 4 4 3" xfId="22240"/>
    <cellStyle name="표준 6 3 5 2 4 4 3 2" xfId="44705"/>
    <cellStyle name="표준 6 3 5 2 4 4 4" xfId="29741"/>
    <cellStyle name="표준 6 3 5 2 4 5" xfId="14749"/>
    <cellStyle name="표준 6 3 5 2 4 5 2" xfId="37216"/>
    <cellStyle name="표준 6 3 5 2 4 6" xfId="22233"/>
    <cellStyle name="표준 6 3 5 2 4 6 2" xfId="44698"/>
    <cellStyle name="표준 6 3 5 2 4 7" xfId="29734"/>
    <cellStyle name="표준 6 3 5 2 5" xfId="7272"/>
    <cellStyle name="표준 6 3 5 2 5 2" xfId="7273"/>
    <cellStyle name="표준 6 3 5 2 5 2 2" xfId="7274"/>
    <cellStyle name="표준 6 3 5 2 5 2 2 2" xfId="14759"/>
    <cellStyle name="표준 6 3 5 2 5 2 2 2 2" xfId="37226"/>
    <cellStyle name="표준 6 3 5 2 5 2 2 3" xfId="22243"/>
    <cellStyle name="표준 6 3 5 2 5 2 2 3 2" xfId="44708"/>
    <cellStyle name="표준 6 3 5 2 5 2 2 4" xfId="29744"/>
    <cellStyle name="표준 6 3 5 2 5 2 3" xfId="14758"/>
    <cellStyle name="표준 6 3 5 2 5 2 3 2" xfId="37225"/>
    <cellStyle name="표준 6 3 5 2 5 2 4" xfId="22242"/>
    <cellStyle name="표준 6 3 5 2 5 2 4 2" xfId="44707"/>
    <cellStyle name="표준 6 3 5 2 5 2 5" xfId="29743"/>
    <cellStyle name="표준 6 3 5 2 5 3" xfId="7275"/>
    <cellStyle name="표준 6 3 5 2 5 3 2" xfId="14760"/>
    <cellStyle name="표준 6 3 5 2 5 3 2 2" xfId="37227"/>
    <cellStyle name="표준 6 3 5 2 5 3 3" xfId="22244"/>
    <cellStyle name="표준 6 3 5 2 5 3 3 2" xfId="44709"/>
    <cellStyle name="표준 6 3 5 2 5 3 4" xfId="29745"/>
    <cellStyle name="표준 6 3 5 2 5 4" xfId="14757"/>
    <cellStyle name="표준 6 3 5 2 5 4 2" xfId="37224"/>
    <cellStyle name="표준 6 3 5 2 5 5" xfId="22241"/>
    <cellStyle name="표준 6 3 5 2 5 5 2" xfId="44706"/>
    <cellStyle name="표준 6 3 5 2 5 6" xfId="29742"/>
    <cellStyle name="표준 6 3 5 2 6" xfId="7276"/>
    <cellStyle name="표준 6 3 5 2 6 2" xfId="7277"/>
    <cellStyle name="표준 6 3 5 2 6 2 2" xfId="14762"/>
    <cellStyle name="표준 6 3 5 2 6 2 2 2" xfId="37229"/>
    <cellStyle name="표준 6 3 5 2 6 2 3" xfId="22246"/>
    <cellStyle name="표준 6 3 5 2 6 2 3 2" xfId="44711"/>
    <cellStyle name="표준 6 3 5 2 6 2 4" xfId="29747"/>
    <cellStyle name="표준 6 3 5 2 6 3" xfId="14761"/>
    <cellStyle name="표준 6 3 5 2 6 3 2" xfId="37228"/>
    <cellStyle name="표준 6 3 5 2 6 4" xfId="22245"/>
    <cellStyle name="표준 6 3 5 2 6 4 2" xfId="44710"/>
    <cellStyle name="표준 6 3 5 2 6 5" xfId="29746"/>
    <cellStyle name="표준 6 3 5 2 7" xfId="7278"/>
    <cellStyle name="표준 6 3 5 2 7 2" xfId="14763"/>
    <cellStyle name="표준 6 3 5 2 7 2 2" xfId="37230"/>
    <cellStyle name="표준 6 3 5 2 7 3" xfId="22247"/>
    <cellStyle name="표준 6 3 5 2 7 3 2" xfId="44712"/>
    <cellStyle name="표준 6 3 5 2 7 4" xfId="29748"/>
    <cellStyle name="표준 6 3 5 2 8" xfId="14716"/>
    <cellStyle name="표준 6 3 5 2 8 2" xfId="37183"/>
    <cellStyle name="표준 6 3 5 2 9" xfId="22200"/>
    <cellStyle name="표준 6 3 5 2 9 2" xfId="44665"/>
    <cellStyle name="표준 6 3 5 3" xfId="7279"/>
    <cellStyle name="표준 6 3 5 3 2" xfId="7280"/>
    <cellStyle name="표준 6 3 5 3 2 2" xfId="7281"/>
    <cellStyle name="표준 6 3 5 3 2 2 2" xfId="7282"/>
    <cellStyle name="표준 6 3 5 3 2 2 2 2" xfId="7283"/>
    <cellStyle name="표준 6 3 5 3 2 2 2 2 2" xfId="14768"/>
    <cellStyle name="표준 6 3 5 3 2 2 2 2 2 2" xfId="37235"/>
    <cellStyle name="표준 6 3 5 3 2 2 2 2 3" xfId="22252"/>
    <cellStyle name="표준 6 3 5 3 2 2 2 2 3 2" xfId="44717"/>
    <cellStyle name="표준 6 3 5 3 2 2 2 2 4" xfId="29753"/>
    <cellStyle name="표준 6 3 5 3 2 2 2 3" xfId="14767"/>
    <cellStyle name="표준 6 3 5 3 2 2 2 3 2" xfId="37234"/>
    <cellStyle name="표준 6 3 5 3 2 2 2 4" xfId="22251"/>
    <cellStyle name="표준 6 3 5 3 2 2 2 4 2" xfId="44716"/>
    <cellStyle name="표준 6 3 5 3 2 2 2 5" xfId="29752"/>
    <cellStyle name="표준 6 3 5 3 2 2 3" xfId="7284"/>
    <cellStyle name="표준 6 3 5 3 2 2 3 2" xfId="14769"/>
    <cellStyle name="표준 6 3 5 3 2 2 3 2 2" xfId="37236"/>
    <cellStyle name="표준 6 3 5 3 2 2 3 3" xfId="22253"/>
    <cellStyle name="표준 6 3 5 3 2 2 3 3 2" xfId="44718"/>
    <cellStyle name="표준 6 3 5 3 2 2 3 4" xfId="29754"/>
    <cellStyle name="표준 6 3 5 3 2 2 4" xfId="14766"/>
    <cellStyle name="표준 6 3 5 3 2 2 4 2" xfId="37233"/>
    <cellStyle name="표준 6 3 5 3 2 2 5" xfId="22250"/>
    <cellStyle name="표준 6 3 5 3 2 2 5 2" xfId="44715"/>
    <cellStyle name="표준 6 3 5 3 2 2 6" xfId="29751"/>
    <cellStyle name="표준 6 3 5 3 2 3" xfId="7285"/>
    <cellStyle name="표준 6 3 5 3 2 3 2" xfId="7286"/>
    <cellStyle name="표준 6 3 5 3 2 3 2 2" xfId="14771"/>
    <cellStyle name="표준 6 3 5 3 2 3 2 2 2" xfId="37238"/>
    <cellStyle name="표준 6 3 5 3 2 3 2 3" xfId="22255"/>
    <cellStyle name="표준 6 3 5 3 2 3 2 3 2" xfId="44720"/>
    <cellStyle name="표준 6 3 5 3 2 3 2 4" xfId="29756"/>
    <cellStyle name="표준 6 3 5 3 2 3 3" xfId="14770"/>
    <cellStyle name="표준 6 3 5 3 2 3 3 2" xfId="37237"/>
    <cellStyle name="표준 6 3 5 3 2 3 4" xfId="22254"/>
    <cellStyle name="표준 6 3 5 3 2 3 4 2" xfId="44719"/>
    <cellStyle name="표준 6 3 5 3 2 3 5" xfId="29755"/>
    <cellStyle name="표준 6 3 5 3 2 4" xfId="7287"/>
    <cellStyle name="표준 6 3 5 3 2 4 2" xfId="14772"/>
    <cellStyle name="표준 6 3 5 3 2 4 2 2" xfId="37239"/>
    <cellStyle name="표준 6 3 5 3 2 4 3" xfId="22256"/>
    <cellStyle name="표준 6 3 5 3 2 4 3 2" xfId="44721"/>
    <cellStyle name="표준 6 3 5 3 2 4 4" xfId="29757"/>
    <cellStyle name="표준 6 3 5 3 2 5" xfId="14765"/>
    <cellStyle name="표준 6 3 5 3 2 5 2" xfId="37232"/>
    <cellStyle name="표준 6 3 5 3 2 6" xfId="22249"/>
    <cellStyle name="표준 6 3 5 3 2 6 2" xfId="44714"/>
    <cellStyle name="표준 6 3 5 3 2 7" xfId="29750"/>
    <cellStyle name="표준 6 3 5 3 3" xfId="7288"/>
    <cellStyle name="표준 6 3 5 3 3 2" xfId="7289"/>
    <cellStyle name="표준 6 3 5 3 3 2 2" xfId="7290"/>
    <cellStyle name="표준 6 3 5 3 3 2 2 2" xfId="14775"/>
    <cellStyle name="표준 6 3 5 3 3 2 2 2 2" xfId="37242"/>
    <cellStyle name="표준 6 3 5 3 3 2 2 3" xfId="22259"/>
    <cellStyle name="표준 6 3 5 3 3 2 2 3 2" xfId="44724"/>
    <cellStyle name="표준 6 3 5 3 3 2 2 4" xfId="29760"/>
    <cellStyle name="표준 6 3 5 3 3 2 3" xfId="14774"/>
    <cellStyle name="표준 6 3 5 3 3 2 3 2" xfId="37241"/>
    <cellStyle name="표준 6 3 5 3 3 2 4" xfId="22258"/>
    <cellStyle name="표준 6 3 5 3 3 2 4 2" xfId="44723"/>
    <cellStyle name="표준 6 3 5 3 3 2 5" xfId="29759"/>
    <cellStyle name="표준 6 3 5 3 3 3" xfId="7291"/>
    <cellStyle name="표준 6 3 5 3 3 3 2" xfId="14776"/>
    <cellStyle name="표준 6 3 5 3 3 3 2 2" xfId="37243"/>
    <cellStyle name="표준 6 3 5 3 3 3 3" xfId="22260"/>
    <cellStyle name="표준 6 3 5 3 3 3 3 2" xfId="44725"/>
    <cellStyle name="표준 6 3 5 3 3 3 4" xfId="29761"/>
    <cellStyle name="표준 6 3 5 3 3 4" xfId="14773"/>
    <cellStyle name="표준 6 3 5 3 3 4 2" xfId="37240"/>
    <cellStyle name="표준 6 3 5 3 3 5" xfId="22257"/>
    <cellStyle name="표준 6 3 5 3 3 5 2" xfId="44722"/>
    <cellStyle name="표준 6 3 5 3 3 6" xfId="29758"/>
    <cellStyle name="표준 6 3 5 3 4" xfId="7292"/>
    <cellStyle name="표준 6 3 5 3 4 2" xfId="7293"/>
    <cellStyle name="표준 6 3 5 3 4 2 2" xfId="14778"/>
    <cellStyle name="표준 6 3 5 3 4 2 2 2" xfId="37245"/>
    <cellStyle name="표준 6 3 5 3 4 2 3" xfId="22262"/>
    <cellStyle name="표준 6 3 5 3 4 2 3 2" xfId="44727"/>
    <cellStyle name="표준 6 3 5 3 4 2 4" xfId="29763"/>
    <cellStyle name="표준 6 3 5 3 4 3" xfId="14777"/>
    <cellStyle name="표준 6 3 5 3 4 3 2" xfId="37244"/>
    <cellStyle name="표준 6 3 5 3 4 4" xfId="22261"/>
    <cellStyle name="표준 6 3 5 3 4 4 2" xfId="44726"/>
    <cellStyle name="표준 6 3 5 3 4 5" xfId="29762"/>
    <cellStyle name="표준 6 3 5 3 5" xfId="7294"/>
    <cellStyle name="표준 6 3 5 3 5 2" xfId="14779"/>
    <cellStyle name="표준 6 3 5 3 5 2 2" xfId="37246"/>
    <cellStyle name="표준 6 3 5 3 5 3" xfId="22263"/>
    <cellStyle name="표준 6 3 5 3 5 3 2" xfId="44728"/>
    <cellStyle name="표준 6 3 5 3 5 4" xfId="29764"/>
    <cellStyle name="표준 6 3 5 3 6" xfId="14764"/>
    <cellStyle name="표준 6 3 5 3 6 2" xfId="37231"/>
    <cellStyle name="표준 6 3 5 3 7" xfId="22248"/>
    <cellStyle name="표준 6 3 5 3 7 2" xfId="44713"/>
    <cellStyle name="표준 6 3 5 3 8" xfId="29749"/>
    <cellStyle name="표준 6 3 5 4" xfId="7295"/>
    <cellStyle name="표준 6 3 5 4 2" xfId="7296"/>
    <cellStyle name="표준 6 3 5 4 2 2" xfId="7297"/>
    <cellStyle name="표준 6 3 5 4 2 2 2" xfId="7298"/>
    <cellStyle name="표준 6 3 5 4 2 2 2 2" xfId="7299"/>
    <cellStyle name="표준 6 3 5 4 2 2 2 2 2" xfId="14784"/>
    <cellStyle name="표준 6 3 5 4 2 2 2 2 2 2" xfId="37251"/>
    <cellStyle name="표준 6 3 5 4 2 2 2 2 3" xfId="22268"/>
    <cellStyle name="표준 6 3 5 4 2 2 2 2 3 2" xfId="44733"/>
    <cellStyle name="표준 6 3 5 4 2 2 2 2 4" xfId="29769"/>
    <cellStyle name="표준 6 3 5 4 2 2 2 3" xfId="14783"/>
    <cellStyle name="표준 6 3 5 4 2 2 2 3 2" xfId="37250"/>
    <cellStyle name="표준 6 3 5 4 2 2 2 4" xfId="22267"/>
    <cellStyle name="표준 6 3 5 4 2 2 2 4 2" xfId="44732"/>
    <cellStyle name="표준 6 3 5 4 2 2 2 5" xfId="29768"/>
    <cellStyle name="표준 6 3 5 4 2 2 3" xfId="7300"/>
    <cellStyle name="표준 6 3 5 4 2 2 3 2" xfId="14785"/>
    <cellStyle name="표준 6 3 5 4 2 2 3 2 2" xfId="37252"/>
    <cellStyle name="표준 6 3 5 4 2 2 3 3" xfId="22269"/>
    <cellStyle name="표준 6 3 5 4 2 2 3 3 2" xfId="44734"/>
    <cellStyle name="표준 6 3 5 4 2 2 3 4" xfId="29770"/>
    <cellStyle name="표준 6 3 5 4 2 2 4" xfId="14782"/>
    <cellStyle name="표준 6 3 5 4 2 2 4 2" xfId="37249"/>
    <cellStyle name="표준 6 3 5 4 2 2 5" xfId="22266"/>
    <cellStyle name="표준 6 3 5 4 2 2 5 2" xfId="44731"/>
    <cellStyle name="표준 6 3 5 4 2 2 6" xfId="29767"/>
    <cellStyle name="표준 6 3 5 4 2 3" xfId="7301"/>
    <cellStyle name="표준 6 3 5 4 2 3 2" xfId="7302"/>
    <cellStyle name="표준 6 3 5 4 2 3 2 2" xfId="14787"/>
    <cellStyle name="표준 6 3 5 4 2 3 2 2 2" xfId="37254"/>
    <cellStyle name="표준 6 3 5 4 2 3 2 3" xfId="22271"/>
    <cellStyle name="표준 6 3 5 4 2 3 2 3 2" xfId="44736"/>
    <cellStyle name="표준 6 3 5 4 2 3 2 4" xfId="29772"/>
    <cellStyle name="표준 6 3 5 4 2 3 3" xfId="14786"/>
    <cellStyle name="표준 6 3 5 4 2 3 3 2" xfId="37253"/>
    <cellStyle name="표준 6 3 5 4 2 3 4" xfId="22270"/>
    <cellStyle name="표준 6 3 5 4 2 3 4 2" xfId="44735"/>
    <cellStyle name="표준 6 3 5 4 2 3 5" xfId="29771"/>
    <cellStyle name="표준 6 3 5 4 2 4" xfId="7303"/>
    <cellStyle name="표준 6 3 5 4 2 4 2" xfId="14788"/>
    <cellStyle name="표준 6 3 5 4 2 4 2 2" xfId="37255"/>
    <cellStyle name="표준 6 3 5 4 2 4 3" xfId="22272"/>
    <cellStyle name="표준 6 3 5 4 2 4 3 2" xfId="44737"/>
    <cellStyle name="표준 6 3 5 4 2 4 4" xfId="29773"/>
    <cellStyle name="표준 6 3 5 4 2 5" xfId="14781"/>
    <cellStyle name="표준 6 3 5 4 2 5 2" xfId="37248"/>
    <cellStyle name="표준 6 3 5 4 2 6" xfId="22265"/>
    <cellStyle name="표준 6 3 5 4 2 6 2" xfId="44730"/>
    <cellStyle name="표준 6 3 5 4 2 7" xfId="29766"/>
    <cellStyle name="표준 6 3 5 4 3" xfId="7304"/>
    <cellStyle name="표준 6 3 5 4 3 2" xfId="7305"/>
    <cellStyle name="표준 6 3 5 4 3 2 2" xfId="7306"/>
    <cellStyle name="표준 6 3 5 4 3 2 2 2" xfId="14791"/>
    <cellStyle name="표준 6 3 5 4 3 2 2 2 2" xfId="37258"/>
    <cellStyle name="표준 6 3 5 4 3 2 2 3" xfId="22275"/>
    <cellStyle name="표준 6 3 5 4 3 2 2 3 2" xfId="44740"/>
    <cellStyle name="표준 6 3 5 4 3 2 2 4" xfId="29776"/>
    <cellStyle name="표준 6 3 5 4 3 2 3" xfId="14790"/>
    <cellStyle name="표준 6 3 5 4 3 2 3 2" xfId="37257"/>
    <cellStyle name="표준 6 3 5 4 3 2 4" xfId="22274"/>
    <cellStyle name="표준 6 3 5 4 3 2 4 2" xfId="44739"/>
    <cellStyle name="표준 6 3 5 4 3 2 5" xfId="29775"/>
    <cellStyle name="표준 6 3 5 4 3 3" xfId="7307"/>
    <cellStyle name="표준 6 3 5 4 3 3 2" xfId="14792"/>
    <cellStyle name="표준 6 3 5 4 3 3 2 2" xfId="37259"/>
    <cellStyle name="표준 6 3 5 4 3 3 3" xfId="22276"/>
    <cellStyle name="표준 6 3 5 4 3 3 3 2" xfId="44741"/>
    <cellStyle name="표준 6 3 5 4 3 3 4" xfId="29777"/>
    <cellStyle name="표준 6 3 5 4 3 4" xfId="14789"/>
    <cellStyle name="표준 6 3 5 4 3 4 2" xfId="37256"/>
    <cellStyle name="표준 6 3 5 4 3 5" xfId="22273"/>
    <cellStyle name="표준 6 3 5 4 3 5 2" xfId="44738"/>
    <cellStyle name="표준 6 3 5 4 3 6" xfId="29774"/>
    <cellStyle name="표준 6 3 5 4 4" xfId="7308"/>
    <cellStyle name="표준 6 3 5 4 4 2" xfId="7309"/>
    <cellStyle name="표준 6 3 5 4 4 2 2" xfId="14794"/>
    <cellStyle name="표준 6 3 5 4 4 2 2 2" xfId="37261"/>
    <cellStyle name="표준 6 3 5 4 4 2 3" xfId="22278"/>
    <cellStyle name="표준 6 3 5 4 4 2 3 2" xfId="44743"/>
    <cellStyle name="표준 6 3 5 4 4 2 4" xfId="29779"/>
    <cellStyle name="표준 6 3 5 4 4 3" xfId="14793"/>
    <cellStyle name="표준 6 3 5 4 4 3 2" xfId="37260"/>
    <cellStyle name="표준 6 3 5 4 4 4" xfId="22277"/>
    <cellStyle name="표준 6 3 5 4 4 4 2" xfId="44742"/>
    <cellStyle name="표준 6 3 5 4 4 5" xfId="29778"/>
    <cellStyle name="표준 6 3 5 4 5" xfId="7310"/>
    <cellStyle name="표준 6 3 5 4 5 2" xfId="14795"/>
    <cellStyle name="표준 6 3 5 4 5 2 2" xfId="37262"/>
    <cellStyle name="표준 6 3 5 4 5 3" xfId="22279"/>
    <cellStyle name="표준 6 3 5 4 5 3 2" xfId="44744"/>
    <cellStyle name="표준 6 3 5 4 5 4" xfId="29780"/>
    <cellStyle name="표준 6 3 5 4 6" xfId="14780"/>
    <cellStyle name="표준 6 3 5 4 6 2" xfId="37247"/>
    <cellStyle name="표준 6 3 5 4 7" xfId="22264"/>
    <cellStyle name="표준 6 3 5 4 7 2" xfId="44729"/>
    <cellStyle name="표준 6 3 5 4 8" xfId="29765"/>
    <cellStyle name="표준 6 3 5 5" xfId="7311"/>
    <cellStyle name="표준 6 3 5 5 2" xfId="7312"/>
    <cellStyle name="표준 6 3 5 5 2 2" xfId="7313"/>
    <cellStyle name="표준 6 3 5 5 2 2 2" xfId="7314"/>
    <cellStyle name="표준 6 3 5 5 2 2 2 2" xfId="14799"/>
    <cellStyle name="표준 6 3 5 5 2 2 2 2 2" xfId="37266"/>
    <cellStyle name="표준 6 3 5 5 2 2 2 3" xfId="22283"/>
    <cellStyle name="표준 6 3 5 5 2 2 2 3 2" xfId="44748"/>
    <cellStyle name="표준 6 3 5 5 2 2 2 4" xfId="29784"/>
    <cellStyle name="표준 6 3 5 5 2 2 3" xfId="14798"/>
    <cellStyle name="표준 6 3 5 5 2 2 3 2" xfId="37265"/>
    <cellStyle name="표준 6 3 5 5 2 2 4" xfId="22282"/>
    <cellStyle name="표준 6 3 5 5 2 2 4 2" xfId="44747"/>
    <cellStyle name="표준 6 3 5 5 2 2 5" xfId="29783"/>
    <cellStyle name="표준 6 3 5 5 2 3" xfId="7315"/>
    <cellStyle name="표준 6 3 5 5 2 3 2" xfId="14800"/>
    <cellStyle name="표준 6 3 5 5 2 3 2 2" xfId="37267"/>
    <cellStyle name="표준 6 3 5 5 2 3 3" xfId="22284"/>
    <cellStyle name="표준 6 3 5 5 2 3 3 2" xfId="44749"/>
    <cellStyle name="표준 6 3 5 5 2 3 4" xfId="29785"/>
    <cellStyle name="표준 6 3 5 5 2 4" xfId="14797"/>
    <cellStyle name="표준 6 3 5 5 2 4 2" xfId="37264"/>
    <cellStyle name="표준 6 3 5 5 2 5" xfId="22281"/>
    <cellStyle name="표준 6 3 5 5 2 5 2" xfId="44746"/>
    <cellStyle name="표준 6 3 5 5 2 6" xfId="29782"/>
    <cellStyle name="표준 6 3 5 5 3" xfId="7316"/>
    <cellStyle name="표준 6 3 5 5 3 2" xfId="7317"/>
    <cellStyle name="표준 6 3 5 5 3 2 2" xfId="14802"/>
    <cellStyle name="표준 6 3 5 5 3 2 2 2" xfId="37269"/>
    <cellStyle name="표준 6 3 5 5 3 2 3" xfId="22286"/>
    <cellStyle name="표준 6 3 5 5 3 2 3 2" xfId="44751"/>
    <cellStyle name="표준 6 3 5 5 3 2 4" xfId="29787"/>
    <cellStyle name="표준 6 3 5 5 3 3" xfId="14801"/>
    <cellStyle name="표준 6 3 5 5 3 3 2" xfId="37268"/>
    <cellStyle name="표준 6 3 5 5 3 4" xfId="22285"/>
    <cellStyle name="표준 6 3 5 5 3 4 2" xfId="44750"/>
    <cellStyle name="표준 6 3 5 5 3 5" xfId="29786"/>
    <cellStyle name="표준 6 3 5 5 4" xfId="7318"/>
    <cellStyle name="표준 6 3 5 5 4 2" xfId="14803"/>
    <cellStyle name="표준 6 3 5 5 4 2 2" xfId="37270"/>
    <cellStyle name="표준 6 3 5 5 4 3" xfId="22287"/>
    <cellStyle name="표준 6 3 5 5 4 3 2" xfId="44752"/>
    <cellStyle name="표준 6 3 5 5 4 4" xfId="29788"/>
    <cellStyle name="표준 6 3 5 5 5" xfId="14796"/>
    <cellStyle name="표준 6 3 5 5 5 2" xfId="37263"/>
    <cellStyle name="표준 6 3 5 5 6" xfId="22280"/>
    <cellStyle name="표준 6 3 5 5 6 2" xfId="44745"/>
    <cellStyle name="표준 6 3 5 5 7" xfId="29781"/>
    <cellStyle name="표준 6 3 5 6" xfId="7319"/>
    <cellStyle name="표준 6 3 5 6 2" xfId="7320"/>
    <cellStyle name="표준 6 3 5 6 2 2" xfId="7321"/>
    <cellStyle name="표준 6 3 5 6 2 2 2" xfId="14806"/>
    <cellStyle name="표준 6 3 5 6 2 2 2 2" xfId="37273"/>
    <cellStyle name="표준 6 3 5 6 2 2 3" xfId="22290"/>
    <cellStyle name="표준 6 3 5 6 2 2 3 2" xfId="44755"/>
    <cellStyle name="표준 6 3 5 6 2 2 4" xfId="29791"/>
    <cellStyle name="표준 6 3 5 6 2 3" xfId="14805"/>
    <cellStyle name="표준 6 3 5 6 2 3 2" xfId="37272"/>
    <cellStyle name="표준 6 3 5 6 2 4" xfId="22289"/>
    <cellStyle name="표준 6 3 5 6 2 4 2" xfId="44754"/>
    <cellStyle name="표준 6 3 5 6 2 5" xfId="29790"/>
    <cellStyle name="표준 6 3 5 6 3" xfId="7322"/>
    <cellStyle name="표준 6 3 5 6 3 2" xfId="14807"/>
    <cellStyle name="표준 6 3 5 6 3 2 2" xfId="37274"/>
    <cellStyle name="표준 6 3 5 6 3 3" xfId="22291"/>
    <cellStyle name="표준 6 3 5 6 3 3 2" xfId="44756"/>
    <cellStyle name="표준 6 3 5 6 3 4" xfId="29792"/>
    <cellStyle name="표준 6 3 5 6 4" xfId="14804"/>
    <cellStyle name="표준 6 3 5 6 4 2" xfId="37271"/>
    <cellStyle name="표준 6 3 5 6 5" xfId="22288"/>
    <cellStyle name="표준 6 3 5 6 5 2" xfId="44753"/>
    <cellStyle name="표준 6 3 5 6 6" xfId="29789"/>
    <cellStyle name="표준 6 3 5 7" xfId="7323"/>
    <cellStyle name="표준 6 3 5 7 2" xfId="7324"/>
    <cellStyle name="표준 6 3 5 7 2 2" xfId="14809"/>
    <cellStyle name="표준 6 3 5 7 2 2 2" xfId="37276"/>
    <cellStyle name="표준 6 3 5 7 2 3" xfId="22293"/>
    <cellStyle name="표준 6 3 5 7 2 3 2" xfId="44758"/>
    <cellStyle name="표준 6 3 5 7 2 4" xfId="29794"/>
    <cellStyle name="표준 6 3 5 7 3" xfId="14808"/>
    <cellStyle name="표준 6 3 5 7 3 2" xfId="37275"/>
    <cellStyle name="표준 6 3 5 7 4" xfId="22292"/>
    <cellStyle name="표준 6 3 5 7 4 2" xfId="44757"/>
    <cellStyle name="표준 6 3 5 7 5" xfId="29793"/>
    <cellStyle name="표준 6 3 5 8" xfId="7325"/>
    <cellStyle name="표준 6 3 5 8 2" xfId="14810"/>
    <cellStyle name="표준 6 3 5 8 2 2" xfId="37277"/>
    <cellStyle name="표준 6 3 5 8 3" xfId="22294"/>
    <cellStyle name="표준 6 3 5 8 3 2" xfId="44759"/>
    <cellStyle name="표준 6 3 5 8 4" xfId="29795"/>
    <cellStyle name="표준 6 3 5 9" xfId="14715"/>
    <cellStyle name="표준 6 3 5 9 2" xfId="37182"/>
    <cellStyle name="표준 6 3 6" xfId="7326"/>
    <cellStyle name="표준 6 3 6 10" xfId="29796"/>
    <cellStyle name="표준 6 3 6 2" xfId="7327"/>
    <cellStyle name="표준 6 3 6 2 2" xfId="7328"/>
    <cellStyle name="표준 6 3 6 2 2 2" xfId="7329"/>
    <cellStyle name="표준 6 3 6 2 2 2 2" xfId="7330"/>
    <cellStyle name="표준 6 3 6 2 2 2 2 2" xfId="7331"/>
    <cellStyle name="표준 6 3 6 2 2 2 2 2 2" xfId="14816"/>
    <cellStyle name="표준 6 3 6 2 2 2 2 2 2 2" xfId="37283"/>
    <cellStyle name="표준 6 3 6 2 2 2 2 2 3" xfId="22300"/>
    <cellStyle name="표준 6 3 6 2 2 2 2 2 3 2" xfId="44765"/>
    <cellStyle name="표준 6 3 6 2 2 2 2 2 4" xfId="29801"/>
    <cellStyle name="표준 6 3 6 2 2 2 2 3" xfId="14815"/>
    <cellStyle name="표준 6 3 6 2 2 2 2 3 2" xfId="37282"/>
    <cellStyle name="표준 6 3 6 2 2 2 2 4" xfId="22299"/>
    <cellStyle name="표준 6 3 6 2 2 2 2 4 2" xfId="44764"/>
    <cellStyle name="표준 6 3 6 2 2 2 2 5" xfId="29800"/>
    <cellStyle name="표준 6 3 6 2 2 2 3" xfId="7332"/>
    <cellStyle name="표준 6 3 6 2 2 2 3 2" xfId="14817"/>
    <cellStyle name="표준 6 3 6 2 2 2 3 2 2" xfId="37284"/>
    <cellStyle name="표준 6 3 6 2 2 2 3 3" xfId="22301"/>
    <cellStyle name="표준 6 3 6 2 2 2 3 3 2" xfId="44766"/>
    <cellStyle name="표준 6 3 6 2 2 2 3 4" xfId="29802"/>
    <cellStyle name="표준 6 3 6 2 2 2 4" xfId="14814"/>
    <cellStyle name="표준 6 3 6 2 2 2 4 2" xfId="37281"/>
    <cellStyle name="표준 6 3 6 2 2 2 5" xfId="22298"/>
    <cellStyle name="표준 6 3 6 2 2 2 5 2" xfId="44763"/>
    <cellStyle name="표준 6 3 6 2 2 2 6" xfId="29799"/>
    <cellStyle name="표준 6 3 6 2 2 3" xfId="7333"/>
    <cellStyle name="표준 6 3 6 2 2 3 2" xfId="7334"/>
    <cellStyle name="표준 6 3 6 2 2 3 2 2" xfId="14819"/>
    <cellStyle name="표준 6 3 6 2 2 3 2 2 2" xfId="37286"/>
    <cellStyle name="표준 6 3 6 2 2 3 2 3" xfId="22303"/>
    <cellStyle name="표준 6 3 6 2 2 3 2 3 2" xfId="44768"/>
    <cellStyle name="표준 6 3 6 2 2 3 2 4" xfId="29804"/>
    <cellStyle name="표준 6 3 6 2 2 3 3" xfId="14818"/>
    <cellStyle name="표준 6 3 6 2 2 3 3 2" xfId="37285"/>
    <cellStyle name="표준 6 3 6 2 2 3 4" xfId="22302"/>
    <cellStyle name="표준 6 3 6 2 2 3 4 2" xfId="44767"/>
    <cellStyle name="표준 6 3 6 2 2 3 5" xfId="29803"/>
    <cellStyle name="표준 6 3 6 2 2 4" xfId="7335"/>
    <cellStyle name="표준 6 3 6 2 2 4 2" xfId="14820"/>
    <cellStyle name="표준 6 3 6 2 2 4 2 2" xfId="37287"/>
    <cellStyle name="표준 6 3 6 2 2 4 3" xfId="22304"/>
    <cellStyle name="표준 6 3 6 2 2 4 3 2" xfId="44769"/>
    <cellStyle name="표준 6 3 6 2 2 4 4" xfId="29805"/>
    <cellStyle name="표준 6 3 6 2 2 5" xfId="14813"/>
    <cellStyle name="표준 6 3 6 2 2 5 2" xfId="37280"/>
    <cellStyle name="표준 6 3 6 2 2 6" xfId="22297"/>
    <cellStyle name="표준 6 3 6 2 2 6 2" xfId="44762"/>
    <cellStyle name="표준 6 3 6 2 2 7" xfId="29798"/>
    <cellStyle name="표준 6 3 6 2 3" xfId="7336"/>
    <cellStyle name="표준 6 3 6 2 3 2" xfId="7337"/>
    <cellStyle name="표준 6 3 6 2 3 2 2" xfId="7338"/>
    <cellStyle name="표준 6 3 6 2 3 2 2 2" xfId="14823"/>
    <cellStyle name="표준 6 3 6 2 3 2 2 2 2" xfId="37290"/>
    <cellStyle name="표준 6 3 6 2 3 2 2 3" xfId="22307"/>
    <cellStyle name="표준 6 3 6 2 3 2 2 3 2" xfId="44772"/>
    <cellStyle name="표준 6 3 6 2 3 2 2 4" xfId="29808"/>
    <cellStyle name="표준 6 3 6 2 3 2 3" xfId="14822"/>
    <cellStyle name="표준 6 3 6 2 3 2 3 2" xfId="37289"/>
    <cellStyle name="표준 6 3 6 2 3 2 4" xfId="22306"/>
    <cellStyle name="표준 6 3 6 2 3 2 4 2" xfId="44771"/>
    <cellStyle name="표준 6 3 6 2 3 2 5" xfId="29807"/>
    <cellStyle name="표준 6 3 6 2 3 3" xfId="7339"/>
    <cellStyle name="표준 6 3 6 2 3 3 2" xfId="14824"/>
    <cellStyle name="표준 6 3 6 2 3 3 2 2" xfId="37291"/>
    <cellStyle name="표준 6 3 6 2 3 3 3" xfId="22308"/>
    <cellStyle name="표준 6 3 6 2 3 3 3 2" xfId="44773"/>
    <cellStyle name="표준 6 3 6 2 3 3 4" xfId="29809"/>
    <cellStyle name="표준 6 3 6 2 3 4" xfId="14821"/>
    <cellStyle name="표준 6 3 6 2 3 4 2" xfId="37288"/>
    <cellStyle name="표준 6 3 6 2 3 5" xfId="22305"/>
    <cellStyle name="표준 6 3 6 2 3 5 2" xfId="44770"/>
    <cellStyle name="표준 6 3 6 2 3 6" xfId="29806"/>
    <cellStyle name="표준 6 3 6 2 4" xfId="7340"/>
    <cellStyle name="표준 6 3 6 2 4 2" xfId="7341"/>
    <cellStyle name="표준 6 3 6 2 4 2 2" xfId="14826"/>
    <cellStyle name="표준 6 3 6 2 4 2 2 2" xfId="37293"/>
    <cellStyle name="표준 6 3 6 2 4 2 3" xfId="22310"/>
    <cellStyle name="표준 6 3 6 2 4 2 3 2" xfId="44775"/>
    <cellStyle name="표준 6 3 6 2 4 2 4" xfId="29811"/>
    <cellStyle name="표준 6 3 6 2 4 3" xfId="14825"/>
    <cellStyle name="표준 6 3 6 2 4 3 2" xfId="37292"/>
    <cellStyle name="표준 6 3 6 2 4 4" xfId="22309"/>
    <cellStyle name="표준 6 3 6 2 4 4 2" xfId="44774"/>
    <cellStyle name="표준 6 3 6 2 4 5" xfId="29810"/>
    <cellStyle name="표준 6 3 6 2 5" xfId="7342"/>
    <cellStyle name="표준 6 3 6 2 5 2" xfId="14827"/>
    <cellStyle name="표준 6 3 6 2 5 2 2" xfId="37294"/>
    <cellStyle name="표준 6 3 6 2 5 3" xfId="22311"/>
    <cellStyle name="표준 6 3 6 2 5 3 2" xfId="44776"/>
    <cellStyle name="표준 6 3 6 2 5 4" xfId="29812"/>
    <cellStyle name="표준 6 3 6 2 6" xfId="14812"/>
    <cellStyle name="표준 6 3 6 2 6 2" xfId="37279"/>
    <cellStyle name="표준 6 3 6 2 7" xfId="22296"/>
    <cellStyle name="표준 6 3 6 2 7 2" xfId="44761"/>
    <cellStyle name="표준 6 3 6 2 8" xfId="29797"/>
    <cellStyle name="표준 6 3 6 3" xfId="7343"/>
    <cellStyle name="표준 6 3 6 3 2" xfId="7344"/>
    <cellStyle name="표준 6 3 6 3 2 2" xfId="7345"/>
    <cellStyle name="표준 6 3 6 3 2 2 2" xfId="7346"/>
    <cellStyle name="표준 6 3 6 3 2 2 2 2" xfId="7347"/>
    <cellStyle name="표준 6 3 6 3 2 2 2 2 2" xfId="14832"/>
    <cellStyle name="표준 6 3 6 3 2 2 2 2 2 2" xfId="37299"/>
    <cellStyle name="표준 6 3 6 3 2 2 2 2 3" xfId="22316"/>
    <cellStyle name="표준 6 3 6 3 2 2 2 2 3 2" xfId="44781"/>
    <cellStyle name="표준 6 3 6 3 2 2 2 2 4" xfId="29817"/>
    <cellStyle name="표준 6 3 6 3 2 2 2 3" xfId="14831"/>
    <cellStyle name="표준 6 3 6 3 2 2 2 3 2" xfId="37298"/>
    <cellStyle name="표준 6 3 6 3 2 2 2 4" xfId="22315"/>
    <cellStyle name="표준 6 3 6 3 2 2 2 4 2" xfId="44780"/>
    <cellStyle name="표준 6 3 6 3 2 2 2 5" xfId="29816"/>
    <cellStyle name="표준 6 3 6 3 2 2 3" xfId="7348"/>
    <cellStyle name="표준 6 3 6 3 2 2 3 2" xfId="14833"/>
    <cellStyle name="표준 6 3 6 3 2 2 3 2 2" xfId="37300"/>
    <cellStyle name="표준 6 3 6 3 2 2 3 3" xfId="22317"/>
    <cellStyle name="표준 6 3 6 3 2 2 3 3 2" xfId="44782"/>
    <cellStyle name="표준 6 3 6 3 2 2 3 4" xfId="29818"/>
    <cellStyle name="표준 6 3 6 3 2 2 4" xfId="14830"/>
    <cellStyle name="표준 6 3 6 3 2 2 4 2" xfId="37297"/>
    <cellStyle name="표준 6 3 6 3 2 2 5" xfId="22314"/>
    <cellStyle name="표준 6 3 6 3 2 2 5 2" xfId="44779"/>
    <cellStyle name="표준 6 3 6 3 2 2 6" xfId="29815"/>
    <cellStyle name="표준 6 3 6 3 2 3" xfId="7349"/>
    <cellStyle name="표준 6 3 6 3 2 3 2" xfId="7350"/>
    <cellStyle name="표준 6 3 6 3 2 3 2 2" xfId="14835"/>
    <cellStyle name="표준 6 3 6 3 2 3 2 2 2" xfId="37302"/>
    <cellStyle name="표준 6 3 6 3 2 3 2 3" xfId="22319"/>
    <cellStyle name="표준 6 3 6 3 2 3 2 3 2" xfId="44784"/>
    <cellStyle name="표준 6 3 6 3 2 3 2 4" xfId="29820"/>
    <cellStyle name="표준 6 3 6 3 2 3 3" xfId="14834"/>
    <cellStyle name="표준 6 3 6 3 2 3 3 2" xfId="37301"/>
    <cellStyle name="표준 6 3 6 3 2 3 4" xfId="22318"/>
    <cellStyle name="표준 6 3 6 3 2 3 4 2" xfId="44783"/>
    <cellStyle name="표준 6 3 6 3 2 3 5" xfId="29819"/>
    <cellStyle name="표준 6 3 6 3 2 4" xfId="7351"/>
    <cellStyle name="표준 6 3 6 3 2 4 2" xfId="14836"/>
    <cellStyle name="표준 6 3 6 3 2 4 2 2" xfId="37303"/>
    <cellStyle name="표준 6 3 6 3 2 4 3" xfId="22320"/>
    <cellStyle name="표준 6 3 6 3 2 4 3 2" xfId="44785"/>
    <cellStyle name="표준 6 3 6 3 2 4 4" xfId="29821"/>
    <cellStyle name="표준 6 3 6 3 2 5" xfId="14829"/>
    <cellStyle name="표준 6 3 6 3 2 5 2" xfId="37296"/>
    <cellStyle name="표준 6 3 6 3 2 6" xfId="22313"/>
    <cellStyle name="표준 6 3 6 3 2 6 2" xfId="44778"/>
    <cellStyle name="표준 6 3 6 3 2 7" xfId="29814"/>
    <cellStyle name="표준 6 3 6 3 3" xfId="7352"/>
    <cellStyle name="표준 6 3 6 3 3 2" xfId="7353"/>
    <cellStyle name="표준 6 3 6 3 3 2 2" xfId="7354"/>
    <cellStyle name="표준 6 3 6 3 3 2 2 2" xfId="14839"/>
    <cellStyle name="표준 6 3 6 3 3 2 2 2 2" xfId="37306"/>
    <cellStyle name="표준 6 3 6 3 3 2 2 3" xfId="22323"/>
    <cellStyle name="표준 6 3 6 3 3 2 2 3 2" xfId="44788"/>
    <cellStyle name="표준 6 3 6 3 3 2 2 4" xfId="29824"/>
    <cellStyle name="표준 6 3 6 3 3 2 3" xfId="14838"/>
    <cellStyle name="표준 6 3 6 3 3 2 3 2" xfId="37305"/>
    <cellStyle name="표준 6 3 6 3 3 2 4" xfId="22322"/>
    <cellStyle name="표준 6 3 6 3 3 2 4 2" xfId="44787"/>
    <cellStyle name="표준 6 3 6 3 3 2 5" xfId="29823"/>
    <cellStyle name="표준 6 3 6 3 3 3" xfId="7355"/>
    <cellStyle name="표준 6 3 6 3 3 3 2" xfId="14840"/>
    <cellStyle name="표준 6 3 6 3 3 3 2 2" xfId="37307"/>
    <cellStyle name="표준 6 3 6 3 3 3 3" xfId="22324"/>
    <cellStyle name="표준 6 3 6 3 3 3 3 2" xfId="44789"/>
    <cellStyle name="표준 6 3 6 3 3 3 4" xfId="29825"/>
    <cellStyle name="표준 6 3 6 3 3 4" xfId="14837"/>
    <cellStyle name="표준 6 3 6 3 3 4 2" xfId="37304"/>
    <cellStyle name="표준 6 3 6 3 3 5" xfId="22321"/>
    <cellStyle name="표준 6 3 6 3 3 5 2" xfId="44786"/>
    <cellStyle name="표준 6 3 6 3 3 6" xfId="29822"/>
    <cellStyle name="표준 6 3 6 3 4" xfId="7356"/>
    <cellStyle name="표준 6 3 6 3 4 2" xfId="7357"/>
    <cellStyle name="표준 6 3 6 3 4 2 2" xfId="14842"/>
    <cellStyle name="표준 6 3 6 3 4 2 2 2" xfId="37309"/>
    <cellStyle name="표준 6 3 6 3 4 2 3" xfId="22326"/>
    <cellStyle name="표준 6 3 6 3 4 2 3 2" xfId="44791"/>
    <cellStyle name="표준 6 3 6 3 4 2 4" xfId="29827"/>
    <cellStyle name="표준 6 3 6 3 4 3" xfId="14841"/>
    <cellStyle name="표준 6 3 6 3 4 3 2" xfId="37308"/>
    <cellStyle name="표준 6 3 6 3 4 4" xfId="22325"/>
    <cellStyle name="표준 6 3 6 3 4 4 2" xfId="44790"/>
    <cellStyle name="표준 6 3 6 3 4 5" xfId="29826"/>
    <cellStyle name="표준 6 3 6 3 5" xfId="7358"/>
    <cellStyle name="표준 6 3 6 3 5 2" xfId="14843"/>
    <cellStyle name="표준 6 3 6 3 5 2 2" xfId="37310"/>
    <cellStyle name="표준 6 3 6 3 5 3" xfId="22327"/>
    <cellStyle name="표준 6 3 6 3 5 3 2" xfId="44792"/>
    <cellStyle name="표준 6 3 6 3 5 4" xfId="29828"/>
    <cellStyle name="표준 6 3 6 3 6" xfId="14828"/>
    <cellStyle name="표준 6 3 6 3 6 2" xfId="37295"/>
    <cellStyle name="표준 6 3 6 3 7" xfId="22312"/>
    <cellStyle name="표준 6 3 6 3 7 2" xfId="44777"/>
    <cellStyle name="표준 6 3 6 3 8" xfId="29813"/>
    <cellStyle name="표준 6 3 6 4" xfId="7359"/>
    <cellStyle name="표준 6 3 6 4 2" xfId="7360"/>
    <cellStyle name="표준 6 3 6 4 2 2" xfId="7361"/>
    <cellStyle name="표준 6 3 6 4 2 2 2" xfId="7362"/>
    <cellStyle name="표준 6 3 6 4 2 2 2 2" xfId="14847"/>
    <cellStyle name="표준 6 3 6 4 2 2 2 2 2" xfId="37314"/>
    <cellStyle name="표준 6 3 6 4 2 2 2 3" xfId="22331"/>
    <cellStyle name="표준 6 3 6 4 2 2 2 3 2" xfId="44796"/>
    <cellStyle name="표준 6 3 6 4 2 2 2 4" xfId="29832"/>
    <cellStyle name="표준 6 3 6 4 2 2 3" xfId="14846"/>
    <cellStyle name="표준 6 3 6 4 2 2 3 2" xfId="37313"/>
    <cellStyle name="표준 6 3 6 4 2 2 4" xfId="22330"/>
    <cellStyle name="표준 6 3 6 4 2 2 4 2" xfId="44795"/>
    <cellStyle name="표준 6 3 6 4 2 2 5" xfId="29831"/>
    <cellStyle name="표준 6 3 6 4 2 3" xfId="7363"/>
    <cellStyle name="표준 6 3 6 4 2 3 2" xfId="14848"/>
    <cellStyle name="표준 6 3 6 4 2 3 2 2" xfId="37315"/>
    <cellStyle name="표준 6 3 6 4 2 3 3" xfId="22332"/>
    <cellStyle name="표준 6 3 6 4 2 3 3 2" xfId="44797"/>
    <cellStyle name="표준 6 3 6 4 2 3 4" xfId="29833"/>
    <cellStyle name="표준 6 3 6 4 2 4" xfId="14845"/>
    <cellStyle name="표준 6 3 6 4 2 4 2" xfId="37312"/>
    <cellStyle name="표준 6 3 6 4 2 5" xfId="22329"/>
    <cellStyle name="표준 6 3 6 4 2 5 2" xfId="44794"/>
    <cellStyle name="표준 6 3 6 4 2 6" xfId="29830"/>
    <cellStyle name="표준 6 3 6 4 3" xfId="7364"/>
    <cellStyle name="표준 6 3 6 4 3 2" xfId="7365"/>
    <cellStyle name="표준 6 3 6 4 3 2 2" xfId="14850"/>
    <cellStyle name="표준 6 3 6 4 3 2 2 2" xfId="37317"/>
    <cellStyle name="표준 6 3 6 4 3 2 3" xfId="22334"/>
    <cellStyle name="표준 6 3 6 4 3 2 3 2" xfId="44799"/>
    <cellStyle name="표준 6 3 6 4 3 2 4" xfId="29835"/>
    <cellStyle name="표준 6 3 6 4 3 3" xfId="14849"/>
    <cellStyle name="표준 6 3 6 4 3 3 2" xfId="37316"/>
    <cellStyle name="표준 6 3 6 4 3 4" xfId="22333"/>
    <cellStyle name="표준 6 3 6 4 3 4 2" xfId="44798"/>
    <cellStyle name="표준 6 3 6 4 3 5" xfId="29834"/>
    <cellStyle name="표준 6 3 6 4 4" xfId="7366"/>
    <cellStyle name="표준 6 3 6 4 4 2" xfId="14851"/>
    <cellStyle name="표준 6 3 6 4 4 2 2" xfId="37318"/>
    <cellStyle name="표준 6 3 6 4 4 3" xfId="22335"/>
    <cellStyle name="표준 6 3 6 4 4 3 2" xfId="44800"/>
    <cellStyle name="표준 6 3 6 4 4 4" xfId="29836"/>
    <cellStyle name="표준 6 3 6 4 5" xfId="14844"/>
    <cellStyle name="표준 6 3 6 4 5 2" xfId="37311"/>
    <cellStyle name="표준 6 3 6 4 6" xfId="22328"/>
    <cellStyle name="표준 6 3 6 4 6 2" xfId="44793"/>
    <cellStyle name="표준 6 3 6 4 7" xfId="29829"/>
    <cellStyle name="표준 6 3 6 5" xfId="7367"/>
    <cellStyle name="표준 6 3 6 5 2" xfId="7368"/>
    <cellStyle name="표준 6 3 6 5 2 2" xfId="7369"/>
    <cellStyle name="표준 6 3 6 5 2 2 2" xfId="14854"/>
    <cellStyle name="표준 6 3 6 5 2 2 2 2" xfId="37321"/>
    <cellStyle name="표준 6 3 6 5 2 2 3" xfId="22338"/>
    <cellStyle name="표준 6 3 6 5 2 2 3 2" xfId="44803"/>
    <cellStyle name="표준 6 3 6 5 2 2 4" xfId="29839"/>
    <cellStyle name="표준 6 3 6 5 2 3" xfId="14853"/>
    <cellStyle name="표준 6 3 6 5 2 3 2" xfId="37320"/>
    <cellStyle name="표준 6 3 6 5 2 4" xfId="22337"/>
    <cellStyle name="표준 6 3 6 5 2 4 2" xfId="44802"/>
    <cellStyle name="표준 6 3 6 5 2 5" xfId="29838"/>
    <cellStyle name="표준 6 3 6 5 3" xfId="7370"/>
    <cellStyle name="표준 6 3 6 5 3 2" xfId="14855"/>
    <cellStyle name="표준 6 3 6 5 3 2 2" xfId="37322"/>
    <cellStyle name="표준 6 3 6 5 3 3" xfId="22339"/>
    <cellStyle name="표준 6 3 6 5 3 3 2" xfId="44804"/>
    <cellStyle name="표준 6 3 6 5 3 4" xfId="29840"/>
    <cellStyle name="표준 6 3 6 5 4" xfId="14852"/>
    <cellStyle name="표준 6 3 6 5 4 2" xfId="37319"/>
    <cellStyle name="표준 6 3 6 5 5" xfId="22336"/>
    <cellStyle name="표준 6 3 6 5 5 2" xfId="44801"/>
    <cellStyle name="표준 6 3 6 5 6" xfId="29837"/>
    <cellStyle name="표준 6 3 6 6" xfId="7371"/>
    <cellStyle name="표준 6 3 6 6 2" xfId="7372"/>
    <cellStyle name="표준 6 3 6 6 2 2" xfId="14857"/>
    <cellStyle name="표준 6 3 6 6 2 2 2" xfId="37324"/>
    <cellStyle name="표준 6 3 6 6 2 3" xfId="22341"/>
    <cellStyle name="표준 6 3 6 6 2 3 2" xfId="44806"/>
    <cellStyle name="표준 6 3 6 6 2 4" xfId="29842"/>
    <cellStyle name="표준 6 3 6 6 3" xfId="14856"/>
    <cellStyle name="표준 6 3 6 6 3 2" xfId="37323"/>
    <cellStyle name="표준 6 3 6 6 4" xfId="22340"/>
    <cellStyle name="표준 6 3 6 6 4 2" xfId="44805"/>
    <cellStyle name="표준 6 3 6 6 5" xfId="29841"/>
    <cellStyle name="표준 6 3 6 7" xfId="7373"/>
    <cellStyle name="표준 6 3 6 7 2" xfId="14858"/>
    <cellStyle name="표준 6 3 6 7 2 2" xfId="37325"/>
    <cellStyle name="표준 6 3 6 7 3" xfId="22342"/>
    <cellStyle name="표준 6 3 6 7 3 2" xfId="44807"/>
    <cellStyle name="표준 6 3 6 7 4" xfId="29843"/>
    <cellStyle name="표준 6 3 6 8" xfId="14811"/>
    <cellStyle name="표준 6 3 6 8 2" xfId="37278"/>
    <cellStyle name="표준 6 3 6 9" xfId="22295"/>
    <cellStyle name="표준 6 3 6 9 2" xfId="44760"/>
    <cellStyle name="표준 6 3 7" xfId="7374"/>
    <cellStyle name="표준 6 3 7 2" xfId="7375"/>
    <cellStyle name="표준 6 3 7 2 2" xfId="7376"/>
    <cellStyle name="표준 6 3 7 2 2 2" xfId="7377"/>
    <cellStyle name="표준 6 3 7 2 2 2 2" xfId="7378"/>
    <cellStyle name="표준 6 3 7 2 2 2 2 2" xfId="14863"/>
    <cellStyle name="표준 6 3 7 2 2 2 2 2 2" xfId="37330"/>
    <cellStyle name="표준 6 3 7 2 2 2 2 3" xfId="22347"/>
    <cellStyle name="표준 6 3 7 2 2 2 2 3 2" xfId="44812"/>
    <cellStyle name="표준 6 3 7 2 2 2 2 4" xfId="29848"/>
    <cellStyle name="표준 6 3 7 2 2 2 3" xfId="14862"/>
    <cellStyle name="표준 6 3 7 2 2 2 3 2" xfId="37329"/>
    <cellStyle name="표준 6 3 7 2 2 2 4" xfId="22346"/>
    <cellStyle name="표준 6 3 7 2 2 2 4 2" xfId="44811"/>
    <cellStyle name="표준 6 3 7 2 2 2 5" xfId="29847"/>
    <cellStyle name="표준 6 3 7 2 2 3" xfId="7379"/>
    <cellStyle name="표준 6 3 7 2 2 3 2" xfId="14864"/>
    <cellStyle name="표준 6 3 7 2 2 3 2 2" xfId="37331"/>
    <cellStyle name="표준 6 3 7 2 2 3 3" xfId="22348"/>
    <cellStyle name="표준 6 3 7 2 2 3 3 2" xfId="44813"/>
    <cellStyle name="표준 6 3 7 2 2 3 4" xfId="29849"/>
    <cellStyle name="표준 6 3 7 2 2 4" xfId="14861"/>
    <cellStyle name="표준 6 3 7 2 2 4 2" xfId="37328"/>
    <cellStyle name="표준 6 3 7 2 2 5" xfId="22345"/>
    <cellStyle name="표준 6 3 7 2 2 5 2" xfId="44810"/>
    <cellStyle name="표준 6 3 7 2 2 6" xfId="29846"/>
    <cellStyle name="표준 6 3 7 2 3" xfId="7380"/>
    <cellStyle name="표준 6 3 7 2 3 2" xfId="7381"/>
    <cellStyle name="표준 6 3 7 2 3 2 2" xfId="14866"/>
    <cellStyle name="표준 6 3 7 2 3 2 2 2" xfId="37333"/>
    <cellStyle name="표준 6 3 7 2 3 2 3" xfId="22350"/>
    <cellStyle name="표준 6 3 7 2 3 2 3 2" xfId="44815"/>
    <cellStyle name="표준 6 3 7 2 3 2 4" xfId="29851"/>
    <cellStyle name="표준 6 3 7 2 3 3" xfId="14865"/>
    <cellStyle name="표준 6 3 7 2 3 3 2" xfId="37332"/>
    <cellStyle name="표준 6 3 7 2 3 4" xfId="22349"/>
    <cellStyle name="표준 6 3 7 2 3 4 2" xfId="44814"/>
    <cellStyle name="표준 6 3 7 2 3 5" xfId="29850"/>
    <cellStyle name="표준 6 3 7 2 4" xfId="7382"/>
    <cellStyle name="표준 6 3 7 2 4 2" xfId="14867"/>
    <cellStyle name="표준 6 3 7 2 4 2 2" xfId="37334"/>
    <cellStyle name="표준 6 3 7 2 4 3" xfId="22351"/>
    <cellStyle name="표준 6 3 7 2 4 3 2" xfId="44816"/>
    <cellStyle name="표준 6 3 7 2 4 4" xfId="29852"/>
    <cellStyle name="표준 6 3 7 2 5" xfId="14860"/>
    <cellStyle name="표준 6 3 7 2 5 2" xfId="37327"/>
    <cellStyle name="표준 6 3 7 2 6" xfId="22344"/>
    <cellStyle name="표준 6 3 7 2 6 2" xfId="44809"/>
    <cellStyle name="표준 6 3 7 2 7" xfId="29845"/>
    <cellStyle name="표준 6 3 7 3" xfId="7383"/>
    <cellStyle name="표준 6 3 7 3 2" xfId="7384"/>
    <cellStyle name="표준 6 3 7 3 2 2" xfId="7385"/>
    <cellStyle name="표준 6 3 7 3 2 2 2" xfId="14870"/>
    <cellStyle name="표준 6 3 7 3 2 2 2 2" xfId="37337"/>
    <cellStyle name="표준 6 3 7 3 2 2 3" xfId="22354"/>
    <cellStyle name="표준 6 3 7 3 2 2 3 2" xfId="44819"/>
    <cellStyle name="표준 6 3 7 3 2 2 4" xfId="29855"/>
    <cellStyle name="표준 6 3 7 3 2 3" xfId="14869"/>
    <cellStyle name="표준 6 3 7 3 2 3 2" xfId="37336"/>
    <cellStyle name="표준 6 3 7 3 2 4" xfId="22353"/>
    <cellStyle name="표준 6 3 7 3 2 4 2" xfId="44818"/>
    <cellStyle name="표준 6 3 7 3 2 5" xfId="29854"/>
    <cellStyle name="표준 6 3 7 3 3" xfId="7386"/>
    <cellStyle name="표준 6 3 7 3 3 2" xfId="14871"/>
    <cellStyle name="표준 6 3 7 3 3 2 2" xfId="37338"/>
    <cellStyle name="표준 6 3 7 3 3 3" xfId="22355"/>
    <cellStyle name="표준 6 3 7 3 3 3 2" xfId="44820"/>
    <cellStyle name="표준 6 3 7 3 3 4" xfId="29856"/>
    <cellStyle name="표준 6 3 7 3 4" xfId="14868"/>
    <cellStyle name="표준 6 3 7 3 4 2" xfId="37335"/>
    <cellStyle name="표준 6 3 7 3 5" xfId="22352"/>
    <cellStyle name="표준 6 3 7 3 5 2" xfId="44817"/>
    <cellStyle name="표준 6 3 7 3 6" xfId="29853"/>
    <cellStyle name="표준 6 3 7 4" xfId="7387"/>
    <cellStyle name="표준 6 3 7 4 2" xfId="7388"/>
    <cellStyle name="표준 6 3 7 4 2 2" xfId="14873"/>
    <cellStyle name="표준 6 3 7 4 2 2 2" xfId="37340"/>
    <cellStyle name="표준 6 3 7 4 2 3" xfId="22357"/>
    <cellStyle name="표준 6 3 7 4 2 3 2" xfId="44822"/>
    <cellStyle name="표준 6 3 7 4 2 4" xfId="29858"/>
    <cellStyle name="표준 6 3 7 4 3" xfId="14872"/>
    <cellStyle name="표준 6 3 7 4 3 2" xfId="37339"/>
    <cellStyle name="표준 6 3 7 4 4" xfId="22356"/>
    <cellStyle name="표준 6 3 7 4 4 2" xfId="44821"/>
    <cellStyle name="표준 6 3 7 4 5" xfId="29857"/>
    <cellStyle name="표준 6 3 7 5" xfId="7389"/>
    <cellStyle name="표준 6 3 7 5 2" xfId="14874"/>
    <cellStyle name="표준 6 3 7 5 2 2" xfId="37341"/>
    <cellStyle name="표준 6 3 7 5 3" xfId="22358"/>
    <cellStyle name="표준 6 3 7 5 3 2" xfId="44823"/>
    <cellStyle name="표준 6 3 7 5 4" xfId="29859"/>
    <cellStyle name="표준 6 3 7 6" xfId="14859"/>
    <cellStyle name="표준 6 3 7 6 2" xfId="37326"/>
    <cellStyle name="표준 6 3 7 7" xfId="22343"/>
    <cellStyle name="표준 6 3 7 7 2" xfId="44808"/>
    <cellStyle name="표준 6 3 7 8" xfId="29844"/>
    <cellStyle name="표준 6 3 8" xfId="7390"/>
    <cellStyle name="표준 6 3 8 2" xfId="7391"/>
    <cellStyle name="표준 6 3 8 2 2" xfId="7392"/>
    <cellStyle name="표준 6 3 8 2 2 2" xfId="7393"/>
    <cellStyle name="표준 6 3 8 2 2 2 2" xfId="7394"/>
    <cellStyle name="표준 6 3 8 2 2 2 2 2" xfId="14879"/>
    <cellStyle name="표준 6 3 8 2 2 2 2 2 2" xfId="37346"/>
    <cellStyle name="표준 6 3 8 2 2 2 2 3" xfId="22363"/>
    <cellStyle name="표준 6 3 8 2 2 2 2 3 2" xfId="44828"/>
    <cellStyle name="표준 6 3 8 2 2 2 2 4" xfId="29864"/>
    <cellStyle name="표준 6 3 8 2 2 2 3" xfId="14878"/>
    <cellStyle name="표준 6 3 8 2 2 2 3 2" xfId="37345"/>
    <cellStyle name="표준 6 3 8 2 2 2 4" xfId="22362"/>
    <cellStyle name="표준 6 3 8 2 2 2 4 2" xfId="44827"/>
    <cellStyle name="표준 6 3 8 2 2 2 5" xfId="29863"/>
    <cellStyle name="표준 6 3 8 2 2 3" xfId="7395"/>
    <cellStyle name="표준 6 3 8 2 2 3 2" xfId="14880"/>
    <cellStyle name="표준 6 3 8 2 2 3 2 2" xfId="37347"/>
    <cellStyle name="표준 6 3 8 2 2 3 3" xfId="22364"/>
    <cellStyle name="표준 6 3 8 2 2 3 3 2" xfId="44829"/>
    <cellStyle name="표준 6 3 8 2 2 3 4" xfId="29865"/>
    <cellStyle name="표준 6 3 8 2 2 4" xfId="14877"/>
    <cellStyle name="표준 6 3 8 2 2 4 2" xfId="37344"/>
    <cellStyle name="표준 6 3 8 2 2 5" xfId="22361"/>
    <cellStyle name="표준 6 3 8 2 2 5 2" xfId="44826"/>
    <cellStyle name="표준 6 3 8 2 2 6" xfId="29862"/>
    <cellStyle name="표준 6 3 8 2 3" xfId="7396"/>
    <cellStyle name="표준 6 3 8 2 3 2" xfId="7397"/>
    <cellStyle name="표준 6 3 8 2 3 2 2" xfId="14882"/>
    <cellStyle name="표준 6 3 8 2 3 2 2 2" xfId="37349"/>
    <cellStyle name="표준 6 3 8 2 3 2 3" xfId="22366"/>
    <cellStyle name="표준 6 3 8 2 3 2 3 2" xfId="44831"/>
    <cellStyle name="표준 6 3 8 2 3 2 4" xfId="29867"/>
    <cellStyle name="표준 6 3 8 2 3 3" xfId="14881"/>
    <cellStyle name="표준 6 3 8 2 3 3 2" xfId="37348"/>
    <cellStyle name="표준 6 3 8 2 3 4" xfId="22365"/>
    <cellStyle name="표준 6 3 8 2 3 4 2" xfId="44830"/>
    <cellStyle name="표준 6 3 8 2 3 5" xfId="29866"/>
    <cellStyle name="표준 6 3 8 2 4" xfId="7398"/>
    <cellStyle name="표준 6 3 8 2 4 2" xfId="14883"/>
    <cellStyle name="표준 6 3 8 2 4 2 2" xfId="37350"/>
    <cellStyle name="표준 6 3 8 2 4 3" xfId="22367"/>
    <cellStyle name="표준 6 3 8 2 4 3 2" xfId="44832"/>
    <cellStyle name="표준 6 3 8 2 4 4" xfId="29868"/>
    <cellStyle name="표준 6 3 8 2 5" xfId="14876"/>
    <cellStyle name="표준 6 3 8 2 5 2" xfId="37343"/>
    <cellStyle name="표준 6 3 8 2 6" xfId="22360"/>
    <cellStyle name="표준 6 3 8 2 6 2" xfId="44825"/>
    <cellStyle name="표준 6 3 8 2 7" xfId="29861"/>
    <cellStyle name="표준 6 3 8 3" xfId="7399"/>
    <cellStyle name="표준 6 3 8 3 2" xfId="7400"/>
    <cellStyle name="표준 6 3 8 3 2 2" xfId="7401"/>
    <cellStyle name="표준 6 3 8 3 2 2 2" xfId="14886"/>
    <cellStyle name="표준 6 3 8 3 2 2 2 2" xfId="37353"/>
    <cellStyle name="표준 6 3 8 3 2 2 3" xfId="22370"/>
    <cellStyle name="표준 6 3 8 3 2 2 3 2" xfId="44835"/>
    <cellStyle name="표준 6 3 8 3 2 2 4" xfId="29871"/>
    <cellStyle name="표준 6 3 8 3 2 3" xfId="14885"/>
    <cellStyle name="표준 6 3 8 3 2 3 2" xfId="37352"/>
    <cellStyle name="표준 6 3 8 3 2 4" xfId="22369"/>
    <cellStyle name="표준 6 3 8 3 2 4 2" xfId="44834"/>
    <cellStyle name="표준 6 3 8 3 2 5" xfId="29870"/>
    <cellStyle name="표준 6 3 8 3 3" xfId="7402"/>
    <cellStyle name="표준 6 3 8 3 3 2" xfId="14887"/>
    <cellStyle name="표준 6 3 8 3 3 2 2" xfId="37354"/>
    <cellStyle name="표준 6 3 8 3 3 3" xfId="22371"/>
    <cellStyle name="표준 6 3 8 3 3 3 2" xfId="44836"/>
    <cellStyle name="표준 6 3 8 3 3 4" xfId="29872"/>
    <cellStyle name="표준 6 3 8 3 4" xfId="14884"/>
    <cellStyle name="표준 6 3 8 3 4 2" xfId="37351"/>
    <cellStyle name="표준 6 3 8 3 5" xfId="22368"/>
    <cellStyle name="표준 6 3 8 3 5 2" xfId="44833"/>
    <cellStyle name="표준 6 3 8 3 6" xfId="29869"/>
    <cellStyle name="표준 6 3 8 4" xfId="7403"/>
    <cellStyle name="표준 6 3 8 4 2" xfId="7404"/>
    <cellStyle name="표준 6 3 8 4 2 2" xfId="14889"/>
    <cellStyle name="표준 6 3 8 4 2 2 2" xfId="37356"/>
    <cellStyle name="표준 6 3 8 4 2 3" xfId="22373"/>
    <cellStyle name="표준 6 3 8 4 2 3 2" xfId="44838"/>
    <cellStyle name="표준 6 3 8 4 2 4" xfId="29874"/>
    <cellStyle name="표준 6 3 8 4 3" xfId="14888"/>
    <cellStyle name="표준 6 3 8 4 3 2" xfId="37355"/>
    <cellStyle name="표준 6 3 8 4 4" xfId="22372"/>
    <cellStyle name="표준 6 3 8 4 4 2" xfId="44837"/>
    <cellStyle name="표준 6 3 8 4 5" xfId="29873"/>
    <cellStyle name="표준 6 3 8 5" xfId="7405"/>
    <cellStyle name="표준 6 3 8 5 2" xfId="14890"/>
    <cellStyle name="표준 6 3 8 5 2 2" xfId="37357"/>
    <cellStyle name="표준 6 3 8 5 3" xfId="22374"/>
    <cellStyle name="표준 6 3 8 5 3 2" xfId="44839"/>
    <cellStyle name="표준 6 3 8 5 4" xfId="29875"/>
    <cellStyle name="표준 6 3 8 6" xfId="14875"/>
    <cellStyle name="표준 6 3 8 6 2" xfId="37342"/>
    <cellStyle name="표준 6 3 8 7" xfId="22359"/>
    <cellStyle name="표준 6 3 8 7 2" xfId="44824"/>
    <cellStyle name="표준 6 3 8 8" xfId="29860"/>
    <cellStyle name="표준 6 3 9" xfId="7406"/>
    <cellStyle name="표준 6 3 9 2" xfId="7407"/>
    <cellStyle name="표준 6 3 9 2 2" xfId="7408"/>
    <cellStyle name="표준 6 3 9 2 2 2" xfId="7409"/>
    <cellStyle name="표준 6 3 9 2 2 2 2" xfId="14894"/>
    <cellStyle name="표준 6 3 9 2 2 2 2 2" xfId="37361"/>
    <cellStyle name="표준 6 3 9 2 2 2 3" xfId="22378"/>
    <cellStyle name="표준 6 3 9 2 2 2 3 2" xfId="44843"/>
    <cellStyle name="표준 6 3 9 2 2 2 4" xfId="29879"/>
    <cellStyle name="표준 6 3 9 2 2 3" xfId="14893"/>
    <cellStyle name="표준 6 3 9 2 2 3 2" xfId="37360"/>
    <cellStyle name="표준 6 3 9 2 2 4" xfId="22377"/>
    <cellStyle name="표준 6 3 9 2 2 4 2" xfId="44842"/>
    <cellStyle name="표준 6 3 9 2 2 5" xfId="29878"/>
    <cellStyle name="표준 6 3 9 2 3" xfId="7410"/>
    <cellStyle name="표준 6 3 9 2 3 2" xfId="14895"/>
    <cellStyle name="표준 6 3 9 2 3 2 2" xfId="37362"/>
    <cellStyle name="표준 6 3 9 2 3 3" xfId="22379"/>
    <cellStyle name="표준 6 3 9 2 3 3 2" xfId="44844"/>
    <cellStyle name="표준 6 3 9 2 3 4" xfId="29880"/>
    <cellStyle name="표준 6 3 9 2 4" xfId="14892"/>
    <cellStyle name="표준 6 3 9 2 4 2" xfId="37359"/>
    <cellStyle name="표준 6 3 9 2 5" xfId="22376"/>
    <cellStyle name="표준 6 3 9 2 5 2" xfId="44841"/>
    <cellStyle name="표준 6 3 9 2 6" xfId="29877"/>
    <cellStyle name="표준 6 3 9 3" xfId="7411"/>
    <cellStyle name="표준 6 3 9 3 2" xfId="7412"/>
    <cellStyle name="표준 6 3 9 3 2 2" xfId="14897"/>
    <cellStyle name="표준 6 3 9 3 2 2 2" xfId="37364"/>
    <cellStyle name="표준 6 3 9 3 2 3" xfId="22381"/>
    <cellStyle name="표준 6 3 9 3 2 3 2" xfId="44846"/>
    <cellStyle name="표준 6 3 9 3 2 4" xfId="29882"/>
    <cellStyle name="표준 6 3 9 3 3" xfId="14896"/>
    <cellStyle name="표준 6 3 9 3 3 2" xfId="37363"/>
    <cellStyle name="표준 6 3 9 3 4" xfId="22380"/>
    <cellStyle name="표준 6 3 9 3 4 2" xfId="44845"/>
    <cellStyle name="표준 6 3 9 3 5" xfId="29881"/>
    <cellStyle name="표준 6 3 9 4" xfId="7413"/>
    <cellStyle name="표준 6 3 9 4 2" xfId="14898"/>
    <cellStyle name="표준 6 3 9 4 2 2" xfId="37365"/>
    <cellStyle name="표준 6 3 9 4 3" xfId="22382"/>
    <cellStyle name="표준 6 3 9 4 3 2" xfId="44847"/>
    <cellStyle name="표준 6 3 9 4 4" xfId="29883"/>
    <cellStyle name="표준 6 3 9 5" xfId="14891"/>
    <cellStyle name="표준 6 3 9 5 2" xfId="37358"/>
    <cellStyle name="표준 6 3 9 6" xfId="22375"/>
    <cellStyle name="표준 6 3 9 6 2" xfId="44840"/>
    <cellStyle name="표준 6 3 9 7" xfId="29876"/>
    <cellStyle name="표준 7" xfId="7414"/>
    <cellStyle name="표준 7 2" xfId="7415"/>
    <cellStyle name="표준 7 2 10" xfId="7416"/>
    <cellStyle name="표준 7 2 10 2" xfId="7417"/>
    <cellStyle name="표준 7 2 10 2 2" xfId="7418"/>
    <cellStyle name="표준 7 2 10 2 2 2" xfId="7419"/>
    <cellStyle name="표준 7 2 10 2 2 2 2" xfId="14903"/>
    <cellStyle name="표준 7 2 10 2 2 2 2 2" xfId="37370"/>
    <cellStyle name="표준 7 2 10 2 2 2 3" xfId="22387"/>
    <cellStyle name="표준 7 2 10 2 2 2 3 2" xfId="44852"/>
    <cellStyle name="표준 7 2 10 2 2 2 4" xfId="29888"/>
    <cellStyle name="표준 7 2 10 2 2 3" xfId="14902"/>
    <cellStyle name="표준 7 2 10 2 2 3 2" xfId="37369"/>
    <cellStyle name="표준 7 2 10 2 2 4" xfId="22386"/>
    <cellStyle name="표준 7 2 10 2 2 4 2" xfId="44851"/>
    <cellStyle name="표준 7 2 10 2 2 5" xfId="29887"/>
    <cellStyle name="표준 7 2 10 2 3" xfId="7420"/>
    <cellStyle name="표준 7 2 10 2 3 2" xfId="14904"/>
    <cellStyle name="표준 7 2 10 2 3 2 2" xfId="37371"/>
    <cellStyle name="표준 7 2 10 2 3 3" xfId="22388"/>
    <cellStyle name="표준 7 2 10 2 3 3 2" xfId="44853"/>
    <cellStyle name="표준 7 2 10 2 3 4" xfId="29889"/>
    <cellStyle name="표준 7 2 10 2 4" xfId="14901"/>
    <cellStyle name="표준 7 2 10 2 4 2" xfId="37368"/>
    <cellStyle name="표준 7 2 10 2 5" xfId="22385"/>
    <cellStyle name="표준 7 2 10 2 5 2" xfId="44850"/>
    <cellStyle name="표준 7 2 10 2 6" xfId="29886"/>
    <cellStyle name="표준 7 2 10 3" xfId="7421"/>
    <cellStyle name="표준 7 2 10 3 2" xfId="7422"/>
    <cellStyle name="표준 7 2 10 3 2 2" xfId="14906"/>
    <cellStyle name="표준 7 2 10 3 2 2 2" xfId="37373"/>
    <cellStyle name="표준 7 2 10 3 2 3" xfId="22390"/>
    <cellStyle name="표준 7 2 10 3 2 3 2" xfId="44855"/>
    <cellStyle name="표준 7 2 10 3 2 4" xfId="29891"/>
    <cellStyle name="표준 7 2 10 3 3" xfId="14905"/>
    <cellStyle name="표준 7 2 10 3 3 2" xfId="37372"/>
    <cellStyle name="표준 7 2 10 3 4" xfId="22389"/>
    <cellStyle name="표준 7 2 10 3 4 2" xfId="44854"/>
    <cellStyle name="표준 7 2 10 3 5" xfId="29890"/>
    <cellStyle name="표준 7 2 10 4" xfId="7423"/>
    <cellStyle name="표준 7 2 10 4 2" xfId="14907"/>
    <cellStyle name="표준 7 2 10 4 2 2" xfId="37374"/>
    <cellStyle name="표준 7 2 10 4 3" xfId="22391"/>
    <cellStyle name="표준 7 2 10 4 3 2" xfId="44856"/>
    <cellStyle name="표준 7 2 10 4 4" xfId="29892"/>
    <cellStyle name="표준 7 2 10 5" xfId="14900"/>
    <cellStyle name="표준 7 2 10 5 2" xfId="37367"/>
    <cellStyle name="표준 7 2 10 6" xfId="22384"/>
    <cellStyle name="표준 7 2 10 6 2" xfId="44849"/>
    <cellStyle name="표준 7 2 10 7" xfId="29885"/>
    <cellStyle name="표준 7 2 11" xfId="7424"/>
    <cellStyle name="표준 7 2 11 2" xfId="7425"/>
    <cellStyle name="표준 7 2 11 2 2" xfId="7426"/>
    <cellStyle name="표준 7 2 11 2 2 2" xfId="7427"/>
    <cellStyle name="표준 7 2 11 2 2 2 2" xfId="14911"/>
    <cellStyle name="표준 7 2 11 2 2 2 2 2" xfId="37378"/>
    <cellStyle name="표준 7 2 11 2 2 2 3" xfId="22395"/>
    <cellStyle name="표준 7 2 11 2 2 2 3 2" xfId="44860"/>
    <cellStyle name="표준 7 2 11 2 2 2 4" xfId="29896"/>
    <cellStyle name="표준 7 2 11 2 2 3" xfId="14910"/>
    <cellStyle name="표준 7 2 11 2 2 3 2" xfId="37377"/>
    <cellStyle name="표준 7 2 11 2 2 4" xfId="22394"/>
    <cellStyle name="표준 7 2 11 2 2 4 2" xfId="44859"/>
    <cellStyle name="표준 7 2 11 2 2 5" xfId="29895"/>
    <cellStyle name="표준 7 2 11 2 3" xfId="7428"/>
    <cellStyle name="표준 7 2 11 2 3 2" xfId="14912"/>
    <cellStyle name="표준 7 2 11 2 3 2 2" xfId="37379"/>
    <cellStyle name="표준 7 2 11 2 3 3" xfId="22396"/>
    <cellStyle name="표준 7 2 11 2 3 3 2" xfId="44861"/>
    <cellStyle name="표준 7 2 11 2 3 4" xfId="29897"/>
    <cellStyle name="표준 7 2 11 2 4" xfId="14909"/>
    <cellStyle name="표준 7 2 11 2 4 2" xfId="37376"/>
    <cellStyle name="표준 7 2 11 2 5" xfId="22393"/>
    <cellStyle name="표준 7 2 11 2 5 2" xfId="44858"/>
    <cellStyle name="표준 7 2 11 2 6" xfId="29894"/>
    <cellStyle name="표준 7 2 11 3" xfId="7429"/>
    <cellStyle name="표준 7 2 11 3 2" xfId="7430"/>
    <cellStyle name="표준 7 2 11 3 2 2" xfId="14914"/>
    <cellStyle name="표준 7 2 11 3 2 2 2" xfId="37381"/>
    <cellStyle name="표준 7 2 11 3 2 3" xfId="22398"/>
    <cellStyle name="표준 7 2 11 3 2 3 2" xfId="44863"/>
    <cellStyle name="표준 7 2 11 3 2 4" xfId="29899"/>
    <cellStyle name="표준 7 2 11 3 3" xfId="14913"/>
    <cellStyle name="표준 7 2 11 3 3 2" xfId="37380"/>
    <cellStyle name="표준 7 2 11 3 4" xfId="22397"/>
    <cellStyle name="표준 7 2 11 3 4 2" xfId="44862"/>
    <cellStyle name="표준 7 2 11 3 5" xfId="29898"/>
    <cellStyle name="표준 7 2 11 4" xfId="7431"/>
    <cellStyle name="표준 7 2 11 4 2" xfId="14915"/>
    <cellStyle name="표준 7 2 11 4 2 2" xfId="37382"/>
    <cellStyle name="표준 7 2 11 4 3" xfId="22399"/>
    <cellStyle name="표준 7 2 11 4 3 2" xfId="44864"/>
    <cellStyle name="표준 7 2 11 4 4" xfId="29900"/>
    <cellStyle name="표준 7 2 11 5" xfId="14908"/>
    <cellStyle name="표준 7 2 11 5 2" xfId="37375"/>
    <cellStyle name="표준 7 2 11 6" xfId="22392"/>
    <cellStyle name="표준 7 2 11 6 2" xfId="44857"/>
    <cellStyle name="표준 7 2 11 7" xfId="29893"/>
    <cellStyle name="표준 7 2 12" xfId="7432"/>
    <cellStyle name="표준 7 2 12 2" xfId="7433"/>
    <cellStyle name="표준 7 2 12 2 2" xfId="7434"/>
    <cellStyle name="표준 7 2 12 2 2 2" xfId="14918"/>
    <cellStyle name="표준 7 2 12 2 2 2 2" xfId="37385"/>
    <cellStyle name="표준 7 2 12 2 2 3" xfId="22402"/>
    <cellStyle name="표준 7 2 12 2 2 3 2" xfId="44867"/>
    <cellStyle name="표준 7 2 12 2 2 4" xfId="29903"/>
    <cellStyle name="표준 7 2 12 2 3" xfId="14917"/>
    <cellStyle name="표준 7 2 12 2 3 2" xfId="37384"/>
    <cellStyle name="표준 7 2 12 2 4" xfId="22401"/>
    <cellStyle name="표준 7 2 12 2 4 2" xfId="44866"/>
    <cellStyle name="표준 7 2 12 2 5" xfId="29902"/>
    <cellStyle name="표준 7 2 12 3" xfId="7435"/>
    <cellStyle name="표준 7 2 12 3 2" xfId="14919"/>
    <cellStyle name="표준 7 2 12 3 2 2" xfId="37386"/>
    <cellStyle name="표준 7 2 12 3 3" xfId="22403"/>
    <cellStyle name="표준 7 2 12 3 3 2" xfId="44868"/>
    <cellStyle name="표준 7 2 12 3 4" xfId="29904"/>
    <cellStyle name="표준 7 2 12 4" xfId="14916"/>
    <cellStyle name="표준 7 2 12 4 2" xfId="37383"/>
    <cellStyle name="표준 7 2 12 5" xfId="22400"/>
    <cellStyle name="표준 7 2 12 5 2" xfId="44865"/>
    <cellStyle name="표준 7 2 12 6" xfId="29901"/>
    <cellStyle name="표준 7 2 13" xfId="7436"/>
    <cellStyle name="표준 7 2 13 2" xfId="7437"/>
    <cellStyle name="표준 7 2 13 2 2" xfId="7438"/>
    <cellStyle name="표준 7 2 13 2 2 2" xfId="14922"/>
    <cellStyle name="표준 7 2 13 2 2 2 2" xfId="37389"/>
    <cellStyle name="표준 7 2 13 2 2 3" xfId="22406"/>
    <cellStyle name="표준 7 2 13 2 2 3 2" xfId="44871"/>
    <cellStyle name="표준 7 2 13 2 2 4" xfId="29907"/>
    <cellStyle name="표준 7 2 13 2 3" xfId="14921"/>
    <cellStyle name="표준 7 2 13 2 3 2" xfId="37388"/>
    <cellStyle name="표준 7 2 13 2 4" xfId="22405"/>
    <cellStyle name="표준 7 2 13 2 4 2" xfId="44870"/>
    <cellStyle name="표준 7 2 13 2 5" xfId="29906"/>
    <cellStyle name="표준 7 2 13 3" xfId="7439"/>
    <cellStyle name="표준 7 2 13 3 2" xfId="14923"/>
    <cellStyle name="표준 7 2 13 3 2 2" xfId="37390"/>
    <cellStyle name="표준 7 2 13 3 3" xfId="22407"/>
    <cellStyle name="표준 7 2 13 3 3 2" xfId="44872"/>
    <cellStyle name="표준 7 2 13 3 4" xfId="29908"/>
    <cellStyle name="표준 7 2 13 4" xfId="14920"/>
    <cellStyle name="표준 7 2 13 4 2" xfId="37387"/>
    <cellStyle name="표준 7 2 13 5" xfId="22404"/>
    <cellStyle name="표준 7 2 13 5 2" xfId="44869"/>
    <cellStyle name="표준 7 2 13 6" xfId="29905"/>
    <cellStyle name="표준 7 2 14" xfId="7440"/>
    <cellStyle name="표준 7 2 14 2" xfId="7441"/>
    <cellStyle name="표준 7 2 14 2 2" xfId="7442"/>
    <cellStyle name="표준 7 2 14 2 2 2" xfId="14926"/>
    <cellStyle name="표준 7 2 14 2 2 2 2" xfId="37393"/>
    <cellStyle name="표준 7 2 14 2 2 3" xfId="22410"/>
    <cellStyle name="표준 7 2 14 2 2 3 2" xfId="44875"/>
    <cellStyle name="표준 7 2 14 2 2 4" xfId="29911"/>
    <cellStyle name="표준 7 2 14 2 3" xfId="14925"/>
    <cellStyle name="표준 7 2 14 2 3 2" xfId="37392"/>
    <cellStyle name="표준 7 2 14 2 4" xfId="22409"/>
    <cellStyle name="표준 7 2 14 2 4 2" xfId="44874"/>
    <cellStyle name="표준 7 2 14 2 5" xfId="29910"/>
    <cellStyle name="표준 7 2 14 3" xfId="7443"/>
    <cellStyle name="표준 7 2 14 3 2" xfId="14927"/>
    <cellStyle name="표준 7 2 14 3 2 2" xfId="37394"/>
    <cellStyle name="표준 7 2 14 3 3" xfId="22411"/>
    <cellStyle name="표준 7 2 14 3 3 2" xfId="44876"/>
    <cellStyle name="표준 7 2 14 3 4" xfId="29912"/>
    <cellStyle name="표준 7 2 14 4" xfId="14924"/>
    <cellStyle name="표준 7 2 14 4 2" xfId="37391"/>
    <cellStyle name="표준 7 2 14 5" xfId="22408"/>
    <cellStyle name="표준 7 2 14 5 2" xfId="44873"/>
    <cellStyle name="표준 7 2 14 6" xfId="29909"/>
    <cellStyle name="표준 7 2 15" xfId="7444"/>
    <cellStyle name="표준 7 2 15 2" xfId="7445"/>
    <cellStyle name="표준 7 2 15 2 2" xfId="7446"/>
    <cellStyle name="표준 7 2 15 2 2 2" xfId="14930"/>
    <cellStyle name="표준 7 2 15 2 2 2 2" xfId="37397"/>
    <cellStyle name="표준 7 2 15 2 2 3" xfId="22414"/>
    <cellStyle name="표준 7 2 15 2 2 3 2" xfId="44879"/>
    <cellStyle name="표준 7 2 15 2 2 4" xfId="29915"/>
    <cellStyle name="표준 7 2 15 2 3" xfId="14929"/>
    <cellStyle name="표준 7 2 15 2 3 2" xfId="37396"/>
    <cellStyle name="표준 7 2 15 2 4" xfId="22413"/>
    <cellStyle name="표준 7 2 15 2 4 2" xfId="44878"/>
    <cellStyle name="표준 7 2 15 2 5" xfId="29914"/>
    <cellStyle name="표준 7 2 15 3" xfId="7447"/>
    <cellStyle name="표준 7 2 15 3 2" xfId="14931"/>
    <cellStyle name="표준 7 2 15 3 2 2" xfId="37398"/>
    <cellStyle name="표준 7 2 15 3 3" xfId="22415"/>
    <cellStyle name="표준 7 2 15 3 3 2" xfId="44880"/>
    <cellStyle name="표준 7 2 15 3 4" xfId="29916"/>
    <cellStyle name="표준 7 2 15 4" xfId="14928"/>
    <cellStyle name="표준 7 2 15 4 2" xfId="37395"/>
    <cellStyle name="표준 7 2 15 5" xfId="22412"/>
    <cellStyle name="표준 7 2 15 5 2" xfId="44877"/>
    <cellStyle name="표준 7 2 15 6" xfId="29913"/>
    <cellStyle name="표준 7 2 16" xfId="7448"/>
    <cellStyle name="표준 7 2 16 2" xfId="7449"/>
    <cellStyle name="표준 7 2 16 2 2" xfId="14933"/>
    <cellStyle name="표준 7 2 16 2 2 2" xfId="37400"/>
    <cellStyle name="표준 7 2 16 2 3" xfId="22417"/>
    <cellStyle name="표준 7 2 16 2 3 2" xfId="44882"/>
    <cellStyle name="표준 7 2 16 2 4" xfId="29918"/>
    <cellStyle name="표준 7 2 16 3" xfId="14932"/>
    <cellStyle name="표준 7 2 16 3 2" xfId="37399"/>
    <cellStyle name="표준 7 2 16 4" xfId="22416"/>
    <cellStyle name="표준 7 2 16 4 2" xfId="44881"/>
    <cellStyle name="표준 7 2 16 5" xfId="29917"/>
    <cellStyle name="표준 7 2 17" xfId="7450"/>
    <cellStyle name="표준 7 2 17 2" xfId="14934"/>
    <cellStyle name="표준 7 2 17 2 2" xfId="37401"/>
    <cellStyle name="표준 7 2 17 3" xfId="22418"/>
    <cellStyle name="표준 7 2 17 3 2" xfId="44883"/>
    <cellStyle name="표준 7 2 17 4" xfId="29919"/>
    <cellStyle name="표준 7 2 18" xfId="7451"/>
    <cellStyle name="표준 7 2 18 2" xfId="14935"/>
    <cellStyle name="표준 7 2 18 2 2" xfId="37402"/>
    <cellStyle name="표준 7 2 18 3" xfId="22419"/>
    <cellStyle name="표준 7 2 18 3 2" xfId="44884"/>
    <cellStyle name="표준 7 2 18 4" xfId="29920"/>
    <cellStyle name="표준 7 2 19" xfId="14899"/>
    <cellStyle name="표준 7 2 19 2" xfId="37366"/>
    <cellStyle name="표준 7 2 2" xfId="7452"/>
    <cellStyle name="표준 7 2 2 10" xfId="7453"/>
    <cellStyle name="표준 7 2 2 10 2" xfId="7454"/>
    <cellStyle name="표준 7 2 2 10 2 2" xfId="7455"/>
    <cellStyle name="표준 7 2 2 10 2 2 2" xfId="7456"/>
    <cellStyle name="표준 7 2 2 10 2 2 2 2" xfId="14940"/>
    <cellStyle name="표준 7 2 2 10 2 2 2 2 2" xfId="37407"/>
    <cellStyle name="표준 7 2 2 10 2 2 2 3" xfId="22424"/>
    <cellStyle name="표준 7 2 2 10 2 2 2 3 2" xfId="44889"/>
    <cellStyle name="표준 7 2 2 10 2 2 2 4" xfId="29925"/>
    <cellStyle name="표준 7 2 2 10 2 2 3" xfId="14939"/>
    <cellStyle name="표준 7 2 2 10 2 2 3 2" xfId="37406"/>
    <cellStyle name="표준 7 2 2 10 2 2 4" xfId="22423"/>
    <cellStyle name="표준 7 2 2 10 2 2 4 2" xfId="44888"/>
    <cellStyle name="표준 7 2 2 10 2 2 5" xfId="29924"/>
    <cellStyle name="표준 7 2 2 10 2 3" xfId="7457"/>
    <cellStyle name="표준 7 2 2 10 2 3 2" xfId="14941"/>
    <cellStyle name="표준 7 2 2 10 2 3 2 2" xfId="37408"/>
    <cellStyle name="표준 7 2 2 10 2 3 3" xfId="22425"/>
    <cellStyle name="표준 7 2 2 10 2 3 3 2" xfId="44890"/>
    <cellStyle name="표준 7 2 2 10 2 3 4" xfId="29926"/>
    <cellStyle name="표준 7 2 2 10 2 4" xfId="14938"/>
    <cellStyle name="표준 7 2 2 10 2 4 2" xfId="37405"/>
    <cellStyle name="표준 7 2 2 10 2 5" xfId="22422"/>
    <cellStyle name="표준 7 2 2 10 2 5 2" xfId="44887"/>
    <cellStyle name="표준 7 2 2 10 2 6" xfId="29923"/>
    <cellStyle name="표준 7 2 2 10 3" xfId="7458"/>
    <cellStyle name="표준 7 2 2 10 3 2" xfId="7459"/>
    <cellStyle name="표준 7 2 2 10 3 2 2" xfId="14943"/>
    <cellStyle name="표준 7 2 2 10 3 2 2 2" xfId="37410"/>
    <cellStyle name="표준 7 2 2 10 3 2 3" xfId="22427"/>
    <cellStyle name="표준 7 2 2 10 3 2 3 2" xfId="44892"/>
    <cellStyle name="표준 7 2 2 10 3 2 4" xfId="29928"/>
    <cellStyle name="표준 7 2 2 10 3 3" xfId="14942"/>
    <cellStyle name="표준 7 2 2 10 3 3 2" xfId="37409"/>
    <cellStyle name="표준 7 2 2 10 3 4" xfId="22426"/>
    <cellStyle name="표준 7 2 2 10 3 4 2" xfId="44891"/>
    <cellStyle name="표준 7 2 2 10 3 5" xfId="29927"/>
    <cellStyle name="표준 7 2 2 10 4" xfId="7460"/>
    <cellStyle name="표준 7 2 2 10 4 2" xfId="14944"/>
    <cellStyle name="표준 7 2 2 10 4 2 2" xfId="37411"/>
    <cellStyle name="표준 7 2 2 10 4 3" xfId="22428"/>
    <cellStyle name="표준 7 2 2 10 4 3 2" xfId="44893"/>
    <cellStyle name="표준 7 2 2 10 4 4" xfId="29929"/>
    <cellStyle name="표준 7 2 2 10 5" xfId="14937"/>
    <cellStyle name="표준 7 2 2 10 5 2" xfId="37404"/>
    <cellStyle name="표준 7 2 2 10 6" xfId="22421"/>
    <cellStyle name="표준 7 2 2 10 6 2" xfId="44886"/>
    <cellStyle name="표준 7 2 2 10 7" xfId="29922"/>
    <cellStyle name="표준 7 2 2 11" xfId="7461"/>
    <cellStyle name="표준 7 2 2 11 2" xfId="7462"/>
    <cellStyle name="표준 7 2 2 11 2 2" xfId="7463"/>
    <cellStyle name="표준 7 2 2 11 2 2 2" xfId="14947"/>
    <cellStyle name="표준 7 2 2 11 2 2 2 2" xfId="37414"/>
    <cellStyle name="표준 7 2 2 11 2 2 3" xfId="22431"/>
    <cellStyle name="표준 7 2 2 11 2 2 3 2" xfId="44896"/>
    <cellStyle name="표준 7 2 2 11 2 2 4" xfId="29932"/>
    <cellStyle name="표준 7 2 2 11 2 3" xfId="14946"/>
    <cellStyle name="표준 7 2 2 11 2 3 2" xfId="37413"/>
    <cellStyle name="표준 7 2 2 11 2 4" xfId="22430"/>
    <cellStyle name="표준 7 2 2 11 2 4 2" xfId="44895"/>
    <cellStyle name="표준 7 2 2 11 2 5" xfId="29931"/>
    <cellStyle name="표준 7 2 2 11 3" xfId="7464"/>
    <cellStyle name="표준 7 2 2 11 3 2" xfId="14948"/>
    <cellStyle name="표준 7 2 2 11 3 2 2" xfId="37415"/>
    <cellStyle name="표준 7 2 2 11 3 3" xfId="22432"/>
    <cellStyle name="표준 7 2 2 11 3 3 2" xfId="44897"/>
    <cellStyle name="표준 7 2 2 11 3 4" xfId="29933"/>
    <cellStyle name="표준 7 2 2 11 4" xfId="14945"/>
    <cellStyle name="표준 7 2 2 11 4 2" xfId="37412"/>
    <cellStyle name="표준 7 2 2 11 5" xfId="22429"/>
    <cellStyle name="표준 7 2 2 11 5 2" xfId="44894"/>
    <cellStyle name="표준 7 2 2 11 6" xfId="29930"/>
    <cellStyle name="표준 7 2 2 12" xfId="7465"/>
    <cellStyle name="표준 7 2 2 12 2" xfId="7466"/>
    <cellStyle name="표준 7 2 2 12 2 2" xfId="7467"/>
    <cellStyle name="표준 7 2 2 12 2 2 2" xfId="14951"/>
    <cellStyle name="표준 7 2 2 12 2 2 2 2" xfId="37418"/>
    <cellStyle name="표준 7 2 2 12 2 2 3" xfId="22435"/>
    <cellStyle name="표준 7 2 2 12 2 2 3 2" xfId="44900"/>
    <cellStyle name="표준 7 2 2 12 2 2 4" xfId="29936"/>
    <cellStyle name="표준 7 2 2 12 2 3" xfId="14950"/>
    <cellStyle name="표준 7 2 2 12 2 3 2" xfId="37417"/>
    <cellStyle name="표준 7 2 2 12 2 4" xfId="22434"/>
    <cellStyle name="표준 7 2 2 12 2 4 2" xfId="44899"/>
    <cellStyle name="표준 7 2 2 12 2 5" xfId="29935"/>
    <cellStyle name="표준 7 2 2 12 3" xfId="7468"/>
    <cellStyle name="표준 7 2 2 12 3 2" xfId="14952"/>
    <cellStyle name="표준 7 2 2 12 3 2 2" xfId="37419"/>
    <cellStyle name="표준 7 2 2 12 3 3" xfId="22436"/>
    <cellStyle name="표준 7 2 2 12 3 3 2" xfId="44901"/>
    <cellStyle name="표준 7 2 2 12 3 4" xfId="29937"/>
    <cellStyle name="표준 7 2 2 12 4" xfId="14949"/>
    <cellStyle name="표준 7 2 2 12 4 2" xfId="37416"/>
    <cellStyle name="표준 7 2 2 12 5" xfId="22433"/>
    <cellStyle name="표준 7 2 2 12 5 2" xfId="44898"/>
    <cellStyle name="표준 7 2 2 12 6" xfId="29934"/>
    <cellStyle name="표준 7 2 2 13" xfId="7469"/>
    <cellStyle name="표준 7 2 2 13 2" xfId="7470"/>
    <cellStyle name="표준 7 2 2 13 2 2" xfId="7471"/>
    <cellStyle name="표준 7 2 2 13 2 2 2" xfId="14955"/>
    <cellStyle name="표준 7 2 2 13 2 2 2 2" xfId="37422"/>
    <cellStyle name="표준 7 2 2 13 2 2 3" xfId="22439"/>
    <cellStyle name="표준 7 2 2 13 2 2 3 2" xfId="44904"/>
    <cellStyle name="표준 7 2 2 13 2 2 4" xfId="29940"/>
    <cellStyle name="표준 7 2 2 13 2 3" xfId="14954"/>
    <cellStyle name="표준 7 2 2 13 2 3 2" xfId="37421"/>
    <cellStyle name="표준 7 2 2 13 2 4" xfId="22438"/>
    <cellStyle name="표준 7 2 2 13 2 4 2" xfId="44903"/>
    <cellStyle name="표준 7 2 2 13 2 5" xfId="29939"/>
    <cellStyle name="표준 7 2 2 13 3" xfId="7472"/>
    <cellStyle name="표준 7 2 2 13 3 2" xfId="14956"/>
    <cellStyle name="표준 7 2 2 13 3 2 2" xfId="37423"/>
    <cellStyle name="표준 7 2 2 13 3 3" xfId="22440"/>
    <cellStyle name="표준 7 2 2 13 3 3 2" xfId="44905"/>
    <cellStyle name="표준 7 2 2 13 3 4" xfId="29941"/>
    <cellStyle name="표준 7 2 2 13 4" xfId="14953"/>
    <cellStyle name="표준 7 2 2 13 4 2" xfId="37420"/>
    <cellStyle name="표준 7 2 2 13 5" xfId="22437"/>
    <cellStyle name="표준 7 2 2 13 5 2" xfId="44902"/>
    <cellStyle name="표준 7 2 2 13 6" xfId="29938"/>
    <cellStyle name="표준 7 2 2 14" xfId="7473"/>
    <cellStyle name="표준 7 2 2 14 2" xfId="7474"/>
    <cellStyle name="표준 7 2 2 14 2 2" xfId="7475"/>
    <cellStyle name="표준 7 2 2 14 2 2 2" xfId="14959"/>
    <cellStyle name="표준 7 2 2 14 2 2 2 2" xfId="37426"/>
    <cellStyle name="표준 7 2 2 14 2 2 3" xfId="22443"/>
    <cellStyle name="표준 7 2 2 14 2 2 3 2" xfId="44908"/>
    <cellStyle name="표준 7 2 2 14 2 2 4" xfId="29944"/>
    <cellStyle name="표준 7 2 2 14 2 3" xfId="14958"/>
    <cellStyle name="표준 7 2 2 14 2 3 2" xfId="37425"/>
    <cellStyle name="표준 7 2 2 14 2 4" xfId="22442"/>
    <cellStyle name="표준 7 2 2 14 2 4 2" xfId="44907"/>
    <cellStyle name="표준 7 2 2 14 2 5" xfId="29943"/>
    <cellStyle name="표준 7 2 2 14 3" xfId="7476"/>
    <cellStyle name="표준 7 2 2 14 3 2" xfId="14960"/>
    <cellStyle name="표준 7 2 2 14 3 2 2" xfId="37427"/>
    <cellStyle name="표준 7 2 2 14 3 3" xfId="22444"/>
    <cellStyle name="표준 7 2 2 14 3 3 2" xfId="44909"/>
    <cellStyle name="표준 7 2 2 14 3 4" xfId="29945"/>
    <cellStyle name="표준 7 2 2 14 4" xfId="14957"/>
    <cellStyle name="표준 7 2 2 14 4 2" xfId="37424"/>
    <cellStyle name="표준 7 2 2 14 5" xfId="22441"/>
    <cellStyle name="표준 7 2 2 14 5 2" xfId="44906"/>
    <cellStyle name="표준 7 2 2 14 6" xfId="29942"/>
    <cellStyle name="표준 7 2 2 15" xfId="7477"/>
    <cellStyle name="표준 7 2 2 15 2" xfId="7478"/>
    <cellStyle name="표준 7 2 2 15 2 2" xfId="14962"/>
    <cellStyle name="표준 7 2 2 15 2 2 2" xfId="37429"/>
    <cellStyle name="표준 7 2 2 15 2 3" xfId="22446"/>
    <cellStyle name="표준 7 2 2 15 2 3 2" xfId="44911"/>
    <cellStyle name="표준 7 2 2 15 2 4" xfId="29947"/>
    <cellStyle name="표준 7 2 2 15 3" xfId="14961"/>
    <cellStyle name="표준 7 2 2 15 3 2" xfId="37428"/>
    <cellStyle name="표준 7 2 2 15 4" xfId="22445"/>
    <cellStyle name="표준 7 2 2 15 4 2" xfId="44910"/>
    <cellStyle name="표준 7 2 2 15 5" xfId="29946"/>
    <cellStyle name="표준 7 2 2 16" xfId="7479"/>
    <cellStyle name="표준 7 2 2 16 2" xfId="14963"/>
    <cellStyle name="표준 7 2 2 16 2 2" xfId="37430"/>
    <cellStyle name="표준 7 2 2 16 3" xfId="22447"/>
    <cellStyle name="표준 7 2 2 16 3 2" xfId="44912"/>
    <cellStyle name="표준 7 2 2 16 4" xfId="29948"/>
    <cellStyle name="표준 7 2 2 17" xfId="7480"/>
    <cellStyle name="표준 7 2 2 17 2" xfId="14964"/>
    <cellStyle name="표준 7 2 2 17 2 2" xfId="37431"/>
    <cellStyle name="표준 7 2 2 17 3" xfId="22448"/>
    <cellStyle name="표준 7 2 2 17 3 2" xfId="44913"/>
    <cellStyle name="표준 7 2 2 17 4" xfId="29949"/>
    <cellStyle name="표준 7 2 2 18" xfId="14936"/>
    <cellStyle name="표준 7 2 2 18 2" xfId="37403"/>
    <cellStyle name="표준 7 2 2 19" xfId="22420"/>
    <cellStyle name="표준 7 2 2 19 2" xfId="44885"/>
    <cellStyle name="표준 7 2 2 2" xfId="7481"/>
    <cellStyle name="표준 7 2 2 2 10" xfId="7482"/>
    <cellStyle name="표준 7 2 2 2 10 2" xfId="7483"/>
    <cellStyle name="표준 7 2 2 2 10 2 2" xfId="7484"/>
    <cellStyle name="표준 7 2 2 2 10 2 2 2" xfId="14968"/>
    <cellStyle name="표준 7 2 2 2 10 2 2 2 2" xfId="37435"/>
    <cellStyle name="표준 7 2 2 2 10 2 2 3" xfId="22452"/>
    <cellStyle name="표준 7 2 2 2 10 2 2 3 2" xfId="44917"/>
    <cellStyle name="표준 7 2 2 2 10 2 2 4" xfId="29953"/>
    <cellStyle name="표준 7 2 2 2 10 2 3" xfId="14967"/>
    <cellStyle name="표준 7 2 2 2 10 2 3 2" xfId="37434"/>
    <cellStyle name="표준 7 2 2 2 10 2 4" xfId="22451"/>
    <cellStyle name="표준 7 2 2 2 10 2 4 2" xfId="44916"/>
    <cellStyle name="표준 7 2 2 2 10 2 5" xfId="29952"/>
    <cellStyle name="표준 7 2 2 2 10 3" xfId="7485"/>
    <cellStyle name="표준 7 2 2 2 10 3 2" xfId="14969"/>
    <cellStyle name="표준 7 2 2 2 10 3 2 2" xfId="37436"/>
    <cellStyle name="표준 7 2 2 2 10 3 3" xfId="22453"/>
    <cellStyle name="표준 7 2 2 2 10 3 3 2" xfId="44918"/>
    <cellStyle name="표준 7 2 2 2 10 3 4" xfId="29954"/>
    <cellStyle name="표준 7 2 2 2 10 4" xfId="14966"/>
    <cellStyle name="표준 7 2 2 2 10 4 2" xfId="37433"/>
    <cellStyle name="표준 7 2 2 2 10 5" xfId="22450"/>
    <cellStyle name="표준 7 2 2 2 10 5 2" xfId="44915"/>
    <cellStyle name="표준 7 2 2 2 10 6" xfId="29951"/>
    <cellStyle name="표준 7 2 2 2 11" xfId="7486"/>
    <cellStyle name="표준 7 2 2 2 11 2" xfId="7487"/>
    <cellStyle name="표준 7 2 2 2 11 2 2" xfId="7488"/>
    <cellStyle name="표준 7 2 2 2 11 2 2 2" xfId="14972"/>
    <cellStyle name="표준 7 2 2 2 11 2 2 2 2" xfId="37439"/>
    <cellStyle name="표준 7 2 2 2 11 2 2 3" xfId="22456"/>
    <cellStyle name="표준 7 2 2 2 11 2 2 3 2" xfId="44921"/>
    <cellStyle name="표준 7 2 2 2 11 2 2 4" xfId="29957"/>
    <cellStyle name="표준 7 2 2 2 11 2 3" xfId="14971"/>
    <cellStyle name="표준 7 2 2 2 11 2 3 2" xfId="37438"/>
    <cellStyle name="표준 7 2 2 2 11 2 4" xfId="22455"/>
    <cellStyle name="표준 7 2 2 2 11 2 4 2" xfId="44920"/>
    <cellStyle name="표준 7 2 2 2 11 2 5" xfId="29956"/>
    <cellStyle name="표준 7 2 2 2 11 3" xfId="7489"/>
    <cellStyle name="표준 7 2 2 2 11 3 2" xfId="14973"/>
    <cellStyle name="표준 7 2 2 2 11 3 2 2" xfId="37440"/>
    <cellStyle name="표준 7 2 2 2 11 3 3" xfId="22457"/>
    <cellStyle name="표준 7 2 2 2 11 3 3 2" xfId="44922"/>
    <cellStyle name="표준 7 2 2 2 11 3 4" xfId="29958"/>
    <cellStyle name="표준 7 2 2 2 11 4" xfId="14970"/>
    <cellStyle name="표준 7 2 2 2 11 4 2" xfId="37437"/>
    <cellStyle name="표준 7 2 2 2 11 5" xfId="22454"/>
    <cellStyle name="표준 7 2 2 2 11 5 2" xfId="44919"/>
    <cellStyle name="표준 7 2 2 2 11 6" xfId="29955"/>
    <cellStyle name="표준 7 2 2 2 12" xfId="7490"/>
    <cellStyle name="표준 7 2 2 2 12 2" xfId="7491"/>
    <cellStyle name="표준 7 2 2 2 12 2 2" xfId="7492"/>
    <cellStyle name="표준 7 2 2 2 12 2 2 2" xfId="14976"/>
    <cellStyle name="표준 7 2 2 2 12 2 2 2 2" xfId="37443"/>
    <cellStyle name="표준 7 2 2 2 12 2 2 3" xfId="22460"/>
    <cellStyle name="표준 7 2 2 2 12 2 2 3 2" xfId="44925"/>
    <cellStyle name="표준 7 2 2 2 12 2 2 4" xfId="29961"/>
    <cellStyle name="표준 7 2 2 2 12 2 3" xfId="14975"/>
    <cellStyle name="표준 7 2 2 2 12 2 3 2" xfId="37442"/>
    <cellStyle name="표준 7 2 2 2 12 2 4" xfId="22459"/>
    <cellStyle name="표준 7 2 2 2 12 2 4 2" xfId="44924"/>
    <cellStyle name="표준 7 2 2 2 12 2 5" xfId="29960"/>
    <cellStyle name="표준 7 2 2 2 12 3" xfId="7493"/>
    <cellStyle name="표준 7 2 2 2 12 3 2" xfId="14977"/>
    <cellStyle name="표준 7 2 2 2 12 3 2 2" xfId="37444"/>
    <cellStyle name="표준 7 2 2 2 12 3 3" xfId="22461"/>
    <cellStyle name="표준 7 2 2 2 12 3 3 2" xfId="44926"/>
    <cellStyle name="표준 7 2 2 2 12 3 4" xfId="29962"/>
    <cellStyle name="표준 7 2 2 2 12 4" xfId="14974"/>
    <cellStyle name="표준 7 2 2 2 12 4 2" xfId="37441"/>
    <cellStyle name="표준 7 2 2 2 12 5" xfId="22458"/>
    <cellStyle name="표준 7 2 2 2 12 5 2" xfId="44923"/>
    <cellStyle name="표준 7 2 2 2 12 6" xfId="29959"/>
    <cellStyle name="표준 7 2 2 2 13" xfId="7494"/>
    <cellStyle name="표준 7 2 2 2 13 2" xfId="7495"/>
    <cellStyle name="표준 7 2 2 2 13 2 2" xfId="14979"/>
    <cellStyle name="표준 7 2 2 2 13 2 2 2" xfId="37446"/>
    <cellStyle name="표준 7 2 2 2 13 2 3" xfId="22463"/>
    <cellStyle name="표준 7 2 2 2 13 2 3 2" xfId="44928"/>
    <cellStyle name="표준 7 2 2 2 13 2 4" xfId="29964"/>
    <cellStyle name="표준 7 2 2 2 13 3" xfId="14978"/>
    <cellStyle name="표준 7 2 2 2 13 3 2" xfId="37445"/>
    <cellStyle name="표준 7 2 2 2 13 4" xfId="22462"/>
    <cellStyle name="표준 7 2 2 2 13 4 2" xfId="44927"/>
    <cellStyle name="표준 7 2 2 2 13 5" xfId="29963"/>
    <cellStyle name="표준 7 2 2 2 14" xfId="7496"/>
    <cellStyle name="표준 7 2 2 2 14 2" xfId="14980"/>
    <cellStyle name="표준 7 2 2 2 14 2 2" xfId="37447"/>
    <cellStyle name="표준 7 2 2 2 14 3" xfId="22464"/>
    <cellStyle name="표준 7 2 2 2 14 3 2" xfId="44929"/>
    <cellStyle name="표준 7 2 2 2 14 4" xfId="29965"/>
    <cellStyle name="표준 7 2 2 2 15" xfId="14965"/>
    <cellStyle name="표준 7 2 2 2 15 2" xfId="37432"/>
    <cellStyle name="표준 7 2 2 2 16" xfId="22449"/>
    <cellStyle name="표준 7 2 2 2 16 2" xfId="44914"/>
    <cellStyle name="표준 7 2 2 2 17" xfId="29950"/>
    <cellStyle name="표준 7 2 2 2 2" xfId="7497"/>
    <cellStyle name="표준 7 2 2 2 2 10" xfId="14981"/>
    <cellStyle name="표준 7 2 2 2 2 10 2" xfId="37448"/>
    <cellStyle name="표준 7 2 2 2 2 11" xfId="22465"/>
    <cellStyle name="표준 7 2 2 2 2 11 2" xfId="44930"/>
    <cellStyle name="표준 7 2 2 2 2 12" xfId="29966"/>
    <cellStyle name="표준 7 2 2 2 2 2" xfId="7498"/>
    <cellStyle name="표준 7 2 2 2 2 2 10" xfId="29967"/>
    <cellStyle name="표준 7 2 2 2 2 2 2" xfId="7499"/>
    <cellStyle name="표준 7 2 2 2 2 2 2 2" xfId="7500"/>
    <cellStyle name="표준 7 2 2 2 2 2 2 2 2" xfId="7501"/>
    <cellStyle name="표준 7 2 2 2 2 2 2 2 2 2" xfId="7502"/>
    <cellStyle name="표준 7 2 2 2 2 2 2 2 2 2 2" xfId="7503"/>
    <cellStyle name="표준 7 2 2 2 2 2 2 2 2 2 2 2" xfId="14987"/>
    <cellStyle name="표준 7 2 2 2 2 2 2 2 2 2 2 2 2" xfId="37454"/>
    <cellStyle name="표준 7 2 2 2 2 2 2 2 2 2 2 3" xfId="22471"/>
    <cellStyle name="표준 7 2 2 2 2 2 2 2 2 2 2 3 2" xfId="44936"/>
    <cellStyle name="표준 7 2 2 2 2 2 2 2 2 2 2 4" xfId="29972"/>
    <cellStyle name="표준 7 2 2 2 2 2 2 2 2 2 3" xfId="14986"/>
    <cellStyle name="표준 7 2 2 2 2 2 2 2 2 2 3 2" xfId="37453"/>
    <cellStyle name="표준 7 2 2 2 2 2 2 2 2 2 4" xfId="22470"/>
    <cellStyle name="표준 7 2 2 2 2 2 2 2 2 2 4 2" xfId="44935"/>
    <cellStyle name="표준 7 2 2 2 2 2 2 2 2 2 5" xfId="29971"/>
    <cellStyle name="표준 7 2 2 2 2 2 2 2 2 3" xfId="7504"/>
    <cellStyle name="표준 7 2 2 2 2 2 2 2 2 3 2" xfId="14988"/>
    <cellStyle name="표준 7 2 2 2 2 2 2 2 2 3 2 2" xfId="37455"/>
    <cellStyle name="표준 7 2 2 2 2 2 2 2 2 3 3" xfId="22472"/>
    <cellStyle name="표준 7 2 2 2 2 2 2 2 2 3 3 2" xfId="44937"/>
    <cellStyle name="표준 7 2 2 2 2 2 2 2 2 3 4" xfId="29973"/>
    <cellStyle name="표준 7 2 2 2 2 2 2 2 2 4" xfId="14985"/>
    <cellStyle name="표준 7 2 2 2 2 2 2 2 2 4 2" xfId="37452"/>
    <cellStyle name="표준 7 2 2 2 2 2 2 2 2 5" xfId="22469"/>
    <cellStyle name="표준 7 2 2 2 2 2 2 2 2 5 2" xfId="44934"/>
    <cellStyle name="표준 7 2 2 2 2 2 2 2 2 6" xfId="29970"/>
    <cellStyle name="표준 7 2 2 2 2 2 2 2 3" xfId="7505"/>
    <cellStyle name="표준 7 2 2 2 2 2 2 2 3 2" xfId="7506"/>
    <cellStyle name="표준 7 2 2 2 2 2 2 2 3 2 2" xfId="14990"/>
    <cellStyle name="표준 7 2 2 2 2 2 2 2 3 2 2 2" xfId="37457"/>
    <cellStyle name="표준 7 2 2 2 2 2 2 2 3 2 3" xfId="22474"/>
    <cellStyle name="표준 7 2 2 2 2 2 2 2 3 2 3 2" xfId="44939"/>
    <cellStyle name="표준 7 2 2 2 2 2 2 2 3 2 4" xfId="29975"/>
    <cellStyle name="표준 7 2 2 2 2 2 2 2 3 3" xfId="14989"/>
    <cellStyle name="표준 7 2 2 2 2 2 2 2 3 3 2" xfId="37456"/>
    <cellStyle name="표준 7 2 2 2 2 2 2 2 3 4" xfId="22473"/>
    <cellStyle name="표준 7 2 2 2 2 2 2 2 3 4 2" xfId="44938"/>
    <cellStyle name="표준 7 2 2 2 2 2 2 2 3 5" xfId="29974"/>
    <cellStyle name="표준 7 2 2 2 2 2 2 2 4" xfId="7507"/>
    <cellStyle name="표준 7 2 2 2 2 2 2 2 4 2" xfId="14991"/>
    <cellStyle name="표준 7 2 2 2 2 2 2 2 4 2 2" xfId="37458"/>
    <cellStyle name="표준 7 2 2 2 2 2 2 2 4 3" xfId="22475"/>
    <cellStyle name="표준 7 2 2 2 2 2 2 2 4 3 2" xfId="44940"/>
    <cellStyle name="표준 7 2 2 2 2 2 2 2 4 4" xfId="29976"/>
    <cellStyle name="표준 7 2 2 2 2 2 2 2 5" xfId="14984"/>
    <cellStyle name="표준 7 2 2 2 2 2 2 2 5 2" xfId="37451"/>
    <cellStyle name="표준 7 2 2 2 2 2 2 2 6" xfId="22468"/>
    <cellStyle name="표준 7 2 2 2 2 2 2 2 6 2" xfId="44933"/>
    <cellStyle name="표준 7 2 2 2 2 2 2 2 7" xfId="29969"/>
    <cellStyle name="표준 7 2 2 2 2 2 2 3" xfId="7508"/>
    <cellStyle name="표준 7 2 2 2 2 2 2 3 2" xfId="7509"/>
    <cellStyle name="표준 7 2 2 2 2 2 2 3 2 2" xfId="7510"/>
    <cellStyle name="표준 7 2 2 2 2 2 2 3 2 2 2" xfId="14994"/>
    <cellStyle name="표준 7 2 2 2 2 2 2 3 2 2 2 2" xfId="37461"/>
    <cellStyle name="표준 7 2 2 2 2 2 2 3 2 2 3" xfId="22478"/>
    <cellStyle name="표준 7 2 2 2 2 2 2 3 2 2 3 2" xfId="44943"/>
    <cellStyle name="표준 7 2 2 2 2 2 2 3 2 2 4" xfId="29979"/>
    <cellStyle name="표준 7 2 2 2 2 2 2 3 2 3" xfId="14993"/>
    <cellStyle name="표준 7 2 2 2 2 2 2 3 2 3 2" xfId="37460"/>
    <cellStyle name="표준 7 2 2 2 2 2 2 3 2 4" xfId="22477"/>
    <cellStyle name="표준 7 2 2 2 2 2 2 3 2 4 2" xfId="44942"/>
    <cellStyle name="표준 7 2 2 2 2 2 2 3 2 5" xfId="29978"/>
    <cellStyle name="표준 7 2 2 2 2 2 2 3 3" xfId="7511"/>
    <cellStyle name="표준 7 2 2 2 2 2 2 3 3 2" xfId="14995"/>
    <cellStyle name="표준 7 2 2 2 2 2 2 3 3 2 2" xfId="37462"/>
    <cellStyle name="표준 7 2 2 2 2 2 2 3 3 3" xfId="22479"/>
    <cellStyle name="표준 7 2 2 2 2 2 2 3 3 3 2" xfId="44944"/>
    <cellStyle name="표준 7 2 2 2 2 2 2 3 3 4" xfId="29980"/>
    <cellStyle name="표준 7 2 2 2 2 2 2 3 4" xfId="14992"/>
    <cellStyle name="표준 7 2 2 2 2 2 2 3 4 2" xfId="37459"/>
    <cellStyle name="표준 7 2 2 2 2 2 2 3 5" xfId="22476"/>
    <cellStyle name="표준 7 2 2 2 2 2 2 3 5 2" xfId="44941"/>
    <cellStyle name="표준 7 2 2 2 2 2 2 3 6" xfId="29977"/>
    <cellStyle name="표준 7 2 2 2 2 2 2 4" xfId="7512"/>
    <cellStyle name="표준 7 2 2 2 2 2 2 4 2" xfId="7513"/>
    <cellStyle name="표준 7 2 2 2 2 2 2 4 2 2" xfId="14997"/>
    <cellStyle name="표준 7 2 2 2 2 2 2 4 2 2 2" xfId="37464"/>
    <cellStyle name="표준 7 2 2 2 2 2 2 4 2 3" xfId="22481"/>
    <cellStyle name="표준 7 2 2 2 2 2 2 4 2 3 2" xfId="44946"/>
    <cellStyle name="표준 7 2 2 2 2 2 2 4 2 4" xfId="29982"/>
    <cellStyle name="표준 7 2 2 2 2 2 2 4 3" xfId="14996"/>
    <cellStyle name="표준 7 2 2 2 2 2 2 4 3 2" xfId="37463"/>
    <cellStyle name="표준 7 2 2 2 2 2 2 4 4" xfId="22480"/>
    <cellStyle name="표준 7 2 2 2 2 2 2 4 4 2" xfId="44945"/>
    <cellStyle name="표준 7 2 2 2 2 2 2 4 5" xfId="29981"/>
    <cellStyle name="표준 7 2 2 2 2 2 2 5" xfId="7514"/>
    <cellStyle name="표준 7 2 2 2 2 2 2 5 2" xfId="14998"/>
    <cellStyle name="표준 7 2 2 2 2 2 2 5 2 2" xfId="37465"/>
    <cellStyle name="표준 7 2 2 2 2 2 2 5 3" xfId="22482"/>
    <cellStyle name="표준 7 2 2 2 2 2 2 5 3 2" xfId="44947"/>
    <cellStyle name="표준 7 2 2 2 2 2 2 5 4" xfId="29983"/>
    <cellStyle name="표준 7 2 2 2 2 2 2 6" xfId="14983"/>
    <cellStyle name="표준 7 2 2 2 2 2 2 6 2" xfId="37450"/>
    <cellStyle name="표준 7 2 2 2 2 2 2 7" xfId="22467"/>
    <cellStyle name="표준 7 2 2 2 2 2 2 7 2" xfId="44932"/>
    <cellStyle name="표준 7 2 2 2 2 2 2 8" xfId="29968"/>
    <cellStyle name="표준 7 2 2 2 2 2 3" xfId="7515"/>
    <cellStyle name="표준 7 2 2 2 2 2 3 2" xfId="7516"/>
    <cellStyle name="표준 7 2 2 2 2 2 3 2 2" xfId="7517"/>
    <cellStyle name="표준 7 2 2 2 2 2 3 2 2 2" xfId="7518"/>
    <cellStyle name="표준 7 2 2 2 2 2 3 2 2 2 2" xfId="7519"/>
    <cellStyle name="표준 7 2 2 2 2 2 3 2 2 2 2 2" xfId="15003"/>
    <cellStyle name="표준 7 2 2 2 2 2 3 2 2 2 2 2 2" xfId="37470"/>
    <cellStyle name="표준 7 2 2 2 2 2 3 2 2 2 2 3" xfId="22487"/>
    <cellStyle name="표준 7 2 2 2 2 2 3 2 2 2 2 3 2" xfId="44952"/>
    <cellStyle name="표준 7 2 2 2 2 2 3 2 2 2 2 4" xfId="29988"/>
    <cellStyle name="표준 7 2 2 2 2 2 3 2 2 2 3" xfId="15002"/>
    <cellStyle name="표준 7 2 2 2 2 2 3 2 2 2 3 2" xfId="37469"/>
    <cellStyle name="표준 7 2 2 2 2 2 3 2 2 2 4" xfId="22486"/>
    <cellStyle name="표준 7 2 2 2 2 2 3 2 2 2 4 2" xfId="44951"/>
    <cellStyle name="표준 7 2 2 2 2 2 3 2 2 2 5" xfId="29987"/>
    <cellStyle name="표준 7 2 2 2 2 2 3 2 2 3" xfId="7520"/>
    <cellStyle name="표준 7 2 2 2 2 2 3 2 2 3 2" xfId="15004"/>
    <cellStyle name="표준 7 2 2 2 2 2 3 2 2 3 2 2" xfId="37471"/>
    <cellStyle name="표준 7 2 2 2 2 2 3 2 2 3 3" xfId="22488"/>
    <cellStyle name="표준 7 2 2 2 2 2 3 2 2 3 3 2" xfId="44953"/>
    <cellStyle name="표준 7 2 2 2 2 2 3 2 2 3 4" xfId="29989"/>
    <cellStyle name="표준 7 2 2 2 2 2 3 2 2 4" xfId="15001"/>
    <cellStyle name="표준 7 2 2 2 2 2 3 2 2 4 2" xfId="37468"/>
    <cellStyle name="표준 7 2 2 2 2 2 3 2 2 5" xfId="22485"/>
    <cellStyle name="표준 7 2 2 2 2 2 3 2 2 5 2" xfId="44950"/>
    <cellStyle name="표준 7 2 2 2 2 2 3 2 2 6" xfId="29986"/>
    <cellStyle name="표준 7 2 2 2 2 2 3 2 3" xfId="7521"/>
    <cellStyle name="표준 7 2 2 2 2 2 3 2 3 2" xfId="7522"/>
    <cellStyle name="표준 7 2 2 2 2 2 3 2 3 2 2" xfId="15006"/>
    <cellStyle name="표준 7 2 2 2 2 2 3 2 3 2 2 2" xfId="37473"/>
    <cellStyle name="표준 7 2 2 2 2 2 3 2 3 2 3" xfId="22490"/>
    <cellStyle name="표준 7 2 2 2 2 2 3 2 3 2 3 2" xfId="44955"/>
    <cellStyle name="표준 7 2 2 2 2 2 3 2 3 2 4" xfId="29991"/>
    <cellStyle name="표준 7 2 2 2 2 2 3 2 3 3" xfId="15005"/>
    <cellStyle name="표준 7 2 2 2 2 2 3 2 3 3 2" xfId="37472"/>
    <cellStyle name="표준 7 2 2 2 2 2 3 2 3 4" xfId="22489"/>
    <cellStyle name="표준 7 2 2 2 2 2 3 2 3 4 2" xfId="44954"/>
    <cellStyle name="표준 7 2 2 2 2 2 3 2 3 5" xfId="29990"/>
    <cellStyle name="표준 7 2 2 2 2 2 3 2 4" xfId="7523"/>
    <cellStyle name="표준 7 2 2 2 2 2 3 2 4 2" xfId="15007"/>
    <cellStyle name="표준 7 2 2 2 2 2 3 2 4 2 2" xfId="37474"/>
    <cellStyle name="표준 7 2 2 2 2 2 3 2 4 3" xfId="22491"/>
    <cellStyle name="표준 7 2 2 2 2 2 3 2 4 3 2" xfId="44956"/>
    <cellStyle name="표준 7 2 2 2 2 2 3 2 4 4" xfId="29992"/>
    <cellStyle name="표준 7 2 2 2 2 2 3 2 5" xfId="15000"/>
    <cellStyle name="표준 7 2 2 2 2 2 3 2 5 2" xfId="37467"/>
    <cellStyle name="표준 7 2 2 2 2 2 3 2 6" xfId="22484"/>
    <cellStyle name="표준 7 2 2 2 2 2 3 2 6 2" xfId="44949"/>
    <cellStyle name="표준 7 2 2 2 2 2 3 2 7" xfId="29985"/>
    <cellStyle name="표준 7 2 2 2 2 2 3 3" xfId="7524"/>
    <cellStyle name="표준 7 2 2 2 2 2 3 3 2" xfId="7525"/>
    <cellStyle name="표준 7 2 2 2 2 2 3 3 2 2" xfId="7526"/>
    <cellStyle name="표준 7 2 2 2 2 2 3 3 2 2 2" xfId="15010"/>
    <cellStyle name="표준 7 2 2 2 2 2 3 3 2 2 2 2" xfId="37477"/>
    <cellStyle name="표준 7 2 2 2 2 2 3 3 2 2 3" xfId="22494"/>
    <cellStyle name="표준 7 2 2 2 2 2 3 3 2 2 3 2" xfId="44959"/>
    <cellStyle name="표준 7 2 2 2 2 2 3 3 2 2 4" xfId="29995"/>
    <cellStyle name="표준 7 2 2 2 2 2 3 3 2 3" xfId="15009"/>
    <cellStyle name="표준 7 2 2 2 2 2 3 3 2 3 2" xfId="37476"/>
    <cellStyle name="표준 7 2 2 2 2 2 3 3 2 4" xfId="22493"/>
    <cellStyle name="표준 7 2 2 2 2 2 3 3 2 4 2" xfId="44958"/>
    <cellStyle name="표준 7 2 2 2 2 2 3 3 2 5" xfId="29994"/>
    <cellStyle name="표준 7 2 2 2 2 2 3 3 3" xfId="7527"/>
    <cellStyle name="표준 7 2 2 2 2 2 3 3 3 2" xfId="15011"/>
    <cellStyle name="표준 7 2 2 2 2 2 3 3 3 2 2" xfId="37478"/>
    <cellStyle name="표준 7 2 2 2 2 2 3 3 3 3" xfId="22495"/>
    <cellStyle name="표준 7 2 2 2 2 2 3 3 3 3 2" xfId="44960"/>
    <cellStyle name="표준 7 2 2 2 2 2 3 3 3 4" xfId="29996"/>
    <cellStyle name="표준 7 2 2 2 2 2 3 3 4" xfId="15008"/>
    <cellStyle name="표준 7 2 2 2 2 2 3 3 4 2" xfId="37475"/>
    <cellStyle name="표준 7 2 2 2 2 2 3 3 5" xfId="22492"/>
    <cellStyle name="표준 7 2 2 2 2 2 3 3 5 2" xfId="44957"/>
    <cellStyle name="표준 7 2 2 2 2 2 3 3 6" xfId="29993"/>
    <cellStyle name="표준 7 2 2 2 2 2 3 4" xfId="7528"/>
    <cellStyle name="표준 7 2 2 2 2 2 3 4 2" xfId="7529"/>
    <cellStyle name="표준 7 2 2 2 2 2 3 4 2 2" xfId="15013"/>
    <cellStyle name="표준 7 2 2 2 2 2 3 4 2 2 2" xfId="37480"/>
    <cellStyle name="표준 7 2 2 2 2 2 3 4 2 3" xfId="22497"/>
    <cellStyle name="표준 7 2 2 2 2 2 3 4 2 3 2" xfId="44962"/>
    <cellStyle name="표준 7 2 2 2 2 2 3 4 2 4" xfId="29998"/>
    <cellStyle name="표준 7 2 2 2 2 2 3 4 3" xfId="15012"/>
    <cellStyle name="표준 7 2 2 2 2 2 3 4 3 2" xfId="37479"/>
    <cellStyle name="표준 7 2 2 2 2 2 3 4 4" xfId="22496"/>
    <cellStyle name="표준 7 2 2 2 2 2 3 4 4 2" xfId="44961"/>
    <cellStyle name="표준 7 2 2 2 2 2 3 4 5" xfId="29997"/>
    <cellStyle name="표준 7 2 2 2 2 2 3 5" xfId="7530"/>
    <cellStyle name="표준 7 2 2 2 2 2 3 5 2" xfId="15014"/>
    <cellStyle name="표준 7 2 2 2 2 2 3 5 2 2" xfId="37481"/>
    <cellStyle name="표준 7 2 2 2 2 2 3 5 3" xfId="22498"/>
    <cellStyle name="표준 7 2 2 2 2 2 3 5 3 2" xfId="44963"/>
    <cellStyle name="표준 7 2 2 2 2 2 3 5 4" xfId="29999"/>
    <cellStyle name="표준 7 2 2 2 2 2 3 6" xfId="14999"/>
    <cellStyle name="표준 7 2 2 2 2 2 3 6 2" xfId="37466"/>
    <cellStyle name="표준 7 2 2 2 2 2 3 7" xfId="22483"/>
    <cellStyle name="표준 7 2 2 2 2 2 3 7 2" xfId="44948"/>
    <cellStyle name="표준 7 2 2 2 2 2 3 8" xfId="29984"/>
    <cellStyle name="표준 7 2 2 2 2 2 4" xfId="7531"/>
    <cellStyle name="표준 7 2 2 2 2 2 4 2" xfId="7532"/>
    <cellStyle name="표준 7 2 2 2 2 2 4 2 2" xfId="7533"/>
    <cellStyle name="표준 7 2 2 2 2 2 4 2 2 2" xfId="7534"/>
    <cellStyle name="표준 7 2 2 2 2 2 4 2 2 2 2" xfId="15018"/>
    <cellStyle name="표준 7 2 2 2 2 2 4 2 2 2 2 2" xfId="37485"/>
    <cellStyle name="표준 7 2 2 2 2 2 4 2 2 2 3" xfId="22502"/>
    <cellStyle name="표준 7 2 2 2 2 2 4 2 2 2 3 2" xfId="44967"/>
    <cellStyle name="표준 7 2 2 2 2 2 4 2 2 2 4" xfId="30003"/>
    <cellStyle name="표준 7 2 2 2 2 2 4 2 2 3" xfId="15017"/>
    <cellStyle name="표준 7 2 2 2 2 2 4 2 2 3 2" xfId="37484"/>
    <cellStyle name="표준 7 2 2 2 2 2 4 2 2 4" xfId="22501"/>
    <cellStyle name="표준 7 2 2 2 2 2 4 2 2 4 2" xfId="44966"/>
    <cellStyle name="표준 7 2 2 2 2 2 4 2 2 5" xfId="30002"/>
    <cellStyle name="표준 7 2 2 2 2 2 4 2 3" xfId="7535"/>
    <cellStyle name="표준 7 2 2 2 2 2 4 2 3 2" xfId="15019"/>
    <cellStyle name="표준 7 2 2 2 2 2 4 2 3 2 2" xfId="37486"/>
    <cellStyle name="표준 7 2 2 2 2 2 4 2 3 3" xfId="22503"/>
    <cellStyle name="표준 7 2 2 2 2 2 4 2 3 3 2" xfId="44968"/>
    <cellStyle name="표준 7 2 2 2 2 2 4 2 3 4" xfId="30004"/>
    <cellStyle name="표준 7 2 2 2 2 2 4 2 4" xfId="15016"/>
    <cellStyle name="표준 7 2 2 2 2 2 4 2 4 2" xfId="37483"/>
    <cellStyle name="표준 7 2 2 2 2 2 4 2 5" xfId="22500"/>
    <cellStyle name="표준 7 2 2 2 2 2 4 2 5 2" xfId="44965"/>
    <cellStyle name="표준 7 2 2 2 2 2 4 2 6" xfId="30001"/>
    <cellStyle name="표준 7 2 2 2 2 2 4 3" xfId="7536"/>
    <cellStyle name="표준 7 2 2 2 2 2 4 3 2" xfId="7537"/>
    <cellStyle name="표준 7 2 2 2 2 2 4 3 2 2" xfId="15021"/>
    <cellStyle name="표준 7 2 2 2 2 2 4 3 2 2 2" xfId="37488"/>
    <cellStyle name="표준 7 2 2 2 2 2 4 3 2 3" xfId="22505"/>
    <cellStyle name="표준 7 2 2 2 2 2 4 3 2 3 2" xfId="44970"/>
    <cellStyle name="표준 7 2 2 2 2 2 4 3 2 4" xfId="30006"/>
    <cellStyle name="표준 7 2 2 2 2 2 4 3 3" xfId="15020"/>
    <cellStyle name="표준 7 2 2 2 2 2 4 3 3 2" xfId="37487"/>
    <cellStyle name="표준 7 2 2 2 2 2 4 3 4" xfId="22504"/>
    <cellStyle name="표준 7 2 2 2 2 2 4 3 4 2" xfId="44969"/>
    <cellStyle name="표준 7 2 2 2 2 2 4 3 5" xfId="30005"/>
    <cellStyle name="표준 7 2 2 2 2 2 4 4" xfId="7538"/>
    <cellStyle name="표준 7 2 2 2 2 2 4 4 2" xfId="15022"/>
    <cellStyle name="표준 7 2 2 2 2 2 4 4 2 2" xfId="37489"/>
    <cellStyle name="표준 7 2 2 2 2 2 4 4 3" xfId="22506"/>
    <cellStyle name="표준 7 2 2 2 2 2 4 4 3 2" xfId="44971"/>
    <cellStyle name="표준 7 2 2 2 2 2 4 4 4" xfId="30007"/>
    <cellStyle name="표준 7 2 2 2 2 2 4 5" xfId="15015"/>
    <cellStyle name="표준 7 2 2 2 2 2 4 5 2" xfId="37482"/>
    <cellStyle name="표준 7 2 2 2 2 2 4 6" xfId="22499"/>
    <cellStyle name="표준 7 2 2 2 2 2 4 6 2" xfId="44964"/>
    <cellStyle name="표준 7 2 2 2 2 2 4 7" xfId="30000"/>
    <cellStyle name="표준 7 2 2 2 2 2 5" xfId="7539"/>
    <cellStyle name="표준 7 2 2 2 2 2 5 2" xfId="7540"/>
    <cellStyle name="표준 7 2 2 2 2 2 5 2 2" xfId="7541"/>
    <cellStyle name="표준 7 2 2 2 2 2 5 2 2 2" xfId="15025"/>
    <cellStyle name="표준 7 2 2 2 2 2 5 2 2 2 2" xfId="37492"/>
    <cellStyle name="표준 7 2 2 2 2 2 5 2 2 3" xfId="22509"/>
    <cellStyle name="표준 7 2 2 2 2 2 5 2 2 3 2" xfId="44974"/>
    <cellStyle name="표준 7 2 2 2 2 2 5 2 2 4" xfId="30010"/>
    <cellStyle name="표준 7 2 2 2 2 2 5 2 3" xfId="15024"/>
    <cellStyle name="표준 7 2 2 2 2 2 5 2 3 2" xfId="37491"/>
    <cellStyle name="표준 7 2 2 2 2 2 5 2 4" xfId="22508"/>
    <cellStyle name="표준 7 2 2 2 2 2 5 2 4 2" xfId="44973"/>
    <cellStyle name="표준 7 2 2 2 2 2 5 2 5" xfId="30009"/>
    <cellStyle name="표준 7 2 2 2 2 2 5 3" xfId="7542"/>
    <cellStyle name="표준 7 2 2 2 2 2 5 3 2" xfId="15026"/>
    <cellStyle name="표준 7 2 2 2 2 2 5 3 2 2" xfId="37493"/>
    <cellStyle name="표준 7 2 2 2 2 2 5 3 3" xfId="22510"/>
    <cellStyle name="표준 7 2 2 2 2 2 5 3 3 2" xfId="44975"/>
    <cellStyle name="표준 7 2 2 2 2 2 5 3 4" xfId="30011"/>
    <cellStyle name="표준 7 2 2 2 2 2 5 4" xfId="15023"/>
    <cellStyle name="표준 7 2 2 2 2 2 5 4 2" xfId="37490"/>
    <cellStyle name="표준 7 2 2 2 2 2 5 5" xfId="22507"/>
    <cellStyle name="표준 7 2 2 2 2 2 5 5 2" xfId="44972"/>
    <cellStyle name="표준 7 2 2 2 2 2 5 6" xfId="30008"/>
    <cellStyle name="표준 7 2 2 2 2 2 6" xfId="7543"/>
    <cellStyle name="표준 7 2 2 2 2 2 6 2" xfId="7544"/>
    <cellStyle name="표준 7 2 2 2 2 2 6 2 2" xfId="15028"/>
    <cellStyle name="표준 7 2 2 2 2 2 6 2 2 2" xfId="37495"/>
    <cellStyle name="표준 7 2 2 2 2 2 6 2 3" xfId="22512"/>
    <cellStyle name="표준 7 2 2 2 2 2 6 2 3 2" xfId="44977"/>
    <cellStyle name="표준 7 2 2 2 2 2 6 2 4" xfId="30013"/>
    <cellStyle name="표준 7 2 2 2 2 2 6 3" xfId="15027"/>
    <cellStyle name="표준 7 2 2 2 2 2 6 3 2" xfId="37494"/>
    <cellStyle name="표준 7 2 2 2 2 2 6 4" xfId="22511"/>
    <cellStyle name="표준 7 2 2 2 2 2 6 4 2" xfId="44976"/>
    <cellStyle name="표준 7 2 2 2 2 2 6 5" xfId="30012"/>
    <cellStyle name="표준 7 2 2 2 2 2 7" xfId="7545"/>
    <cellStyle name="표준 7 2 2 2 2 2 7 2" xfId="15029"/>
    <cellStyle name="표준 7 2 2 2 2 2 7 2 2" xfId="37496"/>
    <cellStyle name="표준 7 2 2 2 2 2 7 3" xfId="22513"/>
    <cellStyle name="표준 7 2 2 2 2 2 7 3 2" xfId="44978"/>
    <cellStyle name="표준 7 2 2 2 2 2 7 4" xfId="30014"/>
    <cellStyle name="표준 7 2 2 2 2 2 8" xfId="14982"/>
    <cellStyle name="표준 7 2 2 2 2 2 8 2" xfId="37449"/>
    <cellStyle name="표준 7 2 2 2 2 2 9" xfId="22466"/>
    <cellStyle name="표준 7 2 2 2 2 2 9 2" xfId="44931"/>
    <cellStyle name="표준 7 2 2 2 2 3" xfId="7546"/>
    <cellStyle name="표준 7 2 2 2 2 3 2" xfId="7547"/>
    <cellStyle name="표준 7 2 2 2 2 3 2 2" xfId="7548"/>
    <cellStyle name="표준 7 2 2 2 2 3 2 2 2" xfId="7549"/>
    <cellStyle name="표준 7 2 2 2 2 3 2 2 2 2" xfId="7550"/>
    <cellStyle name="표준 7 2 2 2 2 3 2 2 2 2 2" xfId="15034"/>
    <cellStyle name="표준 7 2 2 2 2 3 2 2 2 2 2 2" xfId="37501"/>
    <cellStyle name="표준 7 2 2 2 2 3 2 2 2 2 3" xfId="22518"/>
    <cellStyle name="표준 7 2 2 2 2 3 2 2 2 2 3 2" xfId="44983"/>
    <cellStyle name="표준 7 2 2 2 2 3 2 2 2 2 4" xfId="30019"/>
    <cellStyle name="표준 7 2 2 2 2 3 2 2 2 3" xfId="15033"/>
    <cellStyle name="표준 7 2 2 2 2 3 2 2 2 3 2" xfId="37500"/>
    <cellStyle name="표준 7 2 2 2 2 3 2 2 2 4" xfId="22517"/>
    <cellStyle name="표준 7 2 2 2 2 3 2 2 2 4 2" xfId="44982"/>
    <cellStyle name="표준 7 2 2 2 2 3 2 2 2 5" xfId="30018"/>
    <cellStyle name="표준 7 2 2 2 2 3 2 2 3" xfId="7551"/>
    <cellStyle name="표준 7 2 2 2 2 3 2 2 3 2" xfId="15035"/>
    <cellStyle name="표준 7 2 2 2 2 3 2 2 3 2 2" xfId="37502"/>
    <cellStyle name="표준 7 2 2 2 2 3 2 2 3 3" xfId="22519"/>
    <cellStyle name="표준 7 2 2 2 2 3 2 2 3 3 2" xfId="44984"/>
    <cellStyle name="표준 7 2 2 2 2 3 2 2 3 4" xfId="30020"/>
    <cellStyle name="표준 7 2 2 2 2 3 2 2 4" xfId="15032"/>
    <cellStyle name="표준 7 2 2 2 2 3 2 2 4 2" xfId="37499"/>
    <cellStyle name="표준 7 2 2 2 2 3 2 2 5" xfId="22516"/>
    <cellStyle name="표준 7 2 2 2 2 3 2 2 5 2" xfId="44981"/>
    <cellStyle name="표준 7 2 2 2 2 3 2 2 6" xfId="30017"/>
    <cellStyle name="표준 7 2 2 2 2 3 2 3" xfId="7552"/>
    <cellStyle name="표준 7 2 2 2 2 3 2 3 2" xfId="7553"/>
    <cellStyle name="표준 7 2 2 2 2 3 2 3 2 2" xfId="15037"/>
    <cellStyle name="표준 7 2 2 2 2 3 2 3 2 2 2" xfId="37504"/>
    <cellStyle name="표준 7 2 2 2 2 3 2 3 2 3" xfId="22521"/>
    <cellStyle name="표준 7 2 2 2 2 3 2 3 2 3 2" xfId="44986"/>
    <cellStyle name="표준 7 2 2 2 2 3 2 3 2 4" xfId="30022"/>
    <cellStyle name="표준 7 2 2 2 2 3 2 3 3" xfId="15036"/>
    <cellStyle name="표준 7 2 2 2 2 3 2 3 3 2" xfId="37503"/>
    <cellStyle name="표준 7 2 2 2 2 3 2 3 4" xfId="22520"/>
    <cellStyle name="표준 7 2 2 2 2 3 2 3 4 2" xfId="44985"/>
    <cellStyle name="표준 7 2 2 2 2 3 2 3 5" xfId="30021"/>
    <cellStyle name="표준 7 2 2 2 2 3 2 4" xfId="7554"/>
    <cellStyle name="표준 7 2 2 2 2 3 2 4 2" xfId="15038"/>
    <cellStyle name="표준 7 2 2 2 2 3 2 4 2 2" xfId="37505"/>
    <cellStyle name="표준 7 2 2 2 2 3 2 4 3" xfId="22522"/>
    <cellStyle name="표준 7 2 2 2 2 3 2 4 3 2" xfId="44987"/>
    <cellStyle name="표준 7 2 2 2 2 3 2 4 4" xfId="30023"/>
    <cellStyle name="표준 7 2 2 2 2 3 2 5" xfId="15031"/>
    <cellStyle name="표준 7 2 2 2 2 3 2 5 2" xfId="37498"/>
    <cellStyle name="표준 7 2 2 2 2 3 2 6" xfId="22515"/>
    <cellStyle name="표준 7 2 2 2 2 3 2 6 2" xfId="44980"/>
    <cellStyle name="표준 7 2 2 2 2 3 2 7" xfId="30016"/>
    <cellStyle name="표준 7 2 2 2 2 3 3" xfId="7555"/>
    <cellStyle name="표준 7 2 2 2 2 3 3 2" xfId="7556"/>
    <cellStyle name="표준 7 2 2 2 2 3 3 2 2" xfId="7557"/>
    <cellStyle name="표준 7 2 2 2 2 3 3 2 2 2" xfId="15041"/>
    <cellStyle name="표준 7 2 2 2 2 3 3 2 2 2 2" xfId="37508"/>
    <cellStyle name="표준 7 2 2 2 2 3 3 2 2 3" xfId="22525"/>
    <cellStyle name="표준 7 2 2 2 2 3 3 2 2 3 2" xfId="44990"/>
    <cellStyle name="표준 7 2 2 2 2 3 3 2 2 4" xfId="30026"/>
    <cellStyle name="표준 7 2 2 2 2 3 3 2 3" xfId="15040"/>
    <cellStyle name="표준 7 2 2 2 2 3 3 2 3 2" xfId="37507"/>
    <cellStyle name="표준 7 2 2 2 2 3 3 2 4" xfId="22524"/>
    <cellStyle name="표준 7 2 2 2 2 3 3 2 4 2" xfId="44989"/>
    <cellStyle name="표준 7 2 2 2 2 3 3 2 5" xfId="30025"/>
    <cellStyle name="표준 7 2 2 2 2 3 3 3" xfId="7558"/>
    <cellStyle name="표준 7 2 2 2 2 3 3 3 2" xfId="15042"/>
    <cellStyle name="표준 7 2 2 2 2 3 3 3 2 2" xfId="37509"/>
    <cellStyle name="표준 7 2 2 2 2 3 3 3 3" xfId="22526"/>
    <cellStyle name="표준 7 2 2 2 2 3 3 3 3 2" xfId="44991"/>
    <cellStyle name="표준 7 2 2 2 2 3 3 3 4" xfId="30027"/>
    <cellStyle name="표준 7 2 2 2 2 3 3 4" xfId="15039"/>
    <cellStyle name="표준 7 2 2 2 2 3 3 4 2" xfId="37506"/>
    <cellStyle name="표준 7 2 2 2 2 3 3 5" xfId="22523"/>
    <cellStyle name="표준 7 2 2 2 2 3 3 5 2" xfId="44988"/>
    <cellStyle name="표준 7 2 2 2 2 3 3 6" xfId="30024"/>
    <cellStyle name="표준 7 2 2 2 2 3 4" xfId="7559"/>
    <cellStyle name="표준 7 2 2 2 2 3 4 2" xfId="7560"/>
    <cellStyle name="표준 7 2 2 2 2 3 4 2 2" xfId="15044"/>
    <cellStyle name="표준 7 2 2 2 2 3 4 2 2 2" xfId="37511"/>
    <cellStyle name="표준 7 2 2 2 2 3 4 2 3" xfId="22528"/>
    <cellStyle name="표준 7 2 2 2 2 3 4 2 3 2" xfId="44993"/>
    <cellStyle name="표준 7 2 2 2 2 3 4 2 4" xfId="30029"/>
    <cellStyle name="표준 7 2 2 2 2 3 4 3" xfId="15043"/>
    <cellStyle name="표준 7 2 2 2 2 3 4 3 2" xfId="37510"/>
    <cellStyle name="표준 7 2 2 2 2 3 4 4" xfId="22527"/>
    <cellStyle name="표준 7 2 2 2 2 3 4 4 2" xfId="44992"/>
    <cellStyle name="표준 7 2 2 2 2 3 4 5" xfId="30028"/>
    <cellStyle name="표준 7 2 2 2 2 3 5" xfId="7561"/>
    <cellStyle name="표준 7 2 2 2 2 3 5 2" xfId="15045"/>
    <cellStyle name="표준 7 2 2 2 2 3 5 2 2" xfId="37512"/>
    <cellStyle name="표준 7 2 2 2 2 3 5 3" xfId="22529"/>
    <cellStyle name="표준 7 2 2 2 2 3 5 3 2" xfId="44994"/>
    <cellStyle name="표준 7 2 2 2 2 3 5 4" xfId="30030"/>
    <cellStyle name="표준 7 2 2 2 2 3 6" xfId="15030"/>
    <cellStyle name="표준 7 2 2 2 2 3 6 2" xfId="37497"/>
    <cellStyle name="표준 7 2 2 2 2 3 7" xfId="22514"/>
    <cellStyle name="표준 7 2 2 2 2 3 7 2" xfId="44979"/>
    <cellStyle name="표준 7 2 2 2 2 3 8" xfId="30015"/>
    <cellStyle name="표준 7 2 2 2 2 4" xfId="7562"/>
    <cellStyle name="표준 7 2 2 2 2 4 2" xfId="7563"/>
    <cellStyle name="표준 7 2 2 2 2 4 2 2" xfId="7564"/>
    <cellStyle name="표준 7 2 2 2 2 4 2 2 2" xfId="7565"/>
    <cellStyle name="표준 7 2 2 2 2 4 2 2 2 2" xfId="7566"/>
    <cellStyle name="표준 7 2 2 2 2 4 2 2 2 2 2" xfId="15050"/>
    <cellStyle name="표준 7 2 2 2 2 4 2 2 2 2 2 2" xfId="37517"/>
    <cellStyle name="표준 7 2 2 2 2 4 2 2 2 2 3" xfId="22534"/>
    <cellStyle name="표준 7 2 2 2 2 4 2 2 2 2 3 2" xfId="44999"/>
    <cellStyle name="표준 7 2 2 2 2 4 2 2 2 2 4" xfId="30035"/>
    <cellStyle name="표준 7 2 2 2 2 4 2 2 2 3" xfId="15049"/>
    <cellStyle name="표준 7 2 2 2 2 4 2 2 2 3 2" xfId="37516"/>
    <cellStyle name="표준 7 2 2 2 2 4 2 2 2 4" xfId="22533"/>
    <cellStyle name="표준 7 2 2 2 2 4 2 2 2 4 2" xfId="44998"/>
    <cellStyle name="표준 7 2 2 2 2 4 2 2 2 5" xfId="30034"/>
    <cellStyle name="표준 7 2 2 2 2 4 2 2 3" xfId="7567"/>
    <cellStyle name="표준 7 2 2 2 2 4 2 2 3 2" xfId="15051"/>
    <cellStyle name="표준 7 2 2 2 2 4 2 2 3 2 2" xfId="37518"/>
    <cellStyle name="표준 7 2 2 2 2 4 2 2 3 3" xfId="22535"/>
    <cellStyle name="표준 7 2 2 2 2 4 2 2 3 3 2" xfId="45000"/>
    <cellStyle name="표준 7 2 2 2 2 4 2 2 3 4" xfId="30036"/>
    <cellStyle name="표준 7 2 2 2 2 4 2 2 4" xfId="15048"/>
    <cellStyle name="표준 7 2 2 2 2 4 2 2 4 2" xfId="37515"/>
    <cellStyle name="표준 7 2 2 2 2 4 2 2 5" xfId="22532"/>
    <cellStyle name="표준 7 2 2 2 2 4 2 2 5 2" xfId="44997"/>
    <cellStyle name="표준 7 2 2 2 2 4 2 2 6" xfId="30033"/>
    <cellStyle name="표준 7 2 2 2 2 4 2 3" xfId="7568"/>
    <cellStyle name="표준 7 2 2 2 2 4 2 3 2" xfId="7569"/>
    <cellStyle name="표준 7 2 2 2 2 4 2 3 2 2" xfId="15053"/>
    <cellStyle name="표준 7 2 2 2 2 4 2 3 2 2 2" xfId="37520"/>
    <cellStyle name="표준 7 2 2 2 2 4 2 3 2 3" xfId="22537"/>
    <cellStyle name="표준 7 2 2 2 2 4 2 3 2 3 2" xfId="45002"/>
    <cellStyle name="표준 7 2 2 2 2 4 2 3 2 4" xfId="30038"/>
    <cellStyle name="표준 7 2 2 2 2 4 2 3 3" xfId="15052"/>
    <cellStyle name="표준 7 2 2 2 2 4 2 3 3 2" xfId="37519"/>
    <cellStyle name="표준 7 2 2 2 2 4 2 3 4" xfId="22536"/>
    <cellStyle name="표준 7 2 2 2 2 4 2 3 4 2" xfId="45001"/>
    <cellStyle name="표준 7 2 2 2 2 4 2 3 5" xfId="30037"/>
    <cellStyle name="표준 7 2 2 2 2 4 2 4" xfId="7570"/>
    <cellStyle name="표준 7 2 2 2 2 4 2 4 2" xfId="15054"/>
    <cellStyle name="표준 7 2 2 2 2 4 2 4 2 2" xfId="37521"/>
    <cellStyle name="표준 7 2 2 2 2 4 2 4 3" xfId="22538"/>
    <cellStyle name="표준 7 2 2 2 2 4 2 4 3 2" xfId="45003"/>
    <cellStyle name="표준 7 2 2 2 2 4 2 4 4" xfId="30039"/>
    <cellStyle name="표준 7 2 2 2 2 4 2 5" xfId="15047"/>
    <cellStyle name="표준 7 2 2 2 2 4 2 5 2" xfId="37514"/>
    <cellStyle name="표준 7 2 2 2 2 4 2 6" xfId="22531"/>
    <cellStyle name="표준 7 2 2 2 2 4 2 6 2" xfId="44996"/>
    <cellStyle name="표준 7 2 2 2 2 4 2 7" xfId="30032"/>
    <cellStyle name="표준 7 2 2 2 2 4 3" xfId="7571"/>
    <cellStyle name="표준 7 2 2 2 2 4 3 2" xfId="7572"/>
    <cellStyle name="표준 7 2 2 2 2 4 3 2 2" xfId="7573"/>
    <cellStyle name="표준 7 2 2 2 2 4 3 2 2 2" xfId="15057"/>
    <cellStyle name="표준 7 2 2 2 2 4 3 2 2 2 2" xfId="37524"/>
    <cellStyle name="표준 7 2 2 2 2 4 3 2 2 3" xfId="22541"/>
    <cellStyle name="표준 7 2 2 2 2 4 3 2 2 3 2" xfId="45006"/>
    <cellStyle name="표준 7 2 2 2 2 4 3 2 2 4" xfId="30042"/>
    <cellStyle name="표준 7 2 2 2 2 4 3 2 3" xfId="15056"/>
    <cellStyle name="표준 7 2 2 2 2 4 3 2 3 2" xfId="37523"/>
    <cellStyle name="표준 7 2 2 2 2 4 3 2 4" xfId="22540"/>
    <cellStyle name="표준 7 2 2 2 2 4 3 2 4 2" xfId="45005"/>
    <cellStyle name="표준 7 2 2 2 2 4 3 2 5" xfId="30041"/>
    <cellStyle name="표준 7 2 2 2 2 4 3 3" xfId="7574"/>
    <cellStyle name="표준 7 2 2 2 2 4 3 3 2" xfId="15058"/>
    <cellStyle name="표준 7 2 2 2 2 4 3 3 2 2" xfId="37525"/>
    <cellStyle name="표준 7 2 2 2 2 4 3 3 3" xfId="22542"/>
    <cellStyle name="표준 7 2 2 2 2 4 3 3 3 2" xfId="45007"/>
    <cellStyle name="표준 7 2 2 2 2 4 3 3 4" xfId="30043"/>
    <cellStyle name="표준 7 2 2 2 2 4 3 4" xfId="15055"/>
    <cellStyle name="표준 7 2 2 2 2 4 3 4 2" xfId="37522"/>
    <cellStyle name="표준 7 2 2 2 2 4 3 5" xfId="22539"/>
    <cellStyle name="표준 7 2 2 2 2 4 3 5 2" xfId="45004"/>
    <cellStyle name="표준 7 2 2 2 2 4 3 6" xfId="30040"/>
    <cellStyle name="표준 7 2 2 2 2 4 4" xfId="7575"/>
    <cellStyle name="표준 7 2 2 2 2 4 4 2" xfId="7576"/>
    <cellStyle name="표준 7 2 2 2 2 4 4 2 2" xfId="15060"/>
    <cellStyle name="표준 7 2 2 2 2 4 4 2 2 2" xfId="37527"/>
    <cellStyle name="표준 7 2 2 2 2 4 4 2 3" xfId="22544"/>
    <cellStyle name="표준 7 2 2 2 2 4 4 2 3 2" xfId="45009"/>
    <cellStyle name="표준 7 2 2 2 2 4 4 2 4" xfId="30045"/>
    <cellStyle name="표준 7 2 2 2 2 4 4 3" xfId="15059"/>
    <cellStyle name="표준 7 2 2 2 2 4 4 3 2" xfId="37526"/>
    <cellStyle name="표준 7 2 2 2 2 4 4 4" xfId="22543"/>
    <cellStyle name="표준 7 2 2 2 2 4 4 4 2" xfId="45008"/>
    <cellStyle name="표준 7 2 2 2 2 4 4 5" xfId="30044"/>
    <cellStyle name="표준 7 2 2 2 2 4 5" xfId="7577"/>
    <cellStyle name="표준 7 2 2 2 2 4 5 2" xfId="15061"/>
    <cellStyle name="표준 7 2 2 2 2 4 5 2 2" xfId="37528"/>
    <cellStyle name="표준 7 2 2 2 2 4 5 3" xfId="22545"/>
    <cellStyle name="표준 7 2 2 2 2 4 5 3 2" xfId="45010"/>
    <cellStyle name="표준 7 2 2 2 2 4 5 4" xfId="30046"/>
    <cellStyle name="표준 7 2 2 2 2 4 6" xfId="15046"/>
    <cellStyle name="표준 7 2 2 2 2 4 6 2" xfId="37513"/>
    <cellStyle name="표준 7 2 2 2 2 4 7" xfId="22530"/>
    <cellStyle name="표준 7 2 2 2 2 4 7 2" xfId="44995"/>
    <cellStyle name="표준 7 2 2 2 2 4 8" xfId="30031"/>
    <cellStyle name="표준 7 2 2 2 2 5" xfId="7578"/>
    <cellStyle name="표준 7 2 2 2 2 5 2" xfId="7579"/>
    <cellStyle name="표준 7 2 2 2 2 5 2 2" xfId="7580"/>
    <cellStyle name="표준 7 2 2 2 2 5 2 2 2" xfId="7581"/>
    <cellStyle name="표준 7 2 2 2 2 5 2 2 2 2" xfId="15065"/>
    <cellStyle name="표준 7 2 2 2 2 5 2 2 2 2 2" xfId="37532"/>
    <cellStyle name="표준 7 2 2 2 2 5 2 2 2 3" xfId="22549"/>
    <cellStyle name="표준 7 2 2 2 2 5 2 2 2 3 2" xfId="45014"/>
    <cellStyle name="표준 7 2 2 2 2 5 2 2 2 4" xfId="30050"/>
    <cellStyle name="표준 7 2 2 2 2 5 2 2 3" xfId="15064"/>
    <cellStyle name="표준 7 2 2 2 2 5 2 2 3 2" xfId="37531"/>
    <cellStyle name="표준 7 2 2 2 2 5 2 2 4" xfId="22548"/>
    <cellStyle name="표준 7 2 2 2 2 5 2 2 4 2" xfId="45013"/>
    <cellStyle name="표준 7 2 2 2 2 5 2 2 5" xfId="30049"/>
    <cellStyle name="표준 7 2 2 2 2 5 2 3" xfId="7582"/>
    <cellStyle name="표준 7 2 2 2 2 5 2 3 2" xfId="15066"/>
    <cellStyle name="표준 7 2 2 2 2 5 2 3 2 2" xfId="37533"/>
    <cellStyle name="표준 7 2 2 2 2 5 2 3 3" xfId="22550"/>
    <cellStyle name="표준 7 2 2 2 2 5 2 3 3 2" xfId="45015"/>
    <cellStyle name="표준 7 2 2 2 2 5 2 3 4" xfId="30051"/>
    <cellStyle name="표준 7 2 2 2 2 5 2 4" xfId="15063"/>
    <cellStyle name="표준 7 2 2 2 2 5 2 4 2" xfId="37530"/>
    <cellStyle name="표준 7 2 2 2 2 5 2 5" xfId="22547"/>
    <cellStyle name="표준 7 2 2 2 2 5 2 5 2" xfId="45012"/>
    <cellStyle name="표준 7 2 2 2 2 5 2 6" xfId="30048"/>
    <cellStyle name="표준 7 2 2 2 2 5 3" xfId="7583"/>
    <cellStyle name="표준 7 2 2 2 2 5 3 2" xfId="7584"/>
    <cellStyle name="표준 7 2 2 2 2 5 3 2 2" xfId="15068"/>
    <cellStyle name="표준 7 2 2 2 2 5 3 2 2 2" xfId="37535"/>
    <cellStyle name="표준 7 2 2 2 2 5 3 2 3" xfId="22552"/>
    <cellStyle name="표준 7 2 2 2 2 5 3 2 3 2" xfId="45017"/>
    <cellStyle name="표준 7 2 2 2 2 5 3 2 4" xfId="30053"/>
    <cellStyle name="표준 7 2 2 2 2 5 3 3" xfId="15067"/>
    <cellStyle name="표준 7 2 2 2 2 5 3 3 2" xfId="37534"/>
    <cellStyle name="표준 7 2 2 2 2 5 3 4" xfId="22551"/>
    <cellStyle name="표준 7 2 2 2 2 5 3 4 2" xfId="45016"/>
    <cellStyle name="표준 7 2 2 2 2 5 3 5" xfId="30052"/>
    <cellStyle name="표준 7 2 2 2 2 5 4" xfId="7585"/>
    <cellStyle name="표준 7 2 2 2 2 5 4 2" xfId="15069"/>
    <cellStyle name="표준 7 2 2 2 2 5 4 2 2" xfId="37536"/>
    <cellStyle name="표준 7 2 2 2 2 5 4 3" xfId="22553"/>
    <cellStyle name="표준 7 2 2 2 2 5 4 3 2" xfId="45018"/>
    <cellStyle name="표준 7 2 2 2 2 5 4 4" xfId="30054"/>
    <cellStyle name="표준 7 2 2 2 2 5 5" xfId="15062"/>
    <cellStyle name="표준 7 2 2 2 2 5 5 2" xfId="37529"/>
    <cellStyle name="표준 7 2 2 2 2 5 6" xfId="22546"/>
    <cellStyle name="표준 7 2 2 2 2 5 6 2" xfId="45011"/>
    <cellStyle name="표준 7 2 2 2 2 5 7" xfId="30047"/>
    <cellStyle name="표준 7 2 2 2 2 6" xfId="7586"/>
    <cellStyle name="표준 7 2 2 2 2 6 2" xfId="7587"/>
    <cellStyle name="표준 7 2 2 2 2 6 2 2" xfId="7588"/>
    <cellStyle name="표준 7 2 2 2 2 6 2 2 2" xfId="15072"/>
    <cellStyle name="표준 7 2 2 2 2 6 2 2 2 2" xfId="37539"/>
    <cellStyle name="표준 7 2 2 2 2 6 2 2 3" xfId="22556"/>
    <cellStyle name="표준 7 2 2 2 2 6 2 2 3 2" xfId="45021"/>
    <cellStyle name="표준 7 2 2 2 2 6 2 2 4" xfId="30057"/>
    <cellStyle name="표준 7 2 2 2 2 6 2 3" xfId="15071"/>
    <cellStyle name="표준 7 2 2 2 2 6 2 3 2" xfId="37538"/>
    <cellStyle name="표준 7 2 2 2 2 6 2 4" xfId="22555"/>
    <cellStyle name="표준 7 2 2 2 2 6 2 4 2" xfId="45020"/>
    <cellStyle name="표준 7 2 2 2 2 6 2 5" xfId="30056"/>
    <cellStyle name="표준 7 2 2 2 2 6 3" xfId="7589"/>
    <cellStyle name="표준 7 2 2 2 2 6 3 2" xfId="15073"/>
    <cellStyle name="표준 7 2 2 2 2 6 3 2 2" xfId="37540"/>
    <cellStyle name="표준 7 2 2 2 2 6 3 3" xfId="22557"/>
    <cellStyle name="표준 7 2 2 2 2 6 3 3 2" xfId="45022"/>
    <cellStyle name="표준 7 2 2 2 2 6 3 4" xfId="30058"/>
    <cellStyle name="표준 7 2 2 2 2 6 4" xfId="15070"/>
    <cellStyle name="표준 7 2 2 2 2 6 4 2" xfId="37537"/>
    <cellStyle name="표준 7 2 2 2 2 6 5" xfId="22554"/>
    <cellStyle name="표준 7 2 2 2 2 6 5 2" xfId="45019"/>
    <cellStyle name="표준 7 2 2 2 2 6 6" xfId="30055"/>
    <cellStyle name="표준 7 2 2 2 2 7" xfId="7590"/>
    <cellStyle name="표준 7 2 2 2 2 7 2" xfId="7591"/>
    <cellStyle name="표준 7 2 2 2 2 7 2 2" xfId="7592"/>
    <cellStyle name="표준 7 2 2 2 2 7 2 2 2" xfId="15076"/>
    <cellStyle name="표준 7 2 2 2 2 7 2 2 2 2" xfId="37543"/>
    <cellStyle name="표준 7 2 2 2 2 7 2 2 3" xfId="22560"/>
    <cellStyle name="표준 7 2 2 2 2 7 2 2 3 2" xfId="45025"/>
    <cellStyle name="표준 7 2 2 2 2 7 2 2 4" xfId="30061"/>
    <cellStyle name="표준 7 2 2 2 2 7 2 3" xfId="15075"/>
    <cellStyle name="표준 7 2 2 2 2 7 2 3 2" xfId="37542"/>
    <cellStyle name="표준 7 2 2 2 2 7 2 4" xfId="22559"/>
    <cellStyle name="표준 7 2 2 2 2 7 2 4 2" xfId="45024"/>
    <cellStyle name="표준 7 2 2 2 2 7 2 5" xfId="30060"/>
    <cellStyle name="표준 7 2 2 2 2 7 3" xfId="7593"/>
    <cellStyle name="표준 7 2 2 2 2 7 3 2" xfId="15077"/>
    <cellStyle name="표준 7 2 2 2 2 7 3 2 2" xfId="37544"/>
    <cellStyle name="표준 7 2 2 2 2 7 3 3" xfId="22561"/>
    <cellStyle name="표준 7 2 2 2 2 7 3 3 2" xfId="45026"/>
    <cellStyle name="표준 7 2 2 2 2 7 3 4" xfId="30062"/>
    <cellStyle name="표준 7 2 2 2 2 7 4" xfId="15074"/>
    <cellStyle name="표준 7 2 2 2 2 7 4 2" xfId="37541"/>
    <cellStyle name="표준 7 2 2 2 2 7 5" xfId="22558"/>
    <cellStyle name="표준 7 2 2 2 2 7 5 2" xfId="45023"/>
    <cellStyle name="표준 7 2 2 2 2 7 6" xfId="30059"/>
    <cellStyle name="표준 7 2 2 2 2 8" xfId="7594"/>
    <cellStyle name="표준 7 2 2 2 2 8 2" xfId="7595"/>
    <cellStyle name="표준 7 2 2 2 2 8 2 2" xfId="15079"/>
    <cellStyle name="표준 7 2 2 2 2 8 2 2 2" xfId="37546"/>
    <cellStyle name="표준 7 2 2 2 2 8 2 3" xfId="22563"/>
    <cellStyle name="표준 7 2 2 2 2 8 2 3 2" xfId="45028"/>
    <cellStyle name="표준 7 2 2 2 2 8 2 4" xfId="30064"/>
    <cellStyle name="표준 7 2 2 2 2 8 3" xfId="15078"/>
    <cellStyle name="표준 7 2 2 2 2 8 3 2" xfId="37545"/>
    <cellStyle name="표준 7 2 2 2 2 8 4" xfId="22562"/>
    <cellStyle name="표준 7 2 2 2 2 8 4 2" xfId="45027"/>
    <cellStyle name="표준 7 2 2 2 2 8 5" xfId="30063"/>
    <cellStyle name="표준 7 2 2 2 2 9" xfId="7596"/>
    <cellStyle name="표준 7 2 2 2 2 9 2" xfId="15080"/>
    <cellStyle name="표준 7 2 2 2 2 9 2 2" xfId="37547"/>
    <cellStyle name="표준 7 2 2 2 2 9 3" xfId="22564"/>
    <cellStyle name="표준 7 2 2 2 2 9 3 2" xfId="45029"/>
    <cellStyle name="표준 7 2 2 2 2 9 4" xfId="30065"/>
    <cellStyle name="표준 7 2 2 2 3" xfId="7597"/>
    <cellStyle name="표준 7 2 2 2 3 10" xfId="30066"/>
    <cellStyle name="표준 7 2 2 2 3 2" xfId="7598"/>
    <cellStyle name="표준 7 2 2 2 3 2 2" xfId="7599"/>
    <cellStyle name="표준 7 2 2 2 3 2 2 2" xfId="7600"/>
    <cellStyle name="표준 7 2 2 2 3 2 2 2 2" xfId="7601"/>
    <cellStyle name="표준 7 2 2 2 3 2 2 2 2 2" xfId="7602"/>
    <cellStyle name="표준 7 2 2 2 3 2 2 2 2 2 2" xfId="15086"/>
    <cellStyle name="표준 7 2 2 2 3 2 2 2 2 2 2 2" xfId="37553"/>
    <cellStyle name="표준 7 2 2 2 3 2 2 2 2 2 3" xfId="22570"/>
    <cellStyle name="표준 7 2 2 2 3 2 2 2 2 2 3 2" xfId="45035"/>
    <cellStyle name="표준 7 2 2 2 3 2 2 2 2 2 4" xfId="30071"/>
    <cellStyle name="표준 7 2 2 2 3 2 2 2 2 3" xfId="15085"/>
    <cellStyle name="표준 7 2 2 2 3 2 2 2 2 3 2" xfId="37552"/>
    <cellStyle name="표준 7 2 2 2 3 2 2 2 2 4" xfId="22569"/>
    <cellStyle name="표준 7 2 2 2 3 2 2 2 2 4 2" xfId="45034"/>
    <cellStyle name="표준 7 2 2 2 3 2 2 2 2 5" xfId="30070"/>
    <cellStyle name="표준 7 2 2 2 3 2 2 2 3" xfId="7603"/>
    <cellStyle name="표준 7 2 2 2 3 2 2 2 3 2" xfId="15087"/>
    <cellStyle name="표준 7 2 2 2 3 2 2 2 3 2 2" xfId="37554"/>
    <cellStyle name="표준 7 2 2 2 3 2 2 2 3 3" xfId="22571"/>
    <cellStyle name="표준 7 2 2 2 3 2 2 2 3 3 2" xfId="45036"/>
    <cellStyle name="표준 7 2 2 2 3 2 2 2 3 4" xfId="30072"/>
    <cellStyle name="표준 7 2 2 2 3 2 2 2 4" xfId="15084"/>
    <cellStyle name="표준 7 2 2 2 3 2 2 2 4 2" xfId="37551"/>
    <cellStyle name="표준 7 2 2 2 3 2 2 2 5" xfId="22568"/>
    <cellStyle name="표준 7 2 2 2 3 2 2 2 5 2" xfId="45033"/>
    <cellStyle name="표준 7 2 2 2 3 2 2 2 6" xfId="30069"/>
    <cellStyle name="표준 7 2 2 2 3 2 2 3" xfId="7604"/>
    <cellStyle name="표준 7 2 2 2 3 2 2 3 2" xfId="7605"/>
    <cellStyle name="표준 7 2 2 2 3 2 2 3 2 2" xfId="15089"/>
    <cellStyle name="표준 7 2 2 2 3 2 2 3 2 2 2" xfId="37556"/>
    <cellStyle name="표준 7 2 2 2 3 2 2 3 2 3" xfId="22573"/>
    <cellStyle name="표준 7 2 2 2 3 2 2 3 2 3 2" xfId="45038"/>
    <cellStyle name="표준 7 2 2 2 3 2 2 3 2 4" xfId="30074"/>
    <cellStyle name="표준 7 2 2 2 3 2 2 3 3" xfId="15088"/>
    <cellStyle name="표준 7 2 2 2 3 2 2 3 3 2" xfId="37555"/>
    <cellStyle name="표준 7 2 2 2 3 2 2 3 4" xfId="22572"/>
    <cellStyle name="표준 7 2 2 2 3 2 2 3 4 2" xfId="45037"/>
    <cellStyle name="표준 7 2 2 2 3 2 2 3 5" xfId="30073"/>
    <cellStyle name="표준 7 2 2 2 3 2 2 4" xfId="7606"/>
    <cellStyle name="표준 7 2 2 2 3 2 2 4 2" xfId="15090"/>
    <cellStyle name="표준 7 2 2 2 3 2 2 4 2 2" xfId="37557"/>
    <cellStyle name="표준 7 2 2 2 3 2 2 4 3" xfId="22574"/>
    <cellStyle name="표준 7 2 2 2 3 2 2 4 3 2" xfId="45039"/>
    <cellStyle name="표준 7 2 2 2 3 2 2 4 4" xfId="30075"/>
    <cellStyle name="표준 7 2 2 2 3 2 2 5" xfId="15083"/>
    <cellStyle name="표준 7 2 2 2 3 2 2 5 2" xfId="37550"/>
    <cellStyle name="표준 7 2 2 2 3 2 2 6" xfId="22567"/>
    <cellStyle name="표준 7 2 2 2 3 2 2 6 2" xfId="45032"/>
    <cellStyle name="표준 7 2 2 2 3 2 2 7" xfId="30068"/>
    <cellStyle name="표준 7 2 2 2 3 2 3" xfId="7607"/>
    <cellStyle name="표준 7 2 2 2 3 2 3 2" xfId="7608"/>
    <cellStyle name="표준 7 2 2 2 3 2 3 2 2" xfId="7609"/>
    <cellStyle name="표준 7 2 2 2 3 2 3 2 2 2" xfId="15093"/>
    <cellStyle name="표준 7 2 2 2 3 2 3 2 2 2 2" xfId="37560"/>
    <cellStyle name="표준 7 2 2 2 3 2 3 2 2 3" xfId="22577"/>
    <cellStyle name="표준 7 2 2 2 3 2 3 2 2 3 2" xfId="45042"/>
    <cellStyle name="표준 7 2 2 2 3 2 3 2 2 4" xfId="30078"/>
    <cellStyle name="표준 7 2 2 2 3 2 3 2 3" xfId="15092"/>
    <cellStyle name="표준 7 2 2 2 3 2 3 2 3 2" xfId="37559"/>
    <cellStyle name="표준 7 2 2 2 3 2 3 2 4" xfId="22576"/>
    <cellStyle name="표준 7 2 2 2 3 2 3 2 4 2" xfId="45041"/>
    <cellStyle name="표준 7 2 2 2 3 2 3 2 5" xfId="30077"/>
    <cellStyle name="표준 7 2 2 2 3 2 3 3" xfId="7610"/>
    <cellStyle name="표준 7 2 2 2 3 2 3 3 2" xfId="15094"/>
    <cellStyle name="표준 7 2 2 2 3 2 3 3 2 2" xfId="37561"/>
    <cellStyle name="표준 7 2 2 2 3 2 3 3 3" xfId="22578"/>
    <cellStyle name="표준 7 2 2 2 3 2 3 3 3 2" xfId="45043"/>
    <cellStyle name="표준 7 2 2 2 3 2 3 3 4" xfId="30079"/>
    <cellStyle name="표준 7 2 2 2 3 2 3 4" xfId="15091"/>
    <cellStyle name="표준 7 2 2 2 3 2 3 4 2" xfId="37558"/>
    <cellStyle name="표준 7 2 2 2 3 2 3 5" xfId="22575"/>
    <cellStyle name="표준 7 2 2 2 3 2 3 5 2" xfId="45040"/>
    <cellStyle name="표준 7 2 2 2 3 2 3 6" xfId="30076"/>
    <cellStyle name="표준 7 2 2 2 3 2 4" xfId="7611"/>
    <cellStyle name="표준 7 2 2 2 3 2 4 2" xfId="7612"/>
    <cellStyle name="표준 7 2 2 2 3 2 4 2 2" xfId="15096"/>
    <cellStyle name="표준 7 2 2 2 3 2 4 2 2 2" xfId="37563"/>
    <cellStyle name="표준 7 2 2 2 3 2 4 2 3" xfId="22580"/>
    <cellStyle name="표준 7 2 2 2 3 2 4 2 3 2" xfId="45045"/>
    <cellStyle name="표준 7 2 2 2 3 2 4 2 4" xfId="30081"/>
    <cellStyle name="표준 7 2 2 2 3 2 4 3" xfId="15095"/>
    <cellStyle name="표준 7 2 2 2 3 2 4 3 2" xfId="37562"/>
    <cellStyle name="표준 7 2 2 2 3 2 4 4" xfId="22579"/>
    <cellStyle name="표준 7 2 2 2 3 2 4 4 2" xfId="45044"/>
    <cellStyle name="표준 7 2 2 2 3 2 4 5" xfId="30080"/>
    <cellStyle name="표준 7 2 2 2 3 2 5" xfId="7613"/>
    <cellStyle name="표준 7 2 2 2 3 2 5 2" xfId="15097"/>
    <cellStyle name="표준 7 2 2 2 3 2 5 2 2" xfId="37564"/>
    <cellStyle name="표준 7 2 2 2 3 2 5 3" xfId="22581"/>
    <cellStyle name="표준 7 2 2 2 3 2 5 3 2" xfId="45046"/>
    <cellStyle name="표준 7 2 2 2 3 2 5 4" xfId="30082"/>
    <cellStyle name="표준 7 2 2 2 3 2 6" xfId="15082"/>
    <cellStyle name="표준 7 2 2 2 3 2 6 2" xfId="37549"/>
    <cellStyle name="표준 7 2 2 2 3 2 7" xfId="22566"/>
    <cellStyle name="표준 7 2 2 2 3 2 7 2" xfId="45031"/>
    <cellStyle name="표준 7 2 2 2 3 2 8" xfId="30067"/>
    <cellStyle name="표준 7 2 2 2 3 3" xfId="7614"/>
    <cellStyle name="표준 7 2 2 2 3 3 2" xfId="7615"/>
    <cellStyle name="표준 7 2 2 2 3 3 2 2" xfId="7616"/>
    <cellStyle name="표준 7 2 2 2 3 3 2 2 2" xfId="7617"/>
    <cellStyle name="표준 7 2 2 2 3 3 2 2 2 2" xfId="7618"/>
    <cellStyle name="표준 7 2 2 2 3 3 2 2 2 2 2" xfId="15102"/>
    <cellStyle name="표준 7 2 2 2 3 3 2 2 2 2 2 2" xfId="37569"/>
    <cellStyle name="표준 7 2 2 2 3 3 2 2 2 2 3" xfId="22586"/>
    <cellStyle name="표준 7 2 2 2 3 3 2 2 2 2 3 2" xfId="45051"/>
    <cellStyle name="표준 7 2 2 2 3 3 2 2 2 2 4" xfId="30087"/>
    <cellStyle name="표준 7 2 2 2 3 3 2 2 2 3" xfId="15101"/>
    <cellStyle name="표준 7 2 2 2 3 3 2 2 2 3 2" xfId="37568"/>
    <cellStyle name="표준 7 2 2 2 3 3 2 2 2 4" xfId="22585"/>
    <cellStyle name="표준 7 2 2 2 3 3 2 2 2 4 2" xfId="45050"/>
    <cellStyle name="표준 7 2 2 2 3 3 2 2 2 5" xfId="30086"/>
    <cellStyle name="표준 7 2 2 2 3 3 2 2 3" xfId="7619"/>
    <cellStyle name="표준 7 2 2 2 3 3 2 2 3 2" xfId="15103"/>
    <cellStyle name="표준 7 2 2 2 3 3 2 2 3 2 2" xfId="37570"/>
    <cellStyle name="표준 7 2 2 2 3 3 2 2 3 3" xfId="22587"/>
    <cellStyle name="표준 7 2 2 2 3 3 2 2 3 3 2" xfId="45052"/>
    <cellStyle name="표준 7 2 2 2 3 3 2 2 3 4" xfId="30088"/>
    <cellStyle name="표준 7 2 2 2 3 3 2 2 4" xfId="15100"/>
    <cellStyle name="표준 7 2 2 2 3 3 2 2 4 2" xfId="37567"/>
    <cellStyle name="표준 7 2 2 2 3 3 2 2 5" xfId="22584"/>
    <cellStyle name="표준 7 2 2 2 3 3 2 2 5 2" xfId="45049"/>
    <cellStyle name="표준 7 2 2 2 3 3 2 2 6" xfId="30085"/>
    <cellStyle name="표준 7 2 2 2 3 3 2 3" xfId="7620"/>
    <cellStyle name="표준 7 2 2 2 3 3 2 3 2" xfId="7621"/>
    <cellStyle name="표준 7 2 2 2 3 3 2 3 2 2" xfId="15105"/>
    <cellStyle name="표준 7 2 2 2 3 3 2 3 2 2 2" xfId="37572"/>
    <cellStyle name="표준 7 2 2 2 3 3 2 3 2 3" xfId="22589"/>
    <cellStyle name="표준 7 2 2 2 3 3 2 3 2 3 2" xfId="45054"/>
    <cellStyle name="표준 7 2 2 2 3 3 2 3 2 4" xfId="30090"/>
    <cellStyle name="표준 7 2 2 2 3 3 2 3 3" xfId="15104"/>
    <cellStyle name="표준 7 2 2 2 3 3 2 3 3 2" xfId="37571"/>
    <cellStyle name="표준 7 2 2 2 3 3 2 3 4" xfId="22588"/>
    <cellStyle name="표준 7 2 2 2 3 3 2 3 4 2" xfId="45053"/>
    <cellStyle name="표준 7 2 2 2 3 3 2 3 5" xfId="30089"/>
    <cellStyle name="표준 7 2 2 2 3 3 2 4" xfId="7622"/>
    <cellStyle name="표준 7 2 2 2 3 3 2 4 2" xfId="15106"/>
    <cellStyle name="표준 7 2 2 2 3 3 2 4 2 2" xfId="37573"/>
    <cellStyle name="표준 7 2 2 2 3 3 2 4 3" xfId="22590"/>
    <cellStyle name="표준 7 2 2 2 3 3 2 4 3 2" xfId="45055"/>
    <cellStyle name="표준 7 2 2 2 3 3 2 4 4" xfId="30091"/>
    <cellStyle name="표준 7 2 2 2 3 3 2 5" xfId="15099"/>
    <cellStyle name="표준 7 2 2 2 3 3 2 5 2" xfId="37566"/>
    <cellStyle name="표준 7 2 2 2 3 3 2 6" xfId="22583"/>
    <cellStyle name="표준 7 2 2 2 3 3 2 6 2" xfId="45048"/>
    <cellStyle name="표준 7 2 2 2 3 3 2 7" xfId="30084"/>
    <cellStyle name="표준 7 2 2 2 3 3 3" xfId="7623"/>
    <cellStyle name="표준 7 2 2 2 3 3 3 2" xfId="7624"/>
    <cellStyle name="표준 7 2 2 2 3 3 3 2 2" xfId="7625"/>
    <cellStyle name="표준 7 2 2 2 3 3 3 2 2 2" xfId="15109"/>
    <cellStyle name="표준 7 2 2 2 3 3 3 2 2 2 2" xfId="37576"/>
    <cellStyle name="표준 7 2 2 2 3 3 3 2 2 3" xfId="22593"/>
    <cellStyle name="표준 7 2 2 2 3 3 3 2 2 3 2" xfId="45058"/>
    <cellStyle name="표준 7 2 2 2 3 3 3 2 2 4" xfId="30094"/>
    <cellStyle name="표준 7 2 2 2 3 3 3 2 3" xfId="15108"/>
    <cellStyle name="표준 7 2 2 2 3 3 3 2 3 2" xfId="37575"/>
    <cellStyle name="표준 7 2 2 2 3 3 3 2 4" xfId="22592"/>
    <cellStyle name="표준 7 2 2 2 3 3 3 2 4 2" xfId="45057"/>
    <cellStyle name="표준 7 2 2 2 3 3 3 2 5" xfId="30093"/>
    <cellStyle name="표준 7 2 2 2 3 3 3 3" xfId="7626"/>
    <cellStyle name="표준 7 2 2 2 3 3 3 3 2" xfId="15110"/>
    <cellStyle name="표준 7 2 2 2 3 3 3 3 2 2" xfId="37577"/>
    <cellStyle name="표준 7 2 2 2 3 3 3 3 3" xfId="22594"/>
    <cellStyle name="표준 7 2 2 2 3 3 3 3 3 2" xfId="45059"/>
    <cellStyle name="표준 7 2 2 2 3 3 3 3 4" xfId="30095"/>
    <cellStyle name="표준 7 2 2 2 3 3 3 4" xfId="15107"/>
    <cellStyle name="표준 7 2 2 2 3 3 3 4 2" xfId="37574"/>
    <cellStyle name="표준 7 2 2 2 3 3 3 5" xfId="22591"/>
    <cellStyle name="표준 7 2 2 2 3 3 3 5 2" xfId="45056"/>
    <cellStyle name="표준 7 2 2 2 3 3 3 6" xfId="30092"/>
    <cellStyle name="표준 7 2 2 2 3 3 4" xfId="7627"/>
    <cellStyle name="표준 7 2 2 2 3 3 4 2" xfId="7628"/>
    <cellStyle name="표준 7 2 2 2 3 3 4 2 2" xfId="15112"/>
    <cellStyle name="표준 7 2 2 2 3 3 4 2 2 2" xfId="37579"/>
    <cellStyle name="표준 7 2 2 2 3 3 4 2 3" xfId="22596"/>
    <cellStyle name="표준 7 2 2 2 3 3 4 2 3 2" xfId="45061"/>
    <cellStyle name="표준 7 2 2 2 3 3 4 2 4" xfId="30097"/>
    <cellStyle name="표준 7 2 2 2 3 3 4 3" xfId="15111"/>
    <cellStyle name="표준 7 2 2 2 3 3 4 3 2" xfId="37578"/>
    <cellStyle name="표준 7 2 2 2 3 3 4 4" xfId="22595"/>
    <cellStyle name="표준 7 2 2 2 3 3 4 4 2" xfId="45060"/>
    <cellStyle name="표준 7 2 2 2 3 3 4 5" xfId="30096"/>
    <cellStyle name="표준 7 2 2 2 3 3 5" xfId="7629"/>
    <cellStyle name="표준 7 2 2 2 3 3 5 2" xfId="15113"/>
    <cellStyle name="표준 7 2 2 2 3 3 5 2 2" xfId="37580"/>
    <cellStyle name="표준 7 2 2 2 3 3 5 3" xfId="22597"/>
    <cellStyle name="표준 7 2 2 2 3 3 5 3 2" xfId="45062"/>
    <cellStyle name="표준 7 2 2 2 3 3 5 4" xfId="30098"/>
    <cellStyle name="표준 7 2 2 2 3 3 6" xfId="15098"/>
    <cellStyle name="표준 7 2 2 2 3 3 6 2" xfId="37565"/>
    <cellStyle name="표준 7 2 2 2 3 3 7" xfId="22582"/>
    <cellStyle name="표준 7 2 2 2 3 3 7 2" xfId="45047"/>
    <cellStyle name="표준 7 2 2 2 3 3 8" xfId="30083"/>
    <cellStyle name="표준 7 2 2 2 3 4" xfId="7630"/>
    <cellStyle name="표준 7 2 2 2 3 4 2" xfId="7631"/>
    <cellStyle name="표준 7 2 2 2 3 4 2 2" xfId="7632"/>
    <cellStyle name="표준 7 2 2 2 3 4 2 2 2" xfId="7633"/>
    <cellStyle name="표준 7 2 2 2 3 4 2 2 2 2" xfId="15117"/>
    <cellStyle name="표준 7 2 2 2 3 4 2 2 2 2 2" xfId="37584"/>
    <cellStyle name="표준 7 2 2 2 3 4 2 2 2 3" xfId="22601"/>
    <cellStyle name="표준 7 2 2 2 3 4 2 2 2 3 2" xfId="45066"/>
    <cellStyle name="표준 7 2 2 2 3 4 2 2 2 4" xfId="30102"/>
    <cellStyle name="표준 7 2 2 2 3 4 2 2 3" xfId="15116"/>
    <cellStyle name="표준 7 2 2 2 3 4 2 2 3 2" xfId="37583"/>
    <cellStyle name="표준 7 2 2 2 3 4 2 2 4" xfId="22600"/>
    <cellStyle name="표준 7 2 2 2 3 4 2 2 4 2" xfId="45065"/>
    <cellStyle name="표준 7 2 2 2 3 4 2 2 5" xfId="30101"/>
    <cellStyle name="표준 7 2 2 2 3 4 2 3" xfId="7634"/>
    <cellStyle name="표준 7 2 2 2 3 4 2 3 2" xfId="15118"/>
    <cellStyle name="표준 7 2 2 2 3 4 2 3 2 2" xfId="37585"/>
    <cellStyle name="표준 7 2 2 2 3 4 2 3 3" xfId="22602"/>
    <cellStyle name="표준 7 2 2 2 3 4 2 3 3 2" xfId="45067"/>
    <cellStyle name="표준 7 2 2 2 3 4 2 3 4" xfId="30103"/>
    <cellStyle name="표준 7 2 2 2 3 4 2 4" xfId="15115"/>
    <cellStyle name="표준 7 2 2 2 3 4 2 4 2" xfId="37582"/>
    <cellStyle name="표준 7 2 2 2 3 4 2 5" xfId="22599"/>
    <cellStyle name="표준 7 2 2 2 3 4 2 5 2" xfId="45064"/>
    <cellStyle name="표준 7 2 2 2 3 4 2 6" xfId="30100"/>
    <cellStyle name="표준 7 2 2 2 3 4 3" xfId="7635"/>
    <cellStyle name="표준 7 2 2 2 3 4 3 2" xfId="7636"/>
    <cellStyle name="표준 7 2 2 2 3 4 3 2 2" xfId="15120"/>
    <cellStyle name="표준 7 2 2 2 3 4 3 2 2 2" xfId="37587"/>
    <cellStyle name="표준 7 2 2 2 3 4 3 2 3" xfId="22604"/>
    <cellStyle name="표준 7 2 2 2 3 4 3 2 3 2" xfId="45069"/>
    <cellStyle name="표준 7 2 2 2 3 4 3 2 4" xfId="30105"/>
    <cellStyle name="표준 7 2 2 2 3 4 3 3" xfId="15119"/>
    <cellStyle name="표준 7 2 2 2 3 4 3 3 2" xfId="37586"/>
    <cellStyle name="표준 7 2 2 2 3 4 3 4" xfId="22603"/>
    <cellStyle name="표준 7 2 2 2 3 4 3 4 2" xfId="45068"/>
    <cellStyle name="표준 7 2 2 2 3 4 3 5" xfId="30104"/>
    <cellStyle name="표준 7 2 2 2 3 4 4" xfId="7637"/>
    <cellStyle name="표준 7 2 2 2 3 4 4 2" xfId="15121"/>
    <cellStyle name="표준 7 2 2 2 3 4 4 2 2" xfId="37588"/>
    <cellStyle name="표준 7 2 2 2 3 4 4 3" xfId="22605"/>
    <cellStyle name="표준 7 2 2 2 3 4 4 3 2" xfId="45070"/>
    <cellStyle name="표준 7 2 2 2 3 4 4 4" xfId="30106"/>
    <cellStyle name="표준 7 2 2 2 3 4 5" xfId="15114"/>
    <cellStyle name="표준 7 2 2 2 3 4 5 2" xfId="37581"/>
    <cellStyle name="표준 7 2 2 2 3 4 6" xfId="22598"/>
    <cellStyle name="표준 7 2 2 2 3 4 6 2" xfId="45063"/>
    <cellStyle name="표준 7 2 2 2 3 4 7" xfId="30099"/>
    <cellStyle name="표준 7 2 2 2 3 5" xfId="7638"/>
    <cellStyle name="표준 7 2 2 2 3 5 2" xfId="7639"/>
    <cellStyle name="표준 7 2 2 2 3 5 2 2" xfId="7640"/>
    <cellStyle name="표준 7 2 2 2 3 5 2 2 2" xfId="15124"/>
    <cellStyle name="표준 7 2 2 2 3 5 2 2 2 2" xfId="37591"/>
    <cellStyle name="표준 7 2 2 2 3 5 2 2 3" xfId="22608"/>
    <cellStyle name="표준 7 2 2 2 3 5 2 2 3 2" xfId="45073"/>
    <cellStyle name="표준 7 2 2 2 3 5 2 2 4" xfId="30109"/>
    <cellStyle name="표준 7 2 2 2 3 5 2 3" xfId="15123"/>
    <cellStyle name="표준 7 2 2 2 3 5 2 3 2" xfId="37590"/>
    <cellStyle name="표준 7 2 2 2 3 5 2 4" xfId="22607"/>
    <cellStyle name="표준 7 2 2 2 3 5 2 4 2" xfId="45072"/>
    <cellStyle name="표준 7 2 2 2 3 5 2 5" xfId="30108"/>
    <cellStyle name="표준 7 2 2 2 3 5 3" xfId="7641"/>
    <cellStyle name="표준 7 2 2 2 3 5 3 2" xfId="15125"/>
    <cellStyle name="표준 7 2 2 2 3 5 3 2 2" xfId="37592"/>
    <cellStyle name="표준 7 2 2 2 3 5 3 3" xfId="22609"/>
    <cellStyle name="표준 7 2 2 2 3 5 3 3 2" xfId="45074"/>
    <cellStyle name="표준 7 2 2 2 3 5 3 4" xfId="30110"/>
    <cellStyle name="표준 7 2 2 2 3 5 4" xfId="15122"/>
    <cellStyle name="표준 7 2 2 2 3 5 4 2" xfId="37589"/>
    <cellStyle name="표준 7 2 2 2 3 5 5" xfId="22606"/>
    <cellStyle name="표준 7 2 2 2 3 5 5 2" xfId="45071"/>
    <cellStyle name="표준 7 2 2 2 3 5 6" xfId="30107"/>
    <cellStyle name="표준 7 2 2 2 3 6" xfId="7642"/>
    <cellStyle name="표준 7 2 2 2 3 6 2" xfId="7643"/>
    <cellStyle name="표준 7 2 2 2 3 6 2 2" xfId="15127"/>
    <cellStyle name="표준 7 2 2 2 3 6 2 2 2" xfId="37594"/>
    <cellStyle name="표준 7 2 2 2 3 6 2 3" xfId="22611"/>
    <cellStyle name="표준 7 2 2 2 3 6 2 3 2" xfId="45076"/>
    <cellStyle name="표준 7 2 2 2 3 6 2 4" xfId="30112"/>
    <cellStyle name="표준 7 2 2 2 3 6 3" xfId="15126"/>
    <cellStyle name="표준 7 2 2 2 3 6 3 2" xfId="37593"/>
    <cellStyle name="표준 7 2 2 2 3 6 4" xfId="22610"/>
    <cellStyle name="표준 7 2 2 2 3 6 4 2" xfId="45075"/>
    <cellStyle name="표준 7 2 2 2 3 6 5" xfId="30111"/>
    <cellStyle name="표준 7 2 2 2 3 7" xfId="7644"/>
    <cellStyle name="표준 7 2 2 2 3 7 2" xfId="15128"/>
    <cellStyle name="표준 7 2 2 2 3 7 2 2" xfId="37595"/>
    <cellStyle name="표준 7 2 2 2 3 7 3" xfId="22612"/>
    <cellStyle name="표준 7 2 2 2 3 7 3 2" xfId="45077"/>
    <cellStyle name="표준 7 2 2 2 3 7 4" xfId="30113"/>
    <cellStyle name="표준 7 2 2 2 3 8" xfId="15081"/>
    <cellStyle name="표준 7 2 2 2 3 8 2" xfId="37548"/>
    <cellStyle name="표준 7 2 2 2 3 9" xfId="22565"/>
    <cellStyle name="표준 7 2 2 2 3 9 2" xfId="45030"/>
    <cellStyle name="표준 7 2 2 2 4" xfId="7645"/>
    <cellStyle name="표준 7 2 2 2 4 2" xfId="7646"/>
    <cellStyle name="표준 7 2 2 2 4 2 2" xfId="7647"/>
    <cellStyle name="표준 7 2 2 2 4 2 2 2" xfId="7648"/>
    <cellStyle name="표준 7 2 2 2 4 2 2 2 2" xfId="7649"/>
    <cellStyle name="표준 7 2 2 2 4 2 2 2 2 2" xfId="15133"/>
    <cellStyle name="표준 7 2 2 2 4 2 2 2 2 2 2" xfId="37600"/>
    <cellStyle name="표준 7 2 2 2 4 2 2 2 2 3" xfId="22617"/>
    <cellStyle name="표준 7 2 2 2 4 2 2 2 2 3 2" xfId="45082"/>
    <cellStyle name="표준 7 2 2 2 4 2 2 2 2 4" xfId="30118"/>
    <cellStyle name="표준 7 2 2 2 4 2 2 2 3" xfId="15132"/>
    <cellStyle name="표준 7 2 2 2 4 2 2 2 3 2" xfId="37599"/>
    <cellStyle name="표준 7 2 2 2 4 2 2 2 4" xfId="22616"/>
    <cellStyle name="표준 7 2 2 2 4 2 2 2 4 2" xfId="45081"/>
    <cellStyle name="표준 7 2 2 2 4 2 2 2 5" xfId="30117"/>
    <cellStyle name="표준 7 2 2 2 4 2 2 3" xfId="7650"/>
    <cellStyle name="표준 7 2 2 2 4 2 2 3 2" xfId="15134"/>
    <cellStyle name="표준 7 2 2 2 4 2 2 3 2 2" xfId="37601"/>
    <cellStyle name="표준 7 2 2 2 4 2 2 3 3" xfId="22618"/>
    <cellStyle name="표준 7 2 2 2 4 2 2 3 3 2" xfId="45083"/>
    <cellStyle name="표준 7 2 2 2 4 2 2 3 4" xfId="30119"/>
    <cellStyle name="표준 7 2 2 2 4 2 2 4" xfId="15131"/>
    <cellStyle name="표준 7 2 2 2 4 2 2 4 2" xfId="37598"/>
    <cellStyle name="표준 7 2 2 2 4 2 2 5" xfId="22615"/>
    <cellStyle name="표준 7 2 2 2 4 2 2 5 2" xfId="45080"/>
    <cellStyle name="표준 7 2 2 2 4 2 2 6" xfId="30116"/>
    <cellStyle name="표준 7 2 2 2 4 2 3" xfId="7651"/>
    <cellStyle name="표준 7 2 2 2 4 2 3 2" xfId="7652"/>
    <cellStyle name="표준 7 2 2 2 4 2 3 2 2" xfId="15136"/>
    <cellStyle name="표준 7 2 2 2 4 2 3 2 2 2" xfId="37603"/>
    <cellStyle name="표준 7 2 2 2 4 2 3 2 3" xfId="22620"/>
    <cellStyle name="표준 7 2 2 2 4 2 3 2 3 2" xfId="45085"/>
    <cellStyle name="표준 7 2 2 2 4 2 3 2 4" xfId="30121"/>
    <cellStyle name="표준 7 2 2 2 4 2 3 3" xfId="15135"/>
    <cellStyle name="표준 7 2 2 2 4 2 3 3 2" xfId="37602"/>
    <cellStyle name="표준 7 2 2 2 4 2 3 4" xfId="22619"/>
    <cellStyle name="표준 7 2 2 2 4 2 3 4 2" xfId="45084"/>
    <cellStyle name="표준 7 2 2 2 4 2 3 5" xfId="30120"/>
    <cellStyle name="표준 7 2 2 2 4 2 4" xfId="7653"/>
    <cellStyle name="표준 7 2 2 2 4 2 4 2" xfId="15137"/>
    <cellStyle name="표준 7 2 2 2 4 2 4 2 2" xfId="37604"/>
    <cellStyle name="표준 7 2 2 2 4 2 4 3" xfId="22621"/>
    <cellStyle name="표준 7 2 2 2 4 2 4 3 2" xfId="45086"/>
    <cellStyle name="표준 7 2 2 2 4 2 4 4" xfId="30122"/>
    <cellStyle name="표준 7 2 2 2 4 2 5" xfId="15130"/>
    <cellStyle name="표준 7 2 2 2 4 2 5 2" xfId="37597"/>
    <cellStyle name="표준 7 2 2 2 4 2 6" xfId="22614"/>
    <cellStyle name="표준 7 2 2 2 4 2 6 2" xfId="45079"/>
    <cellStyle name="표준 7 2 2 2 4 2 7" xfId="30115"/>
    <cellStyle name="표준 7 2 2 2 4 3" xfId="7654"/>
    <cellStyle name="표준 7 2 2 2 4 3 2" xfId="7655"/>
    <cellStyle name="표준 7 2 2 2 4 3 2 2" xfId="7656"/>
    <cellStyle name="표준 7 2 2 2 4 3 2 2 2" xfId="15140"/>
    <cellStyle name="표준 7 2 2 2 4 3 2 2 2 2" xfId="37607"/>
    <cellStyle name="표준 7 2 2 2 4 3 2 2 3" xfId="22624"/>
    <cellStyle name="표준 7 2 2 2 4 3 2 2 3 2" xfId="45089"/>
    <cellStyle name="표준 7 2 2 2 4 3 2 2 4" xfId="30125"/>
    <cellStyle name="표준 7 2 2 2 4 3 2 3" xfId="15139"/>
    <cellStyle name="표준 7 2 2 2 4 3 2 3 2" xfId="37606"/>
    <cellStyle name="표준 7 2 2 2 4 3 2 4" xfId="22623"/>
    <cellStyle name="표준 7 2 2 2 4 3 2 4 2" xfId="45088"/>
    <cellStyle name="표준 7 2 2 2 4 3 2 5" xfId="30124"/>
    <cellStyle name="표준 7 2 2 2 4 3 3" xfId="7657"/>
    <cellStyle name="표준 7 2 2 2 4 3 3 2" xfId="15141"/>
    <cellStyle name="표준 7 2 2 2 4 3 3 2 2" xfId="37608"/>
    <cellStyle name="표준 7 2 2 2 4 3 3 3" xfId="22625"/>
    <cellStyle name="표준 7 2 2 2 4 3 3 3 2" xfId="45090"/>
    <cellStyle name="표준 7 2 2 2 4 3 3 4" xfId="30126"/>
    <cellStyle name="표준 7 2 2 2 4 3 4" xfId="15138"/>
    <cellStyle name="표준 7 2 2 2 4 3 4 2" xfId="37605"/>
    <cellStyle name="표준 7 2 2 2 4 3 5" xfId="22622"/>
    <cellStyle name="표준 7 2 2 2 4 3 5 2" xfId="45087"/>
    <cellStyle name="표준 7 2 2 2 4 3 6" xfId="30123"/>
    <cellStyle name="표준 7 2 2 2 4 4" xfId="7658"/>
    <cellStyle name="표준 7 2 2 2 4 4 2" xfId="7659"/>
    <cellStyle name="표준 7 2 2 2 4 4 2 2" xfId="15143"/>
    <cellStyle name="표준 7 2 2 2 4 4 2 2 2" xfId="37610"/>
    <cellStyle name="표준 7 2 2 2 4 4 2 3" xfId="22627"/>
    <cellStyle name="표준 7 2 2 2 4 4 2 3 2" xfId="45092"/>
    <cellStyle name="표준 7 2 2 2 4 4 2 4" xfId="30128"/>
    <cellStyle name="표준 7 2 2 2 4 4 3" xfId="15142"/>
    <cellStyle name="표준 7 2 2 2 4 4 3 2" xfId="37609"/>
    <cellStyle name="표준 7 2 2 2 4 4 4" xfId="22626"/>
    <cellStyle name="표준 7 2 2 2 4 4 4 2" xfId="45091"/>
    <cellStyle name="표준 7 2 2 2 4 4 5" xfId="30127"/>
    <cellStyle name="표준 7 2 2 2 4 5" xfId="7660"/>
    <cellStyle name="표준 7 2 2 2 4 5 2" xfId="15144"/>
    <cellStyle name="표준 7 2 2 2 4 5 2 2" xfId="37611"/>
    <cellStyle name="표준 7 2 2 2 4 5 3" xfId="22628"/>
    <cellStyle name="표준 7 2 2 2 4 5 3 2" xfId="45093"/>
    <cellStyle name="표준 7 2 2 2 4 5 4" xfId="30129"/>
    <cellStyle name="표준 7 2 2 2 4 6" xfId="15129"/>
    <cellStyle name="표준 7 2 2 2 4 6 2" xfId="37596"/>
    <cellStyle name="표준 7 2 2 2 4 7" xfId="22613"/>
    <cellStyle name="표준 7 2 2 2 4 7 2" xfId="45078"/>
    <cellStyle name="표준 7 2 2 2 4 8" xfId="30114"/>
    <cellStyle name="표준 7 2 2 2 5" xfId="7661"/>
    <cellStyle name="표준 7 2 2 2 5 2" xfId="7662"/>
    <cellStyle name="표준 7 2 2 2 5 2 2" xfId="7663"/>
    <cellStyle name="표준 7 2 2 2 5 2 2 2" xfId="7664"/>
    <cellStyle name="표준 7 2 2 2 5 2 2 2 2" xfId="7665"/>
    <cellStyle name="표준 7 2 2 2 5 2 2 2 2 2" xfId="15149"/>
    <cellStyle name="표준 7 2 2 2 5 2 2 2 2 2 2" xfId="37616"/>
    <cellStyle name="표준 7 2 2 2 5 2 2 2 2 3" xfId="22633"/>
    <cellStyle name="표준 7 2 2 2 5 2 2 2 2 3 2" xfId="45098"/>
    <cellStyle name="표준 7 2 2 2 5 2 2 2 2 4" xfId="30134"/>
    <cellStyle name="표준 7 2 2 2 5 2 2 2 3" xfId="15148"/>
    <cellStyle name="표준 7 2 2 2 5 2 2 2 3 2" xfId="37615"/>
    <cellStyle name="표준 7 2 2 2 5 2 2 2 4" xfId="22632"/>
    <cellStyle name="표준 7 2 2 2 5 2 2 2 4 2" xfId="45097"/>
    <cellStyle name="표준 7 2 2 2 5 2 2 2 5" xfId="30133"/>
    <cellStyle name="표준 7 2 2 2 5 2 2 3" xfId="7666"/>
    <cellStyle name="표준 7 2 2 2 5 2 2 3 2" xfId="15150"/>
    <cellStyle name="표준 7 2 2 2 5 2 2 3 2 2" xfId="37617"/>
    <cellStyle name="표준 7 2 2 2 5 2 2 3 3" xfId="22634"/>
    <cellStyle name="표준 7 2 2 2 5 2 2 3 3 2" xfId="45099"/>
    <cellStyle name="표준 7 2 2 2 5 2 2 3 4" xfId="30135"/>
    <cellStyle name="표준 7 2 2 2 5 2 2 4" xfId="15147"/>
    <cellStyle name="표준 7 2 2 2 5 2 2 4 2" xfId="37614"/>
    <cellStyle name="표준 7 2 2 2 5 2 2 5" xfId="22631"/>
    <cellStyle name="표준 7 2 2 2 5 2 2 5 2" xfId="45096"/>
    <cellStyle name="표준 7 2 2 2 5 2 2 6" xfId="30132"/>
    <cellStyle name="표준 7 2 2 2 5 2 3" xfId="7667"/>
    <cellStyle name="표준 7 2 2 2 5 2 3 2" xfId="7668"/>
    <cellStyle name="표준 7 2 2 2 5 2 3 2 2" xfId="15152"/>
    <cellStyle name="표준 7 2 2 2 5 2 3 2 2 2" xfId="37619"/>
    <cellStyle name="표준 7 2 2 2 5 2 3 2 3" xfId="22636"/>
    <cellStyle name="표준 7 2 2 2 5 2 3 2 3 2" xfId="45101"/>
    <cellStyle name="표준 7 2 2 2 5 2 3 2 4" xfId="30137"/>
    <cellStyle name="표준 7 2 2 2 5 2 3 3" xfId="15151"/>
    <cellStyle name="표준 7 2 2 2 5 2 3 3 2" xfId="37618"/>
    <cellStyle name="표준 7 2 2 2 5 2 3 4" xfId="22635"/>
    <cellStyle name="표준 7 2 2 2 5 2 3 4 2" xfId="45100"/>
    <cellStyle name="표준 7 2 2 2 5 2 3 5" xfId="30136"/>
    <cellStyle name="표준 7 2 2 2 5 2 4" xfId="7669"/>
    <cellStyle name="표준 7 2 2 2 5 2 4 2" xfId="15153"/>
    <cellStyle name="표준 7 2 2 2 5 2 4 2 2" xfId="37620"/>
    <cellStyle name="표준 7 2 2 2 5 2 4 3" xfId="22637"/>
    <cellStyle name="표준 7 2 2 2 5 2 4 3 2" xfId="45102"/>
    <cellStyle name="표준 7 2 2 2 5 2 4 4" xfId="30138"/>
    <cellStyle name="표준 7 2 2 2 5 2 5" xfId="15146"/>
    <cellStyle name="표준 7 2 2 2 5 2 5 2" xfId="37613"/>
    <cellStyle name="표준 7 2 2 2 5 2 6" xfId="22630"/>
    <cellStyle name="표준 7 2 2 2 5 2 6 2" xfId="45095"/>
    <cellStyle name="표준 7 2 2 2 5 2 7" xfId="30131"/>
    <cellStyle name="표준 7 2 2 2 5 3" xfId="7670"/>
    <cellStyle name="표준 7 2 2 2 5 3 2" xfId="7671"/>
    <cellStyle name="표준 7 2 2 2 5 3 2 2" xfId="7672"/>
    <cellStyle name="표준 7 2 2 2 5 3 2 2 2" xfId="15156"/>
    <cellStyle name="표준 7 2 2 2 5 3 2 2 2 2" xfId="37623"/>
    <cellStyle name="표준 7 2 2 2 5 3 2 2 3" xfId="22640"/>
    <cellStyle name="표준 7 2 2 2 5 3 2 2 3 2" xfId="45105"/>
    <cellStyle name="표준 7 2 2 2 5 3 2 2 4" xfId="30141"/>
    <cellStyle name="표준 7 2 2 2 5 3 2 3" xfId="15155"/>
    <cellStyle name="표준 7 2 2 2 5 3 2 3 2" xfId="37622"/>
    <cellStyle name="표준 7 2 2 2 5 3 2 4" xfId="22639"/>
    <cellStyle name="표준 7 2 2 2 5 3 2 4 2" xfId="45104"/>
    <cellStyle name="표준 7 2 2 2 5 3 2 5" xfId="30140"/>
    <cellStyle name="표준 7 2 2 2 5 3 3" xfId="7673"/>
    <cellStyle name="표준 7 2 2 2 5 3 3 2" xfId="15157"/>
    <cellStyle name="표준 7 2 2 2 5 3 3 2 2" xfId="37624"/>
    <cellStyle name="표준 7 2 2 2 5 3 3 3" xfId="22641"/>
    <cellStyle name="표준 7 2 2 2 5 3 3 3 2" xfId="45106"/>
    <cellStyle name="표준 7 2 2 2 5 3 3 4" xfId="30142"/>
    <cellStyle name="표준 7 2 2 2 5 3 4" xfId="15154"/>
    <cellStyle name="표준 7 2 2 2 5 3 4 2" xfId="37621"/>
    <cellStyle name="표준 7 2 2 2 5 3 5" xfId="22638"/>
    <cellStyle name="표준 7 2 2 2 5 3 5 2" xfId="45103"/>
    <cellStyle name="표준 7 2 2 2 5 3 6" xfId="30139"/>
    <cellStyle name="표준 7 2 2 2 5 4" xfId="7674"/>
    <cellStyle name="표준 7 2 2 2 5 4 2" xfId="7675"/>
    <cellStyle name="표준 7 2 2 2 5 4 2 2" xfId="15159"/>
    <cellStyle name="표준 7 2 2 2 5 4 2 2 2" xfId="37626"/>
    <cellStyle name="표준 7 2 2 2 5 4 2 3" xfId="22643"/>
    <cellStyle name="표준 7 2 2 2 5 4 2 3 2" xfId="45108"/>
    <cellStyle name="표준 7 2 2 2 5 4 2 4" xfId="30144"/>
    <cellStyle name="표준 7 2 2 2 5 4 3" xfId="15158"/>
    <cellStyle name="표준 7 2 2 2 5 4 3 2" xfId="37625"/>
    <cellStyle name="표준 7 2 2 2 5 4 4" xfId="22642"/>
    <cellStyle name="표준 7 2 2 2 5 4 4 2" xfId="45107"/>
    <cellStyle name="표준 7 2 2 2 5 4 5" xfId="30143"/>
    <cellStyle name="표준 7 2 2 2 5 5" xfId="7676"/>
    <cellStyle name="표준 7 2 2 2 5 5 2" xfId="15160"/>
    <cellStyle name="표준 7 2 2 2 5 5 2 2" xfId="37627"/>
    <cellStyle name="표준 7 2 2 2 5 5 3" xfId="22644"/>
    <cellStyle name="표준 7 2 2 2 5 5 3 2" xfId="45109"/>
    <cellStyle name="표준 7 2 2 2 5 5 4" xfId="30145"/>
    <cellStyle name="표준 7 2 2 2 5 6" xfId="15145"/>
    <cellStyle name="표준 7 2 2 2 5 6 2" xfId="37612"/>
    <cellStyle name="표준 7 2 2 2 5 7" xfId="22629"/>
    <cellStyle name="표준 7 2 2 2 5 7 2" xfId="45094"/>
    <cellStyle name="표준 7 2 2 2 5 8" xfId="30130"/>
    <cellStyle name="표준 7 2 2 2 6" xfId="7677"/>
    <cellStyle name="표준 7 2 2 2 6 2" xfId="7678"/>
    <cellStyle name="표준 7 2 2 2 6 2 2" xfId="7679"/>
    <cellStyle name="표준 7 2 2 2 6 2 2 2" xfId="7680"/>
    <cellStyle name="표준 7 2 2 2 6 2 2 2 2" xfId="15164"/>
    <cellStyle name="표준 7 2 2 2 6 2 2 2 2 2" xfId="37631"/>
    <cellStyle name="표준 7 2 2 2 6 2 2 2 3" xfId="22648"/>
    <cellStyle name="표준 7 2 2 2 6 2 2 2 3 2" xfId="45113"/>
    <cellStyle name="표준 7 2 2 2 6 2 2 2 4" xfId="30149"/>
    <cellStyle name="표준 7 2 2 2 6 2 2 3" xfId="15163"/>
    <cellStyle name="표준 7 2 2 2 6 2 2 3 2" xfId="37630"/>
    <cellStyle name="표준 7 2 2 2 6 2 2 4" xfId="22647"/>
    <cellStyle name="표준 7 2 2 2 6 2 2 4 2" xfId="45112"/>
    <cellStyle name="표준 7 2 2 2 6 2 2 5" xfId="30148"/>
    <cellStyle name="표준 7 2 2 2 6 2 3" xfId="7681"/>
    <cellStyle name="표준 7 2 2 2 6 2 3 2" xfId="15165"/>
    <cellStyle name="표준 7 2 2 2 6 2 3 2 2" xfId="37632"/>
    <cellStyle name="표준 7 2 2 2 6 2 3 3" xfId="22649"/>
    <cellStyle name="표준 7 2 2 2 6 2 3 3 2" xfId="45114"/>
    <cellStyle name="표준 7 2 2 2 6 2 3 4" xfId="30150"/>
    <cellStyle name="표준 7 2 2 2 6 2 4" xfId="15162"/>
    <cellStyle name="표준 7 2 2 2 6 2 4 2" xfId="37629"/>
    <cellStyle name="표준 7 2 2 2 6 2 5" xfId="22646"/>
    <cellStyle name="표준 7 2 2 2 6 2 5 2" xfId="45111"/>
    <cellStyle name="표준 7 2 2 2 6 2 6" xfId="30147"/>
    <cellStyle name="표준 7 2 2 2 6 3" xfId="7682"/>
    <cellStyle name="표준 7 2 2 2 6 3 2" xfId="7683"/>
    <cellStyle name="표준 7 2 2 2 6 3 2 2" xfId="15167"/>
    <cellStyle name="표준 7 2 2 2 6 3 2 2 2" xfId="37634"/>
    <cellStyle name="표준 7 2 2 2 6 3 2 3" xfId="22651"/>
    <cellStyle name="표준 7 2 2 2 6 3 2 3 2" xfId="45116"/>
    <cellStyle name="표준 7 2 2 2 6 3 2 4" xfId="30152"/>
    <cellStyle name="표준 7 2 2 2 6 3 3" xfId="15166"/>
    <cellStyle name="표준 7 2 2 2 6 3 3 2" xfId="37633"/>
    <cellStyle name="표준 7 2 2 2 6 3 4" xfId="22650"/>
    <cellStyle name="표준 7 2 2 2 6 3 4 2" xfId="45115"/>
    <cellStyle name="표준 7 2 2 2 6 3 5" xfId="30151"/>
    <cellStyle name="표준 7 2 2 2 6 4" xfId="7684"/>
    <cellStyle name="표준 7 2 2 2 6 4 2" xfId="15168"/>
    <cellStyle name="표준 7 2 2 2 6 4 2 2" xfId="37635"/>
    <cellStyle name="표준 7 2 2 2 6 4 3" xfId="22652"/>
    <cellStyle name="표준 7 2 2 2 6 4 3 2" xfId="45117"/>
    <cellStyle name="표준 7 2 2 2 6 4 4" xfId="30153"/>
    <cellStyle name="표준 7 2 2 2 6 5" xfId="15161"/>
    <cellStyle name="표준 7 2 2 2 6 5 2" xfId="37628"/>
    <cellStyle name="표준 7 2 2 2 6 6" xfId="22645"/>
    <cellStyle name="표준 7 2 2 2 6 6 2" xfId="45110"/>
    <cellStyle name="표준 7 2 2 2 6 7" xfId="30146"/>
    <cellStyle name="표준 7 2 2 2 7" xfId="7685"/>
    <cellStyle name="표준 7 2 2 2 7 2" xfId="7686"/>
    <cellStyle name="표준 7 2 2 2 7 2 2" xfId="7687"/>
    <cellStyle name="표준 7 2 2 2 7 2 2 2" xfId="7688"/>
    <cellStyle name="표준 7 2 2 2 7 2 2 2 2" xfId="15172"/>
    <cellStyle name="표준 7 2 2 2 7 2 2 2 2 2" xfId="37639"/>
    <cellStyle name="표준 7 2 2 2 7 2 2 2 3" xfId="22656"/>
    <cellStyle name="표준 7 2 2 2 7 2 2 2 3 2" xfId="45121"/>
    <cellStyle name="표준 7 2 2 2 7 2 2 2 4" xfId="30157"/>
    <cellStyle name="표준 7 2 2 2 7 2 2 3" xfId="15171"/>
    <cellStyle name="표준 7 2 2 2 7 2 2 3 2" xfId="37638"/>
    <cellStyle name="표준 7 2 2 2 7 2 2 4" xfId="22655"/>
    <cellStyle name="표준 7 2 2 2 7 2 2 4 2" xfId="45120"/>
    <cellStyle name="표준 7 2 2 2 7 2 2 5" xfId="30156"/>
    <cellStyle name="표준 7 2 2 2 7 2 3" xfId="7689"/>
    <cellStyle name="표준 7 2 2 2 7 2 3 2" xfId="15173"/>
    <cellStyle name="표준 7 2 2 2 7 2 3 2 2" xfId="37640"/>
    <cellStyle name="표준 7 2 2 2 7 2 3 3" xfId="22657"/>
    <cellStyle name="표준 7 2 2 2 7 2 3 3 2" xfId="45122"/>
    <cellStyle name="표준 7 2 2 2 7 2 3 4" xfId="30158"/>
    <cellStyle name="표준 7 2 2 2 7 2 4" xfId="15170"/>
    <cellStyle name="표준 7 2 2 2 7 2 4 2" xfId="37637"/>
    <cellStyle name="표준 7 2 2 2 7 2 5" xfId="22654"/>
    <cellStyle name="표준 7 2 2 2 7 2 5 2" xfId="45119"/>
    <cellStyle name="표준 7 2 2 2 7 2 6" xfId="30155"/>
    <cellStyle name="표준 7 2 2 2 7 3" xfId="7690"/>
    <cellStyle name="표준 7 2 2 2 7 3 2" xfId="7691"/>
    <cellStyle name="표준 7 2 2 2 7 3 2 2" xfId="15175"/>
    <cellStyle name="표준 7 2 2 2 7 3 2 2 2" xfId="37642"/>
    <cellStyle name="표준 7 2 2 2 7 3 2 3" xfId="22659"/>
    <cellStyle name="표준 7 2 2 2 7 3 2 3 2" xfId="45124"/>
    <cellStyle name="표준 7 2 2 2 7 3 2 4" xfId="30160"/>
    <cellStyle name="표준 7 2 2 2 7 3 3" xfId="15174"/>
    <cellStyle name="표준 7 2 2 2 7 3 3 2" xfId="37641"/>
    <cellStyle name="표준 7 2 2 2 7 3 4" xfId="22658"/>
    <cellStyle name="표준 7 2 2 2 7 3 4 2" xfId="45123"/>
    <cellStyle name="표준 7 2 2 2 7 3 5" xfId="30159"/>
    <cellStyle name="표준 7 2 2 2 7 4" xfId="7692"/>
    <cellStyle name="표준 7 2 2 2 7 4 2" xfId="15176"/>
    <cellStyle name="표준 7 2 2 2 7 4 2 2" xfId="37643"/>
    <cellStyle name="표준 7 2 2 2 7 4 3" xfId="22660"/>
    <cellStyle name="표준 7 2 2 2 7 4 3 2" xfId="45125"/>
    <cellStyle name="표준 7 2 2 2 7 4 4" xfId="30161"/>
    <cellStyle name="표준 7 2 2 2 7 5" xfId="15169"/>
    <cellStyle name="표준 7 2 2 2 7 5 2" xfId="37636"/>
    <cellStyle name="표준 7 2 2 2 7 6" xfId="22653"/>
    <cellStyle name="표준 7 2 2 2 7 6 2" xfId="45118"/>
    <cellStyle name="표준 7 2 2 2 7 7" xfId="30154"/>
    <cellStyle name="표준 7 2 2 2 8" xfId="7693"/>
    <cellStyle name="표준 7 2 2 2 8 2" xfId="7694"/>
    <cellStyle name="표준 7 2 2 2 8 2 2" xfId="7695"/>
    <cellStyle name="표준 7 2 2 2 8 2 2 2" xfId="7696"/>
    <cellStyle name="표준 7 2 2 2 8 2 2 2 2" xfId="15180"/>
    <cellStyle name="표준 7 2 2 2 8 2 2 2 2 2" xfId="37647"/>
    <cellStyle name="표준 7 2 2 2 8 2 2 2 3" xfId="22664"/>
    <cellStyle name="표준 7 2 2 2 8 2 2 2 3 2" xfId="45129"/>
    <cellStyle name="표준 7 2 2 2 8 2 2 2 4" xfId="30165"/>
    <cellStyle name="표준 7 2 2 2 8 2 2 3" xfId="15179"/>
    <cellStyle name="표준 7 2 2 2 8 2 2 3 2" xfId="37646"/>
    <cellStyle name="표준 7 2 2 2 8 2 2 4" xfId="22663"/>
    <cellStyle name="표준 7 2 2 2 8 2 2 4 2" xfId="45128"/>
    <cellStyle name="표준 7 2 2 2 8 2 2 5" xfId="30164"/>
    <cellStyle name="표준 7 2 2 2 8 2 3" xfId="7697"/>
    <cellStyle name="표준 7 2 2 2 8 2 3 2" xfId="15181"/>
    <cellStyle name="표준 7 2 2 2 8 2 3 2 2" xfId="37648"/>
    <cellStyle name="표준 7 2 2 2 8 2 3 3" xfId="22665"/>
    <cellStyle name="표준 7 2 2 2 8 2 3 3 2" xfId="45130"/>
    <cellStyle name="표준 7 2 2 2 8 2 3 4" xfId="30166"/>
    <cellStyle name="표준 7 2 2 2 8 2 4" xfId="15178"/>
    <cellStyle name="표준 7 2 2 2 8 2 4 2" xfId="37645"/>
    <cellStyle name="표준 7 2 2 2 8 2 5" xfId="22662"/>
    <cellStyle name="표준 7 2 2 2 8 2 5 2" xfId="45127"/>
    <cellStyle name="표준 7 2 2 2 8 2 6" xfId="30163"/>
    <cellStyle name="표준 7 2 2 2 8 3" xfId="7698"/>
    <cellStyle name="표준 7 2 2 2 8 3 2" xfId="7699"/>
    <cellStyle name="표준 7 2 2 2 8 3 2 2" xfId="15183"/>
    <cellStyle name="표준 7 2 2 2 8 3 2 2 2" xfId="37650"/>
    <cellStyle name="표준 7 2 2 2 8 3 2 3" xfId="22667"/>
    <cellStyle name="표준 7 2 2 2 8 3 2 3 2" xfId="45132"/>
    <cellStyle name="표준 7 2 2 2 8 3 2 4" xfId="30168"/>
    <cellStyle name="표준 7 2 2 2 8 3 3" xfId="15182"/>
    <cellStyle name="표준 7 2 2 2 8 3 3 2" xfId="37649"/>
    <cellStyle name="표준 7 2 2 2 8 3 4" xfId="22666"/>
    <cellStyle name="표준 7 2 2 2 8 3 4 2" xfId="45131"/>
    <cellStyle name="표준 7 2 2 2 8 3 5" xfId="30167"/>
    <cellStyle name="표준 7 2 2 2 8 4" xfId="7700"/>
    <cellStyle name="표준 7 2 2 2 8 4 2" xfId="15184"/>
    <cellStyle name="표준 7 2 2 2 8 4 2 2" xfId="37651"/>
    <cellStyle name="표준 7 2 2 2 8 4 3" xfId="22668"/>
    <cellStyle name="표준 7 2 2 2 8 4 3 2" xfId="45133"/>
    <cellStyle name="표준 7 2 2 2 8 4 4" xfId="30169"/>
    <cellStyle name="표준 7 2 2 2 8 5" xfId="15177"/>
    <cellStyle name="표준 7 2 2 2 8 5 2" xfId="37644"/>
    <cellStyle name="표준 7 2 2 2 8 6" xfId="22661"/>
    <cellStyle name="표준 7 2 2 2 8 6 2" xfId="45126"/>
    <cellStyle name="표준 7 2 2 2 8 7" xfId="30162"/>
    <cellStyle name="표준 7 2 2 2 9" xfId="7701"/>
    <cellStyle name="표준 7 2 2 2 9 2" xfId="7702"/>
    <cellStyle name="표준 7 2 2 2 9 2 2" xfId="7703"/>
    <cellStyle name="표준 7 2 2 2 9 2 2 2" xfId="15187"/>
    <cellStyle name="표준 7 2 2 2 9 2 2 2 2" xfId="37654"/>
    <cellStyle name="표준 7 2 2 2 9 2 2 3" xfId="22671"/>
    <cellStyle name="표준 7 2 2 2 9 2 2 3 2" xfId="45136"/>
    <cellStyle name="표준 7 2 2 2 9 2 2 4" xfId="30172"/>
    <cellStyle name="표준 7 2 2 2 9 2 3" xfId="15186"/>
    <cellStyle name="표준 7 2 2 2 9 2 3 2" xfId="37653"/>
    <cellStyle name="표준 7 2 2 2 9 2 4" xfId="22670"/>
    <cellStyle name="표준 7 2 2 2 9 2 4 2" xfId="45135"/>
    <cellStyle name="표준 7 2 2 2 9 2 5" xfId="30171"/>
    <cellStyle name="표준 7 2 2 2 9 3" xfId="7704"/>
    <cellStyle name="표준 7 2 2 2 9 3 2" xfId="15188"/>
    <cellStyle name="표준 7 2 2 2 9 3 2 2" xfId="37655"/>
    <cellStyle name="표준 7 2 2 2 9 3 3" xfId="22672"/>
    <cellStyle name="표준 7 2 2 2 9 3 3 2" xfId="45137"/>
    <cellStyle name="표준 7 2 2 2 9 3 4" xfId="30173"/>
    <cellStyle name="표준 7 2 2 2 9 4" xfId="15185"/>
    <cellStyle name="표준 7 2 2 2 9 4 2" xfId="37652"/>
    <cellStyle name="표준 7 2 2 2 9 5" xfId="22669"/>
    <cellStyle name="표준 7 2 2 2 9 5 2" xfId="45134"/>
    <cellStyle name="표준 7 2 2 2 9 6" xfId="30170"/>
    <cellStyle name="표준 7 2 2 20" xfId="29921"/>
    <cellStyle name="표준 7 2 2 3" xfId="7705"/>
    <cellStyle name="표준 7 2 2 3 10" xfId="15189"/>
    <cellStyle name="표준 7 2 2 3 10 2" xfId="37656"/>
    <cellStyle name="표준 7 2 2 3 11" xfId="22673"/>
    <cellStyle name="표준 7 2 2 3 11 2" xfId="45138"/>
    <cellStyle name="표준 7 2 2 3 12" xfId="30174"/>
    <cellStyle name="표준 7 2 2 3 2" xfId="7706"/>
    <cellStyle name="표준 7 2 2 3 2 10" xfId="30175"/>
    <cellStyle name="표준 7 2 2 3 2 2" xfId="7707"/>
    <cellStyle name="표준 7 2 2 3 2 2 2" xfId="7708"/>
    <cellStyle name="표준 7 2 2 3 2 2 2 2" xfId="7709"/>
    <cellStyle name="표준 7 2 2 3 2 2 2 2 2" xfId="7710"/>
    <cellStyle name="표준 7 2 2 3 2 2 2 2 2 2" xfId="7711"/>
    <cellStyle name="표준 7 2 2 3 2 2 2 2 2 2 2" xfId="15195"/>
    <cellStyle name="표준 7 2 2 3 2 2 2 2 2 2 2 2" xfId="37662"/>
    <cellStyle name="표준 7 2 2 3 2 2 2 2 2 2 3" xfId="22679"/>
    <cellStyle name="표준 7 2 2 3 2 2 2 2 2 2 3 2" xfId="45144"/>
    <cellStyle name="표준 7 2 2 3 2 2 2 2 2 2 4" xfId="30180"/>
    <cellStyle name="표준 7 2 2 3 2 2 2 2 2 3" xfId="15194"/>
    <cellStyle name="표준 7 2 2 3 2 2 2 2 2 3 2" xfId="37661"/>
    <cellStyle name="표준 7 2 2 3 2 2 2 2 2 4" xfId="22678"/>
    <cellStyle name="표준 7 2 2 3 2 2 2 2 2 4 2" xfId="45143"/>
    <cellStyle name="표준 7 2 2 3 2 2 2 2 2 5" xfId="30179"/>
    <cellStyle name="표준 7 2 2 3 2 2 2 2 3" xfId="7712"/>
    <cellStyle name="표준 7 2 2 3 2 2 2 2 3 2" xfId="15196"/>
    <cellStyle name="표준 7 2 2 3 2 2 2 2 3 2 2" xfId="37663"/>
    <cellStyle name="표준 7 2 2 3 2 2 2 2 3 3" xfId="22680"/>
    <cellStyle name="표준 7 2 2 3 2 2 2 2 3 3 2" xfId="45145"/>
    <cellStyle name="표준 7 2 2 3 2 2 2 2 3 4" xfId="30181"/>
    <cellStyle name="표준 7 2 2 3 2 2 2 2 4" xfId="15193"/>
    <cellStyle name="표준 7 2 2 3 2 2 2 2 4 2" xfId="37660"/>
    <cellStyle name="표준 7 2 2 3 2 2 2 2 5" xfId="22677"/>
    <cellStyle name="표준 7 2 2 3 2 2 2 2 5 2" xfId="45142"/>
    <cellStyle name="표준 7 2 2 3 2 2 2 2 6" xfId="30178"/>
    <cellStyle name="표준 7 2 2 3 2 2 2 3" xfId="7713"/>
    <cellStyle name="표준 7 2 2 3 2 2 2 3 2" xfId="7714"/>
    <cellStyle name="표준 7 2 2 3 2 2 2 3 2 2" xfId="15198"/>
    <cellStyle name="표준 7 2 2 3 2 2 2 3 2 2 2" xfId="37665"/>
    <cellStyle name="표준 7 2 2 3 2 2 2 3 2 3" xfId="22682"/>
    <cellStyle name="표준 7 2 2 3 2 2 2 3 2 3 2" xfId="45147"/>
    <cellStyle name="표준 7 2 2 3 2 2 2 3 2 4" xfId="30183"/>
    <cellStyle name="표준 7 2 2 3 2 2 2 3 3" xfId="15197"/>
    <cellStyle name="표준 7 2 2 3 2 2 2 3 3 2" xfId="37664"/>
    <cellStyle name="표준 7 2 2 3 2 2 2 3 4" xfId="22681"/>
    <cellStyle name="표준 7 2 2 3 2 2 2 3 4 2" xfId="45146"/>
    <cellStyle name="표준 7 2 2 3 2 2 2 3 5" xfId="30182"/>
    <cellStyle name="표준 7 2 2 3 2 2 2 4" xfId="7715"/>
    <cellStyle name="표준 7 2 2 3 2 2 2 4 2" xfId="15199"/>
    <cellStyle name="표준 7 2 2 3 2 2 2 4 2 2" xfId="37666"/>
    <cellStyle name="표준 7 2 2 3 2 2 2 4 3" xfId="22683"/>
    <cellStyle name="표준 7 2 2 3 2 2 2 4 3 2" xfId="45148"/>
    <cellStyle name="표준 7 2 2 3 2 2 2 4 4" xfId="30184"/>
    <cellStyle name="표준 7 2 2 3 2 2 2 5" xfId="15192"/>
    <cellStyle name="표준 7 2 2 3 2 2 2 5 2" xfId="37659"/>
    <cellStyle name="표준 7 2 2 3 2 2 2 6" xfId="22676"/>
    <cellStyle name="표준 7 2 2 3 2 2 2 6 2" xfId="45141"/>
    <cellStyle name="표준 7 2 2 3 2 2 2 7" xfId="30177"/>
    <cellStyle name="표준 7 2 2 3 2 2 3" xfId="7716"/>
    <cellStyle name="표준 7 2 2 3 2 2 3 2" xfId="7717"/>
    <cellStyle name="표준 7 2 2 3 2 2 3 2 2" xfId="7718"/>
    <cellStyle name="표준 7 2 2 3 2 2 3 2 2 2" xfId="15202"/>
    <cellStyle name="표준 7 2 2 3 2 2 3 2 2 2 2" xfId="37669"/>
    <cellStyle name="표준 7 2 2 3 2 2 3 2 2 3" xfId="22686"/>
    <cellStyle name="표준 7 2 2 3 2 2 3 2 2 3 2" xfId="45151"/>
    <cellStyle name="표준 7 2 2 3 2 2 3 2 2 4" xfId="30187"/>
    <cellStyle name="표준 7 2 2 3 2 2 3 2 3" xfId="15201"/>
    <cellStyle name="표준 7 2 2 3 2 2 3 2 3 2" xfId="37668"/>
    <cellStyle name="표준 7 2 2 3 2 2 3 2 4" xfId="22685"/>
    <cellStyle name="표준 7 2 2 3 2 2 3 2 4 2" xfId="45150"/>
    <cellStyle name="표준 7 2 2 3 2 2 3 2 5" xfId="30186"/>
    <cellStyle name="표준 7 2 2 3 2 2 3 3" xfId="7719"/>
    <cellStyle name="표준 7 2 2 3 2 2 3 3 2" xfId="15203"/>
    <cellStyle name="표준 7 2 2 3 2 2 3 3 2 2" xfId="37670"/>
    <cellStyle name="표준 7 2 2 3 2 2 3 3 3" xfId="22687"/>
    <cellStyle name="표준 7 2 2 3 2 2 3 3 3 2" xfId="45152"/>
    <cellStyle name="표준 7 2 2 3 2 2 3 3 4" xfId="30188"/>
    <cellStyle name="표준 7 2 2 3 2 2 3 4" xfId="15200"/>
    <cellStyle name="표준 7 2 2 3 2 2 3 4 2" xfId="37667"/>
    <cellStyle name="표준 7 2 2 3 2 2 3 5" xfId="22684"/>
    <cellStyle name="표준 7 2 2 3 2 2 3 5 2" xfId="45149"/>
    <cellStyle name="표준 7 2 2 3 2 2 3 6" xfId="30185"/>
    <cellStyle name="표준 7 2 2 3 2 2 4" xfId="7720"/>
    <cellStyle name="표준 7 2 2 3 2 2 4 2" xfId="7721"/>
    <cellStyle name="표준 7 2 2 3 2 2 4 2 2" xfId="15205"/>
    <cellStyle name="표준 7 2 2 3 2 2 4 2 2 2" xfId="37672"/>
    <cellStyle name="표준 7 2 2 3 2 2 4 2 3" xfId="22689"/>
    <cellStyle name="표준 7 2 2 3 2 2 4 2 3 2" xfId="45154"/>
    <cellStyle name="표준 7 2 2 3 2 2 4 2 4" xfId="30190"/>
    <cellStyle name="표준 7 2 2 3 2 2 4 3" xfId="15204"/>
    <cellStyle name="표준 7 2 2 3 2 2 4 3 2" xfId="37671"/>
    <cellStyle name="표준 7 2 2 3 2 2 4 4" xfId="22688"/>
    <cellStyle name="표준 7 2 2 3 2 2 4 4 2" xfId="45153"/>
    <cellStyle name="표준 7 2 2 3 2 2 4 5" xfId="30189"/>
    <cellStyle name="표준 7 2 2 3 2 2 5" xfId="7722"/>
    <cellStyle name="표준 7 2 2 3 2 2 5 2" xfId="15206"/>
    <cellStyle name="표준 7 2 2 3 2 2 5 2 2" xfId="37673"/>
    <cellStyle name="표준 7 2 2 3 2 2 5 3" xfId="22690"/>
    <cellStyle name="표준 7 2 2 3 2 2 5 3 2" xfId="45155"/>
    <cellStyle name="표준 7 2 2 3 2 2 5 4" xfId="30191"/>
    <cellStyle name="표준 7 2 2 3 2 2 6" xfId="15191"/>
    <cellStyle name="표준 7 2 2 3 2 2 6 2" xfId="37658"/>
    <cellStyle name="표준 7 2 2 3 2 2 7" xfId="22675"/>
    <cellStyle name="표준 7 2 2 3 2 2 7 2" xfId="45140"/>
    <cellStyle name="표준 7 2 2 3 2 2 8" xfId="30176"/>
    <cellStyle name="표준 7 2 2 3 2 3" xfId="7723"/>
    <cellStyle name="표준 7 2 2 3 2 3 2" xfId="7724"/>
    <cellStyle name="표준 7 2 2 3 2 3 2 2" xfId="7725"/>
    <cellStyle name="표준 7 2 2 3 2 3 2 2 2" xfId="7726"/>
    <cellStyle name="표준 7 2 2 3 2 3 2 2 2 2" xfId="7727"/>
    <cellStyle name="표준 7 2 2 3 2 3 2 2 2 2 2" xfId="15211"/>
    <cellStyle name="표준 7 2 2 3 2 3 2 2 2 2 2 2" xfId="37678"/>
    <cellStyle name="표준 7 2 2 3 2 3 2 2 2 2 3" xfId="22695"/>
    <cellStyle name="표준 7 2 2 3 2 3 2 2 2 2 3 2" xfId="45160"/>
    <cellStyle name="표준 7 2 2 3 2 3 2 2 2 2 4" xfId="30196"/>
    <cellStyle name="표준 7 2 2 3 2 3 2 2 2 3" xfId="15210"/>
    <cellStyle name="표준 7 2 2 3 2 3 2 2 2 3 2" xfId="37677"/>
    <cellStyle name="표준 7 2 2 3 2 3 2 2 2 4" xfId="22694"/>
    <cellStyle name="표준 7 2 2 3 2 3 2 2 2 4 2" xfId="45159"/>
    <cellStyle name="표준 7 2 2 3 2 3 2 2 2 5" xfId="30195"/>
    <cellStyle name="표준 7 2 2 3 2 3 2 2 3" xfId="7728"/>
    <cellStyle name="표준 7 2 2 3 2 3 2 2 3 2" xfId="15212"/>
    <cellStyle name="표준 7 2 2 3 2 3 2 2 3 2 2" xfId="37679"/>
    <cellStyle name="표준 7 2 2 3 2 3 2 2 3 3" xfId="22696"/>
    <cellStyle name="표준 7 2 2 3 2 3 2 2 3 3 2" xfId="45161"/>
    <cellStyle name="표준 7 2 2 3 2 3 2 2 3 4" xfId="30197"/>
    <cellStyle name="표준 7 2 2 3 2 3 2 2 4" xfId="15209"/>
    <cellStyle name="표준 7 2 2 3 2 3 2 2 4 2" xfId="37676"/>
    <cellStyle name="표준 7 2 2 3 2 3 2 2 5" xfId="22693"/>
    <cellStyle name="표준 7 2 2 3 2 3 2 2 5 2" xfId="45158"/>
    <cellStyle name="표준 7 2 2 3 2 3 2 2 6" xfId="30194"/>
    <cellStyle name="표준 7 2 2 3 2 3 2 3" xfId="7729"/>
    <cellStyle name="표준 7 2 2 3 2 3 2 3 2" xfId="7730"/>
    <cellStyle name="표준 7 2 2 3 2 3 2 3 2 2" xfId="15214"/>
    <cellStyle name="표준 7 2 2 3 2 3 2 3 2 2 2" xfId="37681"/>
    <cellStyle name="표준 7 2 2 3 2 3 2 3 2 3" xfId="22698"/>
    <cellStyle name="표준 7 2 2 3 2 3 2 3 2 3 2" xfId="45163"/>
    <cellStyle name="표준 7 2 2 3 2 3 2 3 2 4" xfId="30199"/>
    <cellStyle name="표준 7 2 2 3 2 3 2 3 3" xfId="15213"/>
    <cellStyle name="표준 7 2 2 3 2 3 2 3 3 2" xfId="37680"/>
    <cellStyle name="표준 7 2 2 3 2 3 2 3 4" xfId="22697"/>
    <cellStyle name="표준 7 2 2 3 2 3 2 3 4 2" xfId="45162"/>
    <cellStyle name="표준 7 2 2 3 2 3 2 3 5" xfId="30198"/>
    <cellStyle name="표준 7 2 2 3 2 3 2 4" xfId="7731"/>
    <cellStyle name="표준 7 2 2 3 2 3 2 4 2" xfId="15215"/>
    <cellStyle name="표준 7 2 2 3 2 3 2 4 2 2" xfId="37682"/>
    <cellStyle name="표준 7 2 2 3 2 3 2 4 3" xfId="22699"/>
    <cellStyle name="표준 7 2 2 3 2 3 2 4 3 2" xfId="45164"/>
    <cellStyle name="표준 7 2 2 3 2 3 2 4 4" xfId="30200"/>
    <cellStyle name="표준 7 2 2 3 2 3 2 5" xfId="15208"/>
    <cellStyle name="표준 7 2 2 3 2 3 2 5 2" xfId="37675"/>
    <cellStyle name="표준 7 2 2 3 2 3 2 6" xfId="22692"/>
    <cellStyle name="표준 7 2 2 3 2 3 2 6 2" xfId="45157"/>
    <cellStyle name="표준 7 2 2 3 2 3 2 7" xfId="30193"/>
    <cellStyle name="표준 7 2 2 3 2 3 3" xfId="7732"/>
    <cellStyle name="표준 7 2 2 3 2 3 3 2" xfId="7733"/>
    <cellStyle name="표준 7 2 2 3 2 3 3 2 2" xfId="7734"/>
    <cellStyle name="표준 7 2 2 3 2 3 3 2 2 2" xfId="15218"/>
    <cellStyle name="표준 7 2 2 3 2 3 3 2 2 2 2" xfId="37685"/>
    <cellStyle name="표준 7 2 2 3 2 3 3 2 2 3" xfId="22702"/>
    <cellStyle name="표준 7 2 2 3 2 3 3 2 2 3 2" xfId="45167"/>
    <cellStyle name="표준 7 2 2 3 2 3 3 2 2 4" xfId="30203"/>
    <cellStyle name="표준 7 2 2 3 2 3 3 2 3" xfId="15217"/>
    <cellStyle name="표준 7 2 2 3 2 3 3 2 3 2" xfId="37684"/>
    <cellStyle name="표준 7 2 2 3 2 3 3 2 4" xfId="22701"/>
    <cellStyle name="표준 7 2 2 3 2 3 3 2 4 2" xfId="45166"/>
    <cellStyle name="표준 7 2 2 3 2 3 3 2 5" xfId="30202"/>
    <cellStyle name="표준 7 2 2 3 2 3 3 3" xfId="7735"/>
    <cellStyle name="표준 7 2 2 3 2 3 3 3 2" xfId="15219"/>
    <cellStyle name="표준 7 2 2 3 2 3 3 3 2 2" xfId="37686"/>
    <cellStyle name="표준 7 2 2 3 2 3 3 3 3" xfId="22703"/>
    <cellStyle name="표준 7 2 2 3 2 3 3 3 3 2" xfId="45168"/>
    <cellStyle name="표준 7 2 2 3 2 3 3 3 4" xfId="30204"/>
    <cellStyle name="표준 7 2 2 3 2 3 3 4" xfId="15216"/>
    <cellStyle name="표준 7 2 2 3 2 3 3 4 2" xfId="37683"/>
    <cellStyle name="표준 7 2 2 3 2 3 3 5" xfId="22700"/>
    <cellStyle name="표준 7 2 2 3 2 3 3 5 2" xfId="45165"/>
    <cellStyle name="표준 7 2 2 3 2 3 3 6" xfId="30201"/>
    <cellStyle name="표준 7 2 2 3 2 3 4" xfId="7736"/>
    <cellStyle name="표준 7 2 2 3 2 3 4 2" xfId="7737"/>
    <cellStyle name="표준 7 2 2 3 2 3 4 2 2" xfId="15221"/>
    <cellStyle name="표준 7 2 2 3 2 3 4 2 2 2" xfId="37688"/>
    <cellStyle name="표준 7 2 2 3 2 3 4 2 3" xfId="22705"/>
    <cellStyle name="표준 7 2 2 3 2 3 4 2 3 2" xfId="45170"/>
    <cellStyle name="표준 7 2 2 3 2 3 4 2 4" xfId="30206"/>
    <cellStyle name="표준 7 2 2 3 2 3 4 3" xfId="15220"/>
    <cellStyle name="표준 7 2 2 3 2 3 4 3 2" xfId="37687"/>
    <cellStyle name="표준 7 2 2 3 2 3 4 4" xfId="22704"/>
    <cellStyle name="표준 7 2 2 3 2 3 4 4 2" xfId="45169"/>
    <cellStyle name="표준 7 2 2 3 2 3 4 5" xfId="30205"/>
    <cellStyle name="표준 7 2 2 3 2 3 5" xfId="7738"/>
    <cellStyle name="표준 7 2 2 3 2 3 5 2" xfId="15222"/>
    <cellStyle name="표준 7 2 2 3 2 3 5 2 2" xfId="37689"/>
    <cellStyle name="표준 7 2 2 3 2 3 5 3" xfId="22706"/>
    <cellStyle name="표준 7 2 2 3 2 3 5 3 2" xfId="45171"/>
    <cellStyle name="표준 7 2 2 3 2 3 5 4" xfId="30207"/>
    <cellStyle name="표준 7 2 2 3 2 3 6" xfId="15207"/>
    <cellStyle name="표준 7 2 2 3 2 3 6 2" xfId="37674"/>
    <cellStyle name="표준 7 2 2 3 2 3 7" xfId="22691"/>
    <cellStyle name="표준 7 2 2 3 2 3 7 2" xfId="45156"/>
    <cellStyle name="표준 7 2 2 3 2 3 8" xfId="30192"/>
    <cellStyle name="표준 7 2 2 3 2 4" xfId="7739"/>
    <cellStyle name="표준 7 2 2 3 2 4 2" xfId="7740"/>
    <cellStyle name="표준 7 2 2 3 2 4 2 2" xfId="7741"/>
    <cellStyle name="표준 7 2 2 3 2 4 2 2 2" xfId="7742"/>
    <cellStyle name="표준 7 2 2 3 2 4 2 2 2 2" xfId="15226"/>
    <cellStyle name="표준 7 2 2 3 2 4 2 2 2 2 2" xfId="37693"/>
    <cellStyle name="표준 7 2 2 3 2 4 2 2 2 3" xfId="22710"/>
    <cellStyle name="표준 7 2 2 3 2 4 2 2 2 3 2" xfId="45175"/>
    <cellStyle name="표준 7 2 2 3 2 4 2 2 2 4" xfId="30211"/>
    <cellStyle name="표준 7 2 2 3 2 4 2 2 3" xfId="15225"/>
    <cellStyle name="표준 7 2 2 3 2 4 2 2 3 2" xfId="37692"/>
    <cellStyle name="표준 7 2 2 3 2 4 2 2 4" xfId="22709"/>
    <cellStyle name="표준 7 2 2 3 2 4 2 2 4 2" xfId="45174"/>
    <cellStyle name="표준 7 2 2 3 2 4 2 2 5" xfId="30210"/>
    <cellStyle name="표준 7 2 2 3 2 4 2 3" xfId="7743"/>
    <cellStyle name="표준 7 2 2 3 2 4 2 3 2" xfId="15227"/>
    <cellStyle name="표준 7 2 2 3 2 4 2 3 2 2" xfId="37694"/>
    <cellStyle name="표준 7 2 2 3 2 4 2 3 3" xfId="22711"/>
    <cellStyle name="표준 7 2 2 3 2 4 2 3 3 2" xfId="45176"/>
    <cellStyle name="표준 7 2 2 3 2 4 2 3 4" xfId="30212"/>
    <cellStyle name="표준 7 2 2 3 2 4 2 4" xfId="15224"/>
    <cellStyle name="표준 7 2 2 3 2 4 2 4 2" xfId="37691"/>
    <cellStyle name="표준 7 2 2 3 2 4 2 5" xfId="22708"/>
    <cellStyle name="표준 7 2 2 3 2 4 2 5 2" xfId="45173"/>
    <cellStyle name="표준 7 2 2 3 2 4 2 6" xfId="30209"/>
    <cellStyle name="표준 7 2 2 3 2 4 3" xfId="7744"/>
    <cellStyle name="표준 7 2 2 3 2 4 3 2" xfId="7745"/>
    <cellStyle name="표준 7 2 2 3 2 4 3 2 2" xfId="15229"/>
    <cellStyle name="표준 7 2 2 3 2 4 3 2 2 2" xfId="37696"/>
    <cellStyle name="표준 7 2 2 3 2 4 3 2 3" xfId="22713"/>
    <cellStyle name="표준 7 2 2 3 2 4 3 2 3 2" xfId="45178"/>
    <cellStyle name="표준 7 2 2 3 2 4 3 2 4" xfId="30214"/>
    <cellStyle name="표준 7 2 2 3 2 4 3 3" xfId="15228"/>
    <cellStyle name="표준 7 2 2 3 2 4 3 3 2" xfId="37695"/>
    <cellStyle name="표준 7 2 2 3 2 4 3 4" xfId="22712"/>
    <cellStyle name="표준 7 2 2 3 2 4 3 4 2" xfId="45177"/>
    <cellStyle name="표준 7 2 2 3 2 4 3 5" xfId="30213"/>
    <cellStyle name="표준 7 2 2 3 2 4 4" xfId="7746"/>
    <cellStyle name="표준 7 2 2 3 2 4 4 2" xfId="15230"/>
    <cellStyle name="표준 7 2 2 3 2 4 4 2 2" xfId="37697"/>
    <cellStyle name="표준 7 2 2 3 2 4 4 3" xfId="22714"/>
    <cellStyle name="표준 7 2 2 3 2 4 4 3 2" xfId="45179"/>
    <cellStyle name="표준 7 2 2 3 2 4 4 4" xfId="30215"/>
    <cellStyle name="표준 7 2 2 3 2 4 5" xfId="15223"/>
    <cellStyle name="표준 7 2 2 3 2 4 5 2" xfId="37690"/>
    <cellStyle name="표준 7 2 2 3 2 4 6" xfId="22707"/>
    <cellStyle name="표준 7 2 2 3 2 4 6 2" xfId="45172"/>
    <cellStyle name="표준 7 2 2 3 2 4 7" xfId="30208"/>
    <cellStyle name="표준 7 2 2 3 2 5" xfId="7747"/>
    <cellStyle name="표준 7 2 2 3 2 5 2" xfId="7748"/>
    <cellStyle name="표준 7 2 2 3 2 5 2 2" xfId="7749"/>
    <cellStyle name="표준 7 2 2 3 2 5 2 2 2" xfId="15233"/>
    <cellStyle name="표준 7 2 2 3 2 5 2 2 2 2" xfId="37700"/>
    <cellStyle name="표준 7 2 2 3 2 5 2 2 3" xfId="22717"/>
    <cellStyle name="표준 7 2 2 3 2 5 2 2 3 2" xfId="45182"/>
    <cellStyle name="표준 7 2 2 3 2 5 2 2 4" xfId="30218"/>
    <cellStyle name="표준 7 2 2 3 2 5 2 3" xfId="15232"/>
    <cellStyle name="표준 7 2 2 3 2 5 2 3 2" xfId="37699"/>
    <cellStyle name="표준 7 2 2 3 2 5 2 4" xfId="22716"/>
    <cellStyle name="표준 7 2 2 3 2 5 2 4 2" xfId="45181"/>
    <cellStyle name="표준 7 2 2 3 2 5 2 5" xfId="30217"/>
    <cellStyle name="표준 7 2 2 3 2 5 3" xfId="7750"/>
    <cellStyle name="표준 7 2 2 3 2 5 3 2" xfId="15234"/>
    <cellStyle name="표준 7 2 2 3 2 5 3 2 2" xfId="37701"/>
    <cellStyle name="표준 7 2 2 3 2 5 3 3" xfId="22718"/>
    <cellStyle name="표준 7 2 2 3 2 5 3 3 2" xfId="45183"/>
    <cellStyle name="표준 7 2 2 3 2 5 3 4" xfId="30219"/>
    <cellStyle name="표준 7 2 2 3 2 5 4" xfId="15231"/>
    <cellStyle name="표준 7 2 2 3 2 5 4 2" xfId="37698"/>
    <cellStyle name="표준 7 2 2 3 2 5 5" xfId="22715"/>
    <cellStyle name="표준 7 2 2 3 2 5 5 2" xfId="45180"/>
    <cellStyle name="표준 7 2 2 3 2 5 6" xfId="30216"/>
    <cellStyle name="표준 7 2 2 3 2 6" xfId="7751"/>
    <cellStyle name="표준 7 2 2 3 2 6 2" xfId="7752"/>
    <cellStyle name="표준 7 2 2 3 2 6 2 2" xfId="15236"/>
    <cellStyle name="표준 7 2 2 3 2 6 2 2 2" xfId="37703"/>
    <cellStyle name="표준 7 2 2 3 2 6 2 3" xfId="22720"/>
    <cellStyle name="표준 7 2 2 3 2 6 2 3 2" xfId="45185"/>
    <cellStyle name="표준 7 2 2 3 2 6 2 4" xfId="30221"/>
    <cellStyle name="표준 7 2 2 3 2 6 3" xfId="15235"/>
    <cellStyle name="표준 7 2 2 3 2 6 3 2" xfId="37702"/>
    <cellStyle name="표준 7 2 2 3 2 6 4" xfId="22719"/>
    <cellStyle name="표준 7 2 2 3 2 6 4 2" xfId="45184"/>
    <cellStyle name="표준 7 2 2 3 2 6 5" xfId="30220"/>
    <cellStyle name="표준 7 2 2 3 2 7" xfId="7753"/>
    <cellStyle name="표준 7 2 2 3 2 7 2" xfId="15237"/>
    <cellStyle name="표준 7 2 2 3 2 7 2 2" xfId="37704"/>
    <cellStyle name="표준 7 2 2 3 2 7 3" xfId="22721"/>
    <cellStyle name="표준 7 2 2 3 2 7 3 2" xfId="45186"/>
    <cellStyle name="표준 7 2 2 3 2 7 4" xfId="30222"/>
    <cellStyle name="표준 7 2 2 3 2 8" xfId="15190"/>
    <cellStyle name="표준 7 2 2 3 2 8 2" xfId="37657"/>
    <cellStyle name="표준 7 2 2 3 2 9" xfId="22674"/>
    <cellStyle name="표준 7 2 2 3 2 9 2" xfId="45139"/>
    <cellStyle name="표준 7 2 2 3 3" xfId="7754"/>
    <cellStyle name="표준 7 2 2 3 3 2" xfId="7755"/>
    <cellStyle name="표준 7 2 2 3 3 2 2" xfId="7756"/>
    <cellStyle name="표준 7 2 2 3 3 2 2 2" xfId="7757"/>
    <cellStyle name="표준 7 2 2 3 3 2 2 2 2" xfId="7758"/>
    <cellStyle name="표준 7 2 2 3 3 2 2 2 2 2" xfId="15242"/>
    <cellStyle name="표준 7 2 2 3 3 2 2 2 2 2 2" xfId="37709"/>
    <cellStyle name="표준 7 2 2 3 3 2 2 2 2 3" xfId="22726"/>
    <cellStyle name="표준 7 2 2 3 3 2 2 2 2 3 2" xfId="45191"/>
    <cellStyle name="표준 7 2 2 3 3 2 2 2 2 4" xfId="30227"/>
    <cellStyle name="표준 7 2 2 3 3 2 2 2 3" xfId="15241"/>
    <cellStyle name="표준 7 2 2 3 3 2 2 2 3 2" xfId="37708"/>
    <cellStyle name="표준 7 2 2 3 3 2 2 2 4" xfId="22725"/>
    <cellStyle name="표준 7 2 2 3 3 2 2 2 4 2" xfId="45190"/>
    <cellStyle name="표준 7 2 2 3 3 2 2 2 5" xfId="30226"/>
    <cellStyle name="표준 7 2 2 3 3 2 2 3" xfId="7759"/>
    <cellStyle name="표준 7 2 2 3 3 2 2 3 2" xfId="15243"/>
    <cellStyle name="표준 7 2 2 3 3 2 2 3 2 2" xfId="37710"/>
    <cellStyle name="표준 7 2 2 3 3 2 2 3 3" xfId="22727"/>
    <cellStyle name="표준 7 2 2 3 3 2 2 3 3 2" xfId="45192"/>
    <cellStyle name="표준 7 2 2 3 3 2 2 3 4" xfId="30228"/>
    <cellStyle name="표준 7 2 2 3 3 2 2 4" xfId="15240"/>
    <cellStyle name="표준 7 2 2 3 3 2 2 4 2" xfId="37707"/>
    <cellStyle name="표준 7 2 2 3 3 2 2 5" xfId="22724"/>
    <cellStyle name="표준 7 2 2 3 3 2 2 5 2" xfId="45189"/>
    <cellStyle name="표준 7 2 2 3 3 2 2 6" xfId="30225"/>
    <cellStyle name="표준 7 2 2 3 3 2 3" xfId="7760"/>
    <cellStyle name="표준 7 2 2 3 3 2 3 2" xfId="7761"/>
    <cellStyle name="표준 7 2 2 3 3 2 3 2 2" xfId="15245"/>
    <cellStyle name="표준 7 2 2 3 3 2 3 2 2 2" xfId="37712"/>
    <cellStyle name="표준 7 2 2 3 3 2 3 2 3" xfId="22729"/>
    <cellStyle name="표준 7 2 2 3 3 2 3 2 3 2" xfId="45194"/>
    <cellStyle name="표준 7 2 2 3 3 2 3 2 4" xfId="30230"/>
    <cellStyle name="표준 7 2 2 3 3 2 3 3" xfId="15244"/>
    <cellStyle name="표준 7 2 2 3 3 2 3 3 2" xfId="37711"/>
    <cellStyle name="표준 7 2 2 3 3 2 3 4" xfId="22728"/>
    <cellStyle name="표준 7 2 2 3 3 2 3 4 2" xfId="45193"/>
    <cellStyle name="표준 7 2 2 3 3 2 3 5" xfId="30229"/>
    <cellStyle name="표준 7 2 2 3 3 2 4" xfId="7762"/>
    <cellStyle name="표준 7 2 2 3 3 2 4 2" xfId="15246"/>
    <cellStyle name="표준 7 2 2 3 3 2 4 2 2" xfId="37713"/>
    <cellStyle name="표준 7 2 2 3 3 2 4 3" xfId="22730"/>
    <cellStyle name="표준 7 2 2 3 3 2 4 3 2" xfId="45195"/>
    <cellStyle name="표준 7 2 2 3 3 2 4 4" xfId="30231"/>
    <cellStyle name="표준 7 2 2 3 3 2 5" xfId="15239"/>
    <cellStyle name="표준 7 2 2 3 3 2 5 2" xfId="37706"/>
    <cellStyle name="표준 7 2 2 3 3 2 6" xfId="22723"/>
    <cellStyle name="표준 7 2 2 3 3 2 6 2" xfId="45188"/>
    <cellStyle name="표준 7 2 2 3 3 2 7" xfId="30224"/>
    <cellStyle name="표준 7 2 2 3 3 3" xfId="7763"/>
    <cellStyle name="표준 7 2 2 3 3 3 2" xfId="7764"/>
    <cellStyle name="표준 7 2 2 3 3 3 2 2" xfId="7765"/>
    <cellStyle name="표준 7 2 2 3 3 3 2 2 2" xfId="15249"/>
    <cellStyle name="표준 7 2 2 3 3 3 2 2 2 2" xfId="37716"/>
    <cellStyle name="표준 7 2 2 3 3 3 2 2 3" xfId="22733"/>
    <cellStyle name="표준 7 2 2 3 3 3 2 2 3 2" xfId="45198"/>
    <cellStyle name="표준 7 2 2 3 3 3 2 2 4" xfId="30234"/>
    <cellStyle name="표준 7 2 2 3 3 3 2 3" xfId="15248"/>
    <cellStyle name="표준 7 2 2 3 3 3 2 3 2" xfId="37715"/>
    <cellStyle name="표준 7 2 2 3 3 3 2 4" xfId="22732"/>
    <cellStyle name="표준 7 2 2 3 3 3 2 4 2" xfId="45197"/>
    <cellStyle name="표준 7 2 2 3 3 3 2 5" xfId="30233"/>
    <cellStyle name="표준 7 2 2 3 3 3 3" xfId="7766"/>
    <cellStyle name="표준 7 2 2 3 3 3 3 2" xfId="15250"/>
    <cellStyle name="표준 7 2 2 3 3 3 3 2 2" xfId="37717"/>
    <cellStyle name="표준 7 2 2 3 3 3 3 3" xfId="22734"/>
    <cellStyle name="표준 7 2 2 3 3 3 3 3 2" xfId="45199"/>
    <cellStyle name="표준 7 2 2 3 3 3 3 4" xfId="30235"/>
    <cellStyle name="표준 7 2 2 3 3 3 4" xfId="15247"/>
    <cellStyle name="표준 7 2 2 3 3 3 4 2" xfId="37714"/>
    <cellStyle name="표준 7 2 2 3 3 3 5" xfId="22731"/>
    <cellStyle name="표준 7 2 2 3 3 3 5 2" xfId="45196"/>
    <cellStyle name="표준 7 2 2 3 3 3 6" xfId="30232"/>
    <cellStyle name="표준 7 2 2 3 3 4" xfId="7767"/>
    <cellStyle name="표준 7 2 2 3 3 4 2" xfId="7768"/>
    <cellStyle name="표준 7 2 2 3 3 4 2 2" xfId="15252"/>
    <cellStyle name="표준 7 2 2 3 3 4 2 2 2" xfId="37719"/>
    <cellStyle name="표준 7 2 2 3 3 4 2 3" xfId="22736"/>
    <cellStyle name="표준 7 2 2 3 3 4 2 3 2" xfId="45201"/>
    <cellStyle name="표준 7 2 2 3 3 4 2 4" xfId="30237"/>
    <cellStyle name="표준 7 2 2 3 3 4 3" xfId="15251"/>
    <cellStyle name="표준 7 2 2 3 3 4 3 2" xfId="37718"/>
    <cellStyle name="표준 7 2 2 3 3 4 4" xfId="22735"/>
    <cellStyle name="표준 7 2 2 3 3 4 4 2" xfId="45200"/>
    <cellStyle name="표준 7 2 2 3 3 4 5" xfId="30236"/>
    <cellStyle name="표준 7 2 2 3 3 5" xfId="7769"/>
    <cellStyle name="표준 7 2 2 3 3 5 2" xfId="15253"/>
    <cellStyle name="표준 7 2 2 3 3 5 2 2" xfId="37720"/>
    <cellStyle name="표준 7 2 2 3 3 5 3" xfId="22737"/>
    <cellStyle name="표준 7 2 2 3 3 5 3 2" xfId="45202"/>
    <cellStyle name="표준 7 2 2 3 3 5 4" xfId="30238"/>
    <cellStyle name="표준 7 2 2 3 3 6" xfId="15238"/>
    <cellStyle name="표준 7 2 2 3 3 6 2" xfId="37705"/>
    <cellStyle name="표준 7 2 2 3 3 7" xfId="22722"/>
    <cellStyle name="표준 7 2 2 3 3 7 2" xfId="45187"/>
    <cellStyle name="표준 7 2 2 3 3 8" xfId="30223"/>
    <cellStyle name="표준 7 2 2 3 4" xfId="7770"/>
    <cellStyle name="표준 7 2 2 3 4 2" xfId="7771"/>
    <cellStyle name="표준 7 2 2 3 4 2 2" xfId="7772"/>
    <cellStyle name="표준 7 2 2 3 4 2 2 2" xfId="7773"/>
    <cellStyle name="표준 7 2 2 3 4 2 2 2 2" xfId="7774"/>
    <cellStyle name="표준 7 2 2 3 4 2 2 2 2 2" xfId="15258"/>
    <cellStyle name="표준 7 2 2 3 4 2 2 2 2 2 2" xfId="37725"/>
    <cellStyle name="표준 7 2 2 3 4 2 2 2 2 3" xfId="22742"/>
    <cellStyle name="표준 7 2 2 3 4 2 2 2 2 3 2" xfId="45207"/>
    <cellStyle name="표준 7 2 2 3 4 2 2 2 2 4" xfId="30243"/>
    <cellStyle name="표준 7 2 2 3 4 2 2 2 3" xfId="15257"/>
    <cellStyle name="표준 7 2 2 3 4 2 2 2 3 2" xfId="37724"/>
    <cellStyle name="표준 7 2 2 3 4 2 2 2 4" xfId="22741"/>
    <cellStyle name="표준 7 2 2 3 4 2 2 2 4 2" xfId="45206"/>
    <cellStyle name="표준 7 2 2 3 4 2 2 2 5" xfId="30242"/>
    <cellStyle name="표준 7 2 2 3 4 2 2 3" xfId="7775"/>
    <cellStyle name="표준 7 2 2 3 4 2 2 3 2" xfId="15259"/>
    <cellStyle name="표준 7 2 2 3 4 2 2 3 2 2" xfId="37726"/>
    <cellStyle name="표준 7 2 2 3 4 2 2 3 3" xfId="22743"/>
    <cellStyle name="표준 7 2 2 3 4 2 2 3 3 2" xfId="45208"/>
    <cellStyle name="표준 7 2 2 3 4 2 2 3 4" xfId="30244"/>
    <cellStyle name="표준 7 2 2 3 4 2 2 4" xfId="15256"/>
    <cellStyle name="표준 7 2 2 3 4 2 2 4 2" xfId="37723"/>
    <cellStyle name="표준 7 2 2 3 4 2 2 5" xfId="22740"/>
    <cellStyle name="표준 7 2 2 3 4 2 2 5 2" xfId="45205"/>
    <cellStyle name="표준 7 2 2 3 4 2 2 6" xfId="30241"/>
    <cellStyle name="표준 7 2 2 3 4 2 3" xfId="7776"/>
    <cellStyle name="표준 7 2 2 3 4 2 3 2" xfId="7777"/>
    <cellStyle name="표준 7 2 2 3 4 2 3 2 2" xfId="15261"/>
    <cellStyle name="표준 7 2 2 3 4 2 3 2 2 2" xfId="37728"/>
    <cellStyle name="표준 7 2 2 3 4 2 3 2 3" xfId="22745"/>
    <cellStyle name="표준 7 2 2 3 4 2 3 2 3 2" xfId="45210"/>
    <cellStyle name="표준 7 2 2 3 4 2 3 2 4" xfId="30246"/>
    <cellStyle name="표준 7 2 2 3 4 2 3 3" xfId="15260"/>
    <cellStyle name="표준 7 2 2 3 4 2 3 3 2" xfId="37727"/>
    <cellStyle name="표준 7 2 2 3 4 2 3 4" xfId="22744"/>
    <cellStyle name="표준 7 2 2 3 4 2 3 4 2" xfId="45209"/>
    <cellStyle name="표준 7 2 2 3 4 2 3 5" xfId="30245"/>
    <cellStyle name="표준 7 2 2 3 4 2 4" xfId="7778"/>
    <cellStyle name="표준 7 2 2 3 4 2 4 2" xfId="15262"/>
    <cellStyle name="표준 7 2 2 3 4 2 4 2 2" xfId="37729"/>
    <cellStyle name="표준 7 2 2 3 4 2 4 3" xfId="22746"/>
    <cellStyle name="표준 7 2 2 3 4 2 4 3 2" xfId="45211"/>
    <cellStyle name="표준 7 2 2 3 4 2 4 4" xfId="30247"/>
    <cellStyle name="표준 7 2 2 3 4 2 5" xfId="15255"/>
    <cellStyle name="표준 7 2 2 3 4 2 5 2" xfId="37722"/>
    <cellStyle name="표준 7 2 2 3 4 2 6" xfId="22739"/>
    <cellStyle name="표준 7 2 2 3 4 2 6 2" xfId="45204"/>
    <cellStyle name="표준 7 2 2 3 4 2 7" xfId="30240"/>
    <cellStyle name="표준 7 2 2 3 4 3" xfId="7779"/>
    <cellStyle name="표준 7 2 2 3 4 3 2" xfId="7780"/>
    <cellStyle name="표준 7 2 2 3 4 3 2 2" xfId="7781"/>
    <cellStyle name="표준 7 2 2 3 4 3 2 2 2" xfId="15265"/>
    <cellStyle name="표준 7 2 2 3 4 3 2 2 2 2" xfId="37732"/>
    <cellStyle name="표준 7 2 2 3 4 3 2 2 3" xfId="22749"/>
    <cellStyle name="표준 7 2 2 3 4 3 2 2 3 2" xfId="45214"/>
    <cellStyle name="표준 7 2 2 3 4 3 2 2 4" xfId="30250"/>
    <cellStyle name="표준 7 2 2 3 4 3 2 3" xfId="15264"/>
    <cellStyle name="표준 7 2 2 3 4 3 2 3 2" xfId="37731"/>
    <cellStyle name="표준 7 2 2 3 4 3 2 4" xfId="22748"/>
    <cellStyle name="표준 7 2 2 3 4 3 2 4 2" xfId="45213"/>
    <cellStyle name="표준 7 2 2 3 4 3 2 5" xfId="30249"/>
    <cellStyle name="표준 7 2 2 3 4 3 3" xfId="7782"/>
    <cellStyle name="표준 7 2 2 3 4 3 3 2" xfId="15266"/>
    <cellStyle name="표준 7 2 2 3 4 3 3 2 2" xfId="37733"/>
    <cellStyle name="표준 7 2 2 3 4 3 3 3" xfId="22750"/>
    <cellStyle name="표준 7 2 2 3 4 3 3 3 2" xfId="45215"/>
    <cellStyle name="표준 7 2 2 3 4 3 3 4" xfId="30251"/>
    <cellStyle name="표준 7 2 2 3 4 3 4" xfId="15263"/>
    <cellStyle name="표준 7 2 2 3 4 3 4 2" xfId="37730"/>
    <cellStyle name="표준 7 2 2 3 4 3 5" xfId="22747"/>
    <cellStyle name="표준 7 2 2 3 4 3 5 2" xfId="45212"/>
    <cellStyle name="표준 7 2 2 3 4 3 6" xfId="30248"/>
    <cellStyle name="표준 7 2 2 3 4 4" xfId="7783"/>
    <cellStyle name="표준 7 2 2 3 4 4 2" xfId="7784"/>
    <cellStyle name="표준 7 2 2 3 4 4 2 2" xfId="15268"/>
    <cellStyle name="표준 7 2 2 3 4 4 2 2 2" xfId="37735"/>
    <cellStyle name="표준 7 2 2 3 4 4 2 3" xfId="22752"/>
    <cellStyle name="표준 7 2 2 3 4 4 2 3 2" xfId="45217"/>
    <cellStyle name="표준 7 2 2 3 4 4 2 4" xfId="30253"/>
    <cellStyle name="표준 7 2 2 3 4 4 3" xfId="15267"/>
    <cellStyle name="표준 7 2 2 3 4 4 3 2" xfId="37734"/>
    <cellStyle name="표준 7 2 2 3 4 4 4" xfId="22751"/>
    <cellStyle name="표준 7 2 2 3 4 4 4 2" xfId="45216"/>
    <cellStyle name="표준 7 2 2 3 4 4 5" xfId="30252"/>
    <cellStyle name="표준 7 2 2 3 4 5" xfId="7785"/>
    <cellStyle name="표준 7 2 2 3 4 5 2" xfId="15269"/>
    <cellStyle name="표준 7 2 2 3 4 5 2 2" xfId="37736"/>
    <cellStyle name="표준 7 2 2 3 4 5 3" xfId="22753"/>
    <cellStyle name="표준 7 2 2 3 4 5 3 2" xfId="45218"/>
    <cellStyle name="표준 7 2 2 3 4 5 4" xfId="30254"/>
    <cellStyle name="표준 7 2 2 3 4 6" xfId="15254"/>
    <cellStyle name="표준 7 2 2 3 4 6 2" xfId="37721"/>
    <cellStyle name="표준 7 2 2 3 4 7" xfId="22738"/>
    <cellStyle name="표준 7 2 2 3 4 7 2" xfId="45203"/>
    <cellStyle name="표준 7 2 2 3 4 8" xfId="30239"/>
    <cellStyle name="표준 7 2 2 3 5" xfId="7786"/>
    <cellStyle name="표준 7 2 2 3 5 2" xfId="7787"/>
    <cellStyle name="표준 7 2 2 3 5 2 2" xfId="7788"/>
    <cellStyle name="표준 7 2 2 3 5 2 2 2" xfId="7789"/>
    <cellStyle name="표준 7 2 2 3 5 2 2 2 2" xfId="15273"/>
    <cellStyle name="표준 7 2 2 3 5 2 2 2 2 2" xfId="37740"/>
    <cellStyle name="표준 7 2 2 3 5 2 2 2 3" xfId="22757"/>
    <cellStyle name="표준 7 2 2 3 5 2 2 2 3 2" xfId="45222"/>
    <cellStyle name="표준 7 2 2 3 5 2 2 2 4" xfId="30258"/>
    <cellStyle name="표준 7 2 2 3 5 2 2 3" xfId="15272"/>
    <cellStyle name="표준 7 2 2 3 5 2 2 3 2" xfId="37739"/>
    <cellStyle name="표준 7 2 2 3 5 2 2 4" xfId="22756"/>
    <cellStyle name="표준 7 2 2 3 5 2 2 4 2" xfId="45221"/>
    <cellStyle name="표준 7 2 2 3 5 2 2 5" xfId="30257"/>
    <cellStyle name="표준 7 2 2 3 5 2 3" xfId="7790"/>
    <cellStyle name="표준 7 2 2 3 5 2 3 2" xfId="15274"/>
    <cellStyle name="표준 7 2 2 3 5 2 3 2 2" xfId="37741"/>
    <cellStyle name="표준 7 2 2 3 5 2 3 3" xfId="22758"/>
    <cellStyle name="표준 7 2 2 3 5 2 3 3 2" xfId="45223"/>
    <cellStyle name="표준 7 2 2 3 5 2 3 4" xfId="30259"/>
    <cellStyle name="표준 7 2 2 3 5 2 4" xfId="15271"/>
    <cellStyle name="표준 7 2 2 3 5 2 4 2" xfId="37738"/>
    <cellStyle name="표준 7 2 2 3 5 2 5" xfId="22755"/>
    <cellStyle name="표준 7 2 2 3 5 2 5 2" xfId="45220"/>
    <cellStyle name="표준 7 2 2 3 5 2 6" xfId="30256"/>
    <cellStyle name="표준 7 2 2 3 5 3" xfId="7791"/>
    <cellStyle name="표준 7 2 2 3 5 3 2" xfId="7792"/>
    <cellStyle name="표준 7 2 2 3 5 3 2 2" xfId="15276"/>
    <cellStyle name="표준 7 2 2 3 5 3 2 2 2" xfId="37743"/>
    <cellStyle name="표준 7 2 2 3 5 3 2 3" xfId="22760"/>
    <cellStyle name="표준 7 2 2 3 5 3 2 3 2" xfId="45225"/>
    <cellStyle name="표준 7 2 2 3 5 3 2 4" xfId="30261"/>
    <cellStyle name="표준 7 2 2 3 5 3 3" xfId="15275"/>
    <cellStyle name="표준 7 2 2 3 5 3 3 2" xfId="37742"/>
    <cellStyle name="표준 7 2 2 3 5 3 4" xfId="22759"/>
    <cellStyle name="표준 7 2 2 3 5 3 4 2" xfId="45224"/>
    <cellStyle name="표준 7 2 2 3 5 3 5" xfId="30260"/>
    <cellStyle name="표준 7 2 2 3 5 4" xfId="7793"/>
    <cellStyle name="표준 7 2 2 3 5 4 2" xfId="15277"/>
    <cellStyle name="표준 7 2 2 3 5 4 2 2" xfId="37744"/>
    <cellStyle name="표준 7 2 2 3 5 4 3" xfId="22761"/>
    <cellStyle name="표준 7 2 2 3 5 4 3 2" xfId="45226"/>
    <cellStyle name="표준 7 2 2 3 5 4 4" xfId="30262"/>
    <cellStyle name="표준 7 2 2 3 5 5" xfId="15270"/>
    <cellStyle name="표준 7 2 2 3 5 5 2" xfId="37737"/>
    <cellStyle name="표준 7 2 2 3 5 6" xfId="22754"/>
    <cellStyle name="표준 7 2 2 3 5 6 2" xfId="45219"/>
    <cellStyle name="표준 7 2 2 3 5 7" xfId="30255"/>
    <cellStyle name="표준 7 2 2 3 6" xfId="7794"/>
    <cellStyle name="표준 7 2 2 3 6 2" xfId="7795"/>
    <cellStyle name="표준 7 2 2 3 6 2 2" xfId="7796"/>
    <cellStyle name="표준 7 2 2 3 6 2 2 2" xfId="15280"/>
    <cellStyle name="표준 7 2 2 3 6 2 2 2 2" xfId="37747"/>
    <cellStyle name="표준 7 2 2 3 6 2 2 3" xfId="22764"/>
    <cellStyle name="표준 7 2 2 3 6 2 2 3 2" xfId="45229"/>
    <cellStyle name="표준 7 2 2 3 6 2 2 4" xfId="30265"/>
    <cellStyle name="표준 7 2 2 3 6 2 3" xfId="15279"/>
    <cellStyle name="표준 7 2 2 3 6 2 3 2" xfId="37746"/>
    <cellStyle name="표준 7 2 2 3 6 2 4" xfId="22763"/>
    <cellStyle name="표준 7 2 2 3 6 2 4 2" xfId="45228"/>
    <cellStyle name="표준 7 2 2 3 6 2 5" xfId="30264"/>
    <cellStyle name="표준 7 2 2 3 6 3" xfId="7797"/>
    <cellStyle name="표준 7 2 2 3 6 3 2" xfId="15281"/>
    <cellStyle name="표준 7 2 2 3 6 3 2 2" xfId="37748"/>
    <cellStyle name="표준 7 2 2 3 6 3 3" xfId="22765"/>
    <cellStyle name="표준 7 2 2 3 6 3 3 2" xfId="45230"/>
    <cellStyle name="표준 7 2 2 3 6 3 4" xfId="30266"/>
    <cellStyle name="표준 7 2 2 3 6 4" xfId="15278"/>
    <cellStyle name="표준 7 2 2 3 6 4 2" xfId="37745"/>
    <cellStyle name="표준 7 2 2 3 6 5" xfId="22762"/>
    <cellStyle name="표준 7 2 2 3 6 5 2" xfId="45227"/>
    <cellStyle name="표준 7 2 2 3 6 6" xfId="30263"/>
    <cellStyle name="표준 7 2 2 3 7" xfId="7798"/>
    <cellStyle name="표준 7 2 2 3 7 2" xfId="7799"/>
    <cellStyle name="표준 7 2 2 3 7 2 2" xfId="7800"/>
    <cellStyle name="표준 7 2 2 3 7 2 2 2" xfId="15284"/>
    <cellStyle name="표준 7 2 2 3 7 2 2 2 2" xfId="37751"/>
    <cellStyle name="표준 7 2 2 3 7 2 2 3" xfId="22768"/>
    <cellStyle name="표준 7 2 2 3 7 2 2 3 2" xfId="45233"/>
    <cellStyle name="표준 7 2 2 3 7 2 2 4" xfId="30269"/>
    <cellStyle name="표준 7 2 2 3 7 2 3" xfId="15283"/>
    <cellStyle name="표준 7 2 2 3 7 2 3 2" xfId="37750"/>
    <cellStyle name="표준 7 2 2 3 7 2 4" xfId="22767"/>
    <cellStyle name="표준 7 2 2 3 7 2 4 2" xfId="45232"/>
    <cellStyle name="표준 7 2 2 3 7 2 5" xfId="30268"/>
    <cellStyle name="표준 7 2 2 3 7 3" xfId="7801"/>
    <cellStyle name="표준 7 2 2 3 7 3 2" xfId="15285"/>
    <cellStyle name="표준 7 2 2 3 7 3 2 2" xfId="37752"/>
    <cellStyle name="표준 7 2 2 3 7 3 3" xfId="22769"/>
    <cellStyle name="표준 7 2 2 3 7 3 3 2" xfId="45234"/>
    <cellStyle name="표준 7 2 2 3 7 3 4" xfId="30270"/>
    <cellStyle name="표준 7 2 2 3 7 4" xfId="15282"/>
    <cellStyle name="표준 7 2 2 3 7 4 2" xfId="37749"/>
    <cellStyle name="표준 7 2 2 3 7 5" xfId="22766"/>
    <cellStyle name="표준 7 2 2 3 7 5 2" xfId="45231"/>
    <cellStyle name="표준 7 2 2 3 7 6" xfId="30267"/>
    <cellStyle name="표준 7 2 2 3 8" xfId="7802"/>
    <cellStyle name="표준 7 2 2 3 8 2" xfId="7803"/>
    <cellStyle name="표준 7 2 2 3 8 2 2" xfId="15287"/>
    <cellStyle name="표준 7 2 2 3 8 2 2 2" xfId="37754"/>
    <cellStyle name="표준 7 2 2 3 8 2 3" xfId="22771"/>
    <cellStyle name="표준 7 2 2 3 8 2 3 2" xfId="45236"/>
    <cellStyle name="표준 7 2 2 3 8 2 4" xfId="30272"/>
    <cellStyle name="표준 7 2 2 3 8 3" xfId="15286"/>
    <cellStyle name="표준 7 2 2 3 8 3 2" xfId="37753"/>
    <cellStyle name="표준 7 2 2 3 8 4" xfId="22770"/>
    <cellStyle name="표준 7 2 2 3 8 4 2" xfId="45235"/>
    <cellStyle name="표준 7 2 2 3 8 5" xfId="30271"/>
    <cellStyle name="표준 7 2 2 3 9" xfId="7804"/>
    <cellStyle name="표준 7 2 2 3 9 2" xfId="15288"/>
    <cellStyle name="표준 7 2 2 3 9 2 2" xfId="37755"/>
    <cellStyle name="표준 7 2 2 3 9 3" xfId="22772"/>
    <cellStyle name="표준 7 2 2 3 9 3 2" xfId="45237"/>
    <cellStyle name="표준 7 2 2 3 9 4" xfId="30273"/>
    <cellStyle name="표준 7 2 2 4" xfId="7805"/>
    <cellStyle name="표준 7 2 2 4 10" xfId="22773"/>
    <cellStyle name="표준 7 2 2 4 10 2" xfId="45238"/>
    <cellStyle name="표준 7 2 2 4 11" xfId="30274"/>
    <cellStyle name="표준 7 2 2 4 2" xfId="7806"/>
    <cellStyle name="표준 7 2 2 4 2 10" xfId="30275"/>
    <cellStyle name="표준 7 2 2 4 2 2" xfId="7807"/>
    <cellStyle name="표준 7 2 2 4 2 2 2" xfId="7808"/>
    <cellStyle name="표준 7 2 2 4 2 2 2 2" xfId="7809"/>
    <cellStyle name="표준 7 2 2 4 2 2 2 2 2" xfId="7810"/>
    <cellStyle name="표준 7 2 2 4 2 2 2 2 2 2" xfId="7811"/>
    <cellStyle name="표준 7 2 2 4 2 2 2 2 2 2 2" xfId="15295"/>
    <cellStyle name="표준 7 2 2 4 2 2 2 2 2 2 2 2" xfId="37762"/>
    <cellStyle name="표준 7 2 2 4 2 2 2 2 2 2 3" xfId="22779"/>
    <cellStyle name="표준 7 2 2 4 2 2 2 2 2 2 3 2" xfId="45244"/>
    <cellStyle name="표준 7 2 2 4 2 2 2 2 2 2 4" xfId="30280"/>
    <cellStyle name="표준 7 2 2 4 2 2 2 2 2 3" xfId="15294"/>
    <cellStyle name="표준 7 2 2 4 2 2 2 2 2 3 2" xfId="37761"/>
    <cellStyle name="표준 7 2 2 4 2 2 2 2 2 4" xfId="22778"/>
    <cellStyle name="표준 7 2 2 4 2 2 2 2 2 4 2" xfId="45243"/>
    <cellStyle name="표준 7 2 2 4 2 2 2 2 2 5" xfId="30279"/>
    <cellStyle name="표준 7 2 2 4 2 2 2 2 3" xfId="7812"/>
    <cellStyle name="표준 7 2 2 4 2 2 2 2 3 2" xfId="15296"/>
    <cellStyle name="표준 7 2 2 4 2 2 2 2 3 2 2" xfId="37763"/>
    <cellStyle name="표준 7 2 2 4 2 2 2 2 3 3" xfId="22780"/>
    <cellStyle name="표준 7 2 2 4 2 2 2 2 3 3 2" xfId="45245"/>
    <cellStyle name="표준 7 2 2 4 2 2 2 2 3 4" xfId="30281"/>
    <cellStyle name="표준 7 2 2 4 2 2 2 2 4" xfId="15293"/>
    <cellStyle name="표준 7 2 2 4 2 2 2 2 4 2" xfId="37760"/>
    <cellStyle name="표준 7 2 2 4 2 2 2 2 5" xfId="22777"/>
    <cellStyle name="표준 7 2 2 4 2 2 2 2 5 2" xfId="45242"/>
    <cellStyle name="표준 7 2 2 4 2 2 2 2 6" xfId="30278"/>
    <cellStyle name="표준 7 2 2 4 2 2 2 3" xfId="7813"/>
    <cellStyle name="표준 7 2 2 4 2 2 2 3 2" xfId="7814"/>
    <cellStyle name="표준 7 2 2 4 2 2 2 3 2 2" xfId="15298"/>
    <cellStyle name="표준 7 2 2 4 2 2 2 3 2 2 2" xfId="37765"/>
    <cellStyle name="표준 7 2 2 4 2 2 2 3 2 3" xfId="22782"/>
    <cellStyle name="표준 7 2 2 4 2 2 2 3 2 3 2" xfId="45247"/>
    <cellStyle name="표준 7 2 2 4 2 2 2 3 2 4" xfId="30283"/>
    <cellStyle name="표준 7 2 2 4 2 2 2 3 3" xfId="15297"/>
    <cellStyle name="표준 7 2 2 4 2 2 2 3 3 2" xfId="37764"/>
    <cellStyle name="표준 7 2 2 4 2 2 2 3 4" xfId="22781"/>
    <cellStyle name="표준 7 2 2 4 2 2 2 3 4 2" xfId="45246"/>
    <cellStyle name="표준 7 2 2 4 2 2 2 3 5" xfId="30282"/>
    <cellStyle name="표준 7 2 2 4 2 2 2 4" xfId="7815"/>
    <cellStyle name="표준 7 2 2 4 2 2 2 4 2" xfId="15299"/>
    <cellStyle name="표준 7 2 2 4 2 2 2 4 2 2" xfId="37766"/>
    <cellStyle name="표준 7 2 2 4 2 2 2 4 3" xfId="22783"/>
    <cellStyle name="표준 7 2 2 4 2 2 2 4 3 2" xfId="45248"/>
    <cellStyle name="표준 7 2 2 4 2 2 2 4 4" xfId="30284"/>
    <cellStyle name="표준 7 2 2 4 2 2 2 5" xfId="15292"/>
    <cellStyle name="표준 7 2 2 4 2 2 2 5 2" xfId="37759"/>
    <cellStyle name="표준 7 2 2 4 2 2 2 6" xfId="22776"/>
    <cellStyle name="표준 7 2 2 4 2 2 2 6 2" xfId="45241"/>
    <cellStyle name="표준 7 2 2 4 2 2 2 7" xfId="30277"/>
    <cellStyle name="표준 7 2 2 4 2 2 3" xfId="7816"/>
    <cellStyle name="표준 7 2 2 4 2 2 3 2" xfId="7817"/>
    <cellStyle name="표준 7 2 2 4 2 2 3 2 2" xfId="7818"/>
    <cellStyle name="표준 7 2 2 4 2 2 3 2 2 2" xfId="15302"/>
    <cellStyle name="표준 7 2 2 4 2 2 3 2 2 2 2" xfId="37769"/>
    <cellStyle name="표준 7 2 2 4 2 2 3 2 2 3" xfId="22786"/>
    <cellStyle name="표준 7 2 2 4 2 2 3 2 2 3 2" xfId="45251"/>
    <cellStyle name="표준 7 2 2 4 2 2 3 2 2 4" xfId="30287"/>
    <cellStyle name="표준 7 2 2 4 2 2 3 2 3" xfId="15301"/>
    <cellStyle name="표준 7 2 2 4 2 2 3 2 3 2" xfId="37768"/>
    <cellStyle name="표준 7 2 2 4 2 2 3 2 4" xfId="22785"/>
    <cellStyle name="표준 7 2 2 4 2 2 3 2 4 2" xfId="45250"/>
    <cellStyle name="표준 7 2 2 4 2 2 3 2 5" xfId="30286"/>
    <cellStyle name="표준 7 2 2 4 2 2 3 3" xfId="7819"/>
    <cellStyle name="표준 7 2 2 4 2 2 3 3 2" xfId="15303"/>
    <cellStyle name="표준 7 2 2 4 2 2 3 3 2 2" xfId="37770"/>
    <cellStyle name="표준 7 2 2 4 2 2 3 3 3" xfId="22787"/>
    <cellStyle name="표준 7 2 2 4 2 2 3 3 3 2" xfId="45252"/>
    <cellStyle name="표준 7 2 2 4 2 2 3 3 4" xfId="30288"/>
    <cellStyle name="표준 7 2 2 4 2 2 3 4" xfId="15300"/>
    <cellStyle name="표준 7 2 2 4 2 2 3 4 2" xfId="37767"/>
    <cellStyle name="표준 7 2 2 4 2 2 3 5" xfId="22784"/>
    <cellStyle name="표준 7 2 2 4 2 2 3 5 2" xfId="45249"/>
    <cellStyle name="표준 7 2 2 4 2 2 3 6" xfId="30285"/>
    <cellStyle name="표준 7 2 2 4 2 2 4" xfId="7820"/>
    <cellStyle name="표준 7 2 2 4 2 2 4 2" xfId="7821"/>
    <cellStyle name="표준 7 2 2 4 2 2 4 2 2" xfId="15305"/>
    <cellStyle name="표준 7 2 2 4 2 2 4 2 2 2" xfId="37772"/>
    <cellStyle name="표준 7 2 2 4 2 2 4 2 3" xfId="22789"/>
    <cellStyle name="표준 7 2 2 4 2 2 4 2 3 2" xfId="45254"/>
    <cellStyle name="표준 7 2 2 4 2 2 4 2 4" xfId="30290"/>
    <cellStyle name="표준 7 2 2 4 2 2 4 3" xfId="15304"/>
    <cellStyle name="표준 7 2 2 4 2 2 4 3 2" xfId="37771"/>
    <cellStyle name="표준 7 2 2 4 2 2 4 4" xfId="22788"/>
    <cellStyle name="표준 7 2 2 4 2 2 4 4 2" xfId="45253"/>
    <cellStyle name="표준 7 2 2 4 2 2 4 5" xfId="30289"/>
    <cellStyle name="표준 7 2 2 4 2 2 5" xfId="7822"/>
    <cellStyle name="표준 7 2 2 4 2 2 5 2" xfId="15306"/>
    <cellStyle name="표준 7 2 2 4 2 2 5 2 2" xfId="37773"/>
    <cellStyle name="표준 7 2 2 4 2 2 5 3" xfId="22790"/>
    <cellStyle name="표준 7 2 2 4 2 2 5 3 2" xfId="45255"/>
    <cellStyle name="표준 7 2 2 4 2 2 5 4" xfId="30291"/>
    <cellStyle name="표준 7 2 2 4 2 2 6" xfId="15291"/>
    <cellStyle name="표준 7 2 2 4 2 2 6 2" xfId="37758"/>
    <cellStyle name="표준 7 2 2 4 2 2 7" xfId="22775"/>
    <cellStyle name="표준 7 2 2 4 2 2 7 2" xfId="45240"/>
    <cellStyle name="표준 7 2 2 4 2 2 8" xfId="30276"/>
    <cellStyle name="표준 7 2 2 4 2 3" xfId="7823"/>
    <cellStyle name="표준 7 2 2 4 2 3 2" xfId="7824"/>
    <cellStyle name="표준 7 2 2 4 2 3 2 2" xfId="7825"/>
    <cellStyle name="표준 7 2 2 4 2 3 2 2 2" xfId="7826"/>
    <cellStyle name="표준 7 2 2 4 2 3 2 2 2 2" xfId="7827"/>
    <cellStyle name="표준 7 2 2 4 2 3 2 2 2 2 2" xfId="15311"/>
    <cellStyle name="표준 7 2 2 4 2 3 2 2 2 2 2 2" xfId="37778"/>
    <cellStyle name="표준 7 2 2 4 2 3 2 2 2 2 3" xfId="22795"/>
    <cellStyle name="표준 7 2 2 4 2 3 2 2 2 2 3 2" xfId="45260"/>
    <cellStyle name="표준 7 2 2 4 2 3 2 2 2 2 4" xfId="30296"/>
    <cellStyle name="표준 7 2 2 4 2 3 2 2 2 3" xfId="15310"/>
    <cellStyle name="표준 7 2 2 4 2 3 2 2 2 3 2" xfId="37777"/>
    <cellStyle name="표준 7 2 2 4 2 3 2 2 2 4" xfId="22794"/>
    <cellStyle name="표준 7 2 2 4 2 3 2 2 2 4 2" xfId="45259"/>
    <cellStyle name="표준 7 2 2 4 2 3 2 2 2 5" xfId="30295"/>
    <cellStyle name="표준 7 2 2 4 2 3 2 2 3" xfId="7828"/>
    <cellStyle name="표준 7 2 2 4 2 3 2 2 3 2" xfId="15312"/>
    <cellStyle name="표준 7 2 2 4 2 3 2 2 3 2 2" xfId="37779"/>
    <cellStyle name="표준 7 2 2 4 2 3 2 2 3 3" xfId="22796"/>
    <cellStyle name="표준 7 2 2 4 2 3 2 2 3 3 2" xfId="45261"/>
    <cellStyle name="표준 7 2 2 4 2 3 2 2 3 4" xfId="30297"/>
    <cellStyle name="표준 7 2 2 4 2 3 2 2 4" xfId="15309"/>
    <cellStyle name="표준 7 2 2 4 2 3 2 2 4 2" xfId="37776"/>
    <cellStyle name="표준 7 2 2 4 2 3 2 2 5" xfId="22793"/>
    <cellStyle name="표준 7 2 2 4 2 3 2 2 5 2" xfId="45258"/>
    <cellStyle name="표준 7 2 2 4 2 3 2 2 6" xfId="30294"/>
    <cellStyle name="표준 7 2 2 4 2 3 2 3" xfId="7829"/>
    <cellStyle name="표준 7 2 2 4 2 3 2 3 2" xfId="7830"/>
    <cellStyle name="표준 7 2 2 4 2 3 2 3 2 2" xfId="15314"/>
    <cellStyle name="표준 7 2 2 4 2 3 2 3 2 2 2" xfId="37781"/>
    <cellStyle name="표준 7 2 2 4 2 3 2 3 2 3" xfId="22798"/>
    <cellStyle name="표준 7 2 2 4 2 3 2 3 2 3 2" xfId="45263"/>
    <cellStyle name="표준 7 2 2 4 2 3 2 3 2 4" xfId="30299"/>
    <cellStyle name="표준 7 2 2 4 2 3 2 3 3" xfId="15313"/>
    <cellStyle name="표준 7 2 2 4 2 3 2 3 3 2" xfId="37780"/>
    <cellStyle name="표준 7 2 2 4 2 3 2 3 4" xfId="22797"/>
    <cellStyle name="표준 7 2 2 4 2 3 2 3 4 2" xfId="45262"/>
    <cellStyle name="표준 7 2 2 4 2 3 2 3 5" xfId="30298"/>
    <cellStyle name="표준 7 2 2 4 2 3 2 4" xfId="7831"/>
    <cellStyle name="표준 7 2 2 4 2 3 2 4 2" xfId="15315"/>
    <cellStyle name="표준 7 2 2 4 2 3 2 4 2 2" xfId="37782"/>
    <cellStyle name="표준 7 2 2 4 2 3 2 4 3" xfId="22799"/>
    <cellStyle name="표준 7 2 2 4 2 3 2 4 3 2" xfId="45264"/>
    <cellStyle name="표준 7 2 2 4 2 3 2 4 4" xfId="30300"/>
    <cellStyle name="표준 7 2 2 4 2 3 2 5" xfId="15308"/>
    <cellStyle name="표준 7 2 2 4 2 3 2 5 2" xfId="37775"/>
    <cellStyle name="표준 7 2 2 4 2 3 2 6" xfId="22792"/>
    <cellStyle name="표준 7 2 2 4 2 3 2 6 2" xfId="45257"/>
    <cellStyle name="표준 7 2 2 4 2 3 2 7" xfId="30293"/>
    <cellStyle name="표준 7 2 2 4 2 3 3" xfId="7832"/>
    <cellStyle name="표준 7 2 2 4 2 3 3 2" xfId="7833"/>
    <cellStyle name="표준 7 2 2 4 2 3 3 2 2" xfId="7834"/>
    <cellStyle name="표준 7 2 2 4 2 3 3 2 2 2" xfId="15318"/>
    <cellStyle name="표준 7 2 2 4 2 3 3 2 2 2 2" xfId="37785"/>
    <cellStyle name="표준 7 2 2 4 2 3 3 2 2 3" xfId="22802"/>
    <cellStyle name="표준 7 2 2 4 2 3 3 2 2 3 2" xfId="45267"/>
    <cellStyle name="표준 7 2 2 4 2 3 3 2 2 4" xfId="30303"/>
    <cellStyle name="표준 7 2 2 4 2 3 3 2 3" xfId="15317"/>
    <cellStyle name="표준 7 2 2 4 2 3 3 2 3 2" xfId="37784"/>
    <cellStyle name="표준 7 2 2 4 2 3 3 2 4" xfId="22801"/>
    <cellStyle name="표준 7 2 2 4 2 3 3 2 4 2" xfId="45266"/>
    <cellStyle name="표준 7 2 2 4 2 3 3 2 5" xfId="30302"/>
    <cellStyle name="표준 7 2 2 4 2 3 3 3" xfId="7835"/>
    <cellStyle name="표준 7 2 2 4 2 3 3 3 2" xfId="15319"/>
    <cellStyle name="표준 7 2 2 4 2 3 3 3 2 2" xfId="37786"/>
    <cellStyle name="표준 7 2 2 4 2 3 3 3 3" xfId="22803"/>
    <cellStyle name="표준 7 2 2 4 2 3 3 3 3 2" xfId="45268"/>
    <cellStyle name="표준 7 2 2 4 2 3 3 3 4" xfId="30304"/>
    <cellStyle name="표준 7 2 2 4 2 3 3 4" xfId="15316"/>
    <cellStyle name="표준 7 2 2 4 2 3 3 4 2" xfId="37783"/>
    <cellStyle name="표준 7 2 2 4 2 3 3 5" xfId="22800"/>
    <cellStyle name="표준 7 2 2 4 2 3 3 5 2" xfId="45265"/>
    <cellStyle name="표준 7 2 2 4 2 3 3 6" xfId="30301"/>
    <cellStyle name="표준 7 2 2 4 2 3 4" xfId="7836"/>
    <cellStyle name="표준 7 2 2 4 2 3 4 2" xfId="7837"/>
    <cellStyle name="표준 7 2 2 4 2 3 4 2 2" xfId="15321"/>
    <cellStyle name="표준 7 2 2 4 2 3 4 2 2 2" xfId="37788"/>
    <cellStyle name="표준 7 2 2 4 2 3 4 2 3" xfId="22805"/>
    <cellStyle name="표준 7 2 2 4 2 3 4 2 3 2" xfId="45270"/>
    <cellStyle name="표준 7 2 2 4 2 3 4 2 4" xfId="30306"/>
    <cellStyle name="표준 7 2 2 4 2 3 4 3" xfId="15320"/>
    <cellStyle name="표준 7 2 2 4 2 3 4 3 2" xfId="37787"/>
    <cellStyle name="표준 7 2 2 4 2 3 4 4" xfId="22804"/>
    <cellStyle name="표준 7 2 2 4 2 3 4 4 2" xfId="45269"/>
    <cellStyle name="표준 7 2 2 4 2 3 4 5" xfId="30305"/>
    <cellStyle name="표준 7 2 2 4 2 3 5" xfId="7838"/>
    <cellStyle name="표준 7 2 2 4 2 3 5 2" xfId="15322"/>
    <cellStyle name="표준 7 2 2 4 2 3 5 2 2" xfId="37789"/>
    <cellStyle name="표준 7 2 2 4 2 3 5 3" xfId="22806"/>
    <cellStyle name="표준 7 2 2 4 2 3 5 3 2" xfId="45271"/>
    <cellStyle name="표준 7 2 2 4 2 3 5 4" xfId="30307"/>
    <cellStyle name="표준 7 2 2 4 2 3 6" xfId="15307"/>
    <cellStyle name="표준 7 2 2 4 2 3 6 2" xfId="37774"/>
    <cellStyle name="표준 7 2 2 4 2 3 7" xfId="22791"/>
    <cellStyle name="표준 7 2 2 4 2 3 7 2" xfId="45256"/>
    <cellStyle name="표준 7 2 2 4 2 3 8" xfId="30292"/>
    <cellStyle name="표준 7 2 2 4 2 4" xfId="7839"/>
    <cellStyle name="표준 7 2 2 4 2 4 2" xfId="7840"/>
    <cellStyle name="표준 7 2 2 4 2 4 2 2" xfId="7841"/>
    <cellStyle name="표준 7 2 2 4 2 4 2 2 2" xfId="7842"/>
    <cellStyle name="표준 7 2 2 4 2 4 2 2 2 2" xfId="15326"/>
    <cellStyle name="표준 7 2 2 4 2 4 2 2 2 2 2" xfId="37793"/>
    <cellStyle name="표준 7 2 2 4 2 4 2 2 2 3" xfId="22810"/>
    <cellStyle name="표준 7 2 2 4 2 4 2 2 2 3 2" xfId="45275"/>
    <cellStyle name="표준 7 2 2 4 2 4 2 2 2 4" xfId="30311"/>
    <cellStyle name="표준 7 2 2 4 2 4 2 2 3" xfId="15325"/>
    <cellStyle name="표준 7 2 2 4 2 4 2 2 3 2" xfId="37792"/>
    <cellStyle name="표준 7 2 2 4 2 4 2 2 4" xfId="22809"/>
    <cellStyle name="표준 7 2 2 4 2 4 2 2 4 2" xfId="45274"/>
    <cellStyle name="표준 7 2 2 4 2 4 2 2 5" xfId="30310"/>
    <cellStyle name="표준 7 2 2 4 2 4 2 3" xfId="7843"/>
    <cellStyle name="표준 7 2 2 4 2 4 2 3 2" xfId="15327"/>
    <cellStyle name="표준 7 2 2 4 2 4 2 3 2 2" xfId="37794"/>
    <cellStyle name="표준 7 2 2 4 2 4 2 3 3" xfId="22811"/>
    <cellStyle name="표준 7 2 2 4 2 4 2 3 3 2" xfId="45276"/>
    <cellStyle name="표준 7 2 2 4 2 4 2 3 4" xfId="30312"/>
    <cellStyle name="표준 7 2 2 4 2 4 2 4" xfId="15324"/>
    <cellStyle name="표준 7 2 2 4 2 4 2 4 2" xfId="37791"/>
    <cellStyle name="표준 7 2 2 4 2 4 2 5" xfId="22808"/>
    <cellStyle name="표준 7 2 2 4 2 4 2 5 2" xfId="45273"/>
    <cellStyle name="표준 7 2 2 4 2 4 2 6" xfId="30309"/>
    <cellStyle name="표준 7 2 2 4 2 4 3" xfId="7844"/>
    <cellStyle name="표준 7 2 2 4 2 4 3 2" xfId="7845"/>
    <cellStyle name="표준 7 2 2 4 2 4 3 2 2" xfId="15329"/>
    <cellStyle name="표준 7 2 2 4 2 4 3 2 2 2" xfId="37796"/>
    <cellStyle name="표준 7 2 2 4 2 4 3 2 3" xfId="22813"/>
    <cellStyle name="표준 7 2 2 4 2 4 3 2 3 2" xfId="45278"/>
    <cellStyle name="표준 7 2 2 4 2 4 3 2 4" xfId="30314"/>
    <cellStyle name="표준 7 2 2 4 2 4 3 3" xfId="15328"/>
    <cellStyle name="표준 7 2 2 4 2 4 3 3 2" xfId="37795"/>
    <cellStyle name="표준 7 2 2 4 2 4 3 4" xfId="22812"/>
    <cellStyle name="표준 7 2 2 4 2 4 3 4 2" xfId="45277"/>
    <cellStyle name="표준 7 2 2 4 2 4 3 5" xfId="30313"/>
    <cellStyle name="표준 7 2 2 4 2 4 4" xfId="7846"/>
    <cellStyle name="표준 7 2 2 4 2 4 4 2" xfId="15330"/>
    <cellStyle name="표준 7 2 2 4 2 4 4 2 2" xfId="37797"/>
    <cellStyle name="표준 7 2 2 4 2 4 4 3" xfId="22814"/>
    <cellStyle name="표준 7 2 2 4 2 4 4 3 2" xfId="45279"/>
    <cellStyle name="표준 7 2 2 4 2 4 4 4" xfId="30315"/>
    <cellStyle name="표준 7 2 2 4 2 4 5" xfId="15323"/>
    <cellStyle name="표준 7 2 2 4 2 4 5 2" xfId="37790"/>
    <cellStyle name="표준 7 2 2 4 2 4 6" xfId="22807"/>
    <cellStyle name="표준 7 2 2 4 2 4 6 2" xfId="45272"/>
    <cellStyle name="표준 7 2 2 4 2 4 7" xfId="30308"/>
    <cellStyle name="표준 7 2 2 4 2 5" xfId="7847"/>
    <cellStyle name="표준 7 2 2 4 2 5 2" xfId="7848"/>
    <cellStyle name="표준 7 2 2 4 2 5 2 2" xfId="7849"/>
    <cellStyle name="표준 7 2 2 4 2 5 2 2 2" xfId="15333"/>
    <cellStyle name="표준 7 2 2 4 2 5 2 2 2 2" xfId="37800"/>
    <cellStyle name="표준 7 2 2 4 2 5 2 2 3" xfId="22817"/>
    <cellStyle name="표준 7 2 2 4 2 5 2 2 3 2" xfId="45282"/>
    <cellStyle name="표준 7 2 2 4 2 5 2 2 4" xfId="30318"/>
    <cellStyle name="표준 7 2 2 4 2 5 2 3" xfId="15332"/>
    <cellStyle name="표준 7 2 2 4 2 5 2 3 2" xfId="37799"/>
    <cellStyle name="표준 7 2 2 4 2 5 2 4" xfId="22816"/>
    <cellStyle name="표준 7 2 2 4 2 5 2 4 2" xfId="45281"/>
    <cellStyle name="표준 7 2 2 4 2 5 2 5" xfId="30317"/>
    <cellStyle name="표준 7 2 2 4 2 5 3" xfId="7850"/>
    <cellStyle name="표준 7 2 2 4 2 5 3 2" xfId="15334"/>
    <cellStyle name="표준 7 2 2 4 2 5 3 2 2" xfId="37801"/>
    <cellStyle name="표준 7 2 2 4 2 5 3 3" xfId="22818"/>
    <cellStyle name="표준 7 2 2 4 2 5 3 3 2" xfId="45283"/>
    <cellStyle name="표준 7 2 2 4 2 5 3 4" xfId="30319"/>
    <cellStyle name="표준 7 2 2 4 2 5 4" xfId="15331"/>
    <cellStyle name="표준 7 2 2 4 2 5 4 2" xfId="37798"/>
    <cellStyle name="표준 7 2 2 4 2 5 5" xfId="22815"/>
    <cellStyle name="표준 7 2 2 4 2 5 5 2" xfId="45280"/>
    <cellStyle name="표준 7 2 2 4 2 5 6" xfId="30316"/>
    <cellStyle name="표준 7 2 2 4 2 6" xfId="7851"/>
    <cellStyle name="표준 7 2 2 4 2 6 2" xfId="7852"/>
    <cellStyle name="표준 7 2 2 4 2 6 2 2" xfId="15336"/>
    <cellStyle name="표준 7 2 2 4 2 6 2 2 2" xfId="37803"/>
    <cellStyle name="표준 7 2 2 4 2 6 2 3" xfId="22820"/>
    <cellStyle name="표준 7 2 2 4 2 6 2 3 2" xfId="45285"/>
    <cellStyle name="표준 7 2 2 4 2 6 2 4" xfId="30321"/>
    <cellStyle name="표준 7 2 2 4 2 6 3" xfId="15335"/>
    <cellStyle name="표준 7 2 2 4 2 6 3 2" xfId="37802"/>
    <cellStyle name="표준 7 2 2 4 2 6 4" xfId="22819"/>
    <cellStyle name="표준 7 2 2 4 2 6 4 2" xfId="45284"/>
    <cellStyle name="표준 7 2 2 4 2 6 5" xfId="30320"/>
    <cellStyle name="표준 7 2 2 4 2 7" xfId="7853"/>
    <cellStyle name="표준 7 2 2 4 2 7 2" xfId="15337"/>
    <cellStyle name="표준 7 2 2 4 2 7 2 2" xfId="37804"/>
    <cellStyle name="표준 7 2 2 4 2 7 3" xfId="22821"/>
    <cellStyle name="표준 7 2 2 4 2 7 3 2" xfId="45286"/>
    <cellStyle name="표준 7 2 2 4 2 7 4" xfId="30322"/>
    <cellStyle name="표준 7 2 2 4 2 8" xfId="15290"/>
    <cellStyle name="표준 7 2 2 4 2 8 2" xfId="37757"/>
    <cellStyle name="표준 7 2 2 4 2 9" xfId="22774"/>
    <cellStyle name="표준 7 2 2 4 2 9 2" xfId="45239"/>
    <cellStyle name="표준 7 2 2 4 3" xfId="7854"/>
    <cellStyle name="표준 7 2 2 4 3 2" xfId="7855"/>
    <cellStyle name="표준 7 2 2 4 3 2 2" xfId="7856"/>
    <cellStyle name="표준 7 2 2 4 3 2 2 2" xfId="7857"/>
    <cellStyle name="표준 7 2 2 4 3 2 2 2 2" xfId="7858"/>
    <cellStyle name="표준 7 2 2 4 3 2 2 2 2 2" xfId="15342"/>
    <cellStyle name="표준 7 2 2 4 3 2 2 2 2 2 2" xfId="37809"/>
    <cellStyle name="표준 7 2 2 4 3 2 2 2 2 3" xfId="22826"/>
    <cellStyle name="표준 7 2 2 4 3 2 2 2 2 3 2" xfId="45291"/>
    <cellStyle name="표준 7 2 2 4 3 2 2 2 2 4" xfId="30327"/>
    <cellStyle name="표준 7 2 2 4 3 2 2 2 3" xfId="15341"/>
    <cellStyle name="표준 7 2 2 4 3 2 2 2 3 2" xfId="37808"/>
    <cellStyle name="표준 7 2 2 4 3 2 2 2 4" xfId="22825"/>
    <cellStyle name="표준 7 2 2 4 3 2 2 2 4 2" xfId="45290"/>
    <cellStyle name="표준 7 2 2 4 3 2 2 2 5" xfId="30326"/>
    <cellStyle name="표준 7 2 2 4 3 2 2 3" xfId="7859"/>
    <cellStyle name="표준 7 2 2 4 3 2 2 3 2" xfId="15343"/>
    <cellStyle name="표준 7 2 2 4 3 2 2 3 2 2" xfId="37810"/>
    <cellStyle name="표준 7 2 2 4 3 2 2 3 3" xfId="22827"/>
    <cellStyle name="표준 7 2 2 4 3 2 2 3 3 2" xfId="45292"/>
    <cellStyle name="표준 7 2 2 4 3 2 2 3 4" xfId="30328"/>
    <cellStyle name="표준 7 2 2 4 3 2 2 4" xfId="15340"/>
    <cellStyle name="표준 7 2 2 4 3 2 2 4 2" xfId="37807"/>
    <cellStyle name="표준 7 2 2 4 3 2 2 5" xfId="22824"/>
    <cellStyle name="표준 7 2 2 4 3 2 2 5 2" xfId="45289"/>
    <cellStyle name="표준 7 2 2 4 3 2 2 6" xfId="30325"/>
    <cellStyle name="표준 7 2 2 4 3 2 3" xfId="7860"/>
    <cellStyle name="표준 7 2 2 4 3 2 3 2" xfId="7861"/>
    <cellStyle name="표준 7 2 2 4 3 2 3 2 2" xfId="15345"/>
    <cellStyle name="표준 7 2 2 4 3 2 3 2 2 2" xfId="37812"/>
    <cellStyle name="표준 7 2 2 4 3 2 3 2 3" xfId="22829"/>
    <cellStyle name="표준 7 2 2 4 3 2 3 2 3 2" xfId="45294"/>
    <cellStyle name="표준 7 2 2 4 3 2 3 2 4" xfId="30330"/>
    <cellStyle name="표준 7 2 2 4 3 2 3 3" xfId="15344"/>
    <cellStyle name="표준 7 2 2 4 3 2 3 3 2" xfId="37811"/>
    <cellStyle name="표준 7 2 2 4 3 2 3 4" xfId="22828"/>
    <cellStyle name="표준 7 2 2 4 3 2 3 4 2" xfId="45293"/>
    <cellStyle name="표준 7 2 2 4 3 2 3 5" xfId="30329"/>
    <cellStyle name="표준 7 2 2 4 3 2 4" xfId="7862"/>
    <cellStyle name="표준 7 2 2 4 3 2 4 2" xfId="15346"/>
    <cellStyle name="표준 7 2 2 4 3 2 4 2 2" xfId="37813"/>
    <cellStyle name="표준 7 2 2 4 3 2 4 3" xfId="22830"/>
    <cellStyle name="표준 7 2 2 4 3 2 4 3 2" xfId="45295"/>
    <cellStyle name="표준 7 2 2 4 3 2 4 4" xfId="30331"/>
    <cellStyle name="표준 7 2 2 4 3 2 5" xfId="15339"/>
    <cellStyle name="표준 7 2 2 4 3 2 5 2" xfId="37806"/>
    <cellStyle name="표준 7 2 2 4 3 2 6" xfId="22823"/>
    <cellStyle name="표준 7 2 2 4 3 2 6 2" xfId="45288"/>
    <cellStyle name="표준 7 2 2 4 3 2 7" xfId="30324"/>
    <cellStyle name="표준 7 2 2 4 3 3" xfId="7863"/>
    <cellStyle name="표준 7 2 2 4 3 3 2" xfId="7864"/>
    <cellStyle name="표준 7 2 2 4 3 3 2 2" xfId="7865"/>
    <cellStyle name="표준 7 2 2 4 3 3 2 2 2" xfId="15349"/>
    <cellStyle name="표준 7 2 2 4 3 3 2 2 2 2" xfId="37816"/>
    <cellStyle name="표준 7 2 2 4 3 3 2 2 3" xfId="22833"/>
    <cellStyle name="표준 7 2 2 4 3 3 2 2 3 2" xfId="45298"/>
    <cellStyle name="표준 7 2 2 4 3 3 2 2 4" xfId="30334"/>
    <cellStyle name="표준 7 2 2 4 3 3 2 3" xfId="15348"/>
    <cellStyle name="표준 7 2 2 4 3 3 2 3 2" xfId="37815"/>
    <cellStyle name="표준 7 2 2 4 3 3 2 4" xfId="22832"/>
    <cellStyle name="표준 7 2 2 4 3 3 2 4 2" xfId="45297"/>
    <cellStyle name="표준 7 2 2 4 3 3 2 5" xfId="30333"/>
    <cellStyle name="표준 7 2 2 4 3 3 3" xfId="7866"/>
    <cellStyle name="표준 7 2 2 4 3 3 3 2" xfId="15350"/>
    <cellStyle name="표준 7 2 2 4 3 3 3 2 2" xfId="37817"/>
    <cellStyle name="표준 7 2 2 4 3 3 3 3" xfId="22834"/>
    <cellStyle name="표준 7 2 2 4 3 3 3 3 2" xfId="45299"/>
    <cellStyle name="표준 7 2 2 4 3 3 3 4" xfId="30335"/>
    <cellStyle name="표준 7 2 2 4 3 3 4" xfId="15347"/>
    <cellStyle name="표준 7 2 2 4 3 3 4 2" xfId="37814"/>
    <cellStyle name="표준 7 2 2 4 3 3 5" xfId="22831"/>
    <cellStyle name="표준 7 2 2 4 3 3 5 2" xfId="45296"/>
    <cellStyle name="표준 7 2 2 4 3 3 6" xfId="30332"/>
    <cellStyle name="표준 7 2 2 4 3 4" xfId="7867"/>
    <cellStyle name="표준 7 2 2 4 3 4 2" xfId="7868"/>
    <cellStyle name="표준 7 2 2 4 3 4 2 2" xfId="15352"/>
    <cellStyle name="표준 7 2 2 4 3 4 2 2 2" xfId="37819"/>
    <cellStyle name="표준 7 2 2 4 3 4 2 3" xfId="22836"/>
    <cellStyle name="표준 7 2 2 4 3 4 2 3 2" xfId="45301"/>
    <cellStyle name="표준 7 2 2 4 3 4 2 4" xfId="30337"/>
    <cellStyle name="표준 7 2 2 4 3 4 3" xfId="15351"/>
    <cellStyle name="표준 7 2 2 4 3 4 3 2" xfId="37818"/>
    <cellStyle name="표준 7 2 2 4 3 4 4" xfId="22835"/>
    <cellStyle name="표준 7 2 2 4 3 4 4 2" xfId="45300"/>
    <cellStyle name="표준 7 2 2 4 3 4 5" xfId="30336"/>
    <cellStyle name="표준 7 2 2 4 3 5" xfId="7869"/>
    <cellStyle name="표준 7 2 2 4 3 5 2" xfId="15353"/>
    <cellStyle name="표준 7 2 2 4 3 5 2 2" xfId="37820"/>
    <cellStyle name="표준 7 2 2 4 3 5 3" xfId="22837"/>
    <cellStyle name="표준 7 2 2 4 3 5 3 2" xfId="45302"/>
    <cellStyle name="표준 7 2 2 4 3 5 4" xfId="30338"/>
    <cellStyle name="표준 7 2 2 4 3 6" xfId="15338"/>
    <cellStyle name="표준 7 2 2 4 3 6 2" xfId="37805"/>
    <cellStyle name="표준 7 2 2 4 3 7" xfId="22822"/>
    <cellStyle name="표준 7 2 2 4 3 7 2" xfId="45287"/>
    <cellStyle name="표준 7 2 2 4 3 8" xfId="30323"/>
    <cellStyle name="표준 7 2 2 4 4" xfId="7870"/>
    <cellStyle name="표준 7 2 2 4 4 2" xfId="7871"/>
    <cellStyle name="표준 7 2 2 4 4 2 2" xfId="7872"/>
    <cellStyle name="표준 7 2 2 4 4 2 2 2" xfId="7873"/>
    <cellStyle name="표준 7 2 2 4 4 2 2 2 2" xfId="7874"/>
    <cellStyle name="표준 7 2 2 4 4 2 2 2 2 2" xfId="15358"/>
    <cellStyle name="표준 7 2 2 4 4 2 2 2 2 2 2" xfId="37825"/>
    <cellStyle name="표준 7 2 2 4 4 2 2 2 2 3" xfId="22842"/>
    <cellStyle name="표준 7 2 2 4 4 2 2 2 2 3 2" xfId="45307"/>
    <cellStyle name="표준 7 2 2 4 4 2 2 2 2 4" xfId="30343"/>
    <cellStyle name="표준 7 2 2 4 4 2 2 2 3" xfId="15357"/>
    <cellStyle name="표준 7 2 2 4 4 2 2 2 3 2" xfId="37824"/>
    <cellStyle name="표준 7 2 2 4 4 2 2 2 4" xfId="22841"/>
    <cellStyle name="표준 7 2 2 4 4 2 2 2 4 2" xfId="45306"/>
    <cellStyle name="표준 7 2 2 4 4 2 2 2 5" xfId="30342"/>
    <cellStyle name="표준 7 2 2 4 4 2 2 3" xfId="7875"/>
    <cellStyle name="표준 7 2 2 4 4 2 2 3 2" xfId="15359"/>
    <cellStyle name="표준 7 2 2 4 4 2 2 3 2 2" xfId="37826"/>
    <cellStyle name="표준 7 2 2 4 4 2 2 3 3" xfId="22843"/>
    <cellStyle name="표준 7 2 2 4 4 2 2 3 3 2" xfId="45308"/>
    <cellStyle name="표준 7 2 2 4 4 2 2 3 4" xfId="30344"/>
    <cellStyle name="표준 7 2 2 4 4 2 2 4" xfId="15356"/>
    <cellStyle name="표준 7 2 2 4 4 2 2 4 2" xfId="37823"/>
    <cellStyle name="표준 7 2 2 4 4 2 2 5" xfId="22840"/>
    <cellStyle name="표준 7 2 2 4 4 2 2 5 2" xfId="45305"/>
    <cellStyle name="표준 7 2 2 4 4 2 2 6" xfId="30341"/>
    <cellStyle name="표준 7 2 2 4 4 2 3" xfId="7876"/>
    <cellStyle name="표준 7 2 2 4 4 2 3 2" xfId="7877"/>
    <cellStyle name="표준 7 2 2 4 4 2 3 2 2" xfId="15361"/>
    <cellStyle name="표준 7 2 2 4 4 2 3 2 2 2" xfId="37828"/>
    <cellStyle name="표준 7 2 2 4 4 2 3 2 3" xfId="22845"/>
    <cellStyle name="표준 7 2 2 4 4 2 3 2 3 2" xfId="45310"/>
    <cellStyle name="표준 7 2 2 4 4 2 3 2 4" xfId="30346"/>
    <cellStyle name="표준 7 2 2 4 4 2 3 3" xfId="15360"/>
    <cellStyle name="표준 7 2 2 4 4 2 3 3 2" xfId="37827"/>
    <cellStyle name="표준 7 2 2 4 4 2 3 4" xfId="22844"/>
    <cellStyle name="표준 7 2 2 4 4 2 3 4 2" xfId="45309"/>
    <cellStyle name="표준 7 2 2 4 4 2 3 5" xfId="30345"/>
    <cellStyle name="표준 7 2 2 4 4 2 4" xfId="7878"/>
    <cellStyle name="표준 7 2 2 4 4 2 4 2" xfId="15362"/>
    <cellStyle name="표준 7 2 2 4 4 2 4 2 2" xfId="37829"/>
    <cellStyle name="표준 7 2 2 4 4 2 4 3" xfId="22846"/>
    <cellStyle name="표준 7 2 2 4 4 2 4 3 2" xfId="45311"/>
    <cellStyle name="표준 7 2 2 4 4 2 4 4" xfId="30347"/>
    <cellStyle name="표준 7 2 2 4 4 2 5" xfId="15355"/>
    <cellStyle name="표준 7 2 2 4 4 2 5 2" xfId="37822"/>
    <cellStyle name="표준 7 2 2 4 4 2 6" xfId="22839"/>
    <cellStyle name="표준 7 2 2 4 4 2 6 2" xfId="45304"/>
    <cellStyle name="표준 7 2 2 4 4 2 7" xfId="30340"/>
    <cellStyle name="표준 7 2 2 4 4 3" xfId="7879"/>
    <cellStyle name="표준 7 2 2 4 4 3 2" xfId="7880"/>
    <cellStyle name="표준 7 2 2 4 4 3 2 2" xfId="7881"/>
    <cellStyle name="표준 7 2 2 4 4 3 2 2 2" xfId="15365"/>
    <cellStyle name="표준 7 2 2 4 4 3 2 2 2 2" xfId="37832"/>
    <cellStyle name="표준 7 2 2 4 4 3 2 2 3" xfId="22849"/>
    <cellStyle name="표준 7 2 2 4 4 3 2 2 3 2" xfId="45314"/>
    <cellStyle name="표준 7 2 2 4 4 3 2 2 4" xfId="30350"/>
    <cellStyle name="표준 7 2 2 4 4 3 2 3" xfId="15364"/>
    <cellStyle name="표준 7 2 2 4 4 3 2 3 2" xfId="37831"/>
    <cellStyle name="표준 7 2 2 4 4 3 2 4" xfId="22848"/>
    <cellStyle name="표준 7 2 2 4 4 3 2 4 2" xfId="45313"/>
    <cellStyle name="표준 7 2 2 4 4 3 2 5" xfId="30349"/>
    <cellStyle name="표준 7 2 2 4 4 3 3" xfId="7882"/>
    <cellStyle name="표준 7 2 2 4 4 3 3 2" xfId="15366"/>
    <cellStyle name="표준 7 2 2 4 4 3 3 2 2" xfId="37833"/>
    <cellStyle name="표준 7 2 2 4 4 3 3 3" xfId="22850"/>
    <cellStyle name="표준 7 2 2 4 4 3 3 3 2" xfId="45315"/>
    <cellStyle name="표준 7 2 2 4 4 3 3 4" xfId="30351"/>
    <cellStyle name="표준 7 2 2 4 4 3 4" xfId="15363"/>
    <cellStyle name="표준 7 2 2 4 4 3 4 2" xfId="37830"/>
    <cellStyle name="표준 7 2 2 4 4 3 5" xfId="22847"/>
    <cellStyle name="표준 7 2 2 4 4 3 5 2" xfId="45312"/>
    <cellStyle name="표준 7 2 2 4 4 3 6" xfId="30348"/>
    <cellStyle name="표준 7 2 2 4 4 4" xfId="7883"/>
    <cellStyle name="표준 7 2 2 4 4 4 2" xfId="7884"/>
    <cellStyle name="표준 7 2 2 4 4 4 2 2" xfId="15368"/>
    <cellStyle name="표준 7 2 2 4 4 4 2 2 2" xfId="37835"/>
    <cellStyle name="표준 7 2 2 4 4 4 2 3" xfId="22852"/>
    <cellStyle name="표준 7 2 2 4 4 4 2 3 2" xfId="45317"/>
    <cellStyle name="표준 7 2 2 4 4 4 2 4" xfId="30353"/>
    <cellStyle name="표준 7 2 2 4 4 4 3" xfId="15367"/>
    <cellStyle name="표준 7 2 2 4 4 4 3 2" xfId="37834"/>
    <cellStyle name="표준 7 2 2 4 4 4 4" xfId="22851"/>
    <cellStyle name="표준 7 2 2 4 4 4 4 2" xfId="45316"/>
    <cellStyle name="표준 7 2 2 4 4 4 5" xfId="30352"/>
    <cellStyle name="표준 7 2 2 4 4 5" xfId="7885"/>
    <cellStyle name="표준 7 2 2 4 4 5 2" xfId="15369"/>
    <cellStyle name="표준 7 2 2 4 4 5 2 2" xfId="37836"/>
    <cellStyle name="표준 7 2 2 4 4 5 3" xfId="22853"/>
    <cellStyle name="표준 7 2 2 4 4 5 3 2" xfId="45318"/>
    <cellStyle name="표준 7 2 2 4 4 5 4" xfId="30354"/>
    <cellStyle name="표준 7 2 2 4 4 6" xfId="15354"/>
    <cellStyle name="표준 7 2 2 4 4 6 2" xfId="37821"/>
    <cellStyle name="표준 7 2 2 4 4 7" xfId="22838"/>
    <cellStyle name="표준 7 2 2 4 4 7 2" xfId="45303"/>
    <cellStyle name="표준 7 2 2 4 4 8" xfId="30339"/>
    <cellStyle name="표준 7 2 2 4 5" xfId="7886"/>
    <cellStyle name="표준 7 2 2 4 5 2" xfId="7887"/>
    <cellStyle name="표준 7 2 2 4 5 2 2" xfId="7888"/>
    <cellStyle name="표준 7 2 2 4 5 2 2 2" xfId="7889"/>
    <cellStyle name="표준 7 2 2 4 5 2 2 2 2" xfId="15373"/>
    <cellStyle name="표준 7 2 2 4 5 2 2 2 2 2" xfId="37840"/>
    <cellStyle name="표준 7 2 2 4 5 2 2 2 3" xfId="22857"/>
    <cellStyle name="표준 7 2 2 4 5 2 2 2 3 2" xfId="45322"/>
    <cellStyle name="표준 7 2 2 4 5 2 2 2 4" xfId="30358"/>
    <cellStyle name="표준 7 2 2 4 5 2 2 3" xfId="15372"/>
    <cellStyle name="표준 7 2 2 4 5 2 2 3 2" xfId="37839"/>
    <cellStyle name="표준 7 2 2 4 5 2 2 4" xfId="22856"/>
    <cellStyle name="표준 7 2 2 4 5 2 2 4 2" xfId="45321"/>
    <cellStyle name="표준 7 2 2 4 5 2 2 5" xfId="30357"/>
    <cellStyle name="표준 7 2 2 4 5 2 3" xfId="7890"/>
    <cellStyle name="표준 7 2 2 4 5 2 3 2" xfId="15374"/>
    <cellStyle name="표준 7 2 2 4 5 2 3 2 2" xfId="37841"/>
    <cellStyle name="표준 7 2 2 4 5 2 3 3" xfId="22858"/>
    <cellStyle name="표준 7 2 2 4 5 2 3 3 2" xfId="45323"/>
    <cellStyle name="표준 7 2 2 4 5 2 3 4" xfId="30359"/>
    <cellStyle name="표준 7 2 2 4 5 2 4" xfId="15371"/>
    <cellStyle name="표준 7 2 2 4 5 2 4 2" xfId="37838"/>
    <cellStyle name="표준 7 2 2 4 5 2 5" xfId="22855"/>
    <cellStyle name="표준 7 2 2 4 5 2 5 2" xfId="45320"/>
    <cellStyle name="표준 7 2 2 4 5 2 6" xfId="30356"/>
    <cellStyle name="표준 7 2 2 4 5 3" xfId="7891"/>
    <cellStyle name="표준 7 2 2 4 5 3 2" xfId="7892"/>
    <cellStyle name="표준 7 2 2 4 5 3 2 2" xfId="15376"/>
    <cellStyle name="표준 7 2 2 4 5 3 2 2 2" xfId="37843"/>
    <cellStyle name="표준 7 2 2 4 5 3 2 3" xfId="22860"/>
    <cellStyle name="표준 7 2 2 4 5 3 2 3 2" xfId="45325"/>
    <cellStyle name="표준 7 2 2 4 5 3 2 4" xfId="30361"/>
    <cellStyle name="표준 7 2 2 4 5 3 3" xfId="15375"/>
    <cellStyle name="표준 7 2 2 4 5 3 3 2" xfId="37842"/>
    <cellStyle name="표준 7 2 2 4 5 3 4" xfId="22859"/>
    <cellStyle name="표준 7 2 2 4 5 3 4 2" xfId="45324"/>
    <cellStyle name="표준 7 2 2 4 5 3 5" xfId="30360"/>
    <cellStyle name="표준 7 2 2 4 5 4" xfId="7893"/>
    <cellStyle name="표준 7 2 2 4 5 4 2" xfId="15377"/>
    <cellStyle name="표준 7 2 2 4 5 4 2 2" xfId="37844"/>
    <cellStyle name="표준 7 2 2 4 5 4 3" xfId="22861"/>
    <cellStyle name="표준 7 2 2 4 5 4 3 2" xfId="45326"/>
    <cellStyle name="표준 7 2 2 4 5 4 4" xfId="30362"/>
    <cellStyle name="표준 7 2 2 4 5 5" xfId="15370"/>
    <cellStyle name="표준 7 2 2 4 5 5 2" xfId="37837"/>
    <cellStyle name="표준 7 2 2 4 5 6" xfId="22854"/>
    <cellStyle name="표준 7 2 2 4 5 6 2" xfId="45319"/>
    <cellStyle name="표준 7 2 2 4 5 7" xfId="30355"/>
    <cellStyle name="표준 7 2 2 4 6" xfId="7894"/>
    <cellStyle name="표준 7 2 2 4 6 2" xfId="7895"/>
    <cellStyle name="표준 7 2 2 4 6 2 2" xfId="7896"/>
    <cellStyle name="표준 7 2 2 4 6 2 2 2" xfId="15380"/>
    <cellStyle name="표준 7 2 2 4 6 2 2 2 2" xfId="37847"/>
    <cellStyle name="표준 7 2 2 4 6 2 2 3" xfId="22864"/>
    <cellStyle name="표준 7 2 2 4 6 2 2 3 2" xfId="45329"/>
    <cellStyle name="표준 7 2 2 4 6 2 2 4" xfId="30365"/>
    <cellStyle name="표준 7 2 2 4 6 2 3" xfId="15379"/>
    <cellStyle name="표준 7 2 2 4 6 2 3 2" xfId="37846"/>
    <cellStyle name="표준 7 2 2 4 6 2 4" xfId="22863"/>
    <cellStyle name="표준 7 2 2 4 6 2 4 2" xfId="45328"/>
    <cellStyle name="표준 7 2 2 4 6 2 5" xfId="30364"/>
    <cellStyle name="표준 7 2 2 4 6 3" xfId="7897"/>
    <cellStyle name="표준 7 2 2 4 6 3 2" xfId="15381"/>
    <cellStyle name="표준 7 2 2 4 6 3 2 2" xfId="37848"/>
    <cellStyle name="표준 7 2 2 4 6 3 3" xfId="22865"/>
    <cellStyle name="표준 7 2 2 4 6 3 3 2" xfId="45330"/>
    <cellStyle name="표준 7 2 2 4 6 3 4" xfId="30366"/>
    <cellStyle name="표준 7 2 2 4 6 4" xfId="15378"/>
    <cellStyle name="표준 7 2 2 4 6 4 2" xfId="37845"/>
    <cellStyle name="표준 7 2 2 4 6 5" xfId="22862"/>
    <cellStyle name="표준 7 2 2 4 6 5 2" xfId="45327"/>
    <cellStyle name="표준 7 2 2 4 6 6" xfId="30363"/>
    <cellStyle name="표준 7 2 2 4 7" xfId="7898"/>
    <cellStyle name="표준 7 2 2 4 7 2" xfId="7899"/>
    <cellStyle name="표준 7 2 2 4 7 2 2" xfId="15383"/>
    <cellStyle name="표준 7 2 2 4 7 2 2 2" xfId="37850"/>
    <cellStyle name="표준 7 2 2 4 7 2 3" xfId="22867"/>
    <cellStyle name="표준 7 2 2 4 7 2 3 2" xfId="45332"/>
    <cellStyle name="표준 7 2 2 4 7 2 4" xfId="30368"/>
    <cellStyle name="표준 7 2 2 4 7 3" xfId="15382"/>
    <cellStyle name="표준 7 2 2 4 7 3 2" xfId="37849"/>
    <cellStyle name="표준 7 2 2 4 7 4" xfId="22866"/>
    <cellStyle name="표준 7 2 2 4 7 4 2" xfId="45331"/>
    <cellStyle name="표준 7 2 2 4 7 5" xfId="30367"/>
    <cellStyle name="표준 7 2 2 4 8" xfId="7900"/>
    <cellStyle name="표준 7 2 2 4 8 2" xfId="15384"/>
    <cellStyle name="표준 7 2 2 4 8 2 2" xfId="37851"/>
    <cellStyle name="표준 7 2 2 4 8 3" xfId="22868"/>
    <cellStyle name="표준 7 2 2 4 8 3 2" xfId="45333"/>
    <cellStyle name="표준 7 2 2 4 8 4" xfId="30369"/>
    <cellStyle name="표준 7 2 2 4 9" xfId="15289"/>
    <cellStyle name="표준 7 2 2 4 9 2" xfId="37756"/>
    <cellStyle name="표준 7 2 2 5" xfId="7901"/>
    <cellStyle name="표준 7 2 2 5 10" xfId="30370"/>
    <cellStyle name="표준 7 2 2 5 2" xfId="7902"/>
    <cellStyle name="표준 7 2 2 5 2 2" xfId="7903"/>
    <cellStyle name="표준 7 2 2 5 2 2 2" xfId="7904"/>
    <cellStyle name="표준 7 2 2 5 2 2 2 2" xfId="7905"/>
    <cellStyle name="표준 7 2 2 5 2 2 2 2 2" xfId="7906"/>
    <cellStyle name="표준 7 2 2 5 2 2 2 2 2 2" xfId="15390"/>
    <cellStyle name="표준 7 2 2 5 2 2 2 2 2 2 2" xfId="37857"/>
    <cellStyle name="표준 7 2 2 5 2 2 2 2 2 3" xfId="22874"/>
    <cellStyle name="표준 7 2 2 5 2 2 2 2 2 3 2" xfId="45339"/>
    <cellStyle name="표준 7 2 2 5 2 2 2 2 2 4" xfId="30375"/>
    <cellStyle name="표준 7 2 2 5 2 2 2 2 3" xfId="15389"/>
    <cellStyle name="표준 7 2 2 5 2 2 2 2 3 2" xfId="37856"/>
    <cellStyle name="표준 7 2 2 5 2 2 2 2 4" xfId="22873"/>
    <cellStyle name="표준 7 2 2 5 2 2 2 2 4 2" xfId="45338"/>
    <cellStyle name="표준 7 2 2 5 2 2 2 2 5" xfId="30374"/>
    <cellStyle name="표준 7 2 2 5 2 2 2 3" xfId="7907"/>
    <cellStyle name="표준 7 2 2 5 2 2 2 3 2" xfId="15391"/>
    <cellStyle name="표준 7 2 2 5 2 2 2 3 2 2" xfId="37858"/>
    <cellStyle name="표준 7 2 2 5 2 2 2 3 3" xfId="22875"/>
    <cellStyle name="표준 7 2 2 5 2 2 2 3 3 2" xfId="45340"/>
    <cellStyle name="표준 7 2 2 5 2 2 2 3 4" xfId="30376"/>
    <cellStyle name="표준 7 2 2 5 2 2 2 4" xfId="15388"/>
    <cellStyle name="표준 7 2 2 5 2 2 2 4 2" xfId="37855"/>
    <cellStyle name="표준 7 2 2 5 2 2 2 5" xfId="22872"/>
    <cellStyle name="표준 7 2 2 5 2 2 2 5 2" xfId="45337"/>
    <cellStyle name="표준 7 2 2 5 2 2 2 6" xfId="30373"/>
    <cellStyle name="표준 7 2 2 5 2 2 3" xfId="7908"/>
    <cellStyle name="표준 7 2 2 5 2 2 3 2" xfId="7909"/>
    <cellStyle name="표준 7 2 2 5 2 2 3 2 2" xfId="15393"/>
    <cellStyle name="표준 7 2 2 5 2 2 3 2 2 2" xfId="37860"/>
    <cellStyle name="표준 7 2 2 5 2 2 3 2 3" xfId="22877"/>
    <cellStyle name="표준 7 2 2 5 2 2 3 2 3 2" xfId="45342"/>
    <cellStyle name="표준 7 2 2 5 2 2 3 2 4" xfId="30378"/>
    <cellStyle name="표준 7 2 2 5 2 2 3 3" xfId="15392"/>
    <cellStyle name="표준 7 2 2 5 2 2 3 3 2" xfId="37859"/>
    <cellStyle name="표준 7 2 2 5 2 2 3 4" xfId="22876"/>
    <cellStyle name="표준 7 2 2 5 2 2 3 4 2" xfId="45341"/>
    <cellStyle name="표준 7 2 2 5 2 2 3 5" xfId="30377"/>
    <cellStyle name="표준 7 2 2 5 2 2 4" xfId="7910"/>
    <cellStyle name="표준 7 2 2 5 2 2 4 2" xfId="15394"/>
    <cellStyle name="표준 7 2 2 5 2 2 4 2 2" xfId="37861"/>
    <cellStyle name="표준 7 2 2 5 2 2 4 3" xfId="22878"/>
    <cellStyle name="표준 7 2 2 5 2 2 4 3 2" xfId="45343"/>
    <cellStyle name="표준 7 2 2 5 2 2 4 4" xfId="30379"/>
    <cellStyle name="표준 7 2 2 5 2 2 5" xfId="15387"/>
    <cellStyle name="표준 7 2 2 5 2 2 5 2" xfId="37854"/>
    <cellStyle name="표준 7 2 2 5 2 2 6" xfId="22871"/>
    <cellStyle name="표준 7 2 2 5 2 2 6 2" xfId="45336"/>
    <cellStyle name="표준 7 2 2 5 2 2 7" xfId="30372"/>
    <cellStyle name="표준 7 2 2 5 2 3" xfId="7911"/>
    <cellStyle name="표준 7 2 2 5 2 3 2" xfId="7912"/>
    <cellStyle name="표준 7 2 2 5 2 3 2 2" xfId="7913"/>
    <cellStyle name="표준 7 2 2 5 2 3 2 2 2" xfId="15397"/>
    <cellStyle name="표준 7 2 2 5 2 3 2 2 2 2" xfId="37864"/>
    <cellStyle name="표준 7 2 2 5 2 3 2 2 3" xfId="22881"/>
    <cellStyle name="표준 7 2 2 5 2 3 2 2 3 2" xfId="45346"/>
    <cellStyle name="표준 7 2 2 5 2 3 2 2 4" xfId="30382"/>
    <cellStyle name="표준 7 2 2 5 2 3 2 3" xfId="15396"/>
    <cellStyle name="표준 7 2 2 5 2 3 2 3 2" xfId="37863"/>
    <cellStyle name="표준 7 2 2 5 2 3 2 4" xfId="22880"/>
    <cellStyle name="표준 7 2 2 5 2 3 2 4 2" xfId="45345"/>
    <cellStyle name="표준 7 2 2 5 2 3 2 5" xfId="30381"/>
    <cellStyle name="표준 7 2 2 5 2 3 3" xfId="7914"/>
    <cellStyle name="표준 7 2 2 5 2 3 3 2" xfId="15398"/>
    <cellStyle name="표준 7 2 2 5 2 3 3 2 2" xfId="37865"/>
    <cellStyle name="표준 7 2 2 5 2 3 3 3" xfId="22882"/>
    <cellStyle name="표준 7 2 2 5 2 3 3 3 2" xfId="45347"/>
    <cellStyle name="표준 7 2 2 5 2 3 3 4" xfId="30383"/>
    <cellStyle name="표준 7 2 2 5 2 3 4" xfId="15395"/>
    <cellStyle name="표준 7 2 2 5 2 3 4 2" xfId="37862"/>
    <cellStyle name="표준 7 2 2 5 2 3 5" xfId="22879"/>
    <cellStyle name="표준 7 2 2 5 2 3 5 2" xfId="45344"/>
    <cellStyle name="표준 7 2 2 5 2 3 6" xfId="30380"/>
    <cellStyle name="표준 7 2 2 5 2 4" xfId="7915"/>
    <cellStyle name="표준 7 2 2 5 2 4 2" xfId="7916"/>
    <cellStyle name="표준 7 2 2 5 2 4 2 2" xfId="15400"/>
    <cellStyle name="표준 7 2 2 5 2 4 2 2 2" xfId="37867"/>
    <cellStyle name="표준 7 2 2 5 2 4 2 3" xfId="22884"/>
    <cellStyle name="표준 7 2 2 5 2 4 2 3 2" xfId="45349"/>
    <cellStyle name="표준 7 2 2 5 2 4 2 4" xfId="30385"/>
    <cellStyle name="표준 7 2 2 5 2 4 3" xfId="15399"/>
    <cellStyle name="표준 7 2 2 5 2 4 3 2" xfId="37866"/>
    <cellStyle name="표준 7 2 2 5 2 4 4" xfId="22883"/>
    <cellStyle name="표준 7 2 2 5 2 4 4 2" xfId="45348"/>
    <cellStyle name="표준 7 2 2 5 2 4 5" xfId="30384"/>
    <cellStyle name="표준 7 2 2 5 2 5" xfId="7917"/>
    <cellStyle name="표준 7 2 2 5 2 5 2" xfId="15401"/>
    <cellStyle name="표준 7 2 2 5 2 5 2 2" xfId="37868"/>
    <cellStyle name="표준 7 2 2 5 2 5 3" xfId="22885"/>
    <cellStyle name="표준 7 2 2 5 2 5 3 2" xfId="45350"/>
    <cellStyle name="표준 7 2 2 5 2 5 4" xfId="30386"/>
    <cellStyle name="표준 7 2 2 5 2 6" xfId="15386"/>
    <cellStyle name="표준 7 2 2 5 2 6 2" xfId="37853"/>
    <cellStyle name="표준 7 2 2 5 2 7" xfId="22870"/>
    <cellStyle name="표준 7 2 2 5 2 7 2" xfId="45335"/>
    <cellStyle name="표준 7 2 2 5 2 8" xfId="30371"/>
    <cellStyle name="표준 7 2 2 5 3" xfId="7918"/>
    <cellStyle name="표준 7 2 2 5 3 2" xfId="7919"/>
    <cellStyle name="표준 7 2 2 5 3 2 2" xfId="7920"/>
    <cellStyle name="표준 7 2 2 5 3 2 2 2" xfId="7921"/>
    <cellStyle name="표준 7 2 2 5 3 2 2 2 2" xfId="7922"/>
    <cellStyle name="표준 7 2 2 5 3 2 2 2 2 2" xfId="15406"/>
    <cellStyle name="표준 7 2 2 5 3 2 2 2 2 2 2" xfId="37873"/>
    <cellStyle name="표준 7 2 2 5 3 2 2 2 2 3" xfId="22890"/>
    <cellStyle name="표준 7 2 2 5 3 2 2 2 2 3 2" xfId="45355"/>
    <cellStyle name="표준 7 2 2 5 3 2 2 2 2 4" xfId="30391"/>
    <cellStyle name="표준 7 2 2 5 3 2 2 2 3" xfId="15405"/>
    <cellStyle name="표준 7 2 2 5 3 2 2 2 3 2" xfId="37872"/>
    <cellStyle name="표준 7 2 2 5 3 2 2 2 4" xfId="22889"/>
    <cellStyle name="표준 7 2 2 5 3 2 2 2 4 2" xfId="45354"/>
    <cellStyle name="표준 7 2 2 5 3 2 2 2 5" xfId="30390"/>
    <cellStyle name="표준 7 2 2 5 3 2 2 3" xfId="7923"/>
    <cellStyle name="표준 7 2 2 5 3 2 2 3 2" xfId="15407"/>
    <cellStyle name="표준 7 2 2 5 3 2 2 3 2 2" xfId="37874"/>
    <cellStyle name="표준 7 2 2 5 3 2 2 3 3" xfId="22891"/>
    <cellStyle name="표준 7 2 2 5 3 2 2 3 3 2" xfId="45356"/>
    <cellStyle name="표준 7 2 2 5 3 2 2 3 4" xfId="30392"/>
    <cellStyle name="표준 7 2 2 5 3 2 2 4" xfId="15404"/>
    <cellStyle name="표준 7 2 2 5 3 2 2 4 2" xfId="37871"/>
    <cellStyle name="표준 7 2 2 5 3 2 2 5" xfId="22888"/>
    <cellStyle name="표준 7 2 2 5 3 2 2 5 2" xfId="45353"/>
    <cellStyle name="표준 7 2 2 5 3 2 2 6" xfId="30389"/>
    <cellStyle name="표준 7 2 2 5 3 2 3" xfId="7924"/>
    <cellStyle name="표준 7 2 2 5 3 2 3 2" xfId="7925"/>
    <cellStyle name="표준 7 2 2 5 3 2 3 2 2" xfId="15409"/>
    <cellStyle name="표준 7 2 2 5 3 2 3 2 2 2" xfId="37876"/>
    <cellStyle name="표준 7 2 2 5 3 2 3 2 3" xfId="22893"/>
    <cellStyle name="표준 7 2 2 5 3 2 3 2 3 2" xfId="45358"/>
    <cellStyle name="표준 7 2 2 5 3 2 3 2 4" xfId="30394"/>
    <cellStyle name="표준 7 2 2 5 3 2 3 3" xfId="15408"/>
    <cellStyle name="표준 7 2 2 5 3 2 3 3 2" xfId="37875"/>
    <cellStyle name="표준 7 2 2 5 3 2 3 4" xfId="22892"/>
    <cellStyle name="표준 7 2 2 5 3 2 3 4 2" xfId="45357"/>
    <cellStyle name="표준 7 2 2 5 3 2 3 5" xfId="30393"/>
    <cellStyle name="표준 7 2 2 5 3 2 4" xfId="7926"/>
    <cellStyle name="표준 7 2 2 5 3 2 4 2" xfId="15410"/>
    <cellStyle name="표준 7 2 2 5 3 2 4 2 2" xfId="37877"/>
    <cellStyle name="표준 7 2 2 5 3 2 4 3" xfId="22894"/>
    <cellStyle name="표준 7 2 2 5 3 2 4 3 2" xfId="45359"/>
    <cellStyle name="표준 7 2 2 5 3 2 4 4" xfId="30395"/>
    <cellStyle name="표준 7 2 2 5 3 2 5" xfId="15403"/>
    <cellStyle name="표준 7 2 2 5 3 2 5 2" xfId="37870"/>
    <cellStyle name="표준 7 2 2 5 3 2 6" xfId="22887"/>
    <cellStyle name="표준 7 2 2 5 3 2 6 2" xfId="45352"/>
    <cellStyle name="표준 7 2 2 5 3 2 7" xfId="30388"/>
    <cellStyle name="표준 7 2 2 5 3 3" xfId="7927"/>
    <cellStyle name="표준 7 2 2 5 3 3 2" xfId="7928"/>
    <cellStyle name="표준 7 2 2 5 3 3 2 2" xfId="7929"/>
    <cellStyle name="표준 7 2 2 5 3 3 2 2 2" xfId="15413"/>
    <cellStyle name="표준 7 2 2 5 3 3 2 2 2 2" xfId="37880"/>
    <cellStyle name="표준 7 2 2 5 3 3 2 2 3" xfId="22897"/>
    <cellStyle name="표준 7 2 2 5 3 3 2 2 3 2" xfId="45362"/>
    <cellStyle name="표준 7 2 2 5 3 3 2 2 4" xfId="30398"/>
    <cellStyle name="표준 7 2 2 5 3 3 2 3" xfId="15412"/>
    <cellStyle name="표준 7 2 2 5 3 3 2 3 2" xfId="37879"/>
    <cellStyle name="표준 7 2 2 5 3 3 2 4" xfId="22896"/>
    <cellStyle name="표준 7 2 2 5 3 3 2 4 2" xfId="45361"/>
    <cellStyle name="표준 7 2 2 5 3 3 2 5" xfId="30397"/>
    <cellStyle name="표준 7 2 2 5 3 3 3" xfId="7930"/>
    <cellStyle name="표준 7 2 2 5 3 3 3 2" xfId="15414"/>
    <cellStyle name="표준 7 2 2 5 3 3 3 2 2" xfId="37881"/>
    <cellStyle name="표준 7 2 2 5 3 3 3 3" xfId="22898"/>
    <cellStyle name="표준 7 2 2 5 3 3 3 3 2" xfId="45363"/>
    <cellStyle name="표준 7 2 2 5 3 3 3 4" xfId="30399"/>
    <cellStyle name="표준 7 2 2 5 3 3 4" xfId="15411"/>
    <cellStyle name="표준 7 2 2 5 3 3 4 2" xfId="37878"/>
    <cellStyle name="표준 7 2 2 5 3 3 5" xfId="22895"/>
    <cellStyle name="표준 7 2 2 5 3 3 5 2" xfId="45360"/>
    <cellStyle name="표준 7 2 2 5 3 3 6" xfId="30396"/>
    <cellStyle name="표준 7 2 2 5 3 4" xfId="7931"/>
    <cellStyle name="표준 7 2 2 5 3 4 2" xfId="7932"/>
    <cellStyle name="표준 7 2 2 5 3 4 2 2" xfId="15416"/>
    <cellStyle name="표준 7 2 2 5 3 4 2 2 2" xfId="37883"/>
    <cellStyle name="표준 7 2 2 5 3 4 2 3" xfId="22900"/>
    <cellStyle name="표준 7 2 2 5 3 4 2 3 2" xfId="45365"/>
    <cellStyle name="표준 7 2 2 5 3 4 2 4" xfId="30401"/>
    <cellStyle name="표준 7 2 2 5 3 4 3" xfId="15415"/>
    <cellStyle name="표준 7 2 2 5 3 4 3 2" xfId="37882"/>
    <cellStyle name="표준 7 2 2 5 3 4 4" xfId="22899"/>
    <cellStyle name="표준 7 2 2 5 3 4 4 2" xfId="45364"/>
    <cellStyle name="표준 7 2 2 5 3 4 5" xfId="30400"/>
    <cellStyle name="표준 7 2 2 5 3 5" xfId="7933"/>
    <cellStyle name="표준 7 2 2 5 3 5 2" xfId="15417"/>
    <cellStyle name="표준 7 2 2 5 3 5 2 2" xfId="37884"/>
    <cellStyle name="표준 7 2 2 5 3 5 3" xfId="22901"/>
    <cellStyle name="표준 7 2 2 5 3 5 3 2" xfId="45366"/>
    <cellStyle name="표준 7 2 2 5 3 5 4" xfId="30402"/>
    <cellStyle name="표준 7 2 2 5 3 6" xfId="15402"/>
    <cellStyle name="표준 7 2 2 5 3 6 2" xfId="37869"/>
    <cellStyle name="표준 7 2 2 5 3 7" xfId="22886"/>
    <cellStyle name="표준 7 2 2 5 3 7 2" xfId="45351"/>
    <cellStyle name="표준 7 2 2 5 3 8" xfId="30387"/>
    <cellStyle name="표준 7 2 2 5 4" xfId="7934"/>
    <cellStyle name="표준 7 2 2 5 4 2" xfId="7935"/>
    <cellStyle name="표준 7 2 2 5 4 2 2" xfId="7936"/>
    <cellStyle name="표준 7 2 2 5 4 2 2 2" xfId="7937"/>
    <cellStyle name="표준 7 2 2 5 4 2 2 2 2" xfId="15421"/>
    <cellStyle name="표준 7 2 2 5 4 2 2 2 2 2" xfId="37888"/>
    <cellStyle name="표준 7 2 2 5 4 2 2 2 3" xfId="22905"/>
    <cellStyle name="표준 7 2 2 5 4 2 2 2 3 2" xfId="45370"/>
    <cellStyle name="표준 7 2 2 5 4 2 2 2 4" xfId="30406"/>
    <cellStyle name="표준 7 2 2 5 4 2 2 3" xfId="15420"/>
    <cellStyle name="표준 7 2 2 5 4 2 2 3 2" xfId="37887"/>
    <cellStyle name="표준 7 2 2 5 4 2 2 4" xfId="22904"/>
    <cellStyle name="표준 7 2 2 5 4 2 2 4 2" xfId="45369"/>
    <cellStyle name="표준 7 2 2 5 4 2 2 5" xfId="30405"/>
    <cellStyle name="표준 7 2 2 5 4 2 3" xfId="7938"/>
    <cellStyle name="표준 7 2 2 5 4 2 3 2" xfId="15422"/>
    <cellStyle name="표준 7 2 2 5 4 2 3 2 2" xfId="37889"/>
    <cellStyle name="표준 7 2 2 5 4 2 3 3" xfId="22906"/>
    <cellStyle name="표준 7 2 2 5 4 2 3 3 2" xfId="45371"/>
    <cellStyle name="표준 7 2 2 5 4 2 3 4" xfId="30407"/>
    <cellStyle name="표준 7 2 2 5 4 2 4" xfId="15419"/>
    <cellStyle name="표준 7 2 2 5 4 2 4 2" xfId="37886"/>
    <cellStyle name="표준 7 2 2 5 4 2 5" xfId="22903"/>
    <cellStyle name="표준 7 2 2 5 4 2 5 2" xfId="45368"/>
    <cellStyle name="표준 7 2 2 5 4 2 6" xfId="30404"/>
    <cellStyle name="표준 7 2 2 5 4 3" xfId="7939"/>
    <cellStyle name="표준 7 2 2 5 4 3 2" xfId="7940"/>
    <cellStyle name="표준 7 2 2 5 4 3 2 2" xfId="15424"/>
    <cellStyle name="표준 7 2 2 5 4 3 2 2 2" xfId="37891"/>
    <cellStyle name="표준 7 2 2 5 4 3 2 3" xfId="22908"/>
    <cellStyle name="표준 7 2 2 5 4 3 2 3 2" xfId="45373"/>
    <cellStyle name="표준 7 2 2 5 4 3 2 4" xfId="30409"/>
    <cellStyle name="표준 7 2 2 5 4 3 3" xfId="15423"/>
    <cellStyle name="표준 7 2 2 5 4 3 3 2" xfId="37890"/>
    <cellStyle name="표준 7 2 2 5 4 3 4" xfId="22907"/>
    <cellStyle name="표준 7 2 2 5 4 3 4 2" xfId="45372"/>
    <cellStyle name="표준 7 2 2 5 4 3 5" xfId="30408"/>
    <cellStyle name="표준 7 2 2 5 4 4" xfId="7941"/>
    <cellStyle name="표준 7 2 2 5 4 4 2" xfId="15425"/>
    <cellStyle name="표준 7 2 2 5 4 4 2 2" xfId="37892"/>
    <cellStyle name="표준 7 2 2 5 4 4 3" xfId="22909"/>
    <cellStyle name="표준 7 2 2 5 4 4 3 2" xfId="45374"/>
    <cellStyle name="표준 7 2 2 5 4 4 4" xfId="30410"/>
    <cellStyle name="표준 7 2 2 5 4 5" xfId="15418"/>
    <cellStyle name="표준 7 2 2 5 4 5 2" xfId="37885"/>
    <cellStyle name="표준 7 2 2 5 4 6" xfId="22902"/>
    <cellStyle name="표준 7 2 2 5 4 6 2" xfId="45367"/>
    <cellStyle name="표준 7 2 2 5 4 7" xfId="30403"/>
    <cellStyle name="표준 7 2 2 5 5" xfId="7942"/>
    <cellStyle name="표준 7 2 2 5 5 2" xfId="7943"/>
    <cellStyle name="표준 7 2 2 5 5 2 2" xfId="7944"/>
    <cellStyle name="표준 7 2 2 5 5 2 2 2" xfId="15428"/>
    <cellStyle name="표준 7 2 2 5 5 2 2 2 2" xfId="37895"/>
    <cellStyle name="표준 7 2 2 5 5 2 2 3" xfId="22912"/>
    <cellStyle name="표준 7 2 2 5 5 2 2 3 2" xfId="45377"/>
    <cellStyle name="표준 7 2 2 5 5 2 2 4" xfId="30413"/>
    <cellStyle name="표준 7 2 2 5 5 2 3" xfId="15427"/>
    <cellStyle name="표준 7 2 2 5 5 2 3 2" xfId="37894"/>
    <cellStyle name="표준 7 2 2 5 5 2 4" xfId="22911"/>
    <cellStyle name="표준 7 2 2 5 5 2 4 2" xfId="45376"/>
    <cellStyle name="표준 7 2 2 5 5 2 5" xfId="30412"/>
    <cellStyle name="표준 7 2 2 5 5 3" xfId="7945"/>
    <cellStyle name="표준 7 2 2 5 5 3 2" xfId="15429"/>
    <cellStyle name="표준 7 2 2 5 5 3 2 2" xfId="37896"/>
    <cellStyle name="표준 7 2 2 5 5 3 3" xfId="22913"/>
    <cellStyle name="표준 7 2 2 5 5 3 3 2" xfId="45378"/>
    <cellStyle name="표준 7 2 2 5 5 3 4" xfId="30414"/>
    <cellStyle name="표준 7 2 2 5 5 4" xfId="15426"/>
    <cellStyle name="표준 7 2 2 5 5 4 2" xfId="37893"/>
    <cellStyle name="표준 7 2 2 5 5 5" xfId="22910"/>
    <cellStyle name="표준 7 2 2 5 5 5 2" xfId="45375"/>
    <cellStyle name="표준 7 2 2 5 5 6" xfId="30411"/>
    <cellStyle name="표준 7 2 2 5 6" xfId="7946"/>
    <cellStyle name="표준 7 2 2 5 6 2" xfId="7947"/>
    <cellStyle name="표준 7 2 2 5 6 2 2" xfId="15431"/>
    <cellStyle name="표준 7 2 2 5 6 2 2 2" xfId="37898"/>
    <cellStyle name="표준 7 2 2 5 6 2 3" xfId="22915"/>
    <cellStyle name="표준 7 2 2 5 6 2 3 2" xfId="45380"/>
    <cellStyle name="표준 7 2 2 5 6 2 4" xfId="30416"/>
    <cellStyle name="표준 7 2 2 5 6 3" xfId="15430"/>
    <cellStyle name="표준 7 2 2 5 6 3 2" xfId="37897"/>
    <cellStyle name="표준 7 2 2 5 6 4" xfId="22914"/>
    <cellStyle name="표준 7 2 2 5 6 4 2" xfId="45379"/>
    <cellStyle name="표준 7 2 2 5 6 5" xfId="30415"/>
    <cellStyle name="표준 7 2 2 5 7" xfId="7948"/>
    <cellStyle name="표준 7 2 2 5 7 2" xfId="15432"/>
    <cellStyle name="표준 7 2 2 5 7 2 2" xfId="37899"/>
    <cellStyle name="표준 7 2 2 5 7 3" xfId="22916"/>
    <cellStyle name="표준 7 2 2 5 7 3 2" xfId="45381"/>
    <cellStyle name="표준 7 2 2 5 7 4" xfId="30417"/>
    <cellStyle name="표준 7 2 2 5 8" xfId="15385"/>
    <cellStyle name="표준 7 2 2 5 8 2" xfId="37852"/>
    <cellStyle name="표준 7 2 2 5 9" xfId="22869"/>
    <cellStyle name="표준 7 2 2 5 9 2" xfId="45334"/>
    <cellStyle name="표준 7 2 2 6" xfId="7949"/>
    <cellStyle name="표준 7 2 2 6 2" xfId="7950"/>
    <cellStyle name="표준 7 2 2 6 2 2" xfId="7951"/>
    <cellStyle name="표준 7 2 2 6 2 2 2" xfId="7952"/>
    <cellStyle name="표준 7 2 2 6 2 2 2 2" xfId="7953"/>
    <cellStyle name="표준 7 2 2 6 2 2 2 2 2" xfId="15437"/>
    <cellStyle name="표준 7 2 2 6 2 2 2 2 2 2" xfId="37904"/>
    <cellStyle name="표준 7 2 2 6 2 2 2 2 3" xfId="22921"/>
    <cellStyle name="표준 7 2 2 6 2 2 2 2 3 2" xfId="45386"/>
    <cellStyle name="표준 7 2 2 6 2 2 2 2 4" xfId="30422"/>
    <cellStyle name="표준 7 2 2 6 2 2 2 3" xfId="15436"/>
    <cellStyle name="표준 7 2 2 6 2 2 2 3 2" xfId="37903"/>
    <cellStyle name="표준 7 2 2 6 2 2 2 4" xfId="22920"/>
    <cellStyle name="표준 7 2 2 6 2 2 2 4 2" xfId="45385"/>
    <cellStyle name="표준 7 2 2 6 2 2 2 5" xfId="30421"/>
    <cellStyle name="표준 7 2 2 6 2 2 3" xfId="7954"/>
    <cellStyle name="표준 7 2 2 6 2 2 3 2" xfId="15438"/>
    <cellStyle name="표준 7 2 2 6 2 2 3 2 2" xfId="37905"/>
    <cellStyle name="표준 7 2 2 6 2 2 3 3" xfId="22922"/>
    <cellStyle name="표준 7 2 2 6 2 2 3 3 2" xfId="45387"/>
    <cellStyle name="표준 7 2 2 6 2 2 3 4" xfId="30423"/>
    <cellStyle name="표준 7 2 2 6 2 2 4" xfId="15435"/>
    <cellStyle name="표준 7 2 2 6 2 2 4 2" xfId="37902"/>
    <cellStyle name="표준 7 2 2 6 2 2 5" xfId="22919"/>
    <cellStyle name="표준 7 2 2 6 2 2 5 2" xfId="45384"/>
    <cellStyle name="표준 7 2 2 6 2 2 6" xfId="30420"/>
    <cellStyle name="표준 7 2 2 6 2 3" xfId="7955"/>
    <cellStyle name="표준 7 2 2 6 2 3 2" xfId="7956"/>
    <cellStyle name="표준 7 2 2 6 2 3 2 2" xfId="15440"/>
    <cellStyle name="표준 7 2 2 6 2 3 2 2 2" xfId="37907"/>
    <cellStyle name="표준 7 2 2 6 2 3 2 3" xfId="22924"/>
    <cellStyle name="표준 7 2 2 6 2 3 2 3 2" xfId="45389"/>
    <cellStyle name="표준 7 2 2 6 2 3 2 4" xfId="30425"/>
    <cellStyle name="표준 7 2 2 6 2 3 3" xfId="15439"/>
    <cellStyle name="표준 7 2 2 6 2 3 3 2" xfId="37906"/>
    <cellStyle name="표준 7 2 2 6 2 3 4" xfId="22923"/>
    <cellStyle name="표준 7 2 2 6 2 3 4 2" xfId="45388"/>
    <cellStyle name="표준 7 2 2 6 2 3 5" xfId="30424"/>
    <cellStyle name="표준 7 2 2 6 2 4" xfId="7957"/>
    <cellStyle name="표준 7 2 2 6 2 4 2" xfId="15441"/>
    <cellStyle name="표준 7 2 2 6 2 4 2 2" xfId="37908"/>
    <cellStyle name="표준 7 2 2 6 2 4 3" xfId="22925"/>
    <cellStyle name="표준 7 2 2 6 2 4 3 2" xfId="45390"/>
    <cellStyle name="표준 7 2 2 6 2 4 4" xfId="30426"/>
    <cellStyle name="표준 7 2 2 6 2 5" xfId="15434"/>
    <cellStyle name="표준 7 2 2 6 2 5 2" xfId="37901"/>
    <cellStyle name="표준 7 2 2 6 2 6" xfId="22918"/>
    <cellStyle name="표준 7 2 2 6 2 6 2" xfId="45383"/>
    <cellStyle name="표준 7 2 2 6 2 7" xfId="30419"/>
    <cellStyle name="표준 7 2 2 6 3" xfId="7958"/>
    <cellStyle name="표준 7 2 2 6 3 2" xfId="7959"/>
    <cellStyle name="표준 7 2 2 6 3 2 2" xfId="7960"/>
    <cellStyle name="표준 7 2 2 6 3 2 2 2" xfId="15444"/>
    <cellStyle name="표준 7 2 2 6 3 2 2 2 2" xfId="37911"/>
    <cellStyle name="표준 7 2 2 6 3 2 2 3" xfId="22928"/>
    <cellStyle name="표준 7 2 2 6 3 2 2 3 2" xfId="45393"/>
    <cellStyle name="표준 7 2 2 6 3 2 2 4" xfId="30429"/>
    <cellStyle name="표준 7 2 2 6 3 2 3" xfId="15443"/>
    <cellStyle name="표준 7 2 2 6 3 2 3 2" xfId="37910"/>
    <cellStyle name="표준 7 2 2 6 3 2 4" xfId="22927"/>
    <cellStyle name="표준 7 2 2 6 3 2 4 2" xfId="45392"/>
    <cellStyle name="표준 7 2 2 6 3 2 5" xfId="30428"/>
    <cellStyle name="표준 7 2 2 6 3 3" xfId="7961"/>
    <cellStyle name="표준 7 2 2 6 3 3 2" xfId="15445"/>
    <cellStyle name="표준 7 2 2 6 3 3 2 2" xfId="37912"/>
    <cellStyle name="표준 7 2 2 6 3 3 3" xfId="22929"/>
    <cellStyle name="표준 7 2 2 6 3 3 3 2" xfId="45394"/>
    <cellStyle name="표준 7 2 2 6 3 3 4" xfId="30430"/>
    <cellStyle name="표준 7 2 2 6 3 4" xfId="15442"/>
    <cellStyle name="표준 7 2 2 6 3 4 2" xfId="37909"/>
    <cellStyle name="표준 7 2 2 6 3 5" xfId="22926"/>
    <cellStyle name="표준 7 2 2 6 3 5 2" xfId="45391"/>
    <cellStyle name="표준 7 2 2 6 3 6" xfId="30427"/>
    <cellStyle name="표준 7 2 2 6 4" xfId="7962"/>
    <cellStyle name="표준 7 2 2 6 4 2" xfId="7963"/>
    <cellStyle name="표준 7 2 2 6 4 2 2" xfId="15447"/>
    <cellStyle name="표준 7 2 2 6 4 2 2 2" xfId="37914"/>
    <cellStyle name="표준 7 2 2 6 4 2 3" xfId="22931"/>
    <cellStyle name="표준 7 2 2 6 4 2 3 2" xfId="45396"/>
    <cellStyle name="표준 7 2 2 6 4 2 4" xfId="30432"/>
    <cellStyle name="표준 7 2 2 6 4 3" xfId="15446"/>
    <cellStyle name="표준 7 2 2 6 4 3 2" xfId="37913"/>
    <cellStyle name="표준 7 2 2 6 4 4" xfId="22930"/>
    <cellStyle name="표준 7 2 2 6 4 4 2" xfId="45395"/>
    <cellStyle name="표준 7 2 2 6 4 5" xfId="30431"/>
    <cellStyle name="표준 7 2 2 6 5" xfId="7964"/>
    <cellStyle name="표준 7 2 2 6 5 2" xfId="15448"/>
    <cellStyle name="표준 7 2 2 6 5 2 2" xfId="37915"/>
    <cellStyle name="표준 7 2 2 6 5 3" xfId="22932"/>
    <cellStyle name="표준 7 2 2 6 5 3 2" xfId="45397"/>
    <cellStyle name="표준 7 2 2 6 5 4" xfId="30433"/>
    <cellStyle name="표준 7 2 2 6 6" xfId="15433"/>
    <cellStyle name="표준 7 2 2 6 6 2" xfId="37900"/>
    <cellStyle name="표준 7 2 2 6 7" xfId="22917"/>
    <cellStyle name="표준 7 2 2 6 7 2" xfId="45382"/>
    <cellStyle name="표준 7 2 2 6 8" xfId="30418"/>
    <cellStyle name="표준 7 2 2 7" xfId="7965"/>
    <cellStyle name="표준 7 2 2 7 2" xfId="7966"/>
    <cellStyle name="표준 7 2 2 7 2 2" xfId="7967"/>
    <cellStyle name="표준 7 2 2 7 2 2 2" xfId="7968"/>
    <cellStyle name="표준 7 2 2 7 2 2 2 2" xfId="7969"/>
    <cellStyle name="표준 7 2 2 7 2 2 2 2 2" xfId="15453"/>
    <cellStyle name="표준 7 2 2 7 2 2 2 2 2 2" xfId="37920"/>
    <cellStyle name="표준 7 2 2 7 2 2 2 2 3" xfId="22937"/>
    <cellStyle name="표준 7 2 2 7 2 2 2 2 3 2" xfId="45402"/>
    <cellStyle name="표준 7 2 2 7 2 2 2 2 4" xfId="30438"/>
    <cellStyle name="표준 7 2 2 7 2 2 2 3" xfId="15452"/>
    <cellStyle name="표준 7 2 2 7 2 2 2 3 2" xfId="37919"/>
    <cellStyle name="표준 7 2 2 7 2 2 2 4" xfId="22936"/>
    <cellStyle name="표준 7 2 2 7 2 2 2 4 2" xfId="45401"/>
    <cellStyle name="표준 7 2 2 7 2 2 2 5" xfId="30437"/>
    <cellStyle name="표준 7 2 2 7 2 2 3" xfId="7970"/>
    <cellStyle name="표준 7 2 2 7 2 2 3 2" xfId="15454"/>
    <cellStyle name="표준 7 2 2 7 2 2 3 2 2" xfId="37921"/>
    <cellStyle name="표준 7 2 2 7 2 2 3 3" xfId="22938"/>
    <cellStyle name="표준 7 2 2 7 2 2 3 3 2" xfId="45403"/>
    <cellStyle name="표준 7 2 2 7 2 2 3 4" xfId="30439"/>
    <cellStyle name="표준 7 2 2 7 2 2 4" xfId="15451"/>
    <cellStyle name="표준 7 2 2 7 2 2 4 2" xfId="37918"/>
    <cellStyle name="표준 7 2 2 7 2 2 5" xfId="22935"/>
    <cellStyle name="표준 7 2 2 7 2 2 5 2" xfId="45400"/>
    <cellStyle name="표준 7 2 2 7 2 2 6" xfId="30436"/>
    <cellStyle name="표준 7 2 2 7 2 3" xfId="7971"/>
    <cellStyle name="표준 7 2 2 7 2 3 2" xfId="7972"/>
    <cellStyle name="표준 7 2 2 7 2 3 2 2" xfId="15456"/>
    <cellStyle name="표준 7 2 2 7 2 3 2 2 2" xfId="37923"/>
    <cellStyle name="표준 7 2 2 7 2 3 2 3" xfId="22940"/>
    <cellStyle name="표준 7 2 2 7 2 3 2 3 2" xfId="45405"/>
    <cellStyle name="표준 7 2 2 7 2 3 2 4" xfId="30441"/>
    <cellStyle name="표준 7 2 2 7 2 3 3" xfId="15455"/>
    <cellStyle name="표준 7 2 2 7 2 3 3 2" xfId="37922"/>
    <cellStyle name="표준 7 2 2 7 2 3 4" xfId="22939"/>
    <cellStyle name="표준 7 2 2 7 2 3 4 2" xfId="45404"/>
    <cellStyle name="표준 7 2 2 7 2 3 5" xfId="30440"/>
    <cellStyle name="표준 7 2 2 7 2 4" xfId="7973"/>
    <cellStyle name="표준 7 2 2 7 2 4 2" xfId="15457"/>
    <cellStyle name="표준 7 2 2 7 2 4 2 2" xfId="37924"/>
    <cellStyle name="표준 7 2 2 7 2 4 3" xfId="22941"/>
    <cellStyle name="표준 7 2 2 7 2 4 3 2" xfId="45406"/>
    <cellStyle name="표준 7 2 2 7 2 4 4" xfId="30442"/>
    <cellStyle name="표준 7 2 2 7 2 5" xfId="15450"/>
    <cellStyle name="표준 7 2 2 7 2 5 2" xfId="37917"/>
    <cellStyle name="표준 7 2 2 7 2 6" xfId="22934"/>
    <cellStyle name="표준 7 2 2 7 2 6 2" xfId="45399"/>
    <cellStyle name="표준 7 2 2 7 2 7" xfId="30435"/>
    <cellStyle name="표준 7 2 2 7 3" xfId="7974"/>
    <cellStyle name="표준 7 2 2 7 3 2" xfId="7975"/>
    <cellStyle name="표준 7 2 2 7 3 2 2" xfId="7976"/>
    <cellStyle name="표준 7 2 2 7 3 2 2 2" xfId="15460"/>
    <cellStyle name="표준 7 2 2 7 3 2 2 2 2" xfId="37927"/>
    <cellStyle name="표준 7 2 2 7 3 2 2 3" xfId="22944"/>
    <cellStyle name="표준 7 2 2 7 3 2 2 3 2" xfId="45409"/>
    <cellStyle name="표준 7 2 2 7 3 2 2 4" xfId="30445"/>
    <cellStyle name="표준 7 2 2 7 3 2 3" xfId="15459"/>
    <cellStyle name="표준 7 2 2 7 3 2 3 2" xfId="37926"/>
    <cellStyle name="표준 7 2 2 7 3 2 4" xfId="22943"/>
    <cellStyle name="표준 7 2 2 7 3 2 4 2" xfId="45408"/>
    <cellStyle name="표준 7 2 2 7 3 2 5" xfId="30444"/>
    <cellStyle name="표준 7 2 2 7 3 3" xfId="7977"/>
    <cellStyle name="표준 7 2 2 7 3 3 2" xfId="15461"/>
    <cellStyle name="표준 7 2 2 7 3 3 2 2" xfId="37928"/>
    <cellStyle name="표준 7 2 2 7 3 3 3" xfId="22945"/>
    <cellStyle name="표준 7 2 2 7 3 3 3 2" xfId="45410"/>
    <cellStyle name="표준 7 2 2 7 3 3 4" xfId="30446"/>
    <cellStyle name="표준 7 2 2 7 3 4" xfId="15458"/>
    <cellStyle name="표준 7 2 2 7 3 4 2" xfId="37925"/>
    <cellStyle name="표준 7 2 2 7 3 5" xfId="22942"/>
    <cellStyle name="표준 7 2 2 7 3 5 2" xfId="45407"/>
    <cellStyle name="표준 7 2 2 7 3 6" xfId="30443"/>
    <cellStyle name="표준 7 2 2 7 4" xfId="7978"/>
    <cellStyle name="표준 7 2 2 7 4 2" xfId="7979"/>
    <cellStyle name="표준 7 2 2 7 4 2 2" xfId="15463"/>
    <cellStyle name="표준 7 2 2 7 4 2 2 2" xfId="37930"/>
    <cellStyle name="표준 7 2 2 7 4 2 3" xfId="22947"/>
    <cellStyle name="표준 7 2 2 7 4 2 3 2" xfId="45412"/>
    <cellStyle name="표준 7 2 2 7 4 2 4" xfId="30448"/>
    <cellStyle name="표준 7 2 2 7 4 3" xfId="15462"/>
    <cellStyle name="표준 7 2 2 7 4 3 2" xfId="37929"/>
    <cellStyle name="표준 7 2 2 7 4 4" xfId="22946"/>
    <cellStyle name="표준 7 2 2 7 4 4 2" xfId="45411"/>
    <cellStyle name="표준 7 2 2 7 4 5" xfId="30447"/>
    <cellStyle name="표준 7 2 2 7 5" xfId="7980"/>
    <cellStyle name="표준 7 2 2 7 5 2" xfId="15464"/>
    <cellStyle name="표준 7 2 2 7 5 2 2" xfId="37931"/>
    <cellStyle name="표준 7 2 2 7 5 3" xfId="22948"/>
    <cellStyle name="표준 7 2 2 7 5 3 2" xfId="45413"/>
    <cellStyle name="표준 7 2 2 7 5 4" xfId="30449"/>
    <cellStyle name="표준 7 2 2 7 6" xfId="15449"/>
    <cellStyle name="표준 7 2 2 7 6 2" xfId="37916"/>
    <cellStyle name="표준 7 2 2 7 7" xfId="22933"/>
    <cellStyle name="표준 7 2 2 7 7 2" xfId="45398"/>
    <cellStyle name="표준 7 2 2 7 8" xfId="30434"/>
    <cellStyle name="표준 7 2 2 8" xfId="7981"/>
    <cellStyle name="표준 7 2 2 8 2" xfId="7982"/>
    <cellStyle name="표준 7 2 2 8 2 2" xfId="7983"/>
    <cellStyle name="표준 7 2 2 8 2 2 2" xfId="7984"/>
    <cellStyle name="표준 7 2 2 8 2 2 2 2" xfId="15468"/>
    <cellStyle name="표준 7 2 2 8 2 2 2 2 2" xfId="37935"/>
    <cellStyle name="표준 7 2 2 8 2 2 2 3" xfId="22952"/>
    <cellStyle name="표준 7 2 2 8 2 2 2 3 2" xfId="45417"/>
    <cellStyle name="표준 7 2 2 8 2 2 2 4" xfId="30453"/>
    <cellStyle name="표준 7 2 2 8 2 2 3" xfId="15467"/>
    <cellStyle name="표준 7 2 2 8 2 2 3 2" xfId="37934"/>
    <cellStyle name="표준 7 2 2 8 2 2 4" xfId="22951"/>
    <cellStyle name="표준 7 2 2 8 2 2 4 2" xfId="45416"/>
    <cellStyle name="표준 7 2 2 8 2 2 5" xfId="30452"/>
    <cellStyle name="표준 7 2 2 8 2 3" xfId="7985"/>
    <cellStyle name="표준 7 2 2 8 2 3 2" xfId="15469"/>
    <cellStyle name="표준 7 2 2 8 2 3 2 2" xfId="37936"/>
    <cellStyle name="표준 7 2 2 8 2 3 3" xfId="22953"/>
    <cellStyle name="표준 7 2 2 8 2 3 3 2" xfId="45418"/>
    <cellStyle name="표준 7 2 2 8 2 3 4" xfId="30454"/>
    <cellStyle name="표준 7 2 2 8 2 4" xfId="15466"/>
    <cellStyle name="표준 7 2 2 8 2 4 2" xfId="37933"/>
    <cellStyle name="표준 7 2 2 8 2 5" xfId="22950"/>
    <cellStyle name="표준 7 2 2 8 2 5 2" xfId="45415"/>
    <cellStyle name="표준 7 2 2 8 2 6" xfId="30451"/>
    <cellStyle name="표준 7 2 2 8 3" xfId="7986"/>
    <cellStyle name="표준 7 2 2 8 3 2" xfId="7987"/>
    <cellStyle name="표준 7 2 2 8 3 2 2" xfId="15471"/>
    <cellStyle name="표준 7 2 2 8 3 2 2 2" xfId="37938"/>
    <cellStyle name="표준 7 2 2 8 3 2 3" xfId="22955"/>
    <cellStyle name="표준 7 2 2 8 3 2 3 2" xfId="45420"/>
    <cellStyle name="표준 7 2 2 8 3 2 4" xfId="30456"/>
    <cellStyle name="표준 7 2 2 8 3 3" xfId="15470"/>
    <cellStyle name="표준 7 2 2 8 3 3 2" xfId="37937"/>
    <cellStyle name="표준 7 2 2 8 3 4" xfId="22954"/>
    <cellStyle name="표준 7 2 2 8 3 4 2" xfId="45419"/>
    <cellStyle name="표준 7 2 2 8 3 5" xfId="30455"/>
    <cellStyle name="표준 7 2 2 8 4" xfId="7988"/>
    <cellStyle name="표준 7 2 2 8 4 2" xfId="15472"/>
    <cellStyle name="표준 7 2 2 8 4 2 2" xfId="37939"/>
    <cellStyle name="표준 7 2 2 8 4 3" xfId="22956"/>
    <cellStyle name="표준 7 2 2 8 4 3 2" xfId="45421"/>
    <cellStyle name="표준 7 2 2 8 4 4" xfId="30457"/>
    <cellStyle name="표준 7 2 2 8 5" xfId="15465"/>
    <cellStyle name="표준 7 2 2 8 5 2" xfId="37932"/>
    <cellStyle name="표준 7 2 2 8 6" xfId="22949"/>
    <cellStyle name="표준 7 2 2 8 6 2" xfId="45414"/>
    <cellStyle name="표준 7 2 2 8 7" xfId="30450"/>
    <cellStyle name="표준 7 2 2 9" xfId="7989"/>
    <cellStyle name="표준 7 2 2 9 2" xfId="7990"/>
    <cellStyle name="표준 7 2 2 9 2 2" xfId="7991"/>
    <cellStyle name="표준 7 2 2 9 2 2 2" xfId="7992"/>
    <cellStyle name="표준 7 2 2 9 2 2 2 2" xfId="15476"/>
    <cellStyle name="표준 7 2 2 9 2 2 2 2 2" xfId="37943"/>
    <cellStyle name="표준 7 2 2 9 2 2 2 3" xfId="22960"/>
    <cellStyle name="표준 7 2 2 9 2 2 2 3 2" xfId="45425"/>
    <cellStyle name="표준 7 2 2 9 2 2 2 4" xfId="30461"/>
    <cellStyle name="표준 7 2 2 9 2 2 3" xfId="15475"/>
    <cellStyle name="표준 7 2 2 9 2 2 3 2" xfId="37942"/>
    <cellStyle name="표준 7 2 2 9 2 2 4" xfId="22959"/>
    <cellStyle name="표준 7 2 2 9 2 2 4 2" xfId="45424"/>
    <cellStyle name="표준 7 2 2 9 2 2 5" xfId="30460"/>
    <cellStyle name="표준 7 2 2 9 2 3" xfId="7993"/>
    <cellStyle name="표준 7 2 2 9 2 3 2" xfId="15477"/>
    <cellStyle name="표준 7 2 2 9 2 3 2 2" xfId="37944"/>
    <cellStyle name="표준 7 2 2 9 2 3 3" xfId="22961"/>
    <cellStyle name="표준 7 2 2 9 2 3 3 2" xfId="45426"/>
    <cellStyle name="표준 7 2 2 9 2 3 4" xfId="30462"/>
    <cellStyle name="표준 7 2 2 9 2 4" xfId="15474"/>
    <cellStyle name="표준 7 2 2 9 2 4 2" xfId="37941"/>
    <cellStyle name="표준 7 2 2 9 2 5" xfId="22958"/>
    <cellStyle name="표준 7 2 2 9 2 5 2" xfId="45423"/>
    <cellStyle name="표준 7 2 2 9 2 6" xfId="30459"/>
    <cellStyle name="표준 7 2 2 9 3" xfId="7994"/>
    <cellStyle name="표준 7 2 2 9 3 2" xfId="7995"/>
    <cellStyle name="표준 7 2 2 9 3 2 2" xfId="15479"/>
    <cellStyle name="표준 7 2 2 9 3 2 2 2" xfId="37946"/>
    <cellStyle name="표준 7 2 2 9 3 2 3" xfId="22963"/>
    <cellStyle name="표준 7 2 2 9 3 2 3 2" xfId="45428"/>
    <cellStyle name="표준 7 2 2 9 3 2 4" xfId="30464"/>
    <cellStyle name="표준 7 2 2 9 3 3" xfId="15478"/>
    <cellStyle name="표준 7 2 2 9 3 3 2" xfId="37945"/>
    <cellStyle name="표준 7 2 2 9 3 4" xfId="22962"/>
    <cellStyle name="표준 7 2 2 9 3 4 2" xfId="45427"/>
    <cellStyle name="표준 7 2 2 9 3 5" xfId="30463"/>
    <cellStyle name="표준 7 2 2 9 4" xfId="7996"/>
    <cellStyle name="표준 7 2 2 9 4 2" xfId="15480"/>
    <cellStyle name="표준 7 2 2 9 4 2 2" xfId="37947"/>
    <cellStyle name="표준 7 2 2 9 4 3" xfId="22964"/>
    <cellStyle name="표준 7 2 2 9 4 3 2" xfId="45429"/>
    <cellStyle name="표준 7 2 2 9 4 4" xfId="30465"/>
    <cellStyle name="표준 7 2 2 9 5" xfId="15473"/>
    <cellStyle name="표준 7 2 2 9 5 2" xfId="37940"/>
    <cellStyle name="표준 7 2 2 9 6" xfId="22957"/>
    <cellStyle name="표준 7 2 2 9 6 2" xfId="45422"/>
    <cellStyle name="표준 7 2 2 9 7" xfId="30458"/>
    <cellStyle name="표준 7 2 20" xfId="22383"/>
    <cellStyle name="표준 7 2 20 2" xfId="44848"/>
    <cellStyle name="표준 7 2 21" xfId="29884"/>
    <cellStyle name="표준 7 2 3" xfId="7997"/>
    <cellStyle name="표준 7 2 3 10" xfId="7998"/>
    <cellStyle name="표준 7 2 3 10 2" xfId="7999"/>
    <cellStyle name="표준 7 2 3 10 2 2" xfId="8000"/>
    <cellStyle name="표준 7 2 3 10 2 2 2" xfId="15484"/>
    <cellStyle name="표준 7 2 3 10 2 2 2 2" xfId="37951"/>
    <cellStyle name="표준 7 2 3 10 2 2 3" xfId="22968"/>
    <cellStyle name="표준 7 2 3 10 2 2 3 2" xfId="45433"/>
    <cellStyle name="표준 7 2 3 10 2 2 4" xfId="30469"/>
    <cellStyle name="표준 7 2 3 10 2 3" xfId="15483"/>
    <cellStyle name="표준 7 2 3 10 2 3 2" xfId="37950"/>
    <cellStyle name="표준 7 2 3 10 2 4" xfId="22967"/>
    <cellStyle name="표준 7 2 3 10 2 4 2" xfId="45432"/>
    <cellStyle name="표준 7 2 3 10 2 5" xfId="30468"/>
    <cellStyle name="표준 7 2 3 10 3" xfId="8001"/>
    <cellStyle name="표준 7 2 3 10 3 2" xfId="15485"/>
    <cellStyle name="표준 7 2 3 10 3 2 2" xfId="37952"/>
    <cellStyle name="표준 7 2 3 10 3 3" xfId="22969"/>
    <cellStyle name="표준 7 2 3 10 3 3 2" xfId="45434"/>
    <cellStyle name="표준 7 2 3 10 3 4" xfId="30470"/>
    <cellStyle name="표준 7 2 3 10 4" xfId="15482"/>
    <cellStyle name="표준 7 2 3 10 4 2" xfId="37949"/>
    <cellStyle name="표준 7 2 3 10 5" xfId="22966"/>
    <cellStyle name="표준 7 2 3 10 5 2" xfId="45431"/>
    <cellStyle name="표준 7 2 3 10 6" xfId="30467"/>
    <cellStyle name="표준 7 2 3 11" xfId="8002"/>
    <cellStyle name="표준 7 2 3 11 2" xfId="8003"/>
    <cellStyle name="표준 7 2 3 11 2 2" xfId="8004"/>
    <cellStyle name="표준 7 2 3 11 2 2 2" xfId="15488"/>
    <cellStyle name="표준 7 2 3 11 2 2 2 2" xfId="37955"/>
    <cellStyle name="표준 7 2 3 11 2 2 3" xfId="22972"/>
    <cellStyle name="표준 7 2 3 11 2 2 3 2" xfId="45437"/>
    <cellStyle name="표준 7 2 3 11 2 2 4" xfId="30473"/>
    <cellStyle name="표준 7 2 3 11 2 3" xfId="15487"/>
    <cellStyle name="표준 7 2 3 11 2 3 2" xfId="37954"/>
    <cellStyle name="표준 7 2 3 11 2 4" xfId="22971"/>
    <cellStyle name="표준 7 2 3 11 2 4 2" xfId="45436"/>
    <cellStyle name="표준 7 2 3 11 2 5" xfId="30472"/>
    <cellStyle name="표준 7 2 3 11 3" xfId="8005"/>
    <cellStyle name="표준 7 2 3 11 3 2" xfId="15489"/>
    <cellStyle name="표준 7 2 3 11 3 2 2" xfId="37956"/>
    <cellStyle name="표준 7 2 3 11 3 3" xfId="22973"/>
    <cellStyle name="표준 7 2 3 11 3 3 2" xfId="45438"/>
    <cellStyle name="표준 7 2 3 11 3 4" xfId="30474"/>
    <cellStyle name="표준 7 2 3 11 4" xfId="15486"/>
    <cellStyle name="표준 7 2 3 11 4 2" xfId="37953"/>
    <cellStyle name="표준 7 2 3 11 5" xfId="22970"/>
    <cellStyle name="표준 7 2 3 11 5 2" xfId="45435"/>
    <cellStyle name="표준 7 2 3 11 6" xfId="30471"/>
    <cellStyle name="표준 7 2 3 12" xfId="8006"/>
    <cellStyle name="표준 7 2 3 12 2" xfId="8007"/>
    <cellStyle name="표준 7 2 3 12 2 2" xfId="8008"/>
    <cellStyle name="표준 7 2 3 12 2 2 2" xfId="15492"/>
    <cellStyle name="표준 7 2 3 12 2 2 2 2" xfId="37959"/>
    <cellStyle name="표준 7 2 3 12 2 2 3" xfId="22976"/>
    <cellStyle name="표준 7 2 3 12 2 2 3 2" xfId="45441"/>
    <cellStyle name="표준 7 2 3 12 2 2 4" xfId="30477"/>
    <cellStyle name="표준 7 2 3 12 2 3" xfId="15491"/>
    <cellStyle name="표준 7 2 3 12 2 3 2" xfId="37958"/>
    <cellStyle name="표준 7 2 3 12 2 4" xfId="22975"/>
    <cellStyle name="표준 7 2 3 12 2 4 2" xfId="45440"/>
    <cellStyle name="표준 7 2 3 12 2 5" xfId="30476"/>
    <cellStyle name="표준 7 2 3 12 3" xfId="8009"/>
    <cellStyle name="표준 7 2 3 12 3 2" xfId="15493"/>
    <cellStyle name="표준 7 2 3 12 3 2 2" xfId="37960"/>
    <cellStyle name="표준 7 2 3 12 3 3" xfId="22977"/>
    <cellStyle name="표준 7 2 3 12 3 3 2" xfId="45442"/>
    <cellStyle name="표준 7 2 3 12 3 4" xfId="30478"/>
    <cellStyle name="표준 7 2 3 12 4" xfId="15490"/>
    <cellStyle name="표준 7 2 3 12 4 2" xfId="37957"/>
    <cellStyle name="표준 7 2 3 12 5" xfId="22974"/>
    <cellStyle name="표준 7 2 3 12 5 2" xfId="45439"/>
    <cellStyle name="표준 7 2 3 12 6" xfId="30475"/>
    <cellStyle name="표준 7 2 3 13" xfId="8010"/>
    <cellStyle name="표준 7 2 3 13 2" xfId="8011"/>
    <cellStyle name="표준 7 2 3 13 2 2" xfId="15495"/>
    <cellStyle name="표준 7 2 3 13 2 2 2" xfId="37962"/>
    <cellStyle name="표준 7 2 3 13 2 3" xfId="22979"/>
    <cellStyle name="표준 7 2 3 13 2 3 2" xfId="45444"/>
    <cellStyle name="표준 7 2 3 13 2 4" xfId="30480"/>
    <cellStyle name="표준 7 2 3 13 3" xfId="15494"/>
    <cellStyle name="표준 7 2 3 13 3 2" xfId="37961"/>
    <cellStyle name="표준 7 2 3 13 4" xfId="22978"/>
    <cellStyle name="표준 7 2 3 13 4 2" xfId="45443"/>
    <cellStyle name="표준 7 2 3 13 5" xfId="30479"/>
    <cellStyle name="표준 7 2 3 14" xfId="8012"/>
    <cellStyle name="표준 7 2 3 14 2" xfId="15496"/>
    <cellStyle name="표준 7 2 3 14 2 2" xfId="37963"/>
    <cellStyle name="표준 7 2 3 14 3" xfId="22980"/>
    <cellStyle name="표준 7 2 3 14 3 2" xfId="45445"/>
    <cellStyle name="표준 7 2 3 14 4" xfId="30481"/>
    <cellStyle name="표준 7 2 3 15" xfId="15481"/>
    <cellStyle name="표준 7 2 3 15 2" xfId="37948"/>
    <cellStyle name="표준 7 2 3 16" xfId="22965"/>
    <cellStyle name="표준 7 2 3 16 2" xfId="45430"/>
    <cellStyle name="표준 7 2 3 17" xfId="30466"/>
    <cellStyle name="표준 7 2 3 2" xfId="8013"/>
    <cellStyle name="표준 7 2 3 2 10" xfId="15497"/>
    <cellStyle name="표준 7 2 3 2 10 2" xfId="37964"/>
    <cellStyle name="표준 7 2 3 2 11" xfId="22981"/>
    <cellStyle name="표준 7 2 3 2 11 2" xfId="45446"/>
    <cellStyle name="표준 7 2 3 2 12" xfId="30482"/>
    <cellStyle name="표준 7 2 3 2 2" xfId="8014"/>
    <cellStyle name="표준 7 2 3 2 2 10" xfId="30483"/>
    <cellStyle name="표준 7 2 3 2 2 2" xfId="8015"/>
    <cellStyle name="표준 7 2 3 2 2 2 2" xfId="8016"/>
    <cellStyle name="표준 7 2 3 2 2 2 2 2" xfId="8017"/>
    <cellStyle name="표준 7 2 3 2 2 2 2 2 2" xfId="8018"/>
    <cellStyle name="표준 7 2 3 2 2 2 2 2 2 2" xfId="8019"/>
    <cellStyle name="표준 7 2 3 2 2 2 2 2 2 2 2" xfId="15503"/>
    <cellStyle name="표준 7 2 3 2 2 2 2 2 2 2 2 2" xfId="37970"/>
    <cellStyle name="표준 7 2 3 2 2 2 2 2 2 2 3" xfId="22987"/>
    <cellStyle name="표준 7 2 3 2 2 2 2 2 2 2 3 2" xfId="45452"/>
    <cellStyle name="표준 7 2 3 2 2 2 2 2 2 2 4" xfId="30488"/>
    <cellStyle name="표준 7 2 3 2 2 2 2 2 2 3" xfId="15502"/>
    <cellStyle name="표준 7 2 3 2 2 2 2 2 2 3 2" xfId="37969"/>
    <cellStyle name="표준 7 2 3 2 2 2 2 2 2 4" xfId="22986"/>
    <cellStyle name="표준 7 2 3 2 2 2 2 2 2 4 2" xfId="45451"/>
    <cellStyle name="표준 7 2 3 2 2 2 2 2 2 5" xfId="30487"/>
    <cellStyle name="표준 7 2 3 2 2 2 2 2 3" xfId="8020"/>
    <cellStyle name="표준 7 2 3 2 2 2 2 2 3 2" xfId="15504"/>
    <cellStyle name="표준 7 2 3 2 2 2 2 2 3 2 2" xfId="37971"/>
    <cellStyle name="표준 7 2 3 2 2 2 2 2 3 3" xfId="22988"/>
    <cellStyle name="표준 7 2 3 2 2 2 2 2 3 3 2" xfId="45453"/>
    <cellStyle name="표준 7 2 3 2 2 2 2 2 3 4" xfId="30489"/>
    <cellStyle name="표준 7 2 3 2 2 2 2 2 4" xfId="15501"/>
    <cellStyle name="표준 7 2 3 2 2 2 2 2 4 2" xfId="37968"/>
    <cellStyle name="표준 7 2 3 2 2 2 2 2 5" xfId="22985"/>
    <cellStyle name="표준 7 2 3 2 2 2 2 2 5 2" xfId="45450"/>
    <cellStyle name="표준 7 2 3 2 2 2 2 2 6" xfId="30486"/>
    <cellStyle name="표준 7 2 3 2 2 2 2 3" xfId="8021"/>
    <cellStyle name="표준 7 2 3 2 2 2 2 3 2" xfId="8022"/>
    <cellStyle name="표준 7 2 3 2 2 2 2 3 2 2" xfId="15506"/>
    <cellStyle name="표준 7 2 3 2 2 2 2 3 2 2 2" xfId="37973"/>
    <cellStyle name="표준 7 2 3 2 2 2 2 3 2 3" xfId="22990"/>
    <cellStyle name="표준 7 2 3 2 2 2 2 3 2 3 2" xfId="45455"/>
    <cellStyle name="표준 7 2 3 2 2 2 2 3 2 4" xfId="30491"/>
    <cellStyle name="표준 7 2 3 2 2 2 2 3 3" xfId="15505"/>
    <cellStyle name="표준 7 2 3 2 2 2 2 3 3 2" xfId="37972"/>
    <cellStyle name="표준 7 2 3 2 2 2 2 3 4" xfId="22989"/>
    <cellStyle name="표준 7 2 3 2 2 2 2 3 4 2" xfId="45454"/>
    <cellStyle name="표준 7 2 3 2 2 2 2 3 5" xfId="30490"/>
    <cellStyle name="표준 7 2 3 2 2 2 2 4" xfId="8023"/>
    <cellStyle name="표준 7 2 3 2 2 2 2 4 2" xfId="15507"/>
    <cellStyle name="표준 7 2 3 2 2 2 2 4 2 2" xfId="37974"/>
    <cellStyle name="표준 7 2 3 2 2 2 2 4 3" xfId="22991"/>
    <cellStyle name="표준 7 2 3 2 2 2 2 4 3 2" xfId="45456"/>
    <cellStyle name="표준 7 2 3 2 2 2 2 4 4" xfId="30492"/>
    <cellStyle name="표준 7 2 3 2 2 2 2 5" xfId="15500"/>
    <cellStyle name="표준 7 2 3 2 2 2 2 5 2" xfId="37967"/>
    <cellStyle name="표준 7 2 3 2 2 2 2 6" xfId="22984"/>
    <cellStyle name="표준 7 2 3 2 2 2 2 6 2" xfId="45449"/>
    <cellStyle name="표준 7 2 3 2 2 2 2 7" xfId="30485"/>
    <cellStyle name="표준 7 2 3 2 2 2 3" xfId="8024"/>
    <cellStyle name="표준 7 2 3 2 2 2 3 2" xfId="8025"/>
    <cellStyle name="표준 7 2 3 2 2 2 3 2 2" xfId="8026"/>
    <cellStyle name="표준 7 2 3 2 2 2 3 2 2 2" xfId="15510"/>
    <cellStyle name="표준 7 2 3 2 2 2 3 2 2 2 2" xfId="37977"/>
    <cellStyle name="표준 7 2 3 2 2 2 3 2 2 3" xfId="22994"/>
    <cellStyle name="표준 7 2 3 2 2 2 3 2 2 3 2" xfId="45459"/>
    <cellStyle name="표준 7 2 3 2 2 2 3 2 2 4" xfId="30495"/>
    <cellStyle name="표준 7 2 3 2 2 2 3 2 3" xfId="15509"/>
    <cellStyle name="표준 7 2 3 2 2 2 3 2 3 2" xfId="37976"/>
    <cellStyle name="표준 7 2 3 2 2 2 3 2 4" xfId="22993"/>
    <cellStyle name="표준 7 2 3 2 2 2 3 2 4 2" xfId="45458"/>
    <cellStyle name="표준 7 2 3 2 2 2 3 2 5" xfId="30494"/>
    <cellStyle name="표준 7 2 3 2 2 2 3 3" xfId="8027"/>
    <cellStyle name="표준 7 2 3 2 2 2 3 3 2" xfId="15511"/>
    <cellStyle name="표준 7 2 3 2 2 2 3 3 2 2" xfId="37978"/>
    <cellStyle name="표준 7 2 3 2 2 2 3 3 3" xfId="22995"/>
    <cellStyle name="표준 7 2 3 2 2 2 3 3 3 2" xfId="45460"/>
    <cellStyle name="표준 7 2 3 2 2 2 3 3 4" xfId="30496"/>
    <cellStyle name="표준 7 2 3 2 2 2 3 4" xfId="15508"/>
    <cellStyle name="표준 7 2 3 2 2 2 3 4 2" xfId="37975"/>
    <cellStyle name="표준 7 2 3 2 2 2 3 5" xfId="22992"/>
    <cellStyle name="표준 7 2 3 2 2 2 3 5 2" xfId="45457"/>
    <cellStyle name="표준 7 2 3 2 2 2 3 6" xfId="30493"/>
    <cellStyle name="표준 7 2 3 2 2 2 4" xfId="8028"/>
    <cellStyle name="표준 7 2 3 2 2 2 4 2" xfId="8029"/>
    <cellStyle name="표준 7 2 3 2 2 2 4 2 2" xfId="15513"/>
    <cellStyle name="표준 7 2 3 2 2 2 4 2 2 2" xfId="37980"/>
    <cellStyle name="표준 7 2 3 2 2 2 4 2 3" xfId="22997"/>
    <cellStyle name="표준 7 2 3 2 2 2 4 2 3 2" xfId="45462"/>
    <cellStyle name="표준 7 2 3 2 2 2 4 2 4" xfId="30498"/>
    <cellStyle name="표준 7 2 3 2 2 2 4 3" xfId="15512"/>
    <cellStyle name="표준 7 2 3 2 2 2 4 3 2" xfId="37979"/>
    <cellStyle name="표준 7 2 3 2 2 2 4 4" xfId="22996"/>
    <cellStyle name="표준 7 2 3 2 2 2 4 4 2" xfId="45461"/>
    <cellStyle name="표준 7 2 3 2 2 2 4 5" xfId="30497"/>
    <cellStyle name="표준 7 2 3 2 2 2 5" xfId="8030"/>
    <cellStyle name="표준 7 2 3 2 2 2 5 2" xfId="15514"/>
    <cellStyle name="표준 7 2 3 2 2 2 5 2 2" xfId="37981"/>
    <cellStyle name="표준 7 2 3 2 2 2 5 3" xfId="22998"/>
    <cellStyle name="표준 7 2 3 2 2 2 5 3 2" xfId="45463"/>
    <cellStyle name="표준 7 2 3 2 2 2 5 4" xfId="30499"/>
    <cellStyle name="표준 7 2 3 2 2 2 6" xfId="15499"/>
    <cellStyle name="표준 7 2 3 2 2 2 6 2" xfId="37966"/>
    <cellStyle name="표준 7 2 3 2 2 2 7" xfId="22983"/>
    <cellStyle name="표준 7 2 3 2 2 2 7 2" xfId="45448"/>
    <cellStyle name="표준 7 2 3 2 2 2 8" xfId="30484"/>
    <cellStyle name="표준 7 2 3 2 2 3" xfId="8031"/>
    <cellStyle name="표준 7 2 3 2 2 3 2" xfId="8032"/>
    <cellStyle name="표준 7 2 3 2 2 3 2 2" xfId="8033"/>
    <cellStyle name="표준 7 2 3 2 2 3 2 2 2" xfId="8034"/>
    <cellStyle name="표준 7 2 3 2 2 3 2 2 2 2" xfId="8035"/>
    <cellStyle name="표준 7 2 3 2 2 3 2 2 2 2 2" xfId="15519"/>
    <cellStyle name="표준 7 2 3 2 2 3 2 2 2 2 2 2" xfId="37986"/>
    <cellStyle name="표준 7 2 3 2 2 3 2 2 2 2 3" xfId="23003"/>
    <cellStyle name="표준 7 2 3 2 2 3 2 2 2 2 3 2" xfId="45468"/>
    <cellStyle name="표준 7 2 3 2 2 3 2 2 2 2 4" xfId="30504"/>
    <cellStyle name="표준 7 2 3 2 2 3 2 2 2 3" xfId="15518"/>
    <cellStyle name="표준 7 2 3 2 2 3 2 2 2 3 2" xfId="37985"/>
    <cellStyle name="표준 7 2 3 2 2 3 2 2 2 4" xfId="23002"/>
    <cellStyle name="표준 7 2 3 2 2 3 2 2 2 4 2" xfId="45467"/>
    <cellStyle name="표준 7 2 3 2 2 3 2 2 2 5" xfId="30503"/>
    <cellStyle name="표준 7 2 3 2 2 3 2 2 3" xfId="8036"/>
    <cellStyle name="표준 7 2 3 2 2 3 2 2 3 2" xfId="15520"/>
    <cellStyle name="표준 7 2 3 2 2 3 2 2 3 2 2" xfId="37987"/>
    <cellStyle name="표준 7 2 3 2 2 3 2 2 3 3" xfId="23004"/>
    <cellStyle name="표준 7 2 3 2 2 3 2 2 3 3 2" xfId="45469"/>
    <cellStyle name="표준 7 2 3 2 2 3 2 2 3 4" xfId="30505"/>
    <cellStyle name="표준 7 2 3 2 2 3 2 2 4" xfId="15517"/>
    <cellStyle name="표준 7 2 3 2 2 3 2 2 4 2" xfId="37984"/>
    <cellStyle name="표준 7 2 3 2 2 3 2 2 5" xfId="23001"/>
    <cellStyle name="표준 7 2 3 2 2 3 2 2 5 2" xfId="45466"/>
    <cellStyle name="표준 7 2 3 2 2 3 2 2 6" xfId="30502"/>
    <cellStyle name="표준 7 2 3 2 2 3 2 3" xfId="8037"/>
    <cellStyle name="표준 7 2 3 2 2 3 2 3 2" xfId="8038"/>
    <cellStyle name="표준 7 2 3 2 2 3 2 3 2 2" xfId="15522"/>
    <cellStyle name="표준 7 2 3 2 2 3 2 3 2 2 2" xfId="37989"/>
    <cellStyle name="표준 7 2 3 2 2 3 2 3 2 3" xfId="23006"/>
    <cellStyle name="표준 7 2 3 2 2 3 2 3 2 3 2" xfId="45471"/>
    <cellStyle name="표준 7 2 3 2 2 3 2 3 2 4" xfId="30507"/>
    <cellStyle name="표준 7 2 3 2 2 3 2 3 3" xfId="15521"/>
    <cellStyle name="표준 7 2 3 2 2 3 2 3 3 2" xfId="37988"/>
    <cellStyle name="표준 7 2 3 2 2 3 2 3 4" xfId="23005"/>
    <cellStyle name="표준 7 2 3 2 2 3 2 3 4 2" xfId="45470"/>
    <cellStyle name="표준 7 2 3 2 2 3 2 3 5" xfId="30506"/>
    <cellStyle name="표준 7 2 3 2 2 3 2 4" xfId="8039"/>
    <cellStyle name="표준 7 2 3 2 2 3 2 4 2" xfId="15523"/>
    <cellStyle name="표준 7 2 3 2 2 3 2 4 2 2" xfId="37990"/>
    <cellStyle name="표준 7 2 3 2 2 3 2 4 3" xfId="23007"/>
    <cellStyle name="표준 7 2 3 2 2 3 2 4 3 2" xfId="45472"/>
    <cellStyle name="표준 7 2 3 2 2 3 2 4 4" xfId="30508"/>
    <cellStyle name="표준 7 2 3 2 2 3 2 5" xfId="15516"/>
    <cellStyle name="표준 7 2 3 2 2 3 2 5 2" xfId="37983"/>
    <cellStyle name="표준 7 2 3 2 2 3 2 6" xfId="23000"/>
    <cellStyle name="표준 7 2 3 2 2 3 2 6 2" xfId="45465"/>
    <cellStyle name="표준 7 2 3 2 2 3 2 7" xfId="30501"/>
    <cellStyle name="표준 7 2 3 2 2 3 3" xfId="8040"/>
    <cellStyle name="표준 7 2 3 2 2 3 3 2" xfId="8041"/>
    <cellStyle name="표준 7 2 3 2 2 3 3 2 2" xfId="8042"/>
    <cellStyle name="표준 7 2 3 2 2 3 3 2 2 2" xfId="15526"/>
    <cellStyle name="표준 7 2 3 2 2 3 3 2 2 2 2" xfId="37993"/>
    <cellStyle name="표준 7 2 3 2 2 3 3 2 2 3" xfId="23010"/>
    <cellStyle name="표준 7 2 3 2 2 3 3 2 2 3 2" xfId="45475"/>
    <cellStyle name="표준 7 2 3 2 2 3 3 2 2 4" xfId="30511"/>
    <cellStyle name="표준 7 2 3 2 2 3 3 2 3" xfId="15525"/>
    <cellStyle name="표준 7 2 3 2 2 3 3 2 3 2" xfId="37992"/>
    <cellStyle name="표준 7 2 3 2 2 3 3 2 4" xfId="23009"/>
    <cellStyle name="표준 7 2 3 2 2 3 3 2 4 2" xfId="45474"/>
    <cellStyle name="표준 7 2 3 2 2 3 3 2 5" xfId="30510"/>
    <cellStyle name="표준 7 2 3 2 2 3 3 3" xfId="8043"/>
    <cellStyle name="표준 7 2 3 2 2 3 3 3 2" xfId="15527"/>
    <cellStyle name="표준 7 2 3 2 2 3 3 3 2 2" xfId="37994"/>
    <cellStyle name="표준 7 2 3 2 2 3 3 3 3" xfId="23011"/>
    <cellStyle name="표준 7 2 3 2 2 3 3 3 3 2" xfId="45476"/>
    <cellStyle name="표준 7 2 3 2 2 3 3 3 4" xfId="30512"/>
    <cellStyle name="표준 7 2 3 2 2 3 3 4" xfId="15524"/>
    <cellStyle name="표준 7 2 3 2 2 3 3 4 2" xfId="37991"/>
    <cellStyle name="표준 7 2 3 2 2 3 3 5" xfId="23008"/>
    <cellStyle name="표준 7 2 3 2 2 3 3 5 2" xfId="45473"/>
    <cellStyle name="표준 7 2 3 2 2 3 3 6" xfId="30509"/>
    <cellStyle name="표준 7 2 3 2 2 3 4" xfId="8044"/>
    <cellStyle name="표준 7 2 3 2 2 3 4 2" xfId="8045"/>
    <cellStyle name="표준 7 2 3 2 2 3 4 2 2" xfId="15529"/>
    <cellStyle name="표준 7 2 3 2 2 3 4 2 2 2" xfId="37996"/>
    <cellStyle name="표준 7 2 3 2 2 3 4 2 3" xfId="23013"/>
    <cellStyle name="표준 7 2 3 2 2 3 4 2 3 2" xfId="45478"/>
    <cellStyle name="표준 7 2 3 2 2 3 4 2 4" xfId="30514"/>
    <cellStyle name="표준 7 2 3 2 2 3 4 3" xfId="15528"/>
    <cellStyle name="표준 7 2 3 2 2 3 4 3 2" xfId="37995"/>
    <cellStyle name="표준 7 2 3 2 2 3 4 4" xfId="23012"/>
    <cellStyle name="표준 7 2 3 2 2 3 4 4 2" xfId="45477"/>
    <cellStyle name="표준 7 2 3 2 2 3 4 5" xfId="30513"/>
    <cellStyle name="표준 7 2 3 2 2 3 5" xfId="8046"/>
    <cellStyle name="표준 7 2 3 2 2 3 5 2" xfId="15530"/>
    <cellStyle name="표준 7 2 3 2 2 3 5 2 2" xfId="37997"/>
    <cellStyle name="표준 7 2 3 2 2 3 5 3" xfId="23014"/>
    <cellStyle name="표준 7 2 3 2 2 3 5 3 2" xfId="45479"/>
    <cellStyle name="표준 7 2 3 2 2 3 5 4" xfId="30515"/>
    <cellStyle name="표준 7 2 3 2 2 3 6" xfId="15515"/>
    <cellStyle name="표준 7 2 3 2 2 3 6 2" xfId="37982"/>
    <cellStyle name="표준 7 2 3 2 2 3 7" xfId="22999"/>
    <cellStyle name="표준 7 2 3 2 2 3 7 2" xfId="45464"/>
    <cellStyle name="표준 7 2 3 2 2 3 8" xfId="30500"/>
    <cellStyle name="표준 7 2 3 2 2 4" xfId="8047"/>
    <cellStyle name="표준 7 2 3 2 2 4 2" xfId="8048"/>
    <cellStyle name="표준 7 2 3 2 2 4 2 2" xfId="8049"/>
    <cellStyle name="표준 7 2 3 2 2 4 2 2 2" xfId="8050"/>
    <cellStyle name="표준 7 2 3 2 2 4 2 2 2 2" xfId="15534"/>
    <cellStyle name="표준 7 2 3 2 2 4 2 2 2 2 2" xfId="38001"/>
    <cellStyle name="표준 7 2 3 2 2 4 2 2 2 3" xfId="23018"/>
    <cellStyle name="표준 7 2 3 2 2 4 2 2 2 3 2" xfId="45483"/>
    <cellStyle name="표준 7 2 3 2 2 4 2 2 2 4" xfId="30519"/>
    <cellStyle name="표준 7 2 3 2 2 4 2 2 3" xfId="15533"/>
    <cellStyle name="표준 7 2 3 2 2 4 2 2 3 2" xfId="38000"/>
    <cellStyle name="표준 7 2 3 2 2 4 2 2 4" xfId="23017"/>
    <cellStyle name="표준 7 2 3 2 2 4 2 2 4 2" xfId="45482"/>
    <cellStyle name="표준 7 2 3 2 2 4 2 2 5" xfId="30518"/>
    <cellStyle name="표준 7 2 3 2 2 4 2 3" xfId="8051"/>
    <cellStyle name="표준 7 2 3 2 2 4 2 3 2" xfId="15535"/>
    <cellStyle name="표준 7 2 3 2 2 4 2 3 2 2" xfId="38002"/>
    <cellStyle name="표준 7 2 3 2 2 4 2 3 3" xfId="23019"/>
    <cellStyle name="표준 7 2 3 2 2 4 2 3 3 2" xfId="45484"/>
    <cellStyle name="표준 7 2 3 2 2 4 2 3 4" xfId="30520"/>
    <cellStyle name="표준 7 2 3 2 2 4 2 4" xfId="15532"/>
    <cellStyle name="표준 7 2 3 2 2 4 2 4 2" xfId="37999"/>
    <cellStyle name="표준 7 2 3 2 2 4 2 5" xfId="23016"/>
    <cellStyle name="표준 7 2 3 2 2 4 2 5 2" xfId="45481"/>
    <cellStyle name="표준 7 2 3 2 2 4 2 6" xfId="30517"/>
    <cellStyle name="표준 7 2 3 2 2 4 3" xfId="8052"/>
    <cellStyle name="표준 7 2 3 2 2 4 3 2" xfId="8053"/>
    <cellStyle name="표준 7 2 3 2 2 4 3 2 2" xfId="15537"/>
    <cellStyle name="표준 7 2 3 2 2 4 3 2 2 2" xfId="38004"/>
    <cellStyle name="표준 7 2 3 2 2 4 3 2 3" xfId="23021"/>
    <cellStyle name="표준 7 2 3 2 2 4 3 2 3 2" xfId="45486"/>
    <cellStyle name="표준 7 2 3 2 2 4 3 2 4" xfId="30522"/>
    <cellStyle name="표준 7 2 3 2 2 4 3 3" xfId="15536"/>
    <cellStyle name="표준 7 2 3 2 2 4 3 3 2" xfId="38003"/>
    <cellStyle name="표준 7 2 3 2 2 4 3 4" xfId="23020"/>
    <cellStyle name="표준 7 2 3 2 2 4 3 4 2" xfId="45485"/>
    <cellStyle name="표준 7 2 3 2 2 4 3 5" xfId="30521"/>
    <cellStyle name="표준 7 2 3 2 2 4 4" xfId="8054"/>
    <cellStyle name="표준 7 2 3 2 2 4 4 2" xfId="15538"/>
    <cellStyle name="표준 7 2 3 2 2 4 4 2 2" xfId="38005"/>
    <cellStyle name="표준 7 2 3 2 2 4 4 3" xfId="23022"/>
    <cellStyle name="표준 7 2 3 2 2 4 4 3 2" xfId="45487"/>
    <cellStyle name="표준 7 2 3 2 2 4 4 4" xfId="30523"/>
    <cellStyle name="표준 7 2 3 2 2 4 5" xfId="15531"/>
    <cellStyle name="표준 7 2 3 2 2 4 5 2" xfId="37998"/>
    <cellStyle name="표준 7 2 3 2 2 4 6" xfId="23015"/>
    <cellStyle name="표준 7 2 3 2 2 4 6 2" xfId="45480"/>
    <cellStyle name="표준 7 2 3 2 2 4 7" xfId="30516"/>
    <cellStyle name="표준 7 2 3 2 2 5" xfId="8055"/>
    <cellStyle name="표준 7 2 3 2 2 5 2" xfId="8056"/>
    <cellStyle name="표준 7 2 3 2 2 5 2 2" xfId="8057"/>
    <cellStyle name="표준 7 2 3 2 2 5 2 2 2" xfId="15541"/>
    <cellStyle name="표준 7 2 3 2 2 5 2 2 2 2" xfId="38008"/>
    <cellStyle name="표준 7 2 3 2 2 5 2 2 3" xfId="23025"/>
    <cellStyle name="표준 7 2 3 2 2 5 2 2 3 2" xfId="45490"/>
    <cellStyle name="표준 7 2 3 2 2 5 2 2 4" xfId="30526"/>
    <cellStyle name="표준 7 2 3 2 2 5 2 3" xfId="15540"/>
    <cellStyle name="표준 7 2 3 2 2 5 2 3 2" xfId="38007"/>
    <cellStyle name="표준 7 2 3 2 2 5 2 4" xfId="23024"/>
    <cellStyle name="표준 7 2 3 2 2 5 2 4 2" xfId="45489"/>
    <cellStyle name="표준 7 2 3 2 2 5 2 5" xfId="30525"/>
    <cellStyle name="표준 7 2 3 2 2 5 3" xfId="8058"/>
    <cellStyle name="표준 7 2 3 2 2 5 3 2" xfId="15542"/>
    <cellStyle name="표준 7 2 3 2 2 5 3 2 2" xfId="38009"/>
    <cellStyle name="표준 7 2 3 2 2 5 3 3" xfId="23026"/>
    <cellStyle name="표준 7 2 3 2 2 5 3 3 2" xfId="45491"/>
    <cellStyle name="표준 7 2 3 2 2 5 3 4" xfId="30527"/>
    <cellStyle name="표준 7 2 3 2 2 5 4" xfId="15539"/>
    <cellStyle name="표준 7 2 3 2 2 5 4 2" xfId="38006"/>
    <cellStyle name="표준 7 2 3 2 2 5 5" xfId="23023"/>
    <cellStyle name="표준 7 2 3 2 2 5 5 2" xfId="45488"/>
    <cellStyle name="표준 7 2 3 2 2 5 6" xfId="30524"/>
    <cellStyle name="표준 7 2 3 2 2 6" xfId="8059"/>
    <cellStyle name="표준 7 2 3 2 2 6 2" xfId="8060"/>
    <cellStyle name="표준 7 2 3 2 2 6 2 2" xfId="15544"/>
    <cellStyle name="표준 7 2 3 2 2 6 2 2 2" xfId="38011"/>
    <cellStyle name="표준 7 2 3 2 2 6 2 3" xfId="23028"/>
    <cellStyle name="표준 7 2 3 2 2 6 2 3 2" xfId="45493"/>
    <cellStyle name="표준 7 2 3 2 2 6 2 4" xfId="30529"/>
    <cellStyle name="표준 7 2 3 2 2 6 3" xfId="15543"/>
    <cellStyle name="표준 7 2 3 2 2 6 3 2" xfId="38010"/>
    <cellStyle name="표준 7 2 3 2 2 6 4" xfId="23027"/>
    <cellStyle name="표준 7 2 3 2 2 6 4 2" xfId="45492"/>
    <cellStyle name="표준 7 2 3 2 2 6 5" xfId="30528"/>
    <cellStyle name="표준 7 2 3 2 2 7" xfId="8061"/>
    <cellStyle name="표준 7 2 3 2 2 7 2" xfId="15545"/>
    <cellStyle name="표준 7 2 3 2 2 7 2 2" xfId="38012"/>
    <cellStyle name="표준 7 2 3 2 2 7 3" xfId="23029"/>
    <cellStyle name="표준 7 2 3 2 2 7 3 2" xfId="45494"/>
    <cellStyle name="표준 7 2 3 2 2 7 4" xfId="30530"/>
    <cellStyle name="표준 7 2 3 2 2 8" xfId="15498"/>
    <cellStyle name="표준 7 2 3 2 2 8 2" xfId="37965"/>
    <cellStyle name="표준 7 2 3 2 2 9" xfId="22982"/>
    <cellStyle name="표준 7 2 3 2 2 9 2" xfId="45447"/>
    <cellStyle name="표준 7 2 3 2 3" xfId="8062"/>
    <cellStyle name="표준 7 2 3 2 3 2" xfId="8063"/>
    <cellStyle name="표준 7 2 3 2 3 2 2" xfId="8064"/>
    <cellStyle name="표준 7 2 3 2 3 2 2 2" xfId="8065"/>
    <cellStyle name="표준 7 2 3 2 3 2 2 2 2" xfId="8066"/>
    <cellStyle name="표준 7 2 3 2 3 2 2 2 2 2" xfId="15550"/>
    <cellStyle name="표준 7 2 3 2 3 2 2 2 2 2 2" xfId="38017"/>
    <cellStyle name="표준 7 2 3 2 3 2 2 2 2 3" xfId="23034"/>
    <cellStyle name="표준 7 2 3 2 3 2 2 2 2 3 2" xfId="45499"/>
    <cellStyle name="표준 7 2 3 2 3 2 2 2 2 4" xfId="30535"/>
    <cellStyle name="표준 7 2 3 2 3 2 2 2 3" xfId="15549"/>
    <cellStyle name="표준 7 2 3 2 3 2 2 2 3 2" xfId="38016"/>
    <cellStyle name="표준 7 2 3 2 3 2 2 2 4" xfId="23033"/>
    <cellStyle name="표준 7 2 3 2 3 2 2 2 4 2" xfId="45498"/>
    <cellStyle name="표준 7 2 3 2 3 2 2 2 5" xfId="30534"/>
    <cellStyle name="표준 7 2 3 2 3 2 2 3" xfId="8067"/>
    <cellStyle name="표준 7 2 3 2 3 2 2 3 2" xfId="15551"/>
    <cellStyle name="표준 7 2 3 2 3 2 2 3 2 2" xfId="38018"/>
    <cellStyle name="표준 7 2 3 2 3 2 2 3 3" xfId="23035"/>
    <cellStyle name="표준 7 2 3 2 3 2 2 3 3 2" xfId="45500"/>
    <cellStyle name="표준 7 2 3 2 3 2 2 3 4" xfId="30536"/>
    <cellStyle name="표준 7 2 3 2 3 2 2 4" xfId="15548"/>
    <cellStyle name="표준 7 2 3 2 3 2 2 4 2" xfId="38015"/>
    <cellStyle name="표준 7 2 3 2 3 2 2 5" xfId="23032"/>
    <cellStyle name="표준 7 2 3 2 3 2 2 5 2" xfId="45497"/>
    <cellStyle name="표준 7 2 3 2 3 2 2 6" xfId="30533"/>
    <cellStyle name="표준 7 2 3 2 3 2 3" xfId="8068"/>
    <cellStyle name="표준 7 2 3 2 3 2 3 2" xfId="8069"/>
    <cellStyle name="표준 7 2 3 2 3 2 3 2 2" xfId="15553"/>
    <cellStyle name="표준 7 2 3 2 3 2 3 2 2 2" xfId="38020"/>
    <cellStyle name="표준 7 2 3 2 3 2 3 2 3" xfId="23037"/>
    <cellStyle name="표준 7 2 3 2 3 2 3 2 3 2" xfId="45502"/>
    <cellStyle name="표준 7 2 3 2 3 2 3 2 4" xfId="30538"/>
    <cellStyle name="표준 7 2 3 2 3 2 3 3" xfId="15552"/>
    <cellStyle name="표준 7 2 3 2 3 2 3 3 2" xfId="38019"/>
    <cellStyle name="표준 7 2 3 2 3 2 3 4" xfId="23036"/>
    <cellStyle name="표준 7 2 3 2 3 2 3 4 2" xfId="45501"/>
    <cellStyle name="표준 7 2 3 2 3 2 3 5" xfId="30537"/>
    <cellStyle name="표준 7 2 3 2 3 2 4" xfId="8070"/>
    <cellStyle name="표준 7 2 3 2 3 2 4 2" xfId="15554"/>
    <cellStyle name="표준 7 2 3 2 3 2 4 2 2" xfId="38021"/>
    <cellStyle name="표준 7 2 3 2 3 2 4 3" xfId="23038"/>
    <cellStyle name="표준 7 2 3 2 3 2 4 3 2" xfId="45503"/>
    <cellStyle name="표준 7 2 3 2 3 2 4 4" xfId="30539"/>
    <cellStyle name="표준 7 2 3 2 3 2 5" xfId="15547"/>
    <cellStyle name="표준 7 2 3 2 3 2 5 2" xfId="38014"/>
    <cellStyle name="표준 7 2 3 2 3 2 6" xfId="23031"/>
    <cellStyle name="표준 7 2 3 2 3 2 6 2" xfId="45496"/>
    <cellStyle name="표준 7 2 3 2 3 2 7" xfId="30532"/>
    <cellStyle name="표준 7 2 3 2 3 3" xfId="8071"/>
    <cellStyle name="표준 7 2 3 2 3 3 2" xfId="8072"/>
    <cellStyle name="표준 7 2 3 2 3 3 2 2" xfId="8073"/>
    <cellStyle name="표준 7 2 3 2 3 3 2 2 2" xfId="15557"/>
    <cellStyle name="표준 7 2 3 2 3 3 2 2 2 2" xfId="38024"/>
    <cellStyle name="표준 7 2 3 2 3 3 2 2 3" xfId="23041"/>
    <cellStyle name="표준 7 2 3 2 3 3 2 2 3 2" xfId="45506"/>
    <cellStyle name="표준 7 2 3 2 3 3 2 2 4" xfId="30542"/>
    <cellStyle name="표준 7 2 3 2 3 3 2 3" xfId="15556"/>
    <cellStyle name="표준 7 2 3 2 3 3 2 3 2" xfId="38023"/>
    <cellStyle name="표준 7 2 3 2 3 3 2 4" xfId="23040"/>
    <cellStyle name="표준 7 2 3 2 3 3 2 4 2" xfId="45505"/>
    <cellStyle name="표준 7 2 3 2 3 3 2 5" xfId="30541"/>
    <cellStyle name="표준 7 2 3 2 3 3 3" xfId="8074"/>
    <cellStyle name="표준 7 2 3 2 3 3 3 2" xfId="15558"/>
    <cellStyle name="표준 7 2 3 2 3 3 3 2 2" xfId="38025"/>
    <cellStyle name="표준 7 2 3 2 3 3 3 3" xfId="23042"/>
    <cellStyle name="표준 7 2 3 2 3 3 3 3 2" xfId="45507"/>
    <cellStyle name="표준 7 2 3 2 3 3 3 4" xfId="30543"/>
    <cellStyle name="표준 7 2 3 2 3 3 4" xfId="15555"/>
    <cellStyle name="표준 7 2 3 2 3 3 4 2" xfId="38022"/>
    <cellStyle name="표준 7 2 3 2 3 3 5" xfId="23039"/>
    <cellStyle name="표준 7 2 3 2 3 3 5 2" xfId="45504"/>
    <cellStyle name="표준 7 2 3 2 3 3 6" xfId="30540"/>
    <cellStyle name="표준 7 2 3 2 3 4" xfId="8075"/>
    <cellStyle name="표준 7 2 3 2 3 4 2" xfId="8076"/>
    <cellStyle name="표준 7 2 3 2 3 4 2 2" xfId="15560"/>
    <cellStyle name="표준 7 2 3 2 3 4 2 2 2" xfId="38027"/>
    <cellStyle name="표준 7 2 3 2 3 4 2 3" xfId="23044"/>
    <cellStyle name="표준 7 2 3 2 3 4 2 3 2" xfId="45509"/>
    <cellStyle name="표준 7 2 3 2 3 4 2 4" xfId="30545"/>
    <cellStyle name="표준 7 2 3 2 3 4 3" xfId="15559"/>
    <cellStyle name="표준 7 2 3 2 3 4 3 2" xfId="38026"/>
    <cellStyle name="표준 7 2 3 2 3 4 4" xfId="23043"/>
    <cellStyle name="표준 7 2 3 2 3 4 4 2" xfId="45508"/>
    <cellStyle name="표준 7 2 3 2 3 4 5" xfId="30544"/>
    <cellStyle name="표준 7 2 3 2 3 5" xfId="8077"/>
    <cellStyle name="표준 7 2 3 2 3 5 2" xfId="15561"/>
    <cellStyle name="표준 7 2 3 2 3 5 2 2" xfId="38028"/>
    <cellStyle name="표준 7 2 3 2 3 5 3" xfId="23045"/>
    <cellStyle name="표준 7 2 3 2 3 5 3 2" xfId="45510"/>
    <cellStyle name="표준 7 2 3 2 3 5 4" xfId="30546"/>
    <cellStyle name="표준 7 2 3 2 3 6" xfId="15546"/>
    <cellStyle name="표준 7 2 3 2 3 6 2" xfId="38013"/>
    <cellStyle name="표준 7 2 3 2 3 7" xfId="23030"/>
    <cellStyle name="표준 7 2 3 2 3 7 2" xfId="45495"/>
    <cellStyle name="표준 7 2 3 2 3 8" xfId="30531"/>
    <cellStyle name="표준 7 2 3 2 4" xfId="8078"/>
    <cellStyle name="표준 7 2 3 2 4 2" xfId="8079"/>
    <cellStyle name="표준 7 2 3 2 4 2 2" xfId="8080"/>
    <cellStyle name="표준 7 2 3 2 4 2 2 2" xfId="8081"/>
    <cellStyle name="표준 7 2 3 2 4 2 2 2 2" xfId="8082"/>
    <cellStyle name="표준 7 2 3 2 4 2 2 2 2 2" xfId="15566"/>
    <cellStyle name="표준 7 2 3 2 4 2 2 2 2 2 2" xfId="38033"/>
    <cellStyle name="표준 7 2 3 2 4 2 2 2 2 3" xfId="23050"/>
    <cellStyle name="표준 7 2 3 2 4 2 2 2 2 3 2" xfId="45515"/>
    <cellStyle name="표준 7 2 3 2 4 2 2 2 2 4" xfId="30551"/>
    <cellStyle name="표준 7 2 3 2 4 2 2 2 3" xfId="15565"/>
    <cellStyle name="표준 7 2 3 2 4 2 2 2 3 2" xfId="38032"/>
    <cellStyle name="표준 7 2 3 2 4 2 2 2 4" xfId="23049"/>
    <cellStyle name="표준 7 2 3 2 4 2 2 2 4 2" xfId="45514"/>
    <cellStyle name="표준 7 2 3 2 4 2 2 2 5" xfId="30550"/>
    <cellStyle name="표준 7 2 3 2 4 2 2 3" xfId="8083"/>
    <cellStyle name="표준 7 2 3 2 4 2 2 3 2" xfId="15567"/>
    <cellStyle name="표준 7 2 3 2 4 2 2 3 2 2" xfId="38034"/>
    <cellStyle name="표준 7 2 3 2 4 2 2 3 3" xfId="23051"/>
    <cellStyle name="표준 7 2 3 2 4 2 2 3 3 2" xfId="45516"/>
    <cellStyle name="표준 7 2 3 2 4 2 2 3 4" xfId="30552"/>
    <cellStyle name="표준 7 2 3 2 4 2 2 4" xfId="15564"/>
    <cellStyle name="표준 7 2 3 2 4 2 2 4 2" xfId="38031"/>
    <cellStyle name="표준 7 2 3 2 4 2 2 5" xfId="23048"/>
    <cellStyle name="표준 7 2 3 2 4 2 2 5 2" xfId="45513"/>
    <cellStyle name="표준 7 2 3 2 4 2 2 6" xfId="30549"/>
    <cellStyle name="표준 7 2 3 2 4 2 3" xfId="8084"/>
    <cellStyle name="표준 7 2 3 2 4 2 3 2" xfId="8085"/>
    <cellStyle name="표준 7 2 3 2 4 2 3 2 2" xfId="15569"/>
    <cellStyle name="표준 7 2 3 2 4 2 3 2 2 2" xfId="38036"/>
    <cellStyle name="표준 7 2 3 2 4 2 3 2 3" xfId="23053"/>
    <cellStyle name="표준 7 2 3 2 4 2 3 2 3 2" xfId="45518"/>
    <cellStyle name="표준 7 2 3 2 4 2 3 2 4" xfId="30554"/>
    <cellStyle name="표준 7 2 3 2 4 2 3 3" xfId="15568"/>
    <cellStyle name="표준 7 2 3 2 4 2 3 3 2" xfId="38035"/>
    <cellStyle name="표준 7 2 3 2 4 2 3 4" xfId="23052"/>
    <cellStyle name="표준 7 2 3 2 4 2 3 4 2" xfId="45517"/>
    <cellStyle name="표준 7 2 3 2 4 2 3 5" xfId="30553"/>
    <cellStyle name="표준 7 2 3 2 4 2 4" xfId="8086"/>
    <cellStyle name="표준 7 2 3 2 4 2 4 2" xfId="15570"/>
    <cellStyle name="표준 7 2 3 2 4 2 4 2 2" xfId="38037"/>
    <cellStyle name="표준 7 2 3 2 4 2 4 3" xfId="23054"/>
    <cellStyle name="표준 7 2 3 2 4 2 4 3 2" xfId="45519"/>
    <cellStyle name="표준 7 2 3 2 4 2 4 4" xfId="30555"/>
    <cellStyle name="표준 7 2 3 2 4 2 5" xfId="15563"/>
    <cellStyle name="표준 7 2 3 2 4 2 5 2" xfId="38030"/>
    <cellStyle name="표준 7 2 3 2 4 2 6" xfId="23047"/>
    <cellStyle name="표준 7 2 3 2 4 2 6 2" xfId="45512"/>
    <cellStyle name="표준 7 2 3 2 4 2 7" xfId="30548"/>
    <cellStyle name="표준 7 2 3 2 4 3" xfId="8087"/>
    <cellStyle name="표준 7 2 3 2 4 3 2" xfId="8088"/>
    <cellStyle name="표준 7 2 3 2 4 3 2 2" xfId="8089"/>
    <cellStyle name="표준 7 2 3 2 4 3 2 2 2" xfId="15573"/>
    <cellStyle name="표준 7 2 3 2 4 3 2 2 2 2" xfId="38040"/>
    <cellStyle name="표준 7 2 3 2 4 3 2 2 3" xfId="23057"/>
    <cellStyle name="표준 7 2 3 2 4 3 2 2 3 2" xfId="45522"/>
    <cellStyle name="표준 7 2 3 2 4 3 2 2 4" xfId="30558"/>
    <cellStyle name="표준 7 2 3 2 4 3 2 3" xfId="15572"/>
    <cellStyle name="표준 7 2 3 2 4 3 2 3 2" xfId="38039"/>
    <cellStyle name="표준 7 2 3 2 4 3 2 4" xfId="23056"/>
    <cellStyle name="표준 7 2 3 2 4 3 2 4 2" xfId="45521"/>
    <cellStyle name="표준 7 2 3 2 4 3 2 5" xfId="30557"/>
    <cellStyle name="표준 7 2 3 2 4 3 3" xfId="8090"/>
    <cellStyle name="표준 7 2 3 2 4 3 3 2" xfId="15574"/>
    <cellStyle name="표준 7 2 3 2 4 3 3 2 2" xfId="38041"/>
    <cellStyle name="표준 7 2 3 2 4 3 3 3" xfId="23058"/>
    <cellStyle name="표준 7 2 3 2 4 3 3 3 2" xfId="45523"/>
    <cellStyle name="표준 7 2 3 2 4 3 3 4" xfId="30559"/>
    <cellStyle name="표준 7 2 3 2 4 3 4" xfId="15571"/>
    <cellStyle name="표준 7 2 3 2 4 3 4 2" xfId="38038"/>
    <cellStyle name="표준 7 2 3 2 4 3 5" xfId="23055"/>
    <cellStyle name="표준 7 2 3 2 4 3 5 2" xfId="45520"/>
    <cellStyle name="표준 7 2 3 2 4 3 6" xfId="30556"/>
    <cellStyle name="표준 7 2 3 2 4 4" xfId="8091"/>
    <cellStyle name="표준 7 2 3 2 4 4 2" xfId="8092"/>
    <cellStyle name="표준 7 2 3 2 4 4 2 2" xfId="15576"/>
    <cellStyle name="표준 7 2 3 2 4 4 2 2 2" xfId="38043"/>
    <cellStyle name="표준 7 2 3 2 4 4 2 3" xfId="23060"/>
    <cellStyle name="표준 7 2 3 2 4 4 2 3 2" xfId="45525"/>
    <cellStyle name="표준 7 2 3 2 4 4 2 4" xfId="30561"/>
    <cellStyle name="표준 7 2 3 2 4 4 3" xfId="15575"/>
    <cellStyle name="표준 7 2 3 2 4 4 3 2" xfId="38042"/>
    <cellStyle name="표준 7 2 3 2 4 4 4" xfId="23059"/>
    <cellStyle name="표준 7 2 3 2 4 4 4 2" xfId="45524"/>
    <cellStyle name="표준 7 2 3 2 4 4 5" xfId="30560"/>
    <cellStyle name="표준 7 2 3 2 4 5" xfId="8093"/>
    <cellStyle name="표준 7 2 3 2 4 5 2" xfId="15577"/>
    <cellStyle name="표준 7 2 3 2 4 5 2 2" xfId="38044"/>
    <cellStyle name="표준 7 2 3 2 4 5 3" xfId="23061"/>
    <cellStyle name="표준 7 2 3 2 4 5 3 2" xfId="45526"/>
    <cellStyle name="표준 7 2 3 2 4 5 4" xfId="30562"/>
    <cellStyle name="표준 7 2 3 2 4 6" xfId="15562"/>
    <cellStyle name="표준 7 2 3 2 4 6 2" xfId="38029"/>
    <cellStyle name="표준 7 2 3 2 4 7" xfId="23046"/>
    <cellStyle name="표준 7 2 3 2 4 7 2" xfId="45511"/>
    <cellStyle name="표준 7 2 3 2 4 8" xfId="30547"/>
    <cellStyle name="표준 7 2 3 2 5" xfId="8094"/>
    <cellStyle name="표준 7 2 3 2 5 2" xfId="8095"/>
    <cellStyle name="표준 7 2 3 2 5 2 2" xfId="8096"/>
    <cellStyle name="표준 7 2 3 2 5 2 2 2" xfId="8097"/>
    <cellStyle name="표준 7 2 3 2 5 2 2 2 2" xfId="15581"/>
    <cellStyle name="표준 7 2 3 2 5 2 2 2 2 2" xfId="38048"/>
    <cellStyle name="표준 7 2 3 2 5 2 2 2 3" xfId="23065"/>
    <cellStyle name="표준 7 2 3 2 5 2 2 2 3 2" xfId="45530"/>
    <cellStyle name="표준 7 2 3 2 5 2 2 2 4" xfId="30566"/>
    <cellStyle name="표준 7 2 3 2 5 2 2 3" xfId="15580"/>
    <cellStyle name="표준 7 2 3 2 5 2 2 3 2" xfId="38047"/>
    <cellStyle name="표준 7 2 3 2 5 2 2 4" xfId="23064"/>
    <cellStyle name="표준 7 2 3 2 5 2 2 4 2" xfId="45529"/>
    <cellStyle name="표준 7 2 3 2 5 2 2 5" xfId="30565"/>
    <cellStyle name="표준 7 2 3 2 5 2 3" xfId="8098"/>
    <cellStyle name="표준 7 2 3 2 5 2 3 2" xfId="15582"/>
    <cellStyle name="표준 7 2 3 2 5 2 3 2 2" xfId="38049"/>
    <cellStyle name="표준 7 2 3 2 5 2 3 3" xfId="23066"/>
    <cellStyle name="표준 7 2 3 2 5 2 3 3 2" xfId="45531"/>
    <cellStyle name="표준 7 2 3 2 5 2 3 4" xfId="30567"/>
    <cellStyle name="표준 7 2 3 2 5 2 4" xfId="15579"/>
    <cellStyle name="표준 7 2 3 2 5 2 4 2" xfId="38046"/>
    <cellStyle name="표준 7 2 3 2 5 2 5" xfId="23063"/>
    <cellStyle name="표준 7 2 3 2 5 2 5 2" xfId="45528"/>
    <cellStyle name="표준 7 2 3 2 5 2 6" xfId="30564"/>
    <cellStyle name="표준 7 2 3 2 5 3" xfId="8099"/>
    <cellStyle name="표준 7 2 3 2 5 3 2" xfId="8100"/>
    <cellStyle name="표준 7 2 3 2 5 3 2 2" xfId="15584"/>
    <cellStyle name="표준 7 2 3 2 5 3 2 2 2" xfId="38051"/>
    <cellStyle name="표준 7 2 3 2 5 3 2 3" xfId="23068"/>
    <cellStyle name="표준 7 2 3 2 5 3 2 3 2" xfId="45533"/>
    <cellStyle name="표준 7 2 3 2 5 3 2 4" xfId="30569"/>
    <cellStyle name="표준 7 2 3 2 5 3 3" xfId="15583"/>
    <cellStyle name="표준 7 2 3 2 5 3 3 2" xfId="38050"/>
    <cellStyle name="표준 7 2 3 2 5 3 4" xfId="23067"/>
    <cellStyle name="표준 7 2 3 2 5 3 4 2" xfId="45532"/>
    <cellStyle name="표준 7 2 3 2 5 3 5" xfId="30568"/>
    <cellStyle name="표준 7 2 3 2 5 4" xfId="8101"/>
    <cellStyle name="표준 7 2 3 2 5 4 2" xfId="15585"/>
    <cellStyle name="표준 7 2 3 2 5 4 2 2" xfId="38052"/>
    <cellStyle name="표준 7 2 3 2 5 4 3" xfId="23069"/>
    <cellStyle name="표준 7 2 3 2 5 4 3 2" xfId="45534"/>
    <cellStyle name="표준 7 2 3 2 5 4 4" xfId="30570"/>
    <cellStyle name="표준 7 2 3 2 5 5" xfId="15578"/>
    <cellStyle name="표준 7 2 3 2 5 5 2" xfId="38045"/>
    <cellStyle name="표준 7 2 3 2 5 6" xfId="23062"/>
    <cellStyle name="표준 7 2 3 2 5 6 2" xfId="45527"/>
    <cellStyle name="표준 7 2 3 2 5 7" xfId="30563"/>
    <cellStyle name="표준 7 2 3 2 6" xfId="8102"/>
    <cellStyle name="표준 7 2 3 2 6 2" xfId="8103"/>
    <cellStyle name="표준 7 2 3 2 6 2 2" xfId="8104"/>
    <cellStyle name="표준 7 2 3 2 6 2 2 2" xfId="15588"/>
    <cellStyle name="표준 7 2 3 2 6 2 2 2 2" xfId="38055"/>
    <cellStyle name="표준 7 2 3 2 6 2 2 3" xfId="23072"/>
    <cellStyle name="표준 7 2 3 2 6 2 2 3 2" xfId="45537"/>
    <cellStyle name="표준 7 2 3 2 6 2 2 4" xfId="30573"/>
    <cellStyle name="표준 7 2 3 2 6 2 3" xfId="15587"/>
    <cellStyle name="표준 7 2 3 2 6 2 3 2" xfId="38054"/>
    <cellStyle name="표준 7 2 3 2 6 2 4" xfId="23071"/>
    <cellStyle name="표준 7 2 3 2 6 2 4 2" xfId="45536"/>
    <cellStyle name="표준 7 2 3 2 6 2 5" xfId="30572"/>
    <cellStyle name="표준 7 2 3 2 6 3" xfId="8105"/>
    <cellStyle name="표준 7 2 3 2 6 3 2" xfId="15589"/>
    <cellStyle name="표준 7 2 3 2 6 3 2 2" xfId="38056"/>
    <cellStyle name="표준 7 2 3 2 6 3 3" xfId="23073"/>
    <cellStyle name="표준 7 2 3 2 6 3 3 2" xfId="45538"/>
    <cellStyle name="표준 7 2 3 2 6 3 4" xfId="30574"/>
    <cellStyle name="표준 7 2 3 2 6 4" xfId="15586"/>
    <cellStyle name="표준 7 2 3 2 6 4 2" xfId="38053"/>
    <cellStyle name="표준 7 2 3 2 6 5" xfId="23070"/>
    <cellStyle name="표준 7 2 3 2 6 5 2" xfId="45535"/>
    <cellStyle name="표준 7 2 3 2 6 6" xfId="30571"/>
    <cellStyle name="표준 7 2 3 2 7" xfId="8106"/>
    <cellStyle name="표준 7 2 3 2 7 2" xfId="8107"/>
    <cellStyle name="표준 7 2 3 2 7 2 2" xfId="8108"/>
    <cellStyle name="표준 7 2 3 2 7 2 2 2" xfId="15592"/>
    <cellStyle name="표준 7 2 3 2 7 2 2 2 2" xfId="38059"/>
    <cellStyle name="표준 7 2 3 2 7 2 2 3" xfId="23076"/>
    <cellStyle name="표준 7 2 3 2 7 2 2 3 2" xfId="45541"/>
    <cellStyle name="표준 7 2 3 2 7 2 2 4" xfId="30577"/>
    <cellStyle name="표준 7 2 3 2 7 2 3" xfId="15591"/>
    <cellStyle name="표준 7 2 3 2 7 2 3 2" xfId="38058"/>
    <cellStyle name="표준 7 2 3 2 7 2 4" xfId="23075"/>
    <cellStyle name="표준 7 2 3 2 7 2 4 2" xfId="45540"/>
    <cellStyle name="표준 7 2 3 2 7 2 5" xfId="30576"/>
    <cellStyle name="표준 7 2 3 2 7 3" xfId="8109"/>
    <cellStyle name="표준 7 2 3 2 7 3 2" xfId="15593"/>
    <cellStyle name="표준 7 2 3 2 7 3 2 2" xfId="38060"/>
    <cellStyle name="표준 7 2 3 2 7 3 3" xfId="23077"/>
    <cellStyle name="표준 7 2 3 2 7 3 3 2" xfId="45542"/>
    <cellStyle name="표준 7 2 3 2 7 3 4" xfId="30578"/>
    <cellStyle name="표준 7 2 3 2 7 4" xfId="15590"/>
    <cellStyle name="표준 7 2 3 2 7 4 2" xfId="38057"/>
    <cellStyle name="표준 7 2 3 2 7 5" xfId="23074"/>
    <cellStyle name="표준 7 2 3 2 7 5 2" xfId="45539"/>
    <cellStyle name="표준 7 2 3 2 7 6" xfId="30575"/>
    <cellStyle name="표준 7 2 3 2 8" xfId="8110"/>
    <cellStyle name="표준 7 2 3 2 8 2" xfId="8111"/>
    <cellStyle name="표준 7 2 3 2 8 2 2" xfId="15595"/>
    <cellStyle name="표준 7 2 3 2 8 2 2 2" xfId="38062"/>
    <cellStyle name="표준 7 2 3 2 8 2 3" xfId="23079"/>
    <cellStyle name="표준 7 2 3 2 8 2 3 2" xfId="45544"/>
    <cellStyle name="표준 7 2 3 2 8 2 4" xfId="30580"/>
    <cellStyle name="표준 7 2 3 2 8 3" xfId="15594"/>
    <cellStyle name="표준 7 2 3 2 8 3 2" xfId="38061"/>
    <cellStyle name="표준 7 2 3 2 8 4" xfId="23078"/>
    <cellStyle name="표준 7 2 3 2 8 4 2" xfId="45543"/>
    <cellStyle name="표준 7 2 3 2 8 5" xfId="30579"/>
    <cellStyle name="표준 7 2 3 2 9" xfId="8112"/>
    <cellStyle name="표준 7 2 3 2 9 2" xfId="15596"/>
    <cellStyle name="표준 7 2 3 2 9 2 2" xfId="38063"/>
    <cellStyle name="표준 7 2 3 2 9 3" xfId="23080"/>
    <cellStyle name="표준 7 2 3 2 9 3 2" xfId="45545"/>
    <cellStyle name="표준 7 2 3 2 9 4" xfId="30581"/>
    <cellStyle name="표준 7 2 3 3" xfId="8113"/>
    <cellStyle name="표준 7 2 3 3 10" xfId="30582"/>
    <cellStyle name="표준 7 2 3 3 2" xfId="8114"/>
    <cellStyle name="표준 7 2 3 3 2 2" xfId="8115"/>
    <cellStyle name="표준 7 2 3 3 2 2 2" xfId="8116"/>
    <cellStyle name="표준 7 2 3 3 2 2 2 2" xfId="8117"/>
    <cellStyle name="표준 7 2 3 3 2 2 2 2 2" xfId="8118"/>
    <cellStyle name="표준 7 2 3 3 2 2 2 2 2 2" xfId="15602"/>
    <cellStyle name="표준 7 2 3 3 2 2 2 2 2 2 2" xfId="38069"/>
    <cellStyle name="표준 7 2 3 3 2 2 2 2 2 3" xfId="23086"/>
    <cellStyle name="표준 7 2 3 3 2 2 2 2 2 3 2" xfId="45551"/>
    <cellStyle name="표준 7 2 3 3 2 2 2 2 2 4" xfId="30587"/>
    <cellStyle name="표준 7 2 3 3 2 2 2 2 3" xfId="15601"/>
    <cellStyle name="표준 7 2 3 3 2 2 2 2 3 2" xfId="38068"/>
    <cellStyle name="표준 7 2 3 3 2 2 2 2 4" xfId="23085"/>
    <cellStyle name="표준 7 2 3 3 2 2 2 2 4 2" xfId="45550"/>
    <cellStyle name="표준 7 2 3 3 2 2 2 2 5" xfId="30586"/>
    <cellStyle name="표준 7 2 3 3 2 2 2 3" xfId="8119"/>
    <cellStyle name="표준 7 2 3 3 2 2 2 3 2" xfId="15603"/>
    <cellStyle name="표준 7 2 3 3 2 2 2 3 2 2" xfId="38070"/>
    <cellStyle name="표준 7 2 3 3 2 2 2 3 3" xfId="23087"/>
    <cellStyle name="표준 7 2 3 3 2 2 2 3 3 2" xfId="45552"/>
    <cellStyle name="표준 7 2 3 3 2 2 2 3 4" xfId="30588"/>
    <cellStyle name="표준 7 2 3 3 2 2 2 4" xfId="15600"/>
    <cellStyle name="표준 7 2 3 3 2 2 2 4 2" xfId="38067"/>
    <cellStyle name="표준 7 2 3 3 2 2 2 5" xfId="23084"/>
    <cellStyle name="표준 7 2 3 3 2 2 2 5 2" xfId="45549"/>
    <cellStyle name="표준 7 2 3 3 2 2 2 6" xfId="30585"/>
    <cellStyle name="표준 7 2 3 3 2 2 3" xfId="8120"/>
    <cellStyle name="표준 7 2 3 3 2 2 3 2" xfId="8121"/>
    <cellStyle name="표준 7 2 3 3 2 2 3 2 2" xfId="15605"/>
    <cellStyle name="표준 7 2 3 3 2 2 3 2 2 2" xfId="38072"/>
    <cellStyle name="표준 7 2 3 3 2 2 3 2 3" xfId="23089"/>
    <cellStyle name="표준 7 2 3 3 2 2 3 2 3 2" xfId="45554"/>
    <cellStyle name="표준 7 2 3 3 2 2 3 2 4" xfId="30590"/>
    <cellStyle name="표준 7 2 3 3 2 2 3 3" xfId="15604"/>
    <cellStyle name="표준 7 2 3 3 2 2 3 3 2" xfId="38071"/>
    <cellStyle name="표준 7 2 3 3 2 2 3 4" xfId="23088"/>
    <cellStyle name="표준 7 2 3 3 2 2 3 4 2" xfId="45553"/>
    <cellStyle name="표준 7 2 3 3 2 2 3 5" xfId="30589"/>
    <cellStyle name="표준 7 2 3 3 2 2 4" xfId="8122"/>
    <cellStyle name="표준 7 2 3 3 2 2 4 2" xfId="15606"/>
    <cellStyle name="표준 7 2 3 3 2 2 4 2 2" xfId="38073"/>
    <cellStyle name="표준 7 2 3 3 2 2 4 3" xfId="23090"/>
    <cellStyle name="표준 7 2 3 3 2 2 4 3 2" xfId="45555"/>
    <cellStyle name="표준 7 2 3 3 2 2 4 4" xfId="30591"/>
    <cellStyle name="표준 7 2 3 3 2 2 5" xfId="15599"/>
    <cellStyle name="표준 7 2 3 3 2 2 5 2" xfId="38066"/>
    <cellStyle name="표준 7 2 3 3 2 2 6" xfId="23083"/>
    <cellStyle name="표준 7 2 3 3 2 2 6 2" xfId="45548"/>
    <cellStyle name="표준 7 2 3 3 2 2 7" xfId="30584"/>
    <cellStyle name="표준 7 2 3 3 2 3" xfId="8123"/>
    <cellStyle name="표준 7 2 3 3 2 3 2" xfId="8124"/>
    <cellStyle name="표준 7 2 3 3 2 3 2 2" xfId="8125"/>
    <cellStyle name="표준 7 2 3 3 2 3 2 2 2" xfId="15609"/>
    <cellStyle name="표준 7 2 3 3 2 3 2 2 2 2" xfId="38076"/>
    <cellStyle name="표준 7 2 3 3 2 3 2 2 3" xfId="23093"/>
    <cellStyle name="표준 7 2 3 3 2 3 2 2 3 2" xfId="45558"/>
    <cellStyle name="표준 7 2 3 3 2 3 2 2 4" xfId="30594"/>
    <cellStyle name="표준 7 2 3 3 2 3 2 3" xfId="15608"/>
    <cellStyle name="표준 7 2 3 3 2 3 2 3 2" xfId="38075"/>
    <cellStyle name="표준 7 2 3 3 2 3 2 4" xfId="23092"/>
    <cellStyle name="표준 7 2 3 3 2 3 2 4 2" xfId="45557"/>
    <cellStyle name="표준 7 2 3 3 2 3 2 5" xfId="30593"/>
    <cellStyle name="표준 7 2 3 3 2 3 3" xfId="8126"/>
    <cellStyle name="표준 7 2 3 3 2 3 3 2" xfId="15610"/>
    <cellStyle name="표준 7 2 3 3 2 3 3 2 2" xfId="38077"/>
    <cellStyle name="표준 7 2 3 3 2 3 3 3" xfId="23094"/>
    <cellStyle name="표준 7 2 3 3 2 3 3 3 2" xfId="45559"/>
    <cellStyle name="표준 7 2 3 3 2 3 3 4" xfId="30595"/>
    <cellStyle name="표준 7 2 3 3 2 3 4" xfId="15607"/>
    <cellStyle name="표준 7 2 3 3 2 3 4 2" xfId="38074"/>
    <cellStyle name="표준 7 2 3 3 2 3 5" xfId="23091"/>
    <cellStyle name="표준 7 2 3 3 2 3 5 2" xfId="45556"/>
    <cellStyle name="표준 7 2 3 3 2 3 6" xfId="30592"/>
    <cellStyle name="표준 7 2 3 3 2 4" xfId="8127"/>
    <cellStyle name="표준 7 2 3 3 2 4 2" xfId="8128"/>
    <cellStyle name="표준 7 2 3 3 2 4 2 2" xfId="15612"/>
    <cellStyle name="표준 7 2 3 3 2 4 2 2 2" xfId="38079"/>
    <cellStyle name="표준 7 2 3 3 2 4 2 3" xfId="23096"/>
    <cellStyle name="표준 7 2 3 3 2 4 2 3 2" xfId="45561"/>
    <cellStyle name="표준 7 2 3 3 2 4 2 4" xfId="30597"/>
    <cellStyle name="표준 7 2 3 3 2 4 3" xfId="15611"/>
    <cellStyle name="표준 7 2 3 3 2 4 3 2" xfId="38078"/>
    <cellStyle name="표준 7 2 3 3 2 4 4" xfId="23095"/>
    <cellStyle name="표준 7 2 3 3 2 4 4 2" xfId="45560"/>
    <cellStyle name="표준 7 2 3 3 2 4 5" xfId="30596"/>
    <cellStyle name="표준 7 2 3 3 2 5" xfId="8129"/>
    <cellStyle name="표준 7 2 3 3 2 5 2" xfId="15613"/>
    <cellStyle name="표준 7 2 3 3 2 5 2 2" xfId="38080"/>
    <cellStyle name="표준 7 2 3 3 2 5 3" xfId="23097"/>
    <cellStyle name="표준 7 2 3 3 2 5 3 2" xfId="45562"/>
    <cellStyle name="표준 7 2 3 3 2 5 4" xfId="30598"/>
    <cellStyle name="표준 7 2 3 3 2 6" xfId="15598"/>
    <cellStyle name="표준 7 2 3 3 2 6 2" xfId="38065"/>
    <cellStyle name="표준 7 2 3 3 2 7" xfId="23082"/>
    <cellStyle name="표준 7 2 3 3 2 7 2" xfId="45547"/>
    <cellStyle name="표준 7 2 3 3 2 8" xfId="30583"/>
    <cellStyle name="표준 7 2 3 3 3" xfId="8130"/>
    <cellStyle name="표준 7 2 3 3 3 2" xfId="8131"/>
    <cellStyle name="표준 7 2 3 3 3 2 2" xfId="8132"/>
    <cellStyle name="표준 7 2 3 3 3 2 2 2" xfId="8133"/>
    <cellStyle name="표준 7 2 3 3 3 2 2 2 2" xfId="8134"/>
    <cellStyle name="표준 7 2 3 3 3 2 2 2 2 2" xfId="15618"/>
    <cellStyle name="표준 7 2 3 3 3 2 2 2 2 2 2" xfId="38085"/>
    <cellStyle name="표준 7 2 3 3 3 2 2 2 2 3" xfId="23102"/>
    <cellStyle name="표준 7 2 3 3 3 2 2 2 2 3 2" xfId="45567"/>
    <cellStyle name="표준 7 2 3 3 3 2 2 2 2 4" xfId="30603"/>
    <cellStyle name="표준 7 2 3 3 3 2 2 2 3" xfId="15617"/>
    <cellStyle name="표준 7 2 3 3 3 2 2 2 3 2" xfId="38084"/>
    <cellStyle name="표준 7 2 3 3 3 2 2 2 4" xfId="23101"/>
    <cellStyle name="표준 7 2 3 3 3 2 2 2 4 2" xfId="45566"/>
    <cellStyle name="표준 7 2 3 3 3 2 2 2 5" xfId="30602"/>
    <cellStyle name="표준 7 2 3 3 3 2 2 3" xfId="8135"/>
    <cellStyle name="표준 7 2 3 3 3 2 2 3 2" xfId="15619"/>
    <cellStyle name="표준 7 2 3 3 3 2 2 3 2 2" xfId="38086"/>
    <cellStyle name="표준 7 2 3 3 3 2 2 3 3" xfId="23103"/>
    <cellStyle name="표준 7 2 3 3 3 2 2 3 3 2" xfId="45568"/>
    <cellStyle name="표준 7 2 3 3 3 2 2 3 4" xfId="30604"/>
    <cellStyle name="표준 7 2 3 3 3 2 2 4" xfId="15616"/>
    <cellStyle name="표준 7 2 3 3 3 2 2 4 2" xfId="38083"/>
    <cellStyle name="표준 7 2 3 3 3 2 2 5" xfId="23100"/>
    <cellStyle name="표준 7 2 3 3 3 2 2 5 2" xfId="45565"/>
    <cellStyle name="표준 7 2 3 3 3 2 2 6" xfId="30601"/>
    <cellStyle name="표준 7 2 3 3 3 2 3" xfId="8136"/>
    <cellStyle name="표준 7 2 3 3 3 2 3 2" xfId="8137"/>
    <cellStyle name="표준 7 2 3 3 3 2 3 2 2" xfId="15621"/>
    <cellStyle name="표준 7 2 3 3 3 2 3 2 2 2" xfId="38088"/>
    <cellStyle name="표준 7 2 3 3 3 2 3 2 3" xfId="23105"/>
    <cellStyle name="표준 7 2 3 3 3 2 3 2 3 2" xfId="45570"/>
    <cellStyle name="표준 7 2 3 3 3 2 3 2 4" xfId="30606"/>
    <cellStyle name="표준 7 2 3 3 3 2 3 3" xfId="15620"/>
    <cellStyle name="표준 7 2 3 3 3 2 3 3 2" xfId="38087"/>
    <cellStyle name="표준 7 2 3 3 3 2 3 4" xfId="23104"/>
    <cellStyle name="표준 7 2 3 3 3 2 3 4 2" xfId="45569"/>
    <cellStyle name="표준 7 2 3 3 3 2 3 5" xfId="30605"/>
    <cellStyle name="표준 7 2 3 3 3 2 4" xfId="8138"/>
    <cellStyle name="표준 7 2 3 3 3 2 4 2" xfId="15622"/>
    <cellStyle name="표준 7 2 3 3 3 2 4 2 2" xfId="38089"/>
    <cellStyle name="표준 7 2 3 3 3 2 4 3" xfId="23106"/>
    <cellStyle name="표준 7 2 3 3 3 2 4 3 2" xfId="45571"/>
    <cellStyle name="표준 7 2 3 3 3 2 4 4" xfId="30607"/>
    <cellStyle name="표준 7 2 3 3 3 2 5" xfId="15615"/>
    <cellStyle name="표준 7 2 3 3 3 2 5 2" xfId="38082"/>
    <cellStyle name="표준 7 2 3 3 3 2 6" xfId="23099"/>
    <cellStyle name="표준 7 2 3 3 3 2 6 2" xfId="45564"/>
    <cellStyle name="표준 7 2 3 3 3 2 7" xfId="30600"/>
    <cellStyle name="표준 7 2 3 3 3 3" xfId="8139"/>
    <cellStyle name="표준 7 2 3 3 3 3 2" xfId="8140"/>
    <cellStyle name="표준 7 2 3 3 3 3 2 2" xfId="8141"/>
    <cellStyle name="표준 7 2 3 3 3 3 2 2 2" xfId="15625"/>
    <cellStyle name="표준 7 2 3 3 3 3 2 2 2 2" xfId="38092"/>
    <cellStyle name="표준 7 2 3 3 3 3 2 2 3" xfId="23109"/>
    <cellStyle name="표준 7 2 3 3 3 3 2 2 3 2" xfId="45574"/>
    <cellStyle name="표준 7 2 3 3 3 3 2 2 4" xfId="30610"/>
    <cellStyle name="표준 7 2 3 3 3 3 2 3" xfId="15624"/>
    <cellStyle name="표준 7 2 3 3 3 3 2 3 2" xfId="38091"/>
    <cellStyle name="표준 7 2 3 3 3 3 2 4" xfId="23108"/>
    <cellStyle name="표준 7 2 3 3 3 3 2 4 2" xfId="45573"/>
    <cellStyle name="표준 7 2 3 3 3 3 2 5" xfId="30609"/>
    <cellStyle name="표준 7 2 3 3 3 3 3" xfId="8142"/>
    <cellStyle name="표준 7 2 3 3 3 3 3 2" xfId="15626"/>
    <cellStyle name="표준 7 2 3 3 3 3 3 2 2" xfId="38093"/>
    <cellStyle name="표준 7 2 3 3 3 3 3 3" xfId="23110"/>
    <cellStyle name="표준 7 2 3 3 3 3 3 3 2" xfId="45575"/>
    <cellStyle name="표준 7 2 3 3 3 3 3 4" xfId="30611"/>
    <cellStyle name="표준 7 2 3 3 3 3 4" xfId="15623"/>
    <cellStyle name="표준 7 2 3 3 3 3 4 2" xfId="38090"/>
    <cellStyle name="표준 7 2 3 3 3 3 5" xfId="23107"/>
    <cellStyle name="표준 7 2 3 3 3 3 5 2" xfId="45572"/>
    <cellStyle name="표준 7 2 3 3 3 3 6" xfId="30608"/>
    <cellStyle name="표준 7 2 3 3 3 4" xfId="8143"/>
    <cellStyle name="표준 7 2 3 3 3 4 2" xfId="8144"/>
    <cellStyle name="표준 7 2 3 3 3 4 2 2" xfId="15628"/>
    <cellStyle name="표준 7 2 3 3 3 4 2 2 2" xfId="38095"/>
    <cellStyle name="표준 7 2 3 3 3 4 2 3" xfId="23112"/>
    <cellStyle name="표준 7 2 3 3 3 4 2 3 2" xfId="45577"/>
    <cellStyle name="표준 7 2 3 3 3 4 2 4" xfId="30613"/>
    <cellStyle name="표준 7 2 3 3 3 4 3" xfId="15627"/>
    <cellStyle name="표준 7 2 3 3 3 4 3 2" xfId="38094"/>
    <cellStyle name="표준 7 2 3 3 3 4 4" xfId="23111"/>
    <cellStyle name="표준 7 2 3 3 3 4 4 2" xfId="45576"/>
    <cellStyle name="표준 7 2 3 3 3 4 5" xfId="30612"/>
    <cellStyle name="표준 7 2 3 3 3 5" xfId="8145"/>
    <cellStyle name="표준 7 2 3 3 3 5 2" xfId="15629"/>
    <cellStyle name="표준 7 2 3 3 3 5 2 2" xfId="38096"/>
    <cellStyle name="표준 7 2 3 3 3 5 3" xfId="23113"/>
    <cellStyle name="표준 7 2 3 3 3 5 3 2" xfId="45578"/>
    <cellStyle name="표준 7 2 3 3 3 5 4" xfId="30614"/>
    <cellStyle name="표준 7 2 3 3 3 6" xfId="15614"/>
    <cellStyle name="표준 7 2 3 3 3 6 2" xfId="38081"/>
    <cellStyle name="표준 7 2 3 3 3 7" xfId="23098"/>
    <cellStyle name="표준 7 2 3 3 3 7 2" xfId="45563"/>
    <cellStyle name="표준 7 2 3 3 3 8" xfId="30599"/>
    <cellStyle name="표준 7 2 3 3 4" xfId="8146"/>
    <cellStyle name="표준 7 2 3 3 4 2" xfId="8147"/>
    <cellStyle name="표준 7 2 3 3 4 2 2" xfId="8148"/>
    <cellStyle name="표준 7 2 3 3 4 2 2 2" xfId="8149"/>
    <cellStyle name="표준 7 2 3 3 4 2 2 2 2" xfId="15633"/>
    <cellStyle name="표준 7 2 3 3 4 2 2 2 2 2" xfId="38100"/>
    <cellStyle name="표준 7 2 3 3 4 2 2 2 3" xfId="23117"/>
    <cellStyle name="표준 7 2 3 3 4 2 2 2 3 2" xfId="45582"/>
    <cellStyle name="표준 7 2 3 3 4 2 2 2 4" xfId="30618"/>
    <cellStyle name="표준 7 2 3 3 4 2 2 3" xfId="15632"/>
    <cellStyle name="표준 7 2 3 3 4 2 2 3 2" xfId="38099"/>
    <cellStyle name="표준 7 2 3 3 4 2 2 4" xfId="23116"/>
    <cellStyle name="표준 7 2 3 3 4 2 2 4 2" xfId="45581"/>
    <cellStyle name="표준 7 2 3 3 4 2 2 5" xfId="30617"/>
    <cellStyle name="표준 7 2 3 3 4 2 3" xfId="8150"/>
    <cellStyle name="표준 7 2 3 3 4 2 3 2" xfId="15634"/>
    <cellStyle name="표준 7 2 3 3 4 2 3 2 2" xfId="38101"/>
    <cellStyle name="표준 7 2 3 3 4 2 3 3" xfId="23118"/>
    <cellStyle name="표준 7 2 3 3 4 2 3 3 2" xfId="45583"/>
    <cellStyle name="표준 7 2 3 3 4 2 3 4" xfId="30619"/>
    <cellStyle name="표준 7 2 3 3 4 2 4" xfId="15631"/>
    <cellStyle name="표준 7 2 3 3 4 2 4 2" xfId="38098"/>
    <cellStyle name="표준 7 2 3 3 4 2 5" xfId="23115"/>
    <cellStyle name="표준 7 2 3 3 4 2 5 2" xfId="45580"/>
    <cellStyle name="표준 7 2 3 3 4 2 6" xfId="30616"/>
    <cellStyle name="표준 7 2 3 3 4 3" xfId="8151"/>
    <cellStyle name="표준 7 2 3 3 4 3 2" xfId="8152"/>
    <cellStyle name="표준 7 2 3 3 4 3 2 2" xfId="15636"/>
    <cellStyle name="표준 7 2 3 3 4 3 2 2 2" xfId="38103"/>
    <cellStyle name="표준 7 2 3 3 4 3 2 3" xfId="23120"/>
    <cellStyle name="표준 7 2 3 3 4 3 2 3 2" xfId="45585"/>
    <cellStyle name="표준 7 2 3 3 4 3 2 4" xfId="30621"/>
    <cellStyle name="표준 7 2 3 3 4 3 3" xfId="15635"/>
    <cellStyle name="표준 7 2 3 3 4 3 3 2" xfId="38102"/>
    <cellStyle name="표준 7 2 3 3 4 3 4" xfId="23119"/>
    <cellStyle name="표준 7 2 3 3 4 3 4 2" xfId="45584"/>
    <cellStyle name="표준 7 2 3 3 4 3 5" xfId="30620"/>
    <cellStyle name="표준 7 2 3 3 4 4" xfId="8153"/>
    <cellStyle name="표준 7 2 3 3 4 4 2" xfId="15637"/>
    <cellStyle name="표준 7 2 3 3 4 4 2 2" xfId="38104"/>
    <cellStyle name="표준 7 2 3 3 4 4 3" xfId="23121"/>
    <cellStyle name="표준 7 2 3 3 4 4 3 2" xfId="45586"/>
    <cellStyle name="표준 7 2 3 3 4 4 4" xfId="30622"/>
    <cellStyle name="표준 7 2 3 3 4 5" xfId="15630"/>
    <cellStyle name="표준 7 2 3 3 4 5 2" xfId="38097"/>
    <cellStyle name="표준 7 2 3 3 4 6" xfId="23114"/>
    <cellStyle name="표준 7 2 3 3 4 6 2" xfId="45579"/>
    <cellStyle name="표준 7 2 3 3 4 7" xfId="30615"/>
    <cellStyle name="표준 7 2 3 3 5" xfId="8154"/>
    <cellStyle name="표준 7 2 3 3 5 2" xfId="8155"/>
    <cellStyle name="표준 7 2 3 3 5 2 2" xfId="8156"/>
    <cellStyle name="표준 7 2 3 3 5 2 2 2" xfId="15640"/>
    <cellStyle name="표준 7 2 3 3 5 2 2 2 2" xfId="38107"/>
    <cellStyle name="표준 7 2 3 3 5 2 2 3" xfId="23124"/>
    <cellStyle name="표준 7 2 3 3 5 2 2 3 2" xfId="45589"/>
    <cellStyle name="표준 7 2 3 3 5 2 2 4" xfId="30625"/>
    <cellStyle name="표준 7 2 3 3 5 2 3" xfId="15639"/>
    <cellStyle name="표준 7 2 3 3 5 2 3 2" xfId="38106"/>
    <cellStyle name="표준 7 2 3 3 5 2 4" xfId="23123"/>
    <cellStyle name="표준 7 2 3 3 5 2 4 2" xfId="45588"/>
    <cellStyle name="표준 7 2 3 3 5 2 5" xfId="30624"/>
    <cellStyle name="표준 7 2 3 3 5 3" xfId="8157"/>
    <cellStyle name="표준 7 2 3 3 5 3 2" xfId="15641"/>
    <cellStyle name="표준 7 2 3 3 5 3 2 2" xfId="38108"/>
    <cellStyle name="표준 7 2 3 3 5 3 3" xfId="23125"/>
    <cellStyle name="표준 7 2 3 3 5 3 3 2" xfId="45590"/>
    <cellStyle name="표준 7 2 3 3 5 3 4" xfId="30626"/>
    <cellStyle name="표준 7 2 3 3 5 4" xfId="15638"/>
    <cellStyle name="표준 7 2 3 3 5 4 2" xfId="38105"/>
    <cellStyle name="표준 7 2 3 3 5 5" xfId="23122"/>
    <cellStyle name="표준 7 2 3 3 5 5 2" xfId="45587"/>
    <cellStyle name="표준 7 2 3 3 5 6" xfId="30623"/>
    <cellStyle name="표준 7 2 3 3 6" xfId="8158"/>
    <cellStyle name="표준 7 2 3 3 6 2" xfId="8159"/>
    <cellStyle name="표준 7 2 3 3 6 2 2" xfId="15643"/>
    <cellStyle name="표준 7 2 3 3 6 2 2 2" xfId="38110"/>
    <cellStyle name="표준 7 2 3 3 6 2 3" xfId="23127"/>
    <cellStyle name="표준 7 2 3 3 6 2 3 2" xfId="45592"/>
    <cellStyle name="표준 7 2 3 3 6 2 4" xfId="30628"/>
    <cellStyle name="표준 7 2 3 3 6 3" xfId="15642"/>
    <cellStyle name="표준 7 2 3 3 6 3 2" xfId="38109"/>
    <cellStyle name="표준 7 2 3 3 6 4" xfId="23126"/>
    <cellStyle name="표준 7 2 3 3 6 4 2" xfId="45591"/>
    <cellStyle name="표준 7 2 3 3 6 5" xfId="30627"/>
    <cellStyle name="표준 7 2 3 3 7" xfId="8160"/>
    <cellStyle name="표준 7 2 3 3 7 2" xfId="15644"/>
    <cellStyle name="표준 7 2 3 3 7 2 2" xfId="38111"/>
    <cellStyle name="표준 7 2 3 3 7 3" xfId="23128"/>
    <cellStyle name="표준 7 2 3 3 7 3 2" xfId="45593"/>
    <cellStyle name="표준 7 2 3 3 7 4" xfId="30629"/>
    <cellStyle name="표준 7 2 3 3 8" xfId="15597"/>
    <cellStyle name="표준 7 2 3 3 8 2" xfId="38064"/>
    <cellStyle name="표준 7 2 3 3 9" xfId="23081"/>
    <cellStyle name="표준 7 2 3 3 9 2" xfId="45546"/>
    <cellStyle name="표준 7 2 3 4" xfId="8161"/>
    <cellStyle name="표준 7 2 3 4 2" xfId="8162"/>
    <cellStyle name="표준 7 2 3 4 2 2" xfId="8163"/>
    <cellStyle name="표준 7 2 3 4 2 2 2" xfId="8164"/>
    <cellStyle name="표준 7 2 3 4 2 2 2 2" xfId="8165"/>
    <cellStyle name="표준 7 2 3 4 2 2 2 2 2" xfId="15649"/>
    <cellStyle name="표준 7 2 3 4 2 2 2 2 2 2" xfId="38116"/>
    <cellStyle name="표준 7 2 3 4 2 2 2 2 3" xfId="23133"/>
    <cellStyle name="표준 7 2 3 4 2 2 2 2 3 2" xfId="45598"/>
    <cellStyle name="표준 7 2 3 4 2 2 2 2 4" xfId="30634"/>
    <cellStyle name="표준 7 2 3 4 2 2 2 3" xfId="15648"/>
    <cellStyle name="표준 7 2 3 4 2 2 2 3 2" xfId="38115"/>
    <cellStyle name="표준 7 2 3 4 2 2 2 4" xfId="23132"/>
    <cellStyle name="표준 7 2 3 4 2 2 2 4 2" xfId="45597"/>
    <cellStyle name="표준 7 2 3 4 2 2 2 5" xfId="30633"/>
    <cellStyle name="표준 7 2 3 4 2 2 3" xfId="8166"/>
    <cellStyle name="표준 7 2 3 4 2 2 3 2" xfId="15650"/>
    <cellStyle name="표준 7 2 3 4 2 2 3 2 2" xfId="38117"/>
    <cellStyle name="표준 7 2 3 4 2 2 3 3" xfId="23134"/>
    <cellStyle name="표준 7 2 3 4 2 2 3 3 2" xfId="45599"/>
    <cellStyle name="표준 7 2 3 4 2 2 3 4" xfId="30635"/>
    <cellStyle name="표준 7 2 3 4 2 2 4" xfId="15647"/>
    <cellStyle name="표준 7 2 3 4 2 2 4 2" xfId="38114"/>
    <cellStyle name="표준 7 2 3 4 2 2 5" xfId="23131"/>
    <cellStyle name="표준 7 2 3 4 2 2 5 2" xfId="45596"/>
    <cellStyle name="표준 7 2 3 4 2 2 6" xfId="30632"/>
    <cellStyle name="표준 7 2 3 4 2 3" xfId="8167"/>
    <cellStyle name="표준 7 2 3 4 2 3 2" xfId="8168"/>
    <cellStyle name="표준 7 2 3 4 2 3 2 2" xfId="15652"/>
    <cellStyle name="표준 7 2 3 4 2 3 2 2 2" xfId="38119"/>
    <cellStyle name="표준 7 2 3 4 2 3 2 3" xfId="23136"/>
    <cellStyle name="표준 7 2 3 4 2 3 2 3 2" xfId="45601"/>
    <cellStyle name="표준 7 2 3 4 2 3 2 4" xfId="30637"/>
    <cellStyle name="표준 7 2 3 4 2 3 3" xfId="15651"/>
    <cellStyle name="표준 7 2 3 4 2 3 3 2" xfId="38118"/>
    <cellStyle name="표준 7 2 3 4 2 3 4" xfId="23135"/>
    <cellStyle name="표준 7 2 3 4 2 3 4 2" xfId="45600"/>
    <cellStyle name="표준 7 2 3 4 2 3 5" xfId="30636"/>
    <cellStyle name="표준 7 2 3 4 2 4" xfId="8169"/>
    <cellStyle name="표준 7 2 3 4 2 4 2" xfId="15653"/>
    <cellStyle name="표준 7 2 3 4 2 4 2 2" xfId="38120"/>
    <cellStyle name="표준 7 2 3 4 2 4 3" xfId="23137"/>
    <cellStyle name="표준 7 2 3 4 2 4 3 2" xfId="45602"/>
    <cellStyle name="표준 7 2 3 4 2 4 4" xfId="30638"/>
    <cellStyle name="표준 7 2 3 4 2 5" xfId="15646"/>
    <cellStyle name="표준 7 2 3 4 2 5 2" xfId="38113"/>
    <cellStyle name="표준 7 2 3 4 2 6" xfId="23130"/>
    <cellStyle name="표준 7 2 3 4 2 6 2" xfId="45595"/>
    <cellStyle name="표준 7 2 3 4 2 7" xfId="30631"/>
    <cellStyle name="표준 7 2 3 4 3" xfId="8170"/>
    <cellStyle name="표준 7 2 3 4 3 2" xfId="8171"/>
    <cellStyle name="표준 7 2 3 4 3 2 2" xfId="8172"/>
    <cellStyle name="표준 7 2 3 4 3 2 2 2" xfId="15656"/>
    <cellStyle name="표준 7 2 3 4 3 2 2 2 2" xfId="38123"/>
    <cellStyle name="표준 7 2 3 4 3 2 2 3" xfId="23140"/>
    <cellStyle name="표준 7 2 3 4 3 2 2 3 2" xfId="45605"/>
    <cellStyle name="표준 7 2 3 4 3 2 2 4" xfId="30641"/>
    <cellStyle name="표준 7 2 3 4 3 2 3" xfId="15655"/>
    <cellStyle name="표준 7 2 3 4 3 2 3 2" xfId="38122"/>
    <cellStyle name="표준 7 2 3 4 3 2 4" xfId="23139"/>
    <cellStyle name="표준 7 2 3 4 3 2 4 2" xfId="45604"/>
    <cellStyle name="표준 7 2 3 4 3 2 5" xfId="30640"/>
    <cellStyle name="표준 7 2 3 4 3 3" xfId="8173"/>
    <cellStyle name="표준 7 2 3 4 3 3 2" xfId="15657"/>
    <cellStyle name="표준 7 2 3 4 3 3 2 2" xfId="38124"/>
    <cellStyle name="표준 7 2 3 4 3 3 3" xfId="23141"/>
    <cellStyle name="표준 7 2 3 4 3 3 3 2" xfId="45606"/>
    <cellStyle name="표준 7 2 3 4 3 3 4" xfId="30642"/>
    <cellStyle name="표준 7 2 3 4 3 4" xfId="15654"/>
    <cellStyle name="표준 7 2 3 4 3 4 2" xfId="38121"/>
    <cellStyle name="표준 7 2 3 4 3 5" xfId="23138"/>
    <cellStyle name="표준 7 2 3 4 3 5 2" xfId="45603"/>
    <cellStyle name="표준 7 2 3 4 3 6" xfId="30639"/>
    <cellStyle name="표준 7 2 3 4 4" xfId="8174"/>
    <cellStyle name="표준 7 2 3 4 4 2" xfId="8175"/>
    <cellStyle name="표준 7 2 3 4 4 2 2" xfId="15659"/>
    <cellStyle name="표준 7 2 3 4 4 2 2 2" xfId="38126"/>
    <cellStyle name="표준 7 2 3 4 4 2 3" xfId="23143"/>
    <cellStyle name="표준 7 2 3 4 4 2 3 2" xfId="45608"/>
    <cellStyle name="표준 7 2 3 4 4 2 4" xfId="30644"/>
    <cellStyle name="표준 7 2 3 4 4 3" xfId="15658"/>
    <cellStyle name="표준 7 2 3 4 4 3 2" xfId="38125"/>
    <cellStyle name="표준 7 2 3 4 4 4" xfId="23142"/>
    <cellStyle name="표준 7 2 3 4 4 4 2" xfId="45607"/>
    <cellStyle name="표준 7 2 3 4 4 5" xfId="30643"/>
    <cellStyle name="표준 7 2 3 4 5" xfId="8176"/>
    <cellStyle name="표준 7 2 3 4 5 2" xfId="15660"/>
    <cellStyle name="표준 7 2 3 4 5 2 2" xfId="38127"/>
    <cellStyle name="표준 7 2 3 4 5 3" xfId="23144"/>
    <cellStyle name="표준 7 2 3 4 5 3 2" xfId="45609"/>
    <cellStyle name="표준 7 2 3 4 5 4" xfId="30645"/>
    <cellStyle name="표준 7 2 3 4 6" xfId="15645"/>
    <cellStyle name="표준 7 2 3 4 6 2" xfId="38112"/>
    <cellStyle name="표준 7 2 3 4 7" xfId="23129"/>
    <cellStyle name="표준 7 2 3 4 7 2" xfId="45594"/>
    <cellStyle name="표준 7 2 3 4 8" xfId="30630"/>
    <cellStyle name="표준 7 2 3 5" xfId="8177"/>
    <cellStyle name="표준 7 2 3 5 2" xfId="8178"/>
    <cellStyle name="표준 7 2 3 5 2 2" xfId="8179"/>
    <cellStyle name="표준 7 2 3 5 2 2 2" xfId="8180"/>
    <cellStyle name="표준 7 2 3 5 2 2 2 2" xfId="8181"/>
    <cellStyle name="표준 7 2 3 5 2 2 2 2 2" xfId="15665"/>
    <cellStyle name="표준 7 2 3 5 2 2 2 2 2 2" xfId="38132"/>
    <cellStyle name="표준 7 2 3 5 2 2 2 2 3" xfId="23149"/>
    <cellStyle name="표준 7 2 3 5 2 2 2 2 3 2" xfId="45614"/>
    <cellStyle name="표준 7 2 3 5 2 2 2 2 4" xfId="30650"/>
    <cellStyle name="표준 7 2 3 5 2 2 2 3" xfId="15664"/>
    <cellStyle name="표준 7 2 3 5 2 2 2 3 2" xfId="38131"/>
    <cellStyle name="표준 7 2 3 5 2 2 2 4" xfId="23148"/>
    <cellStyle name="표준 7 2 3 5 2 2 2 4 2" xfId="45613"/>
    <cellStyle name="표준 7 2 3 5 2 2 2 5" xfId="30649"/>
    <cellStyle name="표준 7 2 3 5 2 2 3" xfId="8182"/>
    <cellStyle name="표준 7 2 3 5 2 2 3 2" xfId="15666"/>
    <cellStyle name="표준 7 2 3 5 2 2 3 2 2" xfId="38133"/>
    <cellStyle name="표준 7 2 3 5 2 2 3 3" xfId="23150"/>
    <cellStyle name="표준 7 2 3 5 2 2 3 3 2" xfId="45615"/>
    <cellStyle name="표준 7 2 3 5 2 2 3 4" xfId="30651"/>
    <cellStyle name="표준 7 2 3 5 2 2 4" xfId="15663"/>
    <cellStyle name="표준 7 2 3 5 2 2 4 2" xfId="38130"/>
    <cellStyle name="표준 7 2 3 5 2 2 5" xfId="23147"/>
    <cellStyle name="표준 7 2 3 5 2 2 5 2" xfId="45612"/>
    <cellStyle name="표준 7 2 3 5 2 2 6" xfId="30648"/>
    <cellStyle name="표준 7 2 3 5 2 3" xfId="8183"/>
    <cellStyle name="표준 7 2 3 5 2 3 2" xfId="8184"/>
    <cellStyle name="표준 7 2 3 5 2 3 2 2" xfId="15668"/>
    <cellStyle name="표준 7 2 3 5 2 3 2 2 2" xfId="38135"/>
    <cellStyle name="표준 7 2 3 5 2 3 2 3" xfId="23152"/>
    <cellStyle name="표준 7 2 3 5 2 3 2 3 2" xfId="45617"/>
    <cellStyle name="표준 7 2 3 5 2 3 2 4" xfId="30653"/>
    <cellStyle name="표준 7 2 3 5 2 3 3" xfId="15667"/>
    <cellStyle name="표준 7 2 3 5 2 3 3 2" xfId="38134"/>
    <cellStyle name="표준 7 2 3 5 2 3 4" xfId="23151"/>
    <cellStyle name="표준 7 2 3 5 2 3 4 2" xfId="45616"/>
    <cellStyle name="표준 7 2 3 5 2 3 5" xfId="30652"/>
    <cellStyle name="표준 7 2 3 5 2 4" xfId="8185"/>
    <cellStyle name="표준 7 2 3 5 2 4 2" xfId="15669"/>
    <cellStyle name="표준 7 2 3 5 2 4 2 2" xfId="38136"/>
    <cellStyle name="표준 7 2 3 5 2 4 3" xfId="23153"/>
    <cellStyle name="표준 7 2 3 5 2 4 3 2" xfId="45618"/>
    <cellStyle name="표준 7 2 3 5 2 4 4" xfId="30654"/>
    <cellStyle name="표준 7 2 3 5 2 5" xfId="15662"/>
    <cellStyle name="표준 7 2 3 5 2 5 2" xfId="38129"/>
    <cellStyle name="표준 7 2 3 5 2 6" xfId="23146"/>
    <cellStyle name="표준 7 2 3 5 2 6 2" xfId="45611"/>
    <cellStyle name="표준 7 2 3 5 2 7" xfId="30647"/>
    <cellStyle name="표준 7 2 3 5 3" xfId="8186"/>
    <cellStyle name="표준 7 2 3 5 3 2" xfId="8187"/>
    <cellStyle name="표준 7 2 3 5 3 2 2" xfId="8188"/>
    <cellStyle name="표준 7 2 3 5 3 2 2 2" xfId="15672"/>
    <cellStyle name="표준 7 2 3 5 3 2 2 2 2" xfId="38139"/>
    <cellStyle name="표준 7 2 3 5 3 2 2 3" xfId="23156"/>
    <cellStyle name="표준 7 2 3 5 3 2 2 3 2" xfId="45621"/>
    <cellStyle name="표준 7 2 3 5 3 2 2 4" xfId="30657"/>
    <cellStyle name="표준 7 2 3 5 3 2 3" xfId="15671"/>
    <cellStyle name="표준 7 2 3 5 3 2 3 2" xfId="38138"/>
    <cellStyle name="표준 7 2 3 5 3 2 4" xfId="23155"/>
    <cellStyle name="표준 7 2 3 5 3 2 4 2" xfId="45620"/>
    <cellStyle name="표준 7 2 3 5 3 2 5" xfId="30656"/>
    <cellStyle name="표준 7 2 3 5 3 3" xfId="8189"/>
    <cellStyle name="표준 7 2 3 5 3 3 2" xfId="15673"/>
    <cellStyle name="표준 7 2 3 5 3 3 2 2" xfId="38140"/>
    <cellStyle name="표준 7 2 3 5 3 3 3" xfId="23157"/>
    <cellStyle name="표준 7 2 3 5 3 3 3 2" xfId="45622"/>
    <cellStyle name="표준 7 2 3 5 3 3 4" xfId="30658"/>
    <cellStyle name="표준 7 2 3 5 3 4" xfId="15670"/>
    <cellStyle name="표준 7 2 3 5 3 4 2" xfId="38137"/>
    <cellStyle name="표준 7 2 3 5 3 5" xfId="23154"/>
    <cellStyle name="표준 7 2 3 5 3 5 2" xfId="45619"/>
    <cellStyle name="표준 7 2 3 5 3 6" xfId="30655"/>
    <cellStyle name="표준 7 2 3 5 4" xfId="8190"/>
    <cellStyle name="표준 7 2 3 5 4 2" xfId="8191"/>
    <cellStyle name="표준 7 2 3 5 4 2 2" xfId="15675"/>
    <cellStyle name="표준 7 2 3 5 4 2 2 2" xfId="38142"/>
    <cellStyle name="표준 7 2 3 5 4 2 3" xfId="23159"/>
    <cellStyle name="표준 7 2 3 5 4 2 3 2" xfId="45624"/>
    <cellStyle name="표준 7 2 3 5 4 2 4" xfId="30660"/>
    <cellStyle name="표준 7 2 3 5 4 3" xfId="15674"/>
    <cellStyle name="표준 7 2 3 5 4 3 2" xfId="38141"/>
    <cellStyle name="표준 7 2 3 5 4 4" xfId="23158"/>
    <cellStyle name="표준 7 2 3 5 4 4 2" xfId="45623"/>
    <cellStyle name="표준 7 2 3 5 4 5" xfId="30659"/>
    <cellStyle name="표준 7 2 3 5 5" xfId="8192"/>
    <cellStyle name="표준 7 2 3 5 5 2" xfId="15676"/>
    <cellStyle name="표준 7 2 3 5 5 2 2" xfId="38143"/>
    <cellStyle name="표준 7 2 3 5 5 3" xfId="23160"/>
    <cellStyle name="표준 7 2 3 5 5 3 2" xfId="45625"/>
    <cellStyle name="표준 7 2 3 5 5 4" xfId="30661"/>
    <cellStyle name="표준 7 2 3 5 6" xfId="15661"/>
    <cellStyle name="표준 7 2 3 5 6 2" xfId="38128"/>
    <cellStyle name="표준 7 2 3 5 7" xfId="23145"/>
    <cellStyle name="표준 7 2 3 5 7 2" xfId="45610"/>
    <cellStyle name="표준 7 2 3 5 8" xfId="30646"/>
    <cellStyle name="표준 7 2 3 6" xfId="8193"/>
    <cellStyle name="표준 7 2 3 6 2" xfId="8194"/>
    <cellStyle name="표준 7 2 3 6 2 2" xfId="8195"/>
    <cellStyle name="표준 7 2 3 6 2 2 2" xfId="8196"/>
    <cellStyle name="표준 7 2 3 6 2 2 2 2" xfId="15680"/>
    <cellStyle name="표준 7 2 3 6 2 2 2 2 2" xfId="38147"/>
    <cellStyle name="표준 7 2 3 6 2 2 2 3" xfId="23164"/>
    <cellStyle name="표준 7 2 3 6 2 2 2 3 2" xfId="45629"/>
    <cellStyle name="표준 7 2 3 6 2 2 2 4" xfId="30665"/>
    <cellStyle name="표준 7 2 3 6 2 2 3" xfId="15679"/>
    <cellStyle name="표준 7 2 3 6 2 2 3 2" xfId="38146"/>
    <cellStyle name="표준 7 2 3 6 2 2 4" xfId="23163"/>
    <cellStyle name="표준 7 2 3 6 2 2 4 2" xfId="45628"/>
    <cellStyle name="표준 7 2 3 6 2 2 5" xfId="30664"/>
    <cellStyle name="표준 7 2 3 6 2 3" xfId="8197"/>
    <cellStyle name="표준 7 2 3 6 2 3 2" xfId="15681"/>
    <cellStyle name="표준 7 2 3 6 2 3 2 2" xfId="38148"/>
    <cellStyle name="표준 7 2 3 6 2 3 3" xfId="23165"/>
    <cellStyle name="표준 7 2 3 6 2 3 3 2" xfId="45630"/>
    <cellStyle name="표준 7 2 3 6 2 3 4" xfId="30666"/>
    <cellStyle name="표준 7 2 3 6 2 4" xfId="15678"/>
    <cellStyle name="표준 7 2 3 6 2 4 2" xfId="38145"/>
    <cellStyle name="표준 7 2 3 6 2 5" xfId="23162"/>
    <cellStyle name="표준 7 2 3 6 2 5 2" xfId="45627"/>
    <cellStyle name="표준 7 2 3 6 2 6" xfId="30663"/>
    <cellStyle name="표준 7 2 3 6 3" xfId="8198"/>
    <cellStyle name="표준 7 2 3 6 3 2" xfId="8199"/>
    <cellStyle name="표준 7 2 3 6 3 2 2" xfId="15683"/>
    <cellStyle name="표준 7 2 3 6 3 2 2 2" xfId="38150"/>
    <cellStyle name="표준 7 2 3 6 3 2 3" xfId="23167"/>
    <cellStyle name="표준 7 2 3 6 3 2 3 2" xfId="45632"/>
    <cellStyle name="표준 7 2 3 6 3 2 4" xfId="30668"/>
    <cellStyle name="표준 7 2 3 6 3 3" xfId="15682"/>
    <cellStyle name="표준 7 2 3 6 3 3 2" xfId="38149"/>
    <cellStyle name="표준 7 2 3 6 3 4" xfId="23166"/>
    <cellStyle name="표준 7 2 3 6 3 4 2" xfId="45631"/>
    <cellStyle name="표준 7 2 3 6 3 5" xfId="30667"/>
    <cellStyle name="표준 7 2 3 6 4" xfId="8200"/>
    <cellStyle name="표준 7 2 3 6 4 2" xfId="15684"/>
    <cellStyle name="표준 7 2 3 6 4 2 2" xfId="38151"/>
    <cellStyle name="표준 7 2 3 6 4 3" xfId="23168"/>
    <cellStyle name="표준 7 2 3 6 4 3 2" xfId="45633"/>
    <cellStyle name="표준 7 2 3 6 4 4" xfId="30669"/>
    <cellStyle name="표준 7 2 3 6 5" xfId="15677"/>
    <cellStyle name="표준 7 2 3 6 5 2" xfId="38144"/>
    <cellStyle name="표준 7 2 3 6 6" xfId="23161"/>
    <cellStyle name="표준 7 2 3 6 6 2" xfId="45626"/>
    <cellStyle name="표준 7 2 3 6 7" xfId="30662"/>
    <cellStyle name="표준 7 2 3 7" xfId="8201"/>
    <cellStyle name="표준 7 2 3 7 2" xfId="8202"/>
    <cellStyle name="표준 7 2 3 7 2 2" xfId="8203"/>
    <cellStyle name="표준 7 2 3 7 2 2 2" xfId="8204"/>
    <cellStyle name="표준 7 2 3 7 2 2 2 2" xfId="15688"/>
    <cellStyle name="표준 7 2 3 7 2 2 2 2 2" xfId="38155"/>
    <cellStyle name="표준 7 2 3 7 2 2 2 3" xfId="23172"/>
    <cellStyle name="표준 7 2 3 7 2 2 2 3 2" xfId="45637"/>
    <cellStyle name="표준 7 2 3 7 2 2 2 4" xfId="30673"/>
    <cellStyle name="표준 7 2 3 7 2 2 3" xfId="15687"/>
    <cellStyle name="표준 7 2 3 7 2 2 3 2" xfId="38154"/>
    <cellStyle name="표준 7 2 3 7 2 2 4" xfId="23171"/>
    <cellStyle name="표준 7 2 3 7 2 2 4 2" xfId="45636"/>
    <cellStyle name="표준 7 2 3 7 2 2 5" xfId="30672"/>
    <cellStyle name="표준 7 2 3 7 2 3" xfId="8205"/>
    <cellStyle name="표준 7 2 3 7 2 3 2" xfId="15689"/>
    <cellStyle name="표준 7 2 3 7 2 3 2 2" xfId="38156"/>
    <cellStyle name="표준 7 2 3 7 2 3 3" xfId="23173"/>
    <cellStyle name="표준 7 2 3 7 2 3 3 2" xfId="45638"/>
    <cellStyle name="표준 7 2 3 7 2 3 4" xfId="30674"/>
    <cellStyle name="표준 7 2 3 7 2 4" xfId="15686"/>
    <cellStyle name="표준 7 2 3 7 2 4 2" xfId="38153"/>
    <cellStyle name="표준 7 2 3 7 2 5" xfId="23170"/>
    <cellStyle name="표준 7 2 3 7 2 5 2" xfId="45635"/>
    <cellStyle name="표준 7 2 3 7 2 6" xfId="30671"/>
    <cellStyle name="표준 7 2 3 7 3" xfId="8206"/>
    <cellStyle name="표준 7 2 3 7 3 2" xfId="8207"/>
    <cellStyle name="표준 7 2 3 7 3 2 2" xfId="15691"/>
    <cellStyle name="표준 7 2 3 7 3 2 2 2" xfId="38158"/>
    <cellStyle name="표준 7 2 3 7 3 2 3" xfId="23175"/>
    <cellStyle name="표준 7 2 3 7 3 2 3 2" xfId="45640"/>
    <cellStyle name="표준 7 2 3 7 3 2 4" xfId="30676"/>
    <cellStyle name="표준 7 2 3 7 3 3" xfId="15690"/>
    <cellStyle name="표준 7 2 3 7 3 3 2" xfId="38157"/>
    <cellStyle name="표준 7 2 3 7 3 4" xfId="23174"/>
    <cellStyle name="표준 7 2 3 7 3 4 2" xfId="45639"/>
    <cellStyle name="표준 7 2 3 7 3 5" xfId="30675"/>
    <cellStyle name="표준 7 2 3 7 4" xfId="8208"/>
    <cellStyle name="표준 7 2 3 7 4 2" xfId="15692"/>
    <cellStyle name="표준 7 2 3 7 4 2 2" xfId="38159"/>
    <cellStyle name="표준 7 2 3 7 4 3" xfId="23176"/>
    <cellStyle name="표준 7 2 3 7 4 3 2" xfId="45641"/>
    <cellStyle name="표준 7 2 3 7 4 4" xfId="30677"/>
    <cellStyle name="표준 7 2 3 7 5" xfId="15685"/>
    <cellStyle name="표준 7 2 3 7 5 2" xfId="38152"/>
    <cellStyle name="표준 7 2 3 7 6" xfId="23169"/>
    <cellStyle name="표준 7 2 3 7 6 2" xfId="45634"/>
    <cellStyle name="표준 7 2 3 7 7" xfId="30670"/>
    <cellStyle name="표준 7 2 3 8" xfId="8209"/>
    <cellStyle name="표준 7 2 3 8 2" xfId="8210"/>
    <cellStyle name="표준 7 2 3 8 2 2" xfId="8211"/>
    <cellStyle name="표준 7 2 3 8 2 2 2" xfId="8212"/>
    <cellStyle name="표준 7 2 3 8 2 2 2 2" xfId="15696"/>
    <cellStyle name="표준 7 2 3 8 2 2 2 2 2" xfId="38163"/>
    <cellStyle name="표준 7 2 3 8 2 2 2 3" xfId="23180"/>
    <cellStyle name="표준 7 2 3 8 2 2 2 3 2" xfId="45645"/>
    <cellStyle name="표준 7 2 3 8 2 2 2 4" xfId="30681"/>
    <cellStyle name="표준 7 2 3 8 2 2 3" xfId="15695"/>
    <cellStyle name="표준 7 2 3 8 2 2 3 2" xfId="38162"/>
    <cellStyle name="표준 7 2 3 8 2 2 4" xfId="23179"/>
    <cellStyle name="표준 7 2 3 8 2 2 4 2" xfId="45644"/>
    <cellStyle name="표준 7 2 3 8 2 2 5" xfId="30680"/>
    <cellStyle name="표준 7 2 3 8 2 3" xfId="8213"/>
    <cellStyle name="표준 7 2 3 8 2 3 2" xfId="15697"/>
    <cellStyle name="표준 7 2 3 8 2 3 2 2" xfId="38164"/>
    <cellStyle name="표준 7 2 3 8 2 3 3" xfId="23181"/>
    <cellStyle name="표준 7 2 3 8 2 3 3 2" xfId="45646"/>
    <cellStyle name="표준 7 2 3 8 2 3 4" xfId="30682"/>
    <cellStyle name="표준 7 2 3 8 2 4" xfId="15694"/>
    <cellStyle name="표준 7 2 3 8 2 4 2" xfId="38161"/>
    <cellStyle name="표준 7 2 3 8 2 5" xfId="23178"/>
    <cellStyle name="표준 7 2 3 8 2 5 2" xfId="45643"/>
    <cellStyle name="표준 7 2 3 8 2 6" xfId="30679"/>
    <cellStyle name="표준 7 2 3 8 3" xfId="8214"/>
    <cellStyle name="표준 7 2 3 8 3 2" xfId="8215"/>
    <cellStyle name="표준 7 2 3 8 3 2 2" xfId="15699"/>
    <cellStyle name="표준 7 2 3 8 3 2 2 2" xfId="38166"/>
    <cellStyle name="표준 7 2 3 8 3 2 3" xfId="23183"/>
    <cellStyle name="표준 7 2 3 8 3 2 3 2" xfId="45648"/>
    <cellStyle name="표준 7 2 3 8 3 2 4" xfId="30684"/>
    <cellStyle name="표준 7 2 3 8 3 3" xfId="15698"/>
    <cellStyle name="표준 7 2 3 8 3 3 2" xfId="38165"/>
    <cellStyle name="표준 7 2 3 8 3 4" xfId="23182"/>
    <cellStyle name="표준 7 2 3 8 3 4 2" xfId="45647"/>
    <cellStyle name="표준 7 2 3 8 3 5" xfId="30683"/>
    <cellStyle name="표준 7 2 3 8 4" xfId="8216"/>
    <cellStyle name="표준 7 2 3 8 4 2" xfId="15700"/>
    <cellStyle name="표준 7 2 3 8 4 2 2" xfId="38167"/>
    <cellStyle name="표준 7 2 3 8 4 3" xfId="23184"/>
    <cellStyle name="표준 7 2 3 8 4 3 2" xfId="45649"/>
    <cellStyle name="표준 7 2 3 8 4 4" xfId="30685"/>
    <cellStyle name="표준 7 2 3 8 5" xfId="15693"/>
    <cellStyle name="표준 7 2 3 8 5 2" xfId="38160"/>
    <cellStyle name="표준 7 2 3 8 6" xfId="23177"/>
    <cellStyle name="표준 7 2 3 8 6 2" xfId="45642"/>
    <cellStyle name="표준 7 2 3 8 7" xfId="30678"/>
    <cellStyle name="표준 7 2 3 9" xfId="8217"/>
    <cellStyle name="표준 7 2 3 9 2" xfId="8218"/>
    <cellStyle name="표준 7 2 3 9 2 2" xfId="8219"/>
    <cellStyle name="표준 7 2 3 9 2 2 2" xfId="15703"/>
    <cellStyle name="표준 7 2 3 9 2 2 2 2" xfId="38170"/>
    <cellStyle name="표준 7 2 3 9 2 2 3" xfId="23187"/>
    <cellStyle name="표준 7 2 3 9 2 2 3 2" xfId="45652"/>
    <cellStyle name="표준 7 2 3 9 2 2 4" xfId="30688"/>
    <cellStyle name="표준 7 2 3 9 2 3" xfId="15702"/>
    <cellStyle name="표준 7 2 3 9 2 3 2" xfId="38169"/>
    <cellStyle name="표준 7 2 3 9 2 4" xfId="23186"/>
    <cellStyle name="표준 7 2 3 9 2 4 2" xfId="45651"/>
    <cellStyle name="표준 7 2 3 9 2 5" xfId="30687"/>
    <cellStyle name="표준 7 2 3 9 3" xfId="8220"/>
    <cellStyle name="표준 7 2 3 9 3 2" xfId="15704"/>
    <cellStyle name="표준 7 2 3 9 3 2 2" xfId="38171"/>
    <cellStyle name="표준 7 2 3 9 3 3" xfId="23188"/>
    <cellStyle name="표준 7 2 3 9 3 3 2" xfId="45653"/>
    <cellStyle name="표준 7 2 3 9 3 4" xfId="30689"/>
    <cellStyle name="표준 7 2 3 9 4" xfId="15701"/>
    <cellStyle name="표준 7 2 3 9 4 2" xfId="38168"/>
    <cellStyle name="표준 7 2 3 9 5" xfId="23185"/>
    <cellStyle name="표준 7 2 3 9 5 2" xfId="45650"/>
    <cellStyle name="표준 7 2 3 9 6" xfId="30686"/>
    <cellStyle name="표준 7 2 4" xfId="8221"/>
    <cellStyle name="표준 7 2 4 10" xfId="15705"/>
    <cellStyle name="표준 7 2 4 10 2" xfId="38172"/>
    <cellStyle name="표준 7 2 4 11" xfId="23189"/>
    <cellStyle name="표준 7 2 4 11 2" xfId="45654"/>
    <cellStyle name="표준 7 2 4 12" xfId="30690"/>
    <cellStyle name="표준 7 2 4 2" xfId="8222"/>
    <cellStyle name="표준 7 2 4 2 10" xfId="30691"/>
    <cellStyle name="표준 7 2 4 2 2" xfId="8223"/>
    <cellStyle name="표준 7 2 4 2 2 2" xfId="8224"/>
    <cellStyle name="표준 7 2 4 2 2 2 2" xfId="8225"/>
    <cellStyle name="표준 7 2 4 2 2 2 2 2" xfId="8226"/>
    <cellStyle name="표준 7 2 4 2 2 2 2 2 2" xfId="8227"/>
    <cellStyle name="표준 7 2 4 2 2 2 2 2 2 2" xfId="15711"/>
    <cellStyle name="표준 7 2 4 2 2 2 2 2 2 2 2" xfId="38178"/>
    <cellStyle name="표준 7 2 4 2 2 2 2 2 2 3" xfId="23195"/>
    <cellStyle name="표준 7 2 4 2 2 2 2 2 2 3 2" xfId="45660"/>
    <cellStyle name="표준 7 2 4 2 2 2 2 2 2 4" xfId="30696"/>
    <cellStyle name="표준 7 2 4 2 2 2 2 2 3" xfId="15710"/>
    <cellStyle name="표준 7 2 4 2 2 2 2 2 3 2" xfId="38177"/>
    <cellStyle name="표준 7 2 4 2 2 2 2 2 4" xfId="23194"/>
    <cellStyle name="표준 7 2 4 2 2 2 2 2 4 2" xfId="45659"/>
    <cellStyle name="표준 7 2 4 2 2 2 2 2 5" xfId="30695"/>
    <cellStyle name="표준 7 2 4 2 2 2 2 3" xfId="8228"/>
    <cellStyle name="표준 7 2 4 2 2 2 2 3 2" xfId="15712"/>
    <cellStyle name="표준 7 2 4 2 2 2 2 3 2 2" xfId="38179"/>
    <cellStyle name="표준 7 2 4 2 2 2 2 3 3" xfId="23196"/>
    <cellStyle name="표준 7 2 4 2 2 2 2 3 3 2" xfId="45661"/>
    <cellStyle name="표준 7 2 4 2 2 2 2 3 4" xfId="30697"/>
    <cellStyle name="표준 7 2 4 2 2 2 2 4" xfId="15709"/>
    <cellStyle name="표준 7 2 4 2 2 2 2 4 2" xfId="38176"/>
    <cellStyle name="표준 7 2 4 2 2 2 2 5" xfId="23193"/>
    <cellStyle name="표준 7 2 4 2 2 2 2 5 2" xfId="45658"/>
    <cellStyle name="표준 7 2 4 2 2 2 2 6" xfId="30694"/>
    <cellStyle name="표준 7 2 4 2 2 2 3" xfId="8229"/>
    <cellStyle name="표준 7 2 4 2 2 2 3 2" xfId="8230"/>
    <cellStyle name="표준 7 2 4 2 2 2 3 2 2" xfId="15714"/>
    <cellStyle name="표준 7 2 4 2 2 2 3 2 2 2" xfId="38181"/>
    <cellStyle name="표준 7 2 4 2 2 2 3 2 3" xfId="23198"/>
    <cellStyle name="표준 7 2 4 2 2 2 3 2 3 2" xfId="45663"/>
    <cellStyle name="표준 7 2 4 2 2 2 3 2 4" xfId="30699"/>
    <cellStyle name="표준 7 2 4 2 2 2 3 3" xfId="15713"/>
    <cellStyle name="표준 7 2 4 2 2 2 3 3 2" xfId="38180"/>
    <cellStyle name="표준 7 2 4 2 2 2 3 4" xfId="23197"/>
    <cellStyle name="표준 7 2 4 2 2 2 3 4 2" xfId="45662"/>
    <cellStyle name="표준 7 2 4 2 2 2 3 5" xfId="30698"/>
    <cellStyle name="표준 7 2 4 2 2 2 4" xfId="8231"/>
    <cellStyle name="표준 7 2 4 2 2 2 4 2" xfId="15715"/>
    <cellStyle name="표준 7 2 4 2 2 2 4 2 2" xfId="38182"/>
    <cellStyle name="표준 7 2 4 2 2 2 4 3" xfId="23199"/>
    <cellStyle name="표준 7 2 4 2 2 2 4 3 2" xfId="45664"/>
    <cellStyle name="표준 7 2 4 2 2 2 4 4" xfId="30700"/>
    <cellStyle name="표준 7 2 4 2 2 2 5" xfId="15708"/>
    <cellStyle name="표준 7 2 4 2 2 2 5 2" xfId="38175"/>
    <cellStyle name="표준 7 2 4 2 2 2 6" xfId="23192"/>
    <cellStyle name="표준 7 2 4 2 2 2 6 2" xfId="45657"/>
    <cellStyle name="표준 7 2 4 2 2 2 7" xfId="30693"/>
    <cellStyle name="표준 7 2 4 2 2 3" xfId="8232"/>
    <cellStyle name="표준 7 2 4 2 2 3 2" xfId="8233"/>
    <cellStyle name="표준 7 2 4 2 2 3 2 2" xfId="8234"/>
    <cellStyle name="표준 7 2 4 2 2 3 2 2 2" xfId="15718"/>
    <cellStyle name="표준 7 2 4 2 2 3 2 2 2 2" xfId="38185"/>
    <cellStyle name="표준 7 2 4 2 2 3 2 2 3" xfId="23202"/>
    <cellStyle name="표준 7 2 4 2 2 3 2 2 3 2" xfId="45667"/>
    <cellStyle name="표준 7 2 4 2 2 3 2 2 4" xfId="30703"/>
    <cellStyle name="표준 7 2 4 2 2 3 2 3" xfId="15717"/>
    <cellStyle name="표준 7 2 4 2 2 3 2 3 2" xfId="38184"/>
    <cellStyle name="표준 7 2 4 2 2 3 2 4" xfId="23201"/>
    <cellStyle name="표준 7 2 4 2 2 3 2 4 2" xfId="45666"/>
    <cellStyle name="표준 7 2 4 2 2 3 2 5" xfId="30702"/>
    <cellStyle name="표준 7 2 4 2 2 3 3" xfId="8235"/>
    <cellStyle name="표준 7 2 4 2 2 3 3 2" xfId="15719"/>
    <cellStyle name="표준 7 2 4 2 2 3 3 2 2" xfId="38186"/>
    <cellStyle name="표준 7 2 4 2 2 3 3 3" xfId="23203"/>
    <cellStyle name="표준 7 2 4 2 2 3 3 3 2" xfId="45668"/>
    <cellStyle name="표준 7 2 4 2 2 3 3 4" xfId="30704"/>
    <cellStyle name="표준 7 2 4 2 2 3 4" xfId="15716"/>
    <cellStyle name="표준 7 2 4 2 2 3 4 2" xfId="38183"/>
    <cellStyle name="표준 7 2 4 2 2 3 5" xfId="23200"/>
    <cellStyle name="표준 7 2 4 2 2 3 5 2" xfId="45665"/>
    <cellStyle name="표준 7 2 4 2 2 3 6" xfId="30701"/>
    <cellStyle name="표준 7 2 4 2 2 4" xfId="8236"/>
    <cellStyle name="표준 7 2 4 2 2 4 2" xfId="8237"/>
    <cellStyle name="표준 7 2 4 2 2 4 2 2" xfId="15721"/>
    <cellStyle name="표준 7 2 4 2 2 4 2 2 2" xfId="38188"/>
    <cellStyle name="표준 7 2 4 2 2 4 2 3" xfId="23205"/>
    <cellStyle name="표준 7 2 4 2 2 4 2 3 2" xfId="45670"/>
    <cellStyle name="표준 7 2 4 2 2 4 2 4" xfId="30706"/>
    <cellStyle name="표준 7 2 4 2 2 4 3" xfId="15720"/>
    <cellStyle name="표준 7 2 4 2 2 4 3 2" xfId="38187"/>
    <cellStyle name="표준 7 2 4 2 2 4 4" xfId="23204"/>
    <cellStyle name="표준 7 2 4 2 2 4 4 2" xfId="45669"/>
    <cellStyle name="표준 7 2 4 2 2 4 5" xfId="30705"/>
    <cellStyle name="표준 7 2 4 2 2 5" xfId="8238"/>
    <cellStyle name="표준 7 2 4 2 2 5 2" xfId="15722"/>
    <cellStyle name="표준 7 2 4 2 2 5 2 2" xfId="38189"/>
    <cellStyle name="표준 7 2 4 2 2 5 3" xfId="23206"/>
    <cellStyle name="표준 7 2 4 2 2 5 3 2" xfId="45671"/>
    <cellStyle name="표준 7 2 4 2 2 5 4" xfId="30707"/>
    <cellStyle name="표준 7 2 4 2 2 6" xfId="15707"/>
    <cellStyle name="표준 7 2 4 2 2 6 2" xfId="38174"/>
    <cellStyle name="표준 7 2 4 2 2 7" xfId="23191"/>
    <cellStyle name="표준 7 2 4 2 2 7 2" xfId="45656"/>
    <cellStyle name="표준 7 2 4 2 2 8" xfId="30692"/>
    <cellStyle name="표준 7 2 4 2 3" xfId="8239"/>
    <cellStyle name="표준 7 2 4 2 3 2" xfId="8240"/>
    <cellStyle name="표준 7 2 4 2 3 2 2" xfId="8241"/>
    <cellStyle name="표준 7 2 4 2 3 2 2 2" xfId="8242"/>
    <cellStyle name="표준 7 2 4 2 3 2 2 2 2" xfId="8243"/>
    <cellStyle name="표준 7 2 4 2 3 2 2 2 2 2" xfId="15727"/>
    <cellStyle name="표준 7 2 4 2 3 2 2 2 2 2 2" xfId="38194"/>
    <cellStyle name="표준 7 2 4 2 3 2 2 2 2 3" xfId="23211"/>
    <cellStyle name="표준 7 2 4 2 3 2 2 2 2 3 2" xfId="45676"/>
    <cellStyle name="표준 7 2 4 2 3 2 2 2 2 4" xfId="30712"/>
    <cellStyle name="표준 7 2 4 2 3 2 2 2 3" xfId="15726"/>
    <cellStyle name="표준 7 2 4 2 3 2 2 2 3 2" xfId="38193"/>
    <cellStyle name="표준 7 2 4 2 3 2 2 2 4" xfId="23210"/>
    <cellStyle name="표준 7 2 4 2 3 2 2 2 4 2" xfId="45675"/>
    <cellStyle name="표준 7 2 4 2 3 2 2 2 5" xfId="30711"/>
    <cellStyle name="표준 7 2 4 2 3 2 2 3" xfId="8244"/>
    <cellStyle name="표준 7 2 4 2 3 2 2 3 2" xfId="15728"/>
    <cellStyle name="표준 7 2 4 2 3 2 2 3 2 2" xfId="38195"/>
    <cellStyle name="표준 7 2 4 2 3 2 2 3 3" xfId="23212"/>
    <cellStyle name="표준 7 2 4 2 3 2 2 3 3 2" xfId="45677"/>
    <cellStyle name="표준 7 2 4 2 3 2 2 3 4" xfId="30713"/>
    <cellStyle name="표준 7 2 4 2 3 2 2 4" xfId="15725"/>
    <cellStyle name="표준 7 2 4 2 3 2 2 4 2" xfId="38192"/>
    <cellStyle name="표준 7 2 4 2 3 2 2 5" xfId="23209"/>
    <cellStyle name="표준 7 2 4 2 3 2 2 5 2" xfId="45674"/>
    <cellStyle name="표준 7 2 4 2 3 2 2 6" xfId="30710"/>
    <cellStyle name="표준 7 2 4 2 3 2 3" xfId="8245"/>
    <cellStyle name="표준 7 2 4 2 3 2 3 2" xfId="8246"/>
    <cellStyle name="표준 7 2 4 2 3 2 3 2 2" xfId="15730"/>
    <cellStyle name="표준 7 2 4 2 3 2 3 2 2 2" xfId="38197"/>
    <cellStyle name="표준 7 2 4 2 3 2 3 2 3" xfId="23214"/>
    <cellStyle name="표준 7 2 4 2 3 2 3 2 3 2" xfId="45679"/>
    <cellStyle name="표준 7 2 4 2 3 2 3 2 4" xfId="30715"/>
    <cellStyle name="표준 7 2 4 2 3 2 3 3" xfId="15729"/>
    <cellStyle name="표준 7 2 4 2 3 2 3 3 2" xfId="38196"/>
    <cellStyle name="표준 7 2 4 2 3 2 3 4" xfId="23213"/>
    <cellStyle name="표준 7 2 4 2 3 2 3 4 2" xfId="45678"/>
    <cellStyle name="표준 7 2 4 2 3 2 3 5" xfId="30714"/>
    <cellStyle name="표준 7 2 4 2 3 2 4" xfId="8247"/>
    <cellStyle name="표준 7 2 4 2 3 2 4 2" xfId="15731"/>
    <cellStyle name="표준 7 2 4 2 3 2 4 2 2" xfId="38198"/>
    <cellStyle name="표준 7 2 4 2 3 2 4 3" xfId="23215"/>
    <cellStyle name="표준 7 2 4 2 3 2 4 3 2" xfId="45680"/>
    <cellStyle name="표준 7 2 4 2 3 2 4 4" xfId="30716"/>
    <cellStyle name="표준 7 2 4 2 3 2 5" xfId="15724"/>
    <cellStyle name="표준 7 2 4 2 3 2 5 2" xfId="38191"/>
    <cellStyle name="표준 7 2 4 2 3 2 6" xfId="23208"/>
    <cellStyle name="표준 7 2 4 2 3 2 6 2" xfId="45673"/>
    <cellStyle name="표준 7 2 4 2 3 2 7" xfId="30709"/>
    <cellStyle name="표준 7 2 4 2 3 3" xfId="8248"/>
    <cellStyle name="표준 7 2 4 2 3 3 2" xfId="8249"/>
    <cellStyle name="표준 7 2 4 2 3 3 2 2" xfId="8250"/>
    <cellStyle name="표준 7 2 4 2 3 3 2 2 2" xfId="15734"/>
    <cellStyle name="표준 7 2 4 2 3 3 2 2 2 2" xfId="38201"/>
    <cellStyle name="표준 7 2 4 2 3 3 2 2 3" xfId="23218"/>
    <cellStyle name="표준 7 2 4 2 3 3 2 2 3 2" xfId="45683"/>
    <cellStyle name="표준 7 2 4 2 3 3 2 2 4" xfId="30719"/>
    <cellStyle name="표준 7 2 4 2 3 3 2 3" xfId="15733"/>
    <cellStyle name="표준 7 2 4 2 3 3 2 3 2" xfId="38200"/>
    <cellStyle name="표준 7 2 4 2 3 3 2 4" xfId="23217"/>
    <cellStyle name="표준 7 2 4 2 3 3 2 4 2" xfId="45682"/>
    <cellStyle name="표준 7 2 4 2 3 3 2 5" xfId="30718"/>
    <cellStyle name="표준 7 2 4 2 3 3 3" xfId="8251"/>
    <cellStyle name="표준 7 2 4 2 3 3 3 2" xfId="15735"/>
    <cellStyle name="표준 7 2 4 2 3 3 3 2 2" xfId="38202"/>
    <cellStyle name="표준 7 2 4 2 3 3 3 3" xfId="23219"/>
    <cellStyle name="표준 7 2 4 2 3 3 3 3 2" xfId="45684"/>
    <cellStyle name="표준 7 2 4 2 3 3 3 4" xfId="30720"/>
    <cellStyle name="표준 7 2 4 2 3 3 4" xfId="15732"/>
    <cellStyle name="표준 7 2 4 2 3 3 4 2" xfId="38199"/>
    <cellStyle name="표준 7 2 4 2 3 3 5" xfId="23216"/>
    <cellStyle name="표준 7 2 4 2 3 3 5 2" xfId="45681"/>
    <cellStyle name="표준 7 2 4 2 3 3 6" xfId="30717"/>
    <cellStyle name="표준 7 2 4 2 3 4" xfId="8252"/>
    <cellStyle name="표준 7 2 4 2 3 4 2" xfId="8253"/>
    <cellStyle name="표준 7 2 4 2 3 4 2 2" xfId="15737"/>
    <cellStyle name="표준 7 2 4 2 3 4 2 2 2" xfId="38204"/>
    <cellStyle name="표준 7 2 4 2 3 4 2 3" xfId="23221"/>
    <cellStyle name="표준 7 2 4 2 3 4 2 3 2" xfId="45686"/>
    <cellStyle name="표준 7 2 4 2 3 4 2 4" xfId="30722"/>
    <cellStyle name="표준 7 2 4 2 3 4 3" xfId="15736"/>
    <cellStyle name="표준 7 2 4 2 3 4 3 2" xfId="38203"/>
    <cellStyle name="표준 7 2 4 2 3 4 4" xfId="23220"/>
    <cellStyle name="표준 7 2 4 2 3 4 4 2" xfId="45685"/>
    <cellStyle name="표준 7 2 4 2 3 4 5" xfId="30721"/>
    <cellStyle name="표준 7 2 4 2 3 5" xfId="8254"/>
    <cellStyle name="표준 7 2 4 2 3 5 2" xfId="15738"/>
    <cellStyle name="표준 7 2 4 2 3 5 2 2" xfId="38205"/>
    <cellStyle name="표준 7 2 4 2 3 5 3" xfId="23222"/>
    <cellStyle name="표준 7 2 4 2 3 5 3 2" xfId="45687"/>
    <cellStyle name="표준 7 2 4 2 3 5 4" xfId="30723"/>
    <cellStyle name="표준 7 2 4 2 3 6" xfId="15723"/>
    <cellStyle name="표준 7 2 4 2 3 6 2" xfId="38190"/>
    <cellStyle name="표준 7 2 4 2 3 7" xfId="23207"/>
    <cellStyle name="표준 7 2 4 2 3 7 2" xfId="45672"/>
    <cellStyle name="표준 7 2 4 2 3 8" xfId="30708"/>
    <cellStyle name="표준 7 2 4 2 4" xfId="8255"/>
    <cellStyle name="표준 7 2 4 2 4 2" xfId="8256"/>
    <cellStyle name="표준 7 2 4 2 4 2 2" xfId="8257"/>
    <cellStyle name="표준 7 2 4 2 4 2 2 2" xfId="8258"/>
    <cellStyle name="표준 7 2 4 2 4 2 2 2 2" xfId="15742"/>
    <cellStyle name="표준 7 2 4 2 4 2 2 2 2 2" xfId="38209"/>
    <cellStyle name="표준 7 2 4 2 4 2 2 2 3" xfId="23226"/>
    <cellStyle name="표준 7 2 4 2 4 2 2 2 3 2" xfId="45691"/>
    <cellStyle name="표준 7 2 4 2 4 2 2 2 4" xfId="30727"/>
    <cellStyle name="표준 7 2 4 2 4 2 2 3" xfId="15741"/>
    <cellStyle name="표준 7 2 4 2 4 2 2 3 2" xfId="38208"/>
    <cellStyle name="표준 7 2 4 2 4 2 2 4" xfId="23225"/>
    <cellStyle name="표준 7 2 4 2 4 2 2 4 2" xfId="45690"/>
    <cellStyle name="표준 7 2 4 2 4 2 2 5" xfId="30726"/>
    <cellStyle name="표준 7 2 4 2 4 2 3" xfId="8259"/>
    <cellStyle name="표준 7 2 4 2 4 2 3 2" xfId="15743"/>
    <cellStyle name="표준 7 2 4 2 4 2 3 2 2" xfId="38210"/>
    <cellStyle name="표준 7 2 4 2 4 2 3 3" xfId="23227"/>
    <cellStyle name="표준 7 2 4 2 4 2 3 3 2" xfId="45692"/>
    <cellStyle name="표준 7 2 4 2 4 2 3 4" xfId="30728"/>
    <cellStyle name="표준 7 2 4 2 4 2 4" xfId="15740"/>
    <cellStyle name="표준 7 2 4 2 4 2 4 2" xfId="38207"/>
    <cellStyle name="표준 7 2 4 2 4 2 5" xfId="23224"/>
    <cellStyle name="표준 7 2 4 2 4 2 5 2" xfId="45689"/>
    <cellStyle name="표준 7 2 4 2 4 2 6" xfId="30725"/>
    <cellStyle name="표준 7 2 4 2 4 3" xfId="8260"/>
    <cellStyle name="표준 7 2 4 2 4 3 2" xfId="8261"/>
    <cellStyle name="표준 7 2 4 2 4 3 2 2" xfId="15745"/>
    <cellStyle name="표준 7 2 4 2 4 3 2 2 2" xfId="38212"/>
    <cellStyle name="표준 7 2 4 2 4 3 2 3" xfId="23229"/>
    <cellStyle name="표준 7 2 4 2 4 3 2 3 2" xfId="45694"/>
    <cellStyle name="표준 7 2 4 2 4 3 2 4" xfId="30730"/>
    <cellStyle name="표준 7 2 4 2 4 3 3" xfId="15744"/>
    <cellStyle name="표준 7 2 4 2 4 3 3 2" xfId="38211"/>
    <cellStyle name="표준 7 2 4 2 4 3 4" xfId="23228"/>
    <cellStyle name="표준 7 2 4 2 4 3 4 2" xfId="45693"/>
    <cellStyle name="표준 7 2 4 2 4 3 5" xfId="30729"/>
    <cellStyle name="표준 7 2 4 2 4 4" xfId="8262"/>
    <cellStyle name="표준 7 2 4 2 4 4 2" xfId="15746"/>
    <cellStyle name="표준 7 2 4 2 4 4 2 2" xfId="38213"/>
    <cellStyle name="표준 7 2 4 2 4 4 3" xfId="23230"/>
    <cellStyle name="표준 7 2 4 2 4 4 3 2" xfId="45695"/>
    <cellStyle name="표준 7 2 4 2 4 4 4" xfId="30731"/>
    <cellStyle name="표준 7 2 4 2 4 5" xfId="15739"/>
    <cellStyle name="표준 7 2 4 2 4 5 2" xfId="38206"/>
    <cellStyle name="표준 7 2 4 2 4 6" xfId="23223"/>
    <cellStyle name="표준 7 2 4 2 4 6 2" xfId="45688"/>
    <cellStyle name="표준 7 2 4 2 4 7" xfId="30724"/>
    <cellStyle name="표준 7 2 4 2 5" xfId="8263"/>
    <cellStyle name="표준 7 2 4 2 5 2" xfId="8264"/>
    <cellStyle name="표준 7 2 4 2 5 2 2" xfId="8265"/>
    <cellStyle name="표준 7 2 4 2 5 2 2 2" xfId="15749"/>
    <cellStyle name="표준 7 2 4 2 5 2 2 2 2" xfId="38216"/>
    <cellStyle name="표준 7 2 4 2 5 2 2 3" xfId="23233"/>
    <cellStyle name="표준 7 2 4 2 5 2 2 3 2" xfId="45698"/>
    <cellStyle name="표준 7 2 4 2 5 2 2 4" xfId="30734"/>
    <cellStyle name="표준 7 2 4 2 5 2 3" xfId="15748"/>
    <cellStyle name="표준 7 2 4 2 5 2 3 2" xfId="38215"/>
    <cellStyle name="표준 7 2 4 2 5 2 4" xfId="23232"/>
    <cellStyle name="표준 7 2 4 2 5 2 4 2" xfId="45697"/>
    <cellStyle name="표준 7 2 4 2 5 2 5" xfId="30733"/>
    <cellStyle name="표준 7 2 4 2 5 3" xfId="8266"/>
    <cellStyle name="표준 7 2 4 2 5 3 2" xfId="15750"/>
    <cellStyle name="표준 7 2 4 2 5 3 2 2" xfId="38217"/>
    <cellStyle name="표준 7 2 4 2 5 3 3" xfId="23234"/>
    <cellStyle name="표준 7 2 4 2 5 3 3 2" xfId="45699"/>
    <cellStyle name="표준 7 2 4 2 5 3 4" xfId="30735"/>
    <cellStyle name="표준 7 2 4 2 5 4" xfId="15747"/>
    <cellStyle name="표준 7 2 4 2 5 4 2" xfId="38214"/>
    <cellStyle name="표준 7 2 4 2 5 5" xfId="23231"/>
    <cellStyle name="표준 7 2 4 2 5 5 2" xfId="45696"/>
    <cellStyle name="표준 7 2 4 2 5 6" xfId="30732"/>
    <cellStyle name="표준 7 2 4 2 6" xfId="8267"/>
    <cellStyle name="표준 7 2 4 2 6 2" xfId="8268"/>
    <cellStyle name="표준 7 2 4 2 6 2 2" xfId="15752"/>
    <cellStyle name="표준 7 2 4 2 6 2 2 2" xfId="38219"/>
    <cellStyle name="표준 7 2 4 2 6 2 3" xfId="23236"/>
    <cellStyle name="표준 7 2 4 2 6 2 3 2" xfId="45701"/>
    <cellStyle name="표준 7 2 4 2 6 2 4" xfId="30737"/>
    <cellStyle name="표준 7 2 4 2 6 3" xfId="15751"/>
    <cellStyle name="표준 7 2 4 2 6 3 2" xfId="38218"/>
    <cellStyle name="표준 7 2 4 2 6 4" xfId="23235"/>
    <cellStyle name="표준 7 2 4 2 6 4 2" xfId="45700"/>
    <cellStyle name="표준 7 2 4 2 6 5" xfId="30736"/>
    <cellStyle name="표준 7 2 4 2 7" xfId="8269"/>
    <cellStyle name="표준 7 2 4 2 7 2" xfId="15753"/>
    <cellStyle name="표준 7 2 4 2 7 2 2" xfId="38220"/>
    <cellStyle name="표준 7 2 4 2 7 3" xfId="23237"/>
    <cellStyle name="표준 7 2 4 2 7 3 2" xfId="45702"/>
    <cellStyle name="표준 7 2 4 2 7 4" xfId="30738"/>
    <cellStyle name="표준 7 2 4 2 8" xfId="15706"/>
    <cellStyle name="표준 7 2 4 2 8 2" xfId="38173"/>
    <cellStyle name="표준 7 2 4 2 9" xfId="23190"/>
    <cellStyle name="표준 7 2 4 2 9 2" xfId="45655"/>
    <cellStyle name="표준 7 2 4 3" xfId="8270"/>
    <cellStyle name="표준 7 2 4 3 2" xfId="8271"/>
    <cellStyle name="표준 7 2 4 3 2 2" xfId="8272"/>
    <cellStyle name="표준 7 2 4 3 2 2 2" xfId="8273"/>
    <cellStyle name="표준 7 2 4 3 2 2 2 2" xfId="8274"/>
    <cellStyle name="표준 7 2 4 3 2 2 2 2 2" xfId="15758"/>
    <cellStyle name="표준 7 2 4 3 2 2 2 2 2 2" xfId="38225"/>
    <cellStyle name="표준 7 2 4 3 2 2 2 2 3" xfId="23242"/>
    <cellStyle name="표준 7 2 4 3 2 2 2 2 3 2" xfId="45707"/>
    <cellStyle name="표준 7 2 4 3 2 2 2 2 4" xfId="30743"/>
    <cellStyle name="표준 7 2 4 3 2 2 2 3" xfId="15757"/>
    <cellStyle name="표준 7 2 4 3 2 2 2 3 2" xfId="38224"/>
    <cellStyle name="표준 7 2 4 3 2 2 2 4" xfId="23241"/>
    <cellStyle name="표준 7 2 4 3 2 2 2 4 2" xfId="45706"/>
    <cellStyle name="표준 7 2 4 3 2 2 2 5" xfId="30742"/>
    <cellStyle name="표준 7 2 4 3 2 2 3" xfId="8275"/>
    <cellStyle name="표준 7 2 4 3 2 2 3 2" xfId="15759"/>
    <cellStyle name="표준 7 2 4 3 2 2 3 2 2" xfId="38226"/>
    <cellStyle name="표준 7 2 4 3 2 2 3 3" xfId="23243"/>
    <cellStyle name="표준 7 2 4 3 2 2 3 3 2" xfId="45708"/>
    <cellStyle name="표준 7 2 4 3 2 2 3 4" xfId="30744"/>
    <cellStyle name="표준 7 2 4 3 2 2 4" xfId="15756"/>
    <cellStyle name="표준 7 2 4 3 2 2 4 2" xfId="38223"/>
    <cellStyle name="표준 7 2 4 3 2 2 5" xfId="23240"/>
    <cellStyle name="표준 7 2 4 3 2 2 5 2" xfId="45705"/>
    <cellStyle name="표준 7 2 4 3 2 2 6" xfId="30741"/>
    <cellStyle name="표준 7 2 4 3 2 3" xfId="8276"/>
    <cellStyle name="표준 7 2 4 3 2 3 2" xfId="8277"/>
    <cellStyle name="표준 7 2 4 3 2 3 2 2" xfId="15761"/>
    <cellStyle name="표준 7 2 4 3 2 3 2 2 2" xfId="38228"/>
    <cellStyle name="표준 7 2 4 3 2 3 2 3" xfId="23245"/>
    <cellStyle name="표준 7 2 4 3 2 3 2 3 2" xfId="45710"/>
    <cellStyle name="표준 7 2 4 3 2 3 2 4" xfId="30746"/>
    <cellStyle name="표준 7 2 4 3 2 3 3" xfId="15760"/>
    <cellStyle name="표준 7 2 4 3 2 3 3 2" xfId="38227"/>
    <cellStyle name="표준 7 2 4 3 2 3 4" xfId="23244"/>
    <cellStyle name="표준 7 2 4 3 2 3 4 2" xfId="45709"/>
    <cellStyle name="표준 7 2 4 3 2 3 5" xfId="30745"/>
    <cellStyle name="표준 7 2 4 3 2 4" xfId="8278"/>
    <cellStyle name="표준 7 2 4 3 2 4 2" xfId="15762"/>
    <cellStyle name="표준 7 2 4 3 2 4 2 2" xfId="38229"/>
    <cellStyle name="표준 7 2 4 3 2 4 3" xfId="23246"/>
    <cellStyle name="표준 7 2 4 3 2 4 3 2" xfId="45711"/>
    <cellStyle name="표준 7 2 4 3 2 4 4" xfId="30747"/>
    <cellStyle name="표준 7 2 4 3 2 5" xfId="15755"/>
    <cellStyle name="표준 7 2 4 3 2 5 2" xfId="38222"/>
    <cellStyle name="표준 7 2 4 3 2 6" xfId="23239"/>
    <cellStyle name="표준 7 2 4 3 2 6 2" xfId="45704"/>
    <cellStyle name="표준 7 2 4 3 2 7" xfId="30740"/>
    <cellStyle name="표준 7 2 4 3 3" xfId="8279"/>
    <cellStyle name="표준 7 2 4 3 3 2" xfId="8280"/>
    <cellStyle name="표준 7 2 4 3 3 2 2" xfId="8281"/>
    <cellStyle name="표준 7 2 4 3 3 2 2 2" xfId="15765"/>
    <cellStyle name="표준 7 2 4 3 3 2 2 2 2" xfId="38232"/>
    <cellStyle name="표준 7 2 4 3 3 2 2 3" xfId="23249"/>
    <cellStyle name="표준 7 2 4 3 3 2 2 3 2" xfId="45714"/>
    <cellStyle name="표준 7 2 4 3 3 2 2 4" xfId="30750"/>
    <cellStyle name="표준 7 2 4 3 3 2 3" xfId="15764"/>
    <cellStyle name="표준 7 2 4 3 3 2 3 2" xfId="38231"/>
    <cellStyle name="표준 7 2 4 3 3 2 4" xfId="23248"/>
    <cellStyle name="표준 7 2 4 3 3 2 4 2" xfId="45713"/>
    <cellStyle name="표준 7 2 4 3 3 2 5" xfId="30749"/>
    <cellStyle name="표준 7 2 4 3 3 3" xfId="8282"/>
    <cellStyle name="표준 7 2 4 3 3 3 2" xfId="15766"/>
    <cellStyle name="표준 7 2 4 3 3 3 2 2" xfId="38233"/>
    <cellStyle name="표준 7 2 4 3 3 3 3" xfId="23250"/>
    <cellStyle name="표준 7 2 4 3 3 3 3 2" xfId="45715"/>
    <cellStyle name="표준 7 2 4 3 3 3 4" xfId="30751"/>
    <cellStyle name="표준 7 2 4 3 3 4" xfId="15763"/>
    <cellStyle name="표준 7 2 4 3 3 4 2" xfId="38230"/>
    <cellStyle name="표준 7 2 4 3 3 5" xfId="23247"/>
    <cellStyle name="표준 7 2 4 3 3 5 2" xfId="45712"/>
    <cellStyle name="표준 7 2 4 3 3 6" xfId="30748"/>
    <cellStyle name="표준 7 2 4 3 4" xfId="8283"/>
    <cellStyle name="표준 7 2 4 3 4 2" xfId="8284"/>
    <cellStyle name="표준 7 2 4 3 4 2 2" xfId="15768"/>
    <cellStyle name="표준 7 2 4 3 4 2 2 2" xfId="38235"/>
    <cellStyle name="표준 7 2 4 3 4 2 3" xfId="23252"/>
    <cellStyle name="표준 7 2 4 3 4 2 3 2" xfId="45717"/>
    <cellStyle name="표준 7 2 4 3 4 2 4" xfId="30753"/>
    <cellStyle name="표준 7 2 4 3 4 3" xfId="15767"/>
    <cellStyle name="표준 7 2 4 3 4 3 2" xfId="38234"/>
    <cellStyle name="표준 7 2 4 3 4 4" xfId="23251"/>
    <cellStyle name="표준 7 2 4 3 4 4 2" xfId="45716"/>
    <cellStyle name="표준 7 2 4 3 4 5" xfId="30752"/>
    <cellStyle name="표준 7 2 4 3 5" xfId="8285"/>
    <cellStyle name="표준 7 2 4 3 5 2" xfId="15769"/>
    <cellStyle name="표준 7 2 4 3 5 2 2" xfId="38236"/>
    <cellStyle name="표준 7 2 4 3 5 3" xfId="23253"/>
    <cellStyle name="표준 7 2 4 3 5 3 2" xfId="45718"/>
    <cellStyle name="표준 7 2 4 3 5 4" xfId="30754"/>
    <cellStyle name="표준 7 2 4 3 6" xfId="15754"/>
    <cellStyle name="표준 7 2 4 3 6 2" xfId="38221"/>
    <cellStyle name="표준 7 2 4 3 7" xfId="23238"/>
    <cellStyle name="표준 7 2 4 3 7 2" xfId="45703"/>
    <cellStyle name="표준 7 2 4 3 8" xfId="30739"/>
    <cellStyle name="표준 7 2 4 4" xfId="8286"/>
    <cellStyle name="표준 7 2 4 4 2" xfId="8287"/>
    <cellStyle name="표준 7 2 4 4 2 2" xfId="8288"/>
    <cellStyle name="표준 7 2 4 4 2 2 2" xfId="8289"/>
    <cellStyle name="표준 7 2 4 4 2 2 2 2" xfId="8290"/>
    <cellStyle name="표준 7 2 4 4 2 2 2 2 2" xfId="15774"/>
    <cellStyle name="표준 7 2 4 4 2 2 2 2 2 2" xfId="38241"/>
    <cellStyle name="표준 7 2 4 4 2 2 2 2 3" xfId="23258"/>
    <cellStyle name="표준 7 2 4 4 2 2 2 2 3 2" xfId="45723"/>
    <cellStyle name="표준 7 2 4 4 2 2 2 2 4" xfId="30759"/>
    <cellStyle name="표준 7 2 4 4 2 2 2 3" xfId="15773"/>
    <cellStyle name="표준 7 2 4 4 2 2 2 3 2" xfId="38240"/>
    <cellStyle name="표준 7 2 4 4 2 2 2 4" xfId="23257"/>
    <cellStyle name="표준 7 2 4 4 2 2 2 4 2" xfId="45722"/>
    <cellStyle name="표준 7 2 4 4 2 2 2 5" xfId="30758"/>
    <cellStyle name="표준 7 2 4 4 2 2 3" xfId="8291"/>
    <cellStyle name="표준 7 2 4 4 2 2 3 2" xfId="15775"/>
    <cellStyle name="표준 7 2 4 4 2 2 3 2 2" xfId="38242"/>
    <cellStyle name="표준 7 2 4 4 2 2 3 3" xfId="23259"/>
    <cellStyle name="표준 7 2 4 4 2 2 3 3 2" xfId="45724"/>
    <cellStyle name="표준 7 2 4 4 2 2 3 4" xfId="30760"/>
    <cellStyle name="표준 7 2 4 4 2 2 4" xfId="15772"/>
    <cellStyle name="표준 7 2 4 4 2 2 4 2" xfId="38239"/>
    <cellStyle name="표준 7 2 4 4 2 2 5" xfId="23256"/>
    <cellStyle name="표준 7 2 4 4 2 2 5 2" xfId="45721"/>
    <cellStyle name="표준 7 2 4 4 2 2 6" xfId="30757"/>
    <cellStyle name="표준 7 2 4 4 2 3" xfId="8292"/>
    <cellStyle name="표준 7 2 4 4 2 3 2" xfId="8293"/>
    <cellStyle name="표준 7 2 4 4 2 3 2 2" xfId="15777"/>
    <cellStyle name="표준 7 2 4 4 2 3 2 2 2" xfId="38244"/>
    <cellStyle name="표준 7 2 4 4 2 3 2 3" xfId="23261"/>
    <cellStyle name="표준 7 2 4 4 2 3 2 3 2" xfId="45726"/>
    <cellStyle name="표준 7 2 4 4 2 3 2 4" xfId="30762"/>
    <cellStyle name="표준 7 2 4 4 2 3 3" xfId="15776"/>
    <cellStyle name="표준 7 2 4 4 2 3 3 2" xfId="38243"/>
    <cellStyle name="표준 7 2 4 4 2 3 4" xfId="23260"/>
    <cellStyle name="표준 7 2 4 4 2 3 4 2" xfId="45725"/>
    <cellStyle name="표준 7 2 4 4 2 3 5" xfId="30761"/>
    <cellStyle name="표준 7 2 4 4 2 4" xfId="8294"/>
    <cellStyle name="표준 7 2 4 4 2 4 2" xfId="15778"/>
    <cellStyle name="표준 7 2 4 4 2 4 2 2" xfId="38245"/>
    <cellStyle name="표준 7 2 4 4 2 4 3" xfId="23262"/>
    <cellStyle name="표준 7 2 4 4 2 4 3 2" xfId="45727"/>
    <cellStyle name="표준 7 2 4 4 2 4 4" xfId="30763"/>
    <cellStyle name="표준 7 2 4 4 2 5" xfId="15771"/>
    <cellStyle name="표준 7 2 4 4 2 5 2" xfId="38238"/>
    <cellStyle name="표준 7 2 4 4 2 6" xfId="23255"/>
    <cellStyle name="표준 7 2 4 4 2 6 2" xfId="45720"/>
    <cellStyle name="표준 7 2 4 4 2 7" xfId="30756"/>
    <cellStyle name="표준 7 2 4 4 3" xfId="8295"/>
    <cellStyle name="표준 7 2 4 4 3 2" xfId="8296"/>
    <cellStyle name="표준 7 2 4 4 3 2 2" xfId="8297"/>
    <cellStyle name="표준 7 2 4 4 3 2 2 2" xfId="15781"/>
    <cellStyle name="표준 7 2 4 4 3 2 2 2 2" xfId="38248"/>
    <cellStyle name="표준 7 2 4 4 3 2 2 3" xfId="23265"/>
    <cellStyle name="표준 7 2 4 4 3 2 2 3 2" xfId="45730"/>
    <cellStyle name="표준 7 2 4 4 3 2 2 4" xfId="30766"/>
    <cellStyle name="표준 7 2 4 4 3 2 3" xfId="15780"/>
    <cellStyle name="표준 7 2 4 4 3 2 3 2" xfId="38247"/>
    <cellStyle name="표준 7 2 4 4 3 2 4" xfId="23264"/>
    <cellStyle name="표준 7 2 4 4 3 2 4 2" xfId="45729"/>
    <cellStyle name="표준 7 2 4 4 3 2 5" xfId="30765"/>
    <cellStyle name="표준 7 2 4 4 3 3" xfId="8298"/>
    <cellStyle name="표준 7 2 4 4 3 3 2" xfId="15782"/>
    <cellStyle name="표준 7 2 4 4 3 3 2 2" xfId="38249"/>
    <cellStyle name="표준 7 2 4 4 3 3 3" xfId="23266"/>
    <cellStyle name="표준 7 2 4 4 3 3 3 2" xfId="45731"/>
    <cellStyle name="표준 7 2 4 4 3 3 4" xfId="30767"/>
    <cellStyle name="표준 7 2 4 4 3 4" xfId="15779"/>
    <cellStyle name="표준 7 2 4 4 3 4 2" xfId="38246"/>
    <cellStyle name="표준 7 2 4 4 3 5" xfId="23263"/>
    <cellStyle name="표준 7 2 4 4 3 5 2" xfId="45728"/>
    <cellStyle name="표준 7 2 4 4 3 6" xfId="30764"/>
    <cellStyle name="표준 7 2 4 4 4" xfId="8299"/>
    <cellStyle name="표준 7 2 4 4 4 2" xfId="8300"/>
    <cellStyle name="표준 7 2 4 4 4 2 2" xfId="15784"/>
    <cellStyle name="표준 7 2 4 4 4 2 2 2" xfId="38251"/>
    <cellStyle name="표준 7 2 4 4 4 2 3" xfId="23268"/>
    <cellStyle name="표준 7 2 4 4 4 2 3 2" xfId="45733"/>
    <cellStyle name="표준 7 2 4 4 4 2 4" xfId="30769"/>
    <cellStyle name="표준 7 2 4 4 4 3" xfId="15783"/>
    <cellStyle name="표준 7 2 4 4 4 3 2" xfId="38250"/>
    <cellStyle name="표준 7 2 4 4 4 4" xfId="23267"/>
    <cellStyle name="표준 7 2 4 4 4 4 2" xfId="45732"/>
    <cellStyle name="표준 7 2 4 4 4 5" xfId="30768"/>
    <cellStyle name="표준 7 2 4 4 5" xfId="8301"/>
    <cellStyle name="표준 7 2 4 4 5 2" xfId="15785"/>
    <cellStyle name="표준 7 2 4 4 5 2 2" xfId="38252"/>
    <cellStyle name="표준 7 2 4 4 5 3" xfId="23269"/>
    <cellStyle name="표준 7 2 4 4 5 3 2" xfId="45734"/>
    <cellStyle name="표준 7 2 4 4 5 4" xfId="30770"/>
    <cellStyle name="표준 7 2 4 4 6" xfId="15770"/>
    <cellStyle name="표준 7 2 4 4 6 2" xfId="38237"/>
    <cellStyle name="표준 7 2 4 4 7" xfId="23254"/>
    <cellStyle name="표준 7 2 4 4 7 2" xfId="45719"/>
    <cellStyle name="표준 7 2 4 4 8" xfId="30755"/>
    <cellStyle name="표준 7 2 4 5" xfId="8302"/>
    <cellStyle name="표준 7 2 4 5 2" xfId="8303"/>
    <cellStyle name="표준 7 2 4 5 2 2" xfId="8304"/>
    <cellStyle name="표준 7 2 4 5 2 2 2" xfId="8305"/>
    <cellStyle name="표준 7 2 4 5 2 2 2 2" xfId="15789"/>
    <cellStyle name="표준 7 2 4 5 2 2 2 2 2" xfId="38256"/>
    <cellStyle name="표준 7 2 4 5 2 2 2 3" xfId="23273"/>
    <cellStyle name="표준 7 2 4 5 2 2 2 3 2" xfId="45738"/>
    <cellStyle name="표준 7 2 4 5 2 2 2 4" xfId="30774"/>
    <cellStyle name="표준 7 2 4 5 2 2 3" xfId="15788"/>
    <cellStyle name="표준 7 2 4 5 2 2 3 2" xfId="38255"/>
    <cellStyle name="표준 7 2 4 5 2 2 4" xfId="23272"/>
    <cellStyle name="표준 7 2 4 5 2 2 4 2" xfId="45737"/>
    <cellStyle name="표준 7 2 4 5 2 2 5" xfId="30773"/>
    <cellStyle name="표준 7 2 4 5 2 3" xfId="8306"/>
    <cellStyle name="표준 7 2 4 5 2 3 2" xfId="15790"/>
    <cellStyle name="표준 7 2 4 5 2 3 2 2" xfId="38257"/>
    <cellStyle name="표준 7 2 4 5 2 3 3" xfId="23274"/>
    <cellStyle name="표준 7 2 4 5 2 3 3 2" xfId="45739"/>
    <cellStyle name="표준 7 2 4 5 2 3 4" xfId="30775"/>
    <cellStyle name="표준 7 2 4 5 2 4" xfId="15787"/>
    <cellStyle name="표준 7 2 4 5 2 4 2" xfId="38254"/>
    <cellStyle name="표준 7 2 4 5 2 5" xfId="23271"/>
    <cellStyle name="표준 7 2 4 5 2 5 2" xfId="45736"/>
    <cellStyle name="표준 7 2 4 5 2 6" xfId="30772"/>
    <cellStyle name="표준 7 2 4 5 3" xfId="8307"/>
    <cellStyle name="표준 7 2 4 5 3 2" xfId="8308"/>
    <cellStyle name="표준 7 2 4 5 3 2 2" xfId="15792"/>
    <cellStyle name="표준 7 2 4 5 3 2 2 2" xfId="38259"/>
    <cellStyle name="표준 7 2 4 5 3 2 3" xfId="23276"/>
    <cellStyle name="표준 7 2 4 5 3 2 3 2" xfId="45741"/>
    <cellStyle name="표준 7 2 4 5 3 2 4" xfId="30777"/>
    <cellStyle name="표준 7 2 4 5 3 3" xfId="15791"/>
    <cellStyle name="표준 7 2 4 5 3 3 2" xfId="38258"/>
    <cellStyle name="표준 7 2 4 5 3 4" xfId="23275"/>
    <cellStyle name="표준 7 2 4 5 3 4 2" xfId="45740"/>
    <cellStyle name="표준 7 2 4 5 3 5" xfId="30776"/>
    <cellStyle name="표준 7 2 4 5 4" xfId="8309"/>
    <cellStyle name="표준 7 2 4 5 4 2" xfId="15793"/>
    <cellStyle name="표준 7 2 4 5 4 2 2" xfId="38260"/>
    <cellStyle name="표준 7 2 4 5 4 3" xfId="23277"/>
    <cellStyle name="표준 7 2 4 5 4 3 2" xfId="45742"/>
    <cellStyle name="표준 7 2 4 5 4 4" xfId="30778"/>
    <cellStyle name="표준 7 2 4 5 5" xfId="15786"/>
    <cellStyle name="표준 7 2 4 5 5 2" xfId="38253"/>
    <cellStyle name="표준 7 2 4 5 6" xfId="23270"/>
    <cellStyle name="표준 7 2 4 5 6 2" xfId="45735"/>
    <cellStyle name="표준 7 2 4 5 7" xfId="30771"/>
    <cellStyle name="표준 7 2 4 6" xfId="8310"/>
    <cellStyle name="표준 7 2 4 6 2" xfId="8311"/>
    <cellStyle name="표준 7 2 4 6 2 2" xfId="8312"/>
    <cellStyle name="표준 7 2 4 6 2 2 2" xfId="15796"/>
    <cellStyle name="표준 7 2 4 6 2 2 2 2" xfId="38263"/>
    <cellStyle name="표준 7 2 4 6 2 2 3" xfId="23280"/>
    <cellStyle name="표준 7 2 4 6 2 2 3 2" xfId="45745"/>
    <cellStyle name="표준 7 2 4 6 2 2 4" xfId="30781"/>
    <cellStyle name="표준 7 2 4 6 2 3" xfId="15795"/>
    <cellStyle name="표준 7 2 4 6 2 3 2" xfId="38262"/>
    <cellStyle name="표준 7 2 4 6 2 4" xfId="23279"/>
    <cellStyle name="표준 7 2 4 6 2 4 2" xfId="45744"/>
    <cellStyle name="표준 7 2 4 6 2 5" xfId="30780"/>
    <cellStyle name="표준 7 2 4 6 3" xfId="8313"/>
    <cellStyle name="표준 7 2 4 6 3 2" xfId="15797"/>
    <cellStyle name="표준 7 2 4 6 3 2 2" xfId="38264"/>
    <cellStyle name="표준 7 2 4 6 3 3" xfId="23281"/>
    <cellStyle name="표준 7 2 4 6 3 3 2" xfId="45746"/>
    <cellStyle name="표준 7 2 4 6 3 4" xfId="30782"/>
    <cellStyle name="표준 7 2 4 6 4" xfId="15794"/>
    <cellStyle name="표준 7 2 4 6 4 2" xfId="38261"/>
    <cellStyle name="표준 7 2 4 6 5" xfId="23278"/>
    <cellStyle name="표준 7 2 4 6 5 2" xfId="45743"/>
    <cellStyle name="표준 7 2 4 6 6" xfId="30779"/>
    <cellStyle name="표준 7 2 4 7" xfId="8314"/>
    <cellStyle name="표준 7 2 4 7 2" xfId="8315"/>
    <cellStyle name="표준 7 2 4 7 2 2" xfId="8316"/>
    <cellStyle name="표준 7 2 4 7 2 2 2" xfId="15800"/>
    <cellStyle name="표준 7 2 4 7 2 2 2 2" xfId="38267"/>
    <cellStyle name="표준 7 2 4 7 2 2 3" xfId="23284"/>
    <cellStyle name="표준 7 2 4 7 2 2 3 2" xfId="45749"/>
    <cellStyle name="표준 7 2 4 7 2 2 4" xfId="30785"/>
    <cellStyle name="표준 7 2 4 7 2 3" xfId="15799"/>
    <cellStyle name="표준 7 2 4 7 2 3 2" xfId="38266"/>
    <cellStyle name="표준 7 2 4 7 2 4" xfId="23283"/>
    <cellStyle name="표준 7 2 4 7 2 4 2" xfId="45748"/>
    <cellStyle name="표준 7 2 4 7 2 5" xfId="30784"/>
    <cellStyle name="표준 7 2 4 7 3" xfId="8317"/>
    <cellStyle name="표준 7 2 4 7 3 2" xfId="15801"/>
    <cellStyle name="표준 7 2 4 7 3 2 2" xfId="38268"/>
    <cellStyle name="표준 7 2 4 7 3 3" xfId="23285"/>
    <cellStyle name="표준 7 2 4 7 3 3 2" xfId="45750"/>
    <cellStyle name="표준 7 2 4 7 3 4" xfId="30786"/>
    <cellStyle name="표준 7 2 4 7 4" xfId="15798"/>
    <cellStyle name="표준 7 2 4 7 4 2" xfId="38265"/>
    <cellStyle name="표준 7 2 4 7 5" xfId="23282"/>
    <cellStyle name="표준 7 2 4 7 5 2" xfId="45747"/>
    <cellStyle name="표준 7 2 4 7 6" xfId="30783"/>
    <cellStyle name="표준 7 2 4 8" xfId="8318"/>
    <cellStyle name="표준 7 2 4 8 2" xfId="8319"/>
    <cellStyle name="표준 7 2 4 8 2 2" xfId="15803"/>
    <cellStyle name="표준 7 2 4 8 2 2 2" xfId="38270"/>
    <cellStyle name="표준 7 2 4 8 2 3" xfId="23287"/>
    <cellStyle name="표준 7 2 4 8 2 3 2" xfId="45752"/>
    <cellStyle name="표준 7 2 4 8 2 4" xfId="30788"/>
    <cellStyle name="표준 7 2 4 8 3" xfId="15802"/>
    <cellStyle name="표준 7 2 4 8 3 2" xfId="38269"/>
    <cellStyle name="표준 7 2 4 8 4" xfId="23286"/>
    <cellStyle name="표준 7 2 4 8 4 2" xfId="45751"/>
    <cellStyle name="표준 7 2 4 8 5" xfId="30787"/>
    <cellStyle name="표준 7 2 4 9" xfId="8320"/>
    <cellStyle name="표준 7 2 4 9 2" xfId="15804"/>
    <cellStyle name="표준 7 2 4 9 2 2" xfId="38271"/>
    <cellStyle name="표준 7 2 4 9 3" xfId="23288"/>
    <cellStyle name="표준 7 2 4 9 3 2" xfId="45753"/>
    <cellStyle name="표준 7 2 4 9 4" xfId="30789"/>
    <cellStyle name="표준 7 2 5" xfId="8321"/>
    <cellStyle name="표준 7 2 5 10" xfId="23289"/>
    <cellStyle name="표준 7 2 5 10 2" xfId="45754"/>
    <cellStyle name="표준 7 2 5 11" xfId="30790"/>
    <cellStyle name="표준 7 2 5 2" xfId="8322"/>
    <cellStyle name="표준 7 2 5 2 10" xfId="30791"/>
    <cellStyle name="표준 7 2 5 2 2" xfId="8323"/>
    <cellStyle name="표준 7 2 5 2 2 2" xfId="8324"/>
    <cellStyle name="표준 7 2 5 2 2 2 2" xfId="8325"/>
    <cellStyle name="표준 7 2 5 2 2 2 2 2" xfId="8326"/>
    <cellStyle name="표준 7 2 5 2 2 2 2 2 2" xfId="8327"/>
    <cellStyle name="표준 7 2 5 2 2 2 2 2 2 2" xfId="15811"/>
    <cellStyle name="표준 7 2 5 2 2 2 2 2 2 2 2" xfId="38278"/>
    <cellStyle name="표준 7 2 5 2 2 2 2 2 2 3" xfId="23295"/>
    <cellStyle name="표준 7 2 5 2 2 2 2 2 2 3 2" xfId="45760"/>
    <cellStyle name="표준 7 2 5 2 2 2 2 2 2 4" xfId="30796"/>
    <cellStyle name="표준 7 2 5 2 2 2 2 2 3" xfId="15810"/>
    <cellStyle name="표준 7 2 5 2 2 2 2 2 3 2" xfId="38277"/>
    <cellStyle name="표준 7 2 5 2 2 2 2 2 4" xfId="23294"/>
    <cellStyle name="표준 7 2 5 2 2 2 2 2 4 2" xfId="45759"/>
    <cellStyle name="표준 7 2 5 2 2 2 2 2 5" xfId="30795"/>
    <cellStyle name="표준 7 2 5 2 2 2 2 3" xfId="8328"/>
    <cellStyle name="표준 7 2 5 2 2 2 2 3 2" xfId="15812"/>
    <cellStyle name="표준 7 2 5 2 2 2 2 3 2 2" xfId="38279"/>
    <cellStyle name="표준 7 2 5 2 2 2 2 3 3" xfId="23296"/>
    <cellStyle name="표준 7 2 5 2 2 2 2 3 3 2" xfId="45761"/>
    <cellStyle name="표준 7 2 5 2 2 2 2 3 4" xfId="30797"/>
    <cellStyle name="표준 7 2 5 2 2 2 2 4" xfId="15809"/>
    <cellStyle name="표준 7 2 5 2 2 2 2 4 2" xfId="38276"/>
    <cellStyle name="표준 7 2 5 2 2 2 2 5" xfId="23293"/>
    <cellStyle name="표준 7 2 5 2 2 2 2 5 2" xfId="45758"/>
    <cellStyle name="표준 7 2 5 2 2 2 2 6" xfId="30794"/>
    <cellStyle name="표준 7 2 5 2 2 2 3" xfId="8329"/>
    <cellStyle name="표준 7 2 5 2 2 2 3 2" xfId="8330"/>
    <cellStyle name="표준 7 2 5 2 2 2 3 2 2" xfId="15814"/>
    <cellStyle name="표준 7 2 5 2 2 2 3 2 2 2" xfId="38281"/>
    <cellStyle name="표준 7 2 5 2 2 2 3 2 3" xfId="23298"/>
    <cellStyle name="표준 7 2 5 2 2 2 3 2 3 2" xfId="45763"/>
    <cellStyle name="표준 7 2 5 2 2 2 3 2 4" xfId="30799"/>
    <cellStyle name="표준 7 2 5 2 2 2 3 3" xfId="15813"/>
    <cellStyle name="표준 7 2 5 2 2 2 3 3 2" xfId="38280"/>
    <cellStyle name="표준 7 2 5 2 2 2 3 4" xfId="23297"/>
    <cellStyle name="표준 7 2 5 2 2 2 3 4 2" xfId="45762"/>
    <cellStyle name="표준 7 2 5 2 2 2 3 5" xfId="30798"/>
    <cellStyle name="표준 7 2 5 2 2 2 4" xfId="8331"/>
    <cellStyle name="표준 7 2 5 2 2 2 4 2" xfId="15815"/>
    <cellStyle name="표준 7 2 5 2 2 2 4 2 2" xfId="38282"/>
    <cellStyle name="표준 7 2 5 2 2 2 4 3" xfId="23299"/>
    <cellStyle name="표준 7 2 5 2 2 2 4 3 2" xfId="45764"/>
    <cellStyle name="표준 7 2 5 2 2 2 4 4" xfId="30800"/>
    <cellStyle name="표준 7 2 5 2 2 2 5" xfId="15808"/>
    <cellStyle name="표준 7 2 5 2 2 2 5 2" xfId="38275"/>
    <cellStyle name="표준 7 2 5 2 2 2 6" xfId="23292"/>
    <cellStyle name="표준 7 2 5 2 2 2 6 2" xfId="45757"/>
    <cellStyle name="표준 7 2 5 2 2 2 7" xfId="30793"/>
    <cellStyle name="표준 7 2 5 2 2 3" xfId="8332"/>
    <cellStyle name="표준 7 2 5 2 2 3 2" xfId="8333"/>
    <cellStyle name="표준 7 2 5 2 2 3 2 2" xfId="8334"/>
    <cellStyle name="표준 7 2 5 2 2 3 2 2 2" xfId="15818"/>
    <cellStyle name="표준 7 2 5 2 2 3 2 2 2 2" xfId="38285"/>
    <cellStyle name="표준 7 2 5 2 2 3 2 2 3" xfId="23302"/>
    <cellStyle name="표준 7 2 5 2 2 3 2 2 3 2" xfId="45767"/>
    <cellStyle name="표준 7 2 5 2 2 3 2 2 4" xfId="30803"/>
    <cellStyle name="표준 7 2 5 2 2 3 2 3" xfId="15817"/>
    <cellStyle name="표준 7 2 5 2 2 3 2 3 2" xfId="38284"/>
    <cellStyle name="표준 7 2 5 2 2 3 2 4" xfId="23301"/>
    <cellStyle name="표준 7 2 5 2 2 3 2 4 2" xfId="45766"/>
    <cellStyle name="표준 7 2 5 2 2 3 2 5" xfId="30802"/>
    <cellStyle name="표준 7 2 5 2 2 3 3" xfId="8335"/>
    <cellStyle name="표준 7 2 5 2 2 3 3 2" xfId="15819"/>
    <cellStyle name="표준 7 2 5 2 2 3 3 2 2" xfId="38286"/>
    <cellStyle name="표준 7 2 5 2 2 3 3 3" xfId="23303"/>
    <cellStyle name="표준 7 2 5 2 2 3 3 3 2" xfId="45768"/>
    <cellStyle name="표준 7 2 5 2 2 3 3 4" xfId="30804"/>
    <cellStyle name="표준 7 2 5 2 2 3 4" xfId="15816"/>
    <cellStyle name="표준 7 2 5 2 2 3 4 2" xfId="38283"/>
    <cellStyle name="표준 7 2 5 2 2 3 5" xfId="23300"/>
    <cellStyle name="표준 7 2 5 2 2 3 5 2" xfId="45765"/>
    <cellStyle name="표준 7 2 5 2 2 3 6" xfId="30801"/>
    <cellStyle name="표준 7 2 5 2 2 4" xfId="8336"/>
    <cellStyle name="표준 7 2 5 2 2 4 2" xfId="8337"/>
    <cellStyle name="표준 7 2 5 2 2 4 2 2" xfId="15821"/>
    <cellStyle name="표준 7 2 5 2 2 4 2 2 2" xfId="38288"/>
    <cellStyle name="표준 7 2 5 2 2 4 2 3" xfId="23305"/>
    <cellStyle name="표준 7 2 5 2 2 4 2 3 2" xfId="45770"/>
    <cellStyle name="표준 7 2 5 2 2 4 2 4" xfId="30806"/>
    <cellStyle name="표준 7 2 5 2 2 4 3" xfId="15820"/>
    <cellStyle name="표준 7 2 5 2 2 4 3 2" xfId="38287"/>
    <cellStyle name="표준 7 2 5 2 2 4 4" xfId="23304"/>
    <cellStyle name="표준 7 2 5 2 2 4 4 2" xfId="45769"/>
    <cellStyle name="표준 7 2 5 2 2 4 5" xfId="30805"/>
    <cellStyle name="표준 7 2 5 2 2 5" xfId="8338"/>
    <cellStyle name="표준 7 2 5 2 2 5 2" xfId="15822"/>
    <cellStyle name="표준 7 2 5 2 2 5 2 2" xfId="38289"/>
    <cellStyle name="표준 7 2 5 2 2 5 3" xfId="23306"/>
    <cellStyle name="표준 7 2 5 2 2 5 3 2" xfId="45771"/>
    <cellStyle name="표준 7 2 5 2 2 5 4" xfId="30807"/>
    <cellStyle name="표준 7 2 5 2 2 6" xfId="15807"/>
    <cellStyle name="표준 7 2 5 2 2 6 2" xfId="38274"/>
    <cellStyle name="표준 7 2 5 2 2 7" xfId="23291"/>
    <cellStyle name="표준 7 2 5 2 2 7 2" xfId="45756"/>
    <cellStyle name="표준 7 2 5 2 2 8" xfId="30792"/>
    <cellStyle name="표준 7 2 5 2 3" xfId="8339"/>
    <cellStyle name="표준 7 2 5 2 3 2" xfId="8340"/>
    <cellStyle name="표준 7 2 5 2 3 2 2" xfId="8341"/>
    <cellStyle name="표준 7 2 5 2 3 2 2 2" xfId="8342"/>
    <cellStyle name="표준 7 2 5 2 3 2 2 2 2" xfId="8343"/>
    <cellStyle name="표준 7 2 5 2 3 2 2 2 2 2" xfId="15827"/>
    <cellStyle name="표준 7 2 5 2 3 2 2 2 2 2 2" xfId="38294"/>
    <cellStyle name="표준 7 2 5 2 3 2 2 2 2 3" xfId="23311"/>
    <cellStyle name="표준 7 2 5 2 3 2 2 2 2 3 2" xfId="45776"/>
    <cellStyle name="표준 7 2 5 2 3 2 2 2 2 4" xfId="30812"/>
    <cellStyle name="표준 7 2 5 2 3 2 2 2 3" xfId="15826"/>
    <cellStyle name="표준 7 2 5 2 3 2 2 2 3 2" xfId="38293"/>
    <cellStyle name="표준 7 2 5 2 3 2 2 2 4" xfId="23310"/>
    <cellStyle name="표준 7 2 5 2 3 2 2 2 4 2" xfId="45775"/>
    <cellStyle name="표준 7 2 5 2 3 2 2 2 5" xfId="30811"/>
    <cellStyle name="표준 7 2 5 2 3 2 2 3" xfId="8344"/>
    <cellStyle name="표준 7 2 5 2 3 2 2 3 2" xfId="15828"/>
    <cellStyle name="표준 7 2 5 2 3 2 2 3 2 2" xfId="38295"/>
    <cellStyle name="표준 7 2 5 2 3 2 2 3 3" xfId="23312"/>
    <cellStyle name="표준 7 2 5 2 3 2 2 3 3 2" xfId="45777"/>
    <cellStyle name="표준 7 2 5 2 3 2 2 3 4" xfId="30813"/>
    <cellStyle name="표준 7 2 5 2 3 2 2 4" xfId="15825"/>
    <cellStyle name="표준 7 2 5 2 3 2 2 4 2" xfId="38292"/>
    <cellStyle name="표준 7 2 5 2 3 2 2 5" xfId="23309"/>
    <cellStyle name="표준 7 2 5 2 3 2 2 5 2" xfId="45774"/>
    <cellStyle name="표준 7 2 5 2 3 2 2 6" xfId="30810"/>
    <cellStyle name="표준 7 2 5 2 3 2 3" xfId="8345"/>
    <cellStyle name="표준 7 2 5 2 3 2 3 2" xfId="8346"/>
    <cellStyle name="표준 7 2 5 2 3 2 3 2 2" xfId="15830"/>
    <cellStyle name="표준 7 2 5 2 3 2 3 2 2 2" xfId="38297"/>
    <cellStyle name="표준 7 2 5 2 3 2 3 2 3" xfId="23314"/>
    <cellStyle name="표준 7 2 5 2 3 2 3 2 3 2" xfId="45779"/>
    <cellStyle name="표준 7 2 5 2 3 2 3 2 4" xfId="30815"/>
    <cellStyle name="표준 7 2 5 2 3 2 3 3" xfId="15829"/>
    <cellStyle name="표준 7 2 5 2 3 2 3 3 2" xfId="38296"/>
    <cellStyle name="표준 7 2 5 2 3 2 3 4" xfId="23313"/>
    <cellStyle name="표준 7 2 5 2 3 2 3 4 2" xfId="45778"/>
    <cellStyle name="표준 7 2 5 2 3 2 3 5" xfId="30814"/>
    <cellStyle name="표준 7 2 5 2 3 2 4" xfId="8347"/>
    <cellStyle name="표준 7 2 5 2 3 2 4 2" xfId="15831"/>
    <cellStyle name="표준 7 2 5 2 3 2 4 2 2" xfId="38298"/>
    <cellStyle name="표준 7 2 5 2 3 2 4 3" xfId="23315"/>
    <cellStyle name="표준 7 2 5 2 3 2 4 3 2" xfId="45780"/>
    <cellStyle name="표준 7 2 5 2 3 2 4 4" xfId="30816"/>
    <cellStyle name="표준 7 2 5 2 3 2 5" xfId="15824"/>
    <cellStyle name="표준 7 2 5 2 3 2 5 2" xfId="38291"/>
    <cellStyle name="표준 7 2 5 2 3 2 6" xfId="23308"/>
    <cellStyle name="표준 7 2 5 2 3 2 6 2" xfId="45773"/>
    <cellStyle name="표준 7 2 5 2 3 2 7" xfId="30809"/>
    <cellStyle name="표준 7 2 5 2 3 3" xfId="8348"/>
    <cellStyle name="표준 7 2 5 2 3 3 2" xfId="8349"/>
    <cellStyle name="표준 7 2 5 2 3 3 2 2" xfId="8350"/>
    <cellStyle name="표준 7 2 5 2 3 3 2 2 2" xfId="15834"/>
    <cellStyle name="표준 7 2 5 2 3 3 2 2 2 2" xfId="38301"/>
    <cellStyle name="표준 7 2 5 2 3 3 2 2 3" xfId="23318"/>
    <cellStyle name="표준 7 2 5 2 3 3 2 2 3 2" xfId="45783"/>
    <cellStyle name="표준 7 2 5 2 3 3 2 2 4" xfId="30819"/>
    <cellStyle name="표준 7 2 5 2 3 3 2 3" xfId="15833"/>
    <cellStyle name="표준 7 2 5 2 3 3 2 3 2" xfId="38300"/>
    <cellStyle name="표준 7 2 5 2 3 3 2 4" xfId="23317"/>
    <cellStyle name="표준 7 2 5 2 3 3 2 4 2" xfId="45782"/>
    <cellStyle name="표준 7 2 5 2 3 3 2 5" xfId="30818"/>
    <cellStyle name="표준 7 2 5 2 3 3 3" xfId="8351"/>
    <cellStyle name="표준 7 2 5 2 3 3 3 2" xfId="15835"/>
    <cellStyle name="표준 7 2 5 2 3 3 3 2 2" xfId="38302"/>
    <cellStyle name="표준 7 2 5 2 3 3 3 3" xfId="23319"/>
    <cellStyle name="표준 7 2 5 2 3 3 3 3 2" xfId="45784"/>
    <cellStyle name="표준 7 2 5 2 3 3 3 4" xfId="30820"/>
    <cellStyle name="표준 7 2 5 2 3 3 4" xfId="15832"/>
    <cellStyle name="표준 7 2 5 2 3 3 4 2" xfId="38299"/>
    <cellStyle name="표준 7 2 5 2 3 3 5" xfId="23316"/>
    <cellStyle name="표준 7 2 5 2 3 3 5 2" xfId="45781"/>
    <cellStyle name="표준 7 2 5 2 3 3 6" xfId="30817"/>
    <cellStyle name="표준 7 2 5 2 3 4" xfId="8352"/>
    <cellStyle name="표준 7 2 5 2 3 4 2" xfId="8353"/>
    <cellStyle name="표준 7 2 5 2 3 4 2 2" xfId="15837"/>
    <cellStyle name="표준 7 2 5 2 3 4 2 2 2" xfId="38304"/>
    <cellStyle name="표준 7 2 5 2 3 4 2 3" xfId="23321"/>
    <cellStyle name="표준 7 2 5 2 3 4 2 3 2" xfId="45786"/>
    <cellStyle name="표준 7 2 5 2 3 4 2 4" xfId="30822"/>
    <cellStyle name="표준 7 2 5 2 3 4 3" xfId="15836"/>
    <cellStyle name="표준 7 2 5 2 3 4 3 2" xfId="38303"/>
    <cellStyle name="표준 7 2 5 2 3 4 4" xfId="23320"/>
    <cellStyle name="표준 7 2 5 2 3 4 4 2" xfId="45785"/>
    <cellStyle name="표준 7 2 5 2 3 4 5" xfId="30821"/>
    <cellStyle name="표준 7 2 5 2 3 5" xfId="8354"/>
    <cellStyle name="표준 7 2 5 2 3 5 2" xfId="15838"/>
    <cellStyle name="표준 7 2 5 2 3 5 2 2" xfId="38305"/>
    <cellStyle name="표준 7 2 5 2 3 5 3" xfId="23322"/>
    <cellStyle name="표준 7 2 5 2 3 5 3 2" xfId="45787"/>
    <cellStyle name="표준 7 2 5 2 3 5 4" xfId="30823"/>
    <cellStyle name="표준 7 2 5 2 3 6" xfId="15823"/>
    <cellStyle name="표준 7 2 5 2 3 6 2" xfId="38290"/>
    <cellStyle name="표준 7 2 5 2 3 7" xfId="23307"/>
    <cellStyle name="표준 7 2 5 2 3 7 2" xfId="45772"/>
    <cellStyle name="표준 7 2 5 2 3 8" xfId="30808"/>
    <cellStyle name="표준 7 2 5 2 4" xfId="8355"/>
    <cellStyle name="표준 7 2 5 2 4 2" xfId="8356"/>
    <cellStyle name="표준 7 2 5 2 4 2 2" xfId="8357"/>
    <cellStyle name="표준 7 2 5 2 4 2 2 2" xfId="8358"/>
    <cellStyle name="표준 7 2 5 2 4 2 2 2 2" xfId="15842"/>
    <cellStyle name="표준 7 2 5 2 4 2 2 2 2 2" xfId="38309"/>
    <cellStyle name="표준 7 2 5 2 4 2 2 2 3" xfId="23326"/>
    <cellStyle name="표준 7 2 5 2 4 2 2 2 3 2" xfId="45791"/>
    <cellStyle name="표준 7 2 5 2 4 2 2 2 4" xfId="30827"/>
    <cellStyle name="표준 7 2 5 2 4 2 2 3" xfId="15841"/>
    <cellStyle name="표준 7 2 5 2 4 2 2 3 2" xfId="38308"/>
    <cellStyle name="표준 7 2 5 2 4 2 2 4" xfId="23325"/>
    <cellStyle name="표준 7 2 5 2 4 2 2 4 2" xfId="45790"/>
    <cellStyle name="표준 7 2 5 2 4 2 2 5" xfId="30826"/>
    <cellStyle name="표준 7 2 5 2 4 2 3" xfId="8359"/>
    <cellStyle name="표준 7 2 5 2 4 2 3 2" xfId="15843"/>
    <cellStyle name="표준 7 2 5 2 4 2 3 2 2" xfId="38310"/>
    <cellStyle name="표준 7 2 5 2 4 2 3 3" xfId="23327"/>
    <cellStyle name="표준 7 2 5 2 4 2 3 3 2" xfId="45792"/>
    <cellStyle name="표준 7 2 5 2 4 2 3 4" xfId="30828"/>
    <cellStyle name="표준 7 2 5 2 4 2 4" xfId="15840"/>
    <cellStyle name="표준 7 2 5 2 4 2 4 2" xfId="38307"/>
    <cellStyle name="표준 7 2 5 2 4 2 5" xfId="23324"/>
    <cellStyle name="표준 7 2 5 2 4 2 5 2" xfId="45789"/>
    <cellStyle name="표준 7 2 5 2 4 2 6" xfId="30825"/>
    <cellStyle name="표준 7 2 5 2 4 3" xfId="8360"/>
    <cellStyle name="표준 7 2 5 2 4 3 2" xfId="8361"/>
    <cellStyle name="표준 7 2 5 2 4 3 2 2" xfId="15845"/>
    <cellStyle name="표준 7 2 5 2 4 3 2 2 2" xfId="38312"/>
    <cellStyle name="표준 7 2 5 2 4 3 2 3" xfId="23329"/>
    <cellStyle name="표준 7 2 5 2 4 3 2 3 2" xfId="45794"/>
    <cellStyle name="표준 7 2 5 2 4 3 2 4" xfId="30830"/>
    <cellStyle name="표준 7 2 5 2 4 3 3" xfId="15844"/>
    <cellStyle name="표준 7 2 5 2 4 3 3 2" xfId="38311"/>
    <cellStyle name="표준 7 2 5 2 4 3 4" xfId="23328"/>
    <cellStyle name="표준 7 2 5 2 4 3 4 2" xfId="45793"/>
    <cellStyle name="표준 7 2 5 2 4 3 5" xfId="30829"/>
    <cellStyle name="표준 7 2 5 2 4 4" xfId="8362"/>
    <cellStyle name="표준 7 2 5 2 4 4 2" xfId="15846"/>
    <cellStyle name="표준 7 2 5 2 4 4 2 2" xfId="38313"/>
    <cellStyle name="표준 7 2 5 2 4 4 3" xfId="23330"/>
    <cellStyle name="표준 7 2 5 2 4 4 3 2" xfId="45795"/>
    <cellStyle name="표준 7 2 5 2 4 4 4" xfId="30831"/>
    <cellStyle name="표준 7 2 5 2 4 5" xfId="15839"/>
    <cellStyle name="표준 7 2 5 2 4 5 2" xfId="38306"/>
    <cellStyle name="표준 7 2 5 2 4 6" xfId="23323"/>
    <cellStyle name="표준 7 2 5 2 4 6 2" xfId="45788"/>
    <cellStyle name="표준 7 2 5 2 4 7" xfId="30824"/>
    <cellStyle name="표준 7 2 5 2 5" xfId="8363"/>
    <cellStyle name="표준 7 2 5 2 5 2" xfId="8364"/>
    <cellStyle name="표준 7 2 5 2 5 2 2" xfId="8365"/>
    <cellStyle name="표준 7 2 5 2 5 2 2 2" xfId="15849"/>
    <cellStyle name="표준 7 2 5 2 5 2 2 2 2" xfId="38316"/>
    <cellStyle name="표준 7 2 5 2 5 2 2 3" xfId="23333"/>
    <cellStyle name="표준 7 2 5 2 5 2 2 3 2" xfId="45798"/>
    <cellStyle name="표준 7 2 5 2 5 2 2 4" xfId="30834"/>
    <cellStyle name="표준 7 2 5 2 5 2 3" xfId="15848"/>
    <cellStyle name="표준 7 2 5 2 5 2 3 2" xfId="38315"/>
    <cellStyle name="표준 7 2 5 2 5 2 4" xfId="23332"/>
    <cellStyle name="표준 7 2 5 2 5 2 4 2" xfId="45797"/>
    <cellStyle name="표준 7 2 5 2 5 2 5" xfId="30833"/>
    <cellStyle name="표준 7 2 5 2 5 3" xfId="8366"/>
    <cellStyle name="표준 7 2 5 2 5 3 2" xfId="15850"/>
    <cellStyle name="표준 7 2 5 2 5 3 2 2" xfId="38317"/>
    <cellStyle name="표준 7 2 5 2 5 3 3" xfId="23334"/>
    <cellStyle name="표준 7 2 5 2 5 3 3 2" xfId="45799"/>
    <cellStyle name="표준 7 2 5 2 5 3 4" xfId="30835"/>
    <cellStyle name="표준 7 2 5 2 5 4" xfId="15847"/>
    <cellStyle name="표준 7 2 5 2 5 4 2" xfId="38314"/>
    <cellStyle name="표준 7 2 5 2 5 5" xfId="23331"/>
    <cellStyle name="표준 7 2 5 2 5 5 2" xfId="45796"/>
    <cellStyle name="표준 7 2 5 2 5 6" xfId="30832"/>
    <cellStyle name="표준 7 2 5 2 6" xfId="8367"/>
    <cellStyle name="표준 7 2 5 2 6 2" xfId="8368"/>
    <cellStyle name="표준 7 2 5 2 6 2 2" xfId="15852"/>
    <cellStyle name="표준 7 2 5 2 6 2 2 2" xfId="38319"/>
    <cellStyle name="표준 7 2 5 2 6 2 3" xfId="23336"/>
    <cellStyle name="표준 7 2 5 2 6 2 3 2" xfId="45801"/>
    <cellStyle name="표준 7 2 5 2 6 2 4" xfId="30837"/>
    <cellStyle name="표준 7 2 5 2 6 3" xfId="15851"/>
    <cellStyle name="표준 7 2 5 2 6 3 2" xfId="38318"/>
    <cellStyle name="표준 7 2 5 2 6 4" xfId="23335"/>
    <cellStyle name="표준 7 2 5 2 6 4 2" xfId="45800"/>
    <cellStyle name="표준 7 2 5 2 6 5" xfId="30836"/>
    <cellStyle name="표준 7 2 5 2 7" xfId="8369"/>
    <cellStyle name="표준 7 2 5 2 7 2" xfId="15853"/>
    <cellStyle name="표준 7 2 5 2 7 2 2" xfId="38320"/>
    <cellStyle name="표준 7 2 5 2 7 3" xfId="23337"/>
    <cellStyle name="표준 7 2 5 2 7 3 2" xfId="45802"/>
    <cellStyle name="표준 7 2 5 2 7 4" xfId="30838"/>
    <cellStyle name="표준 7 2 5 2 8" xfId="15806"/>
    <cellStyle name="표준 7 2 5 2 8 2" xfId="38273"/>
    <cellStyle name="표준 7 2 5 2 9" xfId="23290"/>
    <cellStyle name="표준 7 2 5 2 9 2" xfId="45755"/>
    <cellStyle name="표준 7 2 5 3" xfId="8370"/>
    <cellStyle name="표준 7 2 5 3 2" xfId="8371"/>
    <cellStyle name="표준 7 2 5 3 2 2" xfId="8372"/>
    <cellStyle name="표준 7 2 5 3 2 2 2" xfId="8373"/>
    <cellStyle name="표준 7 2 5 3 2 2 2 2" xfId="8374"/>
    <cellStyle name="표준 7 2 5 3 2 2 2 2 2" xfId="15858"/>
    <cellStyle name="표준 7 2 5 3 2 2 2 2 2 2" xfId="38325"/>
    <cellStyle name="표준 7 2 5 3 2 2 2 2 3" xfId="23342"/>
    <cellStyle name="표준 7 2 5 3 2 2 2 2 3 2" xfId="45807"/>
    <cellStyle name="표준 7 2 5 3 2 2 2 2 4" xfId="30843"/>
    <cellStyle name="표준 7 2 5 3 2 2 2 3" xfId="15857"/>
    <cellStyle name="표준 7 2 5 3 2 2 2 3 2" xfId="38324"/>
    <cellStyle name="표준 7 2 5 3 2 2 2 4" xfId="23341"/>
    <cellStyle name="표준 7 2 5 3 2 2 2 4 2" xfId="45806"/>
    <cellStyle name="표준 7 2 5 3 2 2 2 5" xfId="30842"/>
    <cellStyle name="표준 7 2 5 3 2 2 3" xfId="8375"/>
    <cellStyle name="표준 7 2 5 3 2 2 3 2" xfId="15859"/>
    <cellStyle name="표준 7 2 5 3 2 2 3 2 2" xfId="38326"/>
    <cellStyle name="표준 7 2 5 3 2 2 3 3" xfId="23343"/>
    <cellStyle name="표준 7 2 5 3 2 2 3 3 2" xfId="45808"/>
    <cellStyle name="표준 7 2 5 3 2 2 3 4" xfId="30844"/>
    <cellStyle name="표준 7 2 5 3 2 2 4" xfId="15856"/>
    <cellStyle name="표준 7 2 5 3 2 2 4 2" xfId="38323"/>
    <cellStyle name="표준 7 2 5 3 2 2 5" xfId="23340"/>
    <cellStyle name="표준 7 2 5 3 2 2 5 2" xfId="45805"/>
    <cellStyle name="표준 7 2 5 3 2 2 6" xfId="30841"/>
    <cellStyle name="표준 7 2 5 3 2 3" xfId="8376"/>
    <cellStyle name="표준 7 2 5 3 2 3 2" xfId="8377"/>
    <cellStyle name="표준 7 2 5 3 2 3 2 2" xfId="15861"/>
    <cellStyle name="표준 7 2 5 3 2 3 2 2 2" xfId="38328"/>
    <cellStyle name="표준 7 2 5 3 2 3 2 3" xfId="23345"/>
    <cellStyle name="표준 7 2 5 3 2 3 2 3 2" xfId="45810"/>
    <cellStyle name="표준 7 2 5 3 2 3 2 4" xfId="30846"/>
    <cellStyle name="표준 7 2 5 3 2 3 3" xfId="15860"/>
    <cellStyle name="표준 7 2 5 3 2 3 3 2" xfId="38327"/>
    <cellStyle name="표준 7 2 5 3 2 3 4" xfId="23344"/>
    <cellStyle name="표준 7 2 5 3 2 3 4 2" xfId="45809"/>
    <cellStyle name="표준 7 2 5 3 2 3 5" xfId="30845"/>
    <cellStyle name="표준 7 2 5 3 2 4" xfId="8378"/>
    <cellStyle name="표준 7 2 5 3 2 4 2" xfId="15862"/>
    <cellStyle name="표준 7 2 5 3 2 4 2 2" xfId="38329"/>
    <cellStyle name="표준 7 2 5 3 2 4 3" xfId="23346"/>
    <cellStyle name="표준 7 2 5 3 2 4 3 2" xfId="45811"/>
    <cellStyle name="표준 7 2 5 3 2 4 4" xfId="30847"/>
    <cellStyle name="표준 7 2 5 3 2 5" xfId="15855"/>
    <cellStyle name="표준 7 2 5 3 2 5 2" xfId="38322"/>
    <cellStyle name="표준 7 2 5 3 2 6" xfId="23339"/>
    <cellStyle name="표준 7 2 5 3 2 6 2" xfId="45804"/>
    <cellStyle name="표준 7 2 5 3 2 7" xfId="30840"/>
    <cellStyle name="표준 7 2 5 3 3" xfId="8379"/>
    <cellStyle name="표준 7 2 5 3 3 2" xfId="8380"/>
    <cellStyle name="표준 7 2 5 3 3 2 2" xfId="8381"/>
    <cellStyle name="표준 7 2 5 3 3 2 2 2" xfId="15865"/>
    <cellStyle name="표준 7 2 5 3 3 2 2 2 2" xfId="38332"/>
    <cellStyle name="표준 7 2 5 3 3 2 2 3" xfId="23349"/>
    <cellStyle name="표준 7 2 5 3 3 2 2 3 2" xfId="45814"/>
    <cellStyle name="표준 7 2 5 3 3 2 2 4" xfId="30850"/>
    <cellStyle name="표준 7 2 5 3 3 2 3" xfId="15864"/>
    <cellStyle name="표준 7 2 5 3 3 2 3 2" xfId="38331"/>
    <cellStyle name="표준 7 2 5 3 3 2 4" xfId="23348"/>
    <cellStyle name="표준 7 2 5 3 3 2 4 2" xfId="45813"/>
    <cellStyle name="표준 7 2 5 3 3 2 5" xfId="30849"/>
    <cellStyle name="표준 7 2 5 3 3 3" xfId="8382"/>
    <cellStyle name="표준 7 2 5 3 3 3 2" xfId="15866"/>
    <cellStyle name="표준 7 2 5 3 3 3 2 2" xfId="38333"/>
    <cellStyle name="표준 7 2 5 3 3 3 3" xfId="23350"/>
    <cellStyle name="표준 7 2 5 3 3 3 3 2" xfId="45815"/>
    <cellStyle name="표준 7 2 5 3 3 3 4" xfId="30851"/>
    <cellStyle name="표준 7 2 5 3 3 4" xfId="15863"/>
    <cellStyle name="표준 7 2 5 3 3 4 2" xfId="38330"/>
    <cellStyle name="표준 7 2 5 3 3 5" xfId="23347"/>
    <cellStyle name="표준 7 2 5 3 3 5 2" xfId="45812"/>
    <cellStyle name="표준 7 2 5 3 3 6" xfId="30848"/>
    <cellStyle name="표준 7 2 5 3 4" xfId="8383"/>
    <cellStyle name="표준 7 2 5 3 4 2" xfId="8384"/>
    <cellStyle name="표준 7 2 5 3 4 2 2" xfId="15868"/>
    <cellStyle name="표준 7 2 5 3 4 2 2 2" xfId="38335"/>
    <cellStyle name="표준 7 2 5 3 4 2 3" xfId="23352"/>
    <cellStyle name="표준 7 2 5 3 4 2 3 2" xfId="45817"/>
    <cellStyle name="표준 7 2 5 3 4 2 4" xfId="30853"/>
    <cellStyle name="표준 7 2 5 3 4 3" xfId="15867"/>
    <cellStyle name="표준 7 2 5 3 4 3 2" xfId="38334"/>
    <cellStyle name="표준 7 2 5 3 4 4" xfId="23351"/>
    <cellStyle name="표준 7 2 5 3 4 4 2" xfId="45816"/>
    <cellStyle name="표준 7 2 5 3 4 5" xfId="30852"/>
    <cellStyle name="표준 7 2 5 3 5" xfId="8385"/>
    <cellStyle name="표준 7 2 5 3 5 2" xfId="15869"/>
    <cellStyle name="표준 7 2 5 3 5 2 2" xfId="38336"/>
    <cellStyle name="표준 7 2 5 3 5 3" xfId="23353"/>
    <cellStyle name="표준 7 2 5 3 5 3 2" xfId="45818"/>
    <cellStyle name="표준 7 2 5 3 5 4" xfId="30854"/>
    <cellStyle name="표준 7 2 5 3 6" xfId="15854"/>
    <cellStyle name="표준 7 2 5 3 6 2" xfId="38321"/>
    <cellStyle name="표준 7 2 5 3 7" xfId="23338"/>
    <cellStyle name="표준 7 2 5 3 7 2" xfId="45803"/>
    <cellStyle name="표준 7 2 5 3 8" xfId="30839"/>
    <cellStyle name="표준 7 2 5 4" xfId="8386"/>
    <cellStyle name="표준 7 2 5 4 2" xfId="8387"/>
    <cellStyle name="표준 7 2 5 4 2 2" xfId="8388"/>
    <cellStyle name="표준 7 2 5 4 2 2 2" xfId="8389"/>
    <cellStyle name="표준 7 2 5 4 2 2 2 2" xfId="8390"/>
    <cellStyle name="표준 7 2 5 4 2 2 2 2 2" xfId="15874"/>
    <cellStyle name="표준 7 2 5 4 2 2 2 2 2 2" xfId="38341"/>
    <cellStyle name="표준 7 2 5 4 2 2 2 2 3" xfId="23358"/>
    <cellStyle name="표준 7 2 5 4 2 2 2 2 3 2" xfId="45823"/>
    <cellStyle name="표준 7 2 5 4 2 2 2 2 4" xfId="30859"/>
    <cellStyle name="표준 7 2 5 4 2 2 2 3" xfId="15873"/>
    <cellStyle name="표준 7 2 5 4 2 2 2 3 2" xfId="38340"/>
    <cellStyle name="표준 7 2 5 4 2 2 2 4" xfId="23357"/>
    <cellStyle name="표준 7 2 5 4 2 2 2 4 2" xfId="45822"/>
    <cellStyle name="표준 7 2 5 4 2 2 2 5" xfId="30858"/>
    <cellStyle name="표준 7 2 5 4 2 2 3" xfId="8391"/>
    <cellStyle name="표준 7 2 5 4 2 2 3 2" xfId="15875"/>
    <cellStyle name="표준 7 2 5 4 2 2 3 2 2" xfId="38342"/>
    <cellStyle name="표준 7 2 5 4 2 2 3 3" xfId="23359"/>
    <cellStyle name="표준 7 2 5 4 2 2 3 3 2" xfId="45824"/>
    <cellStyle name="표준 7 2 5 4 2 2 3 4" xfId="30860"/>
    <cellStyle name="표준 7 2 5 4 2 2 4" xfId="15872"/>
    <cellStyle name="표준 7 2 5 4 2 2 4 2" xfId="38339"/>
    <cellStyle name="표준 7 2 5 4 2 2 5" xfId="23356"/>
    <cellStyle name="표준 7 2 5 4 2 2 5 2" xfId="45821"/>
    <cellStyle name="표준 7 2 5 4 2 2 6" xfId="30857"/>
    <cellStyle name="표준 7 2 5 4 2 3" xfId="8392"/>
    <cellStyle name="표준 7 2 5 4 2 3 2" xfId="8393"/>
    <cellStyle name="표준 7 2 5 4 2 3 2 2" xfId="15877"/>
    <cellStyle name="표준 7 2 5 4 2 3 2 2 2" xfId="38344"/>
    <cellStyle name="표준 7 2 5 4 2 3 2 3" xfId="23361"/>
    <cellStyle name="표준 7 2 5 4 2 3 2 3 2" xfId="45826"/>
    <cellStyle name="표준 7 2 5 4 2 3 2 4" xfId="30862"/>
    <cellStyle name="표준 7 2 5 4 2 3 3" xfId="15876"/>
    <cellStyle name="표준 7 2 5 4 2 3 3 2" xfId="38343"/>
    <cellStyle name="표준 7 2 5 4 2 3 4" xfId="23360"/>
    <cellStyle name="표준 7 2 5 4 2 3 4 2" xfId="45825"/>
    <cellStyle name="표준 7 2 5 4 2 3 5" xfId="30861"/>
    <cellStyle name="표준 7 2 5 4 2 4" xfId="8394"/>
    <cellStyle name="표준 7 2 5 4 2 4 2" xfId="15878"/>
    <cellStyle name="표준 7 2 5 4 2 4 2 2" xfId="38345"/>
    <cellStyle name="표준 7 2 5 4 2 4 3" xfId="23362"/>
    <cellStyle name="표준 7 2 5 4 2 4 3 2" xfId="45827"/>
    <cellStyle name="표준 7 2 5 4 2 4 4" xfId="30863"/>
    <cellStyle name="표준 7 2 5 4 2 5" xfId="15871"/>
    <cellStyle name="표준 7 2 5 4 2 5 2" xfId="38338"/>
    <cellStyle name="표준 7 2 5 4 2 6" xfId="23355"/>
    <cellStyle name="표준 7 2 5 4 2 6 2" xfId="45820"/>
    <cellStyle name="표준 7 2 5 4 2 7" xfId="30856"/>
    <cellStyle name="표준 7 2 5 4 3" xfId="8395"/>
    <cellStyle name="표준 7 2 5 4 3 2" xfId="8396"/>
    <cellStyle name="표준 7 2 5 4 3 2 2" xfId="8397"/>
    <cellStyle name="표준 7 2 5 4 3 2 2 2" xfId="15881"/>
    <cellStyle name="표준 7 2 5 4 3 2 2 2 2" xfId="38348"/>
    <cellStyle name="표준 7 2 5 4 3 2 2 3" xfId="23365"/>
    <cellStyle name="표준 7 2 5 4 3 2 2 3 2" xfId="45830"/>
    <cellStyle name="표준 7 2 5 4 3 2 2 4" xfId="30866"/>
    <cellStyle name="표준 7 2 5 4 3 2 3" xfId="15880"/>
    <cellStyle name="표준 7 2 5 4 3 2 3 2" xfId="38347"/>
    <cellStyle name="표준 7 2 5 4 3 2 4" xfId="23364"/>
    <cellStyle name="표준 7 2 5 4 3 2 4 2" xfId="45829"/>
    <cellStyle name="표준 7 2 5 4 3 2 5" xfId="30865"/>
    <cellStyle name="표준 7 2 5 4 3 3" xfId="8398"/>
    <cellStyle name="표준 7 2 5 4 3 3 2" xfId="15882"/>
    <cellStyle name="표준 7 2 5 4 3 3 2 2" xfId="38349"/>
    <cellStyle name="표준 7 2 5 4 3 3 3" xfId="23366"/>
    <cellStyle name="표준 7 2 5 4 3 3 3 2" xfId="45831"/>
    <cellStyle name="표준 7 2 5 4 3 3 4" xfId="30867"/>
    <cellStyle name="표준 7 2 5 4 3 4" xfId="15879"/>
    <cellStyle name="표준 7 2 5 4 3 4 2" xfId="38346"/>
    <cellStyle name="표준 7 2 5 4 3 5" xfId="23363"/>
    <cellStyle name="표준 7 2 5 4 3 5 2" xfId="45828"/>
    <cellStyle name="표준 7 2 5 4 3 6" xfId="30864"/>
    <cellStyle name="표준 7 2 5 4 4" xfId="8399"/>
    <cellStyle name="표준 7 2 5 4 4 2" xfId="8400"/>
    <cellStyle name="표준 7 2 5 4 4 2 2" xfId="15884"/>
    <cellStyle name="표준 7 2 5 4 4 2 2 2" xfId="38351"/>
    <cellStyle name="표준 7 2 5 4 4 2 3" xfId="23368"/>
    <cellStyle name="표준 7 2 5 4 4 2 3 2" xfId="45833"/>
    <cellStyle name="표준 7 2 5 4 4 2 4" xfId="30869"/>
    <cellStyle name="표준 7 2 5 4 4 3" xfId="15883"/>
    <cellStyle name="표준 7 2 5 4 4 3 2" xfId="38350"/>
    <cellStyle name="표준 7 2 5 4 4 4" xfId="23367"/>
    <cellStyle name="표준 7 2 5 4 4 4 2" xfId="45832"/>
    <cellStyle name="표준 7 2 5 4 4 5" xfId="30868"/>
    <cellStyle name="표준 7 2 5 4 5" xfId="8401"/>
    <cellStyle name="표준 7 2 5 4 5 2" xfId="15885"/>
    <cellStyle name="표준 7 2 5 4 5 2 2" xfId="38352"/>
    <cellStyle name="표준 7 2 5 4 5 3" xfId="23369"/>
    <cellStyle name="표준 7 2 5 4 5 3 2" xfId="45834"/>
    <cellStyle name="표준 7 2 5 4 5 4" xfId="30870"/>
    <cellStyle name="표준 7 2 5 4 6" xfId="15870"/>
    <cellStyle name="표준 7 2 5 4 6 2" xfId="38337"/>
    <cellStyle name="표준 7 2 5 4 7" xfId="23354"/>
    <cellStyle name="표준 7 2 5 4 7 2" xfId="45819"/>
    <cellStyle name="표준 7 2 5 4 8" xfId="30855"/>
    <cellStyle name="표준 7 2 5 5" xfId="8402"/>
    <cellStyle name="표준 7 2 5 5 2" xfId="8403"/>
    <cellStyle name="표준 7 2 5 5 2 2" xfId="8404"/>
    <cellStyle name="표준 7 2 5 5 2 2 2" xfId="8405"/>
    <cellStyle name="표준 7 2 5 5 2 2 2 2" xfId="15889"/>
    <cellStyle name="표준 7 2 5 5 2 2 2 2 2" xfId="38356"/>
    <cellStyle name="표준 7 2 5 5 2 2 2 3" xfId="23373"/>
    <cellStyle name="표준 7 2 5 5 2 2 2 3 2" xfId="45838"/>
    <cellStyle name="표준 7 2 5 5 2 2 2 4" xfId="30874"/>
    <cellStyle name="표준 7 2 5 5 2 2 3" xfId="15888"/>
    <cellStyle name="표준 7 2 5 5 2 2 3 2" xfId="38355"/>
    <cellStyle name="표준 7 2 5 5 2 2 4" xfId="23372"/>
    <cellStyle name="표준 7 2 5 5 2 2 4 2" xfId="45837"/>
    <cellStyle name="표준 7 2 5 5 2 2 5" xfId="30873"/>
    <cellStyle name="표준 7 2 5 5 2 3" xfId="8406"/>
    <cellStyle name="표준 7 2 5 5 2 3 2" xfId="15890"/>
    <cellStyle name="표준 7 2 5 5 2 3 2 2" xfId="38357"/>
    <cellStyle name="표준 7 2 5 5 2 3 3" xfId="23374"/>
    <cellStyle name="표준 7 2 5 5 2 3 3 2" xfId="45839"/>
    <cellStyle name="표준 7 2 5 5 2 3 4" xfId="30875"/>
    <cellStyle name="표준 7 2 5 5 2 4" xfId="15887"/>
    <cellStyle name="표준 7 2 5 5 2 4 2" xfId="38354"/>
    <cellStyle name="표준 7 2 5 5 2 5" xfId="23371"/>
    <cellStyle name="표준 7 2 5 5 2 5 2" xfId="45836"/>
    <cellStyle name="표준 7 2 5 5 2 6" xfId="30872"/>
    <cellStyle name="표준 7 2 5 5 3" xfId="8407"/>
    <cellStyle name="표준 7 2 5 5 3 2" xfId="8408"/>
    <cellStyle name="표준 7 2 5 5 3 2 2" xfId="15892"/>
    <cellStyle name="표준 7 2 5 5 3 2 2 2" xfId="38359"/>
    <cellStyle name="표준 7 2 5 5 3 2 3" xfId="23376"/>
    <cellStyle name="표준 7 2 5 5 3 2 3 2" xfId="45841"/>
    <cellStyle name="표준 7 2 5 5 3 2 4" xfId="30877"/>
    <cellStyle name="표준 7 2 5 5 3 3" xfId="15891"/>
    <cellStyle name="표준 7 2 5 5 3 3 2" xfId="38358"/>
    <cellStyle name="표준 7 2 5 5 3 4" xfId="23375"/>
    <cellStyle name="표준 7 2 5 5 3 4 2" xfId="45840"/>
    <cellStyle name="표준 7 2 5 5 3 5" xfId="30876"/>
    <cellStyle name="표준 7 2 5 5 4" xfId="8409"/>
    <cellStyle name="표준 7 2 5 5 4 2" xfId="15893"/>
    <cellStyle name="표준 7 2 5 5 4 2 2" xfId="38360"/>
    <cellStyle name="표준 7 2 5 5 4 3" xfId="23377"/>
    <cellStyle name="표준 7 2 5 5 4 3 2" xfId="45842"/>
    <cellStyle name="표준 7 2 5 5 4 4" xfId="30878"/>
    <cellStyle name="표준 7 2 5 5 5" xfId="15886"/>
    <cellStyle name="표준 7 2 5 5 5 2" xfId="38353"/>
    <cellStyle name="표준 7 2 5 5 6" xfId="23370"/>
    <cellStyle name="표준 7 2 5 5 6 2" xfId="45835"/>
    <cellStyle name="표준 7 2 5 5 7" xfId="30871"/>
    <cellStyle name="표준 7 2 5 6" xfId="8410"/>
    <cellStyle name="표준 7 2 5 6 2" xfId="8411"/>
    <cellStyle name="표준 7 2 5 6 2 2" xfId="8412"/>
    <cellStyle name="표준 7 2 5 6 2 2 2" xfId="15896"/>
    <cellStyle name="표준 7 2 5 6 2 2 2 2" xfId="38363"/>
    <cellStyle name="표준 7 2 5 6 2 2 3" xfId="23380"/>
    <cellStyle name="표준 7 2 5 6 2 2 3 2" xfId="45845"/>
    <cellStyle name="표준 7 2 5 6 2 2 4" xfId="30881"/>
    <cellStyle name="표준 7 2 5 6 2 3" xfId="15895"/>
    <cellStyle name="표준 7 2 5 6 2 3 2" xfId="38362"/>
    <cellStyle name="표준 7 2 5 6 2 4" xfId="23379"/>
    <cellStyle name="표준 7 2 5 6 2 4 2" xfId="45844"/>
    <cellStyle name="표준 7 2 5 6 2 5" xfId="30880"/>
    <cellStyle name="표준 7 2 5 6 3" xfId="8413"/>
    <cellStyle name="표준 7 2 5 6 3 2" xfId="15897"/>
    <cellStyle name="표준 7 2 5 6 3 2 2" xfId="38364"/>
    <cellStyle name="표준 7 2 5 6 3 3" xfId="23381"/>
    <cellStyle name="표준 7 2 5 6 3 3 2" xfId="45846"/>
    <cellStyle name="표준 7 2 5 6 3 4" xfId="30882"/>
    <cellStyle name="표준 7 2 5 6 4" xfId="15894"/>
    <cellStyle name="표준 7 2 5 6 4 2" xfId="38361"/>
    <cellStyle name="표준 7 2 5 6 5" xfId="23378"/>
    <cellStyle name="표준 7 2 5 6 5 2" xfId="45843"/>
    <cellStyle name="표준 7 2 5 6 6" xfId="30879"/>
    <cellStyle name="표준 7 2 5 7" xfId="8414"/>
    <cellStyle name="표준 7 2 5 7 2" xfId="8415"/>
    <cellStyle name="표준 7 2 5 7 2 2" xfId="15899"/>
    <cellStyle name="표준 7 2 5 7 2 2 2" xfId="38366"/>
    <cellStyle name="표준 7 2 5 7 2 3" xfId="23383"/>
    <cellStyle name="표준 7 2 5 7 2 3 2" xfId="45848"/>
    <cellStyle name="표준 7 2 5 7 2 4" xfId="30884"/>
    <cellStyle name="표준 7 2 5 7 3" xfId="15898"/>
    <cellStyle name="표준 7 2 5 7 3 2" xfId="38365"/>
    <cellStyle name="표준 7 2 5 7 4" xfId="23382"/>
    <cellStyle name="표준 7 2 5 7 4 2" xfId="45847"/>
    <cellStyle name="표준 7 2 5 7 5" xfId="30883"/>
    <cellStyle name="표준 7 2 5 8" xfId="8416"/>
    <cellStyle name="표준 7 2 5 8 2" xfId="15900"/>
    <cellStyle name="표준 7 2 5 8 2 2" xfId="38367"/>
    <cellStyle name="표준 7 2 5 8 3" xfId="23384"/>
    <cellStyle name="표준 7 2 5 8 3 2" xfId="45849"/>
    <cellStyle name="표준 7 2 5 8 4" xfId="30885"/>
    <cellStyle name="표준 7 2 5 9" xfId="15805"/>
    <cellStyle name="표준 7 2 5 9 2" xfId="38272"/>
    <cellStyle name="표준 7 2 6" xfId="8417"/>
    <cellStyle name="표준 7 2 6 10" xfId="30886"/>
    <cellStyle name="표준 7 2 6 2" xfId="8418"/>
    <cellStyle name="표준 7 2 6 2 2" xfId="8419"/>
    <cellStyle name="표준 7 2 6 2 2 2" xfId="8420"/>
    <cellStyle name="표준 7 2 6 2 2 2 2" xfId="8421"/>
    <cellStyle name="표준 7 2 6 2 2 2 2 2" xfId="8422"/>
    <cellStyle name="표준 7 2 6 2 2 2 2 2 2" xfId="15906"/>
    <cellStyle name="표준 7 2 6 2 2 2 2 2 2 2" xfId="38373"/>
    <cellStyle name="표준 7 2 6 2 2 2 2 2 3" xfId="23390"/>
    <cellStyle name="표준 7 2 6 2 2 2 2 2 3 2" xfId="45855"/>
    <cellStyle name="표준 7 2 6 2 2 2 2 2 4" xfId="30891"/>
    <cellStyle name="표준 7 2 6 2 2 2 2 3" xfId="15905"/>
    <cellStyle name="표준 7 2 6 2 2 2 2 3 2" xfId="38372"/>
    <cellStyle name="표준 7 2 6 2 2 2 2 4" xfId="23389"/>
    <cellStyle name="표준 7 2 6 2 2 2 2 4 2" xfId="45854"/>
    <cellStyle name="표준 7 2 6 2 2 2 2 5" xfId="30890"/>
    <cellStyle name="표준 7 2 6 2 2 2 3" xfId="8423"/>
    <cellStyle name="표준 7 2 6 2 2 2 3 2" xfId="15907"/>
    <cellStyle name="표준 7 2 6 2 2 2 3 2 2" xfId="38374"/>
    <cellStyle name="표준 7 2 6 2 2 2 3 3" xfId="23391"/>
    <cellStyle name="표준 7 2 6 2 2 2 3 3 2" xfId="45856"/>
    <cellStyle name="표준 7 2 6 2 2 2 3 4" xfId="30892"/>
    <cellStyle name="표준 7 2 6 2 2 2 4" xfId="15904"/>
    <cellStyle name="표준 7 2 6 2 2 2 4 2" xfId="38371"/>
    <cellStyle name="표준 7 2 6 2 2 2 5" xfId="23388"/>
    <cellStyle name="표준 7 2 6 2 2 2 5 2" xfId="45853"/>
    <cellStyle name="표준 7 2 6 2 2 2 6" xfId="30889"/>
    <cellStyle name="표준 7 2 6 2 2 3" xfId="8424"/>
    <cellStyle name="표준 7 2 6 2 2 3 2" xfId="8425"/>
    <cellStyle name="표준 7 2 6 2 2 3 2 2" xfId="15909"/>
    <cellStyle name="표준 7 2 6 2 2 3 2 2 2" xfId="38376"/>
    <cellStyle name="표준 7 2 6 2 2 3 2 3" xfId="23393"/>
    <cellStyle name="표준 7 2 6 2 2 3 2 3 2" xfId="45858"/>
    <cellStyle name="표준 7 2 6 2 2 3 2 4" xfId="30894"/>
    <cellStyle name="표준 7 2 6 2 2 3 3" xfId="15908"/>
    <cellStyle name="표준 7 2 6 2 2 3 3 2" xfId="38375"/>
    <cellStyle name="표준 7 2 6 2 2 3 4" xfId="23392"/>
    <cellStyle name="표준 7 2 6 2 2 3 4 2" xfId="45857"/>
    <cellStyle name="표준 7 2 6 2 2 3 5" xfId="30893"/>
    <cellStyle name="표준 7 2 6 2 2 4" xfId="8426"/>
    <cellStyle name="표준 7 2 6 2 2 4 2" xfId="15910"/>
    <cellStyle name="표준 7 2 6 2 2 4 2 2" xfId="38377"/>
    <cellStyle name="표준 7 2 6 2 2 4 3" xfId="23394"/>
    <cellStyle name="표준 7 2 6 2 2 4 3 2" xfId="45859"/>
    <cellStyle name="표준 7 2 6 2 2 4 4" xfId="30895"/>
    <cellStyle name="표준 7 2 6 2 2 5" xfId="15903"/>
    <cellStyle name="표준 7 2 6 2 2 5 2" xfId="38370"/>
    <cellStyle name="표준 7 2 6 2 2 6" xfId="23387"/>
    <cellStyle name="표준 7 2 6 2 2 6 2" xfId="45852"/>
    <cellStyle name="표준 7 2 6 2 2 7" xfId="30888"/>
    <cellStyle name="표준 7 2 6 2 3" xfId="8427"/>
    <cellStyle name="표준 7 2 6 2 3 2" xfId="8428"/>
    <cellStyle name="표준 7 2 6 2 3 2 2" xfId="8429"/>
    <cellStyle name="표준 7 2 6 2 3 2 2 2" xfId="15913"/>
    <cellStyle name="표준 7 2 6 2 3 2 2 2 2" xfId="38380"/>
    <cellStyle name="표준 7 2 6 2 3 2 2 3" xfId="23397"/>
    <cellStyle name="표준 7 2 6 2 3 2 2 3 2" xfId="45862"/>
    <cellStyle name="표준 7 2 6 2 3 2 2 4" xfId="30898"/>
    <cellStyle name="표준 7 2 6 2 3 2 3" xfId="15912"/>
    <cellStyle name="표준 7 2 6 2 3 2 3 2" xfId="38379"/>
    <cellStyle name="표준 7 2 6 2 3 2 4" xfId="23396"/>
    <cellStyle name="표준 7 2 6 2 3 2 4 2" xfId="45861"/>
    <cellStyle name="표준 7 2 6 2 3 2 5" xfId="30897"/>
    <cellStyle name="표준 7 2 6 2 3 3" xfId="8430"/>
    <cellStyle name="표준 7 2 6 2 3 3 2" xfId="15914"/>
    <cellStyle name="표준 7 2 6 2 3 3 2 2" xfId="38381"/>
    <cellStyle name="표준 7 2 6 2 3 3 3" xfId="23398"/>
    <cellStyle name="표준 7 2 6 2 3 3 3 2" xfId="45863"/>
    <cellStyle name="표준 7 2 6 2 3 3 4" xfId="30899"/>
    <cellStyle name="표준 7 2 6 2 3 4" xfId="15911"/>
    <cellStyle name="표준 7 2 6 2 3 4 2" xfId="38378"/>
    <cellStyle name="표준 7 2 6 2 3 5" xfId="23395"/>
    <cellStyle name="표준 7 2 6 2 3 5 2" xfId="45860"/>
    <cellStyle name="표준 7 2 6 2 3 6" xfId="30896"/>
    <cellStyle name="표준 7 2 6 2 4" xfId="8431"/>
    <cellStyle name="표준 7 2 6 2 4 2" xfId="8432"/>
    <cellStyle name="표준 7 2 6 2 4 2 2" xfId="15916"/>
    <cellStyle name="표준 7 2 6 2 4 2 2 2" xfId="38383"/>
    <cellStyle name="표준 7 2 6 2 4 2 3" xfId="23400"/>
    <cellStyle name="표준 7 2 6 2 4 2 3 2" xfId="45865"/>
    <cellStyle name="표준 7 2 6 2 4 2 4" xfId="30901"/>
    <cellStyle name="표준 7 2 6 2 4 3" xfId="15915"/>
    <cellStyle name="표준 7 2 6 2 4 3 2" xfId="38382"/>
    <cellStyle name="표준 7 2 6 2 4 4" xfId="23399"/>
    <cellStyle name="표준 7 2 6 2 4 4 2" xfId="45864"/>
    <cellStyle name="표준 7 2 6 2 4 5" xfId="30900"/>
    <cellStyle name="표준 7 2 6 2 5" xfId="8433"/>
    <cellStyle name="표준 7 2 6 2 5 2" xfId="15917"/>
    <cellStyle name="표준 7 2 6 2 5 2 2" xfId="38384"/>
    <cellStyle name="표준 7 2 6 2 5 3" xfId="23401"/>
    <cellStyle name="표준 7 2 6 2 5 3 2" xfId="45866"/>
    <cellStyle name="표준 7 2 6 2 5 4" xfId="30902"/>
    <cellStyle name="표준 7 2 6 2 6" xfId="15902"/>
    <cellStyle name="표준 7 2 6 2 6 2" xfId="38369"/>
    <cellStyle name="표준 7 2 6 2 7" xfId="23386"/>
    <cellStyle name="표준 7 2 6 2 7 2" xfId="45851"/>
    <cellStyle name="표준 7 2 6 2 8" xfId="30887"/>
    <cellStyle name="표준 7 2 6 3" xfId="8434"/>
    <cellStyle name="표준 7 2 6 3 2" xfId="8435"/>
    <cellStyle name="표준 7 2 6 3 2 2" xfId="8436"/>
    <cellStyle name="표준 7 2 6 3 2 2 2" xfId="8437"/>
    <cellStyle name="표준 7 2 6 3 2 2 2 2" xfId="8438"/>
    <cellStyle name="표준 7 2 6 3 2 2 2 2 2" xfId="15922"/>
    <cellStyle name="표준 7 2 6 3 2 2 2 2 2 2" xfId="38389"/>
    <cellStyle name="표준 7 2 6 3 2 2 2 2 3" xfId="23406"/>
    <cellStyle name="표준 7 2 6 3 2 2 2 2 3 2" xfId="45871"/>
    <cellStyle name="표준 7 2 6 3 2 2 2 2 4" xfId="30907"/>
    <cellStyle name="표준 7 2 6 3 2 2 2 3" xfId="15921"/>
    <cellStyle name="표준 7 2 6 3 2 2 2 3 2" xfId="38388"/>
    <cellStyle name="표준 7 2 6 3 2 2 2 4" xfId="23405"/>
    <cellStyle name="표준 7 2 6 3 2 2 2 4 2" xfId="45870"/>
    <cellStyle name="표준 7 2 6 3 2 2 2 5" xfId="30906"/>
    <cellStyle name="표준 7 2 6 3 2 2 3" xfId="8439"/>
    <cellStyle name="표준 7 2 6 3 2 2 3 2" xfId="15923"/>
    <cellStyle name="표준 7 2 6 3 2 2 3 2 2" xfId="38390"/>
    <cellStyle name="표준 7 2 6 3 2 2 3 3" xfId="23407"/>
    <cellStyle name="표준 7 2 6 3 2 2 3 3 2" xfId="45872"/>
    <cellStyle name="표준 7 2 6 3 2 2 3 4" xfId="30908"/>
    <cellStyle name="표준 7 2 6 3 2 2 4" xfId="15920"/>
    <cellStyle name="표준 7 2 6 3 2 2 4 2" xfId="38387"/>
    <cellStyle name="표준 7 2 6 3 2 2 5" xfId="23404"/>
    <cellStyle name="표준 7 2 6 3 2 2 5 2" xfId="45869"/>
    <cellStyle name="표준 7 2 6 3 2 2 6" xfId="30905"/>
    <cellStyle name="표준 7 2 6 3 2 3" xfId="8440"/>
    <cellStyle name="표준 7 2 6 3 2 3 2" xfId="8441"/>
    <cellStyle name="표준 7 2 6 3 2 3 2 2" xfId="15925"/>
    <cellStyle name="표준 7 2 6 3 2 3 2 2 2" xfId="38392"/>
    <cellStyle name="표준 7 2 6 3 2 3 2 3" xfId="23409"/>
    <cellStyle name="표준 7 2 6 3 2 3 2 3 2" xfId="45874"/>
    <cellStyle name="표준 7 2 6 3 2 3 2 4" xfId="30910"/>
    <cellStyle name="표준 7 2 6 3 2 3 3" xfId="15924"/>
    <cellStyle name="표준 7 2 6 3 2 3 3 2" xfId="38391"/>
    <cellStyle name="표준 7 2 6 3 2 3 4" xfId="23408"/>
    <cellStyle name="표준 7 2 6 3 2 3 4 2" xfId="45873"/>
    <cellStyle name="표준 7 2 6 3 2 3 5" xfId="30909"/>
    <cellStyle name="표준 7 2 6 3 2 4" xfId="8442"/>
    <cellStyle name="표준 7 2 6 3 2 4 2" xfId="15926"/>
    <cellStyle name="표준 7 2 6 3 2 4 2 2" xfId="38393"/>
    <cellStyle name="표준 7 2 6 3 2 4 3" xfId="23410"/>
    <cellStyle name="표준 7 2 6 3 2 4 3 2" xfId="45875"/>
    <cellStyle name="표준 7 2 6 3 2 4 4" xfId="30911"/>
    <cellStyle name="표준 7 2 6 3 2 5" xfId="15919"/>
    <cellStyle name="표준 7 2 6 3 2 5 2" xfId="38386"/>
    <cellStyle name="표준 7 2 6 3 2 6" xfId="23403"/>
    <cellStyle name="표준 7 2 6 3 2 6 2" xfId="45868"/>
    <cellStyle name="표준 7 2 6 3 2 7" xfId="30904"/>
    <cellStyle name="표준 7 2 6 3 3" xfId="8443"/>
    <cellStyle name="표준 7 2 6 3 3 2" xfId="8444"/>
    <cellStyle name="표준 7 2 6 3 3 2 2" xfId="8445"/>
    <cellStyle name="표준 7 2 6 3 3 2 2 2" xfId="15929"/>
    <cellStyle name="표준 7 2 6 3 3 2 2 2 2" xfId="38396"/>
    <cellStyle name="표준 7 2 6 3 3 2 2 3" xfId="23413"/>
    <cellStyle name="표준 7 2 6 3 3 2 2 3 2" xfId="45878"/>
    <cellStyle name="표준 7 2 6 3 3 2 2 4" xfId="30914"/>
    <cellStyle name="표준 7 2 6 3 3 2 3" xfId="15928"/>
    <cellStyle name="표준 7 2 6 3 3 2 3 2" xfId="38395"/>
    <cellStyle name="표준 7 2 6 3 3 2 4" xfId="23412"/>
    <cellStyle name="표준 7 2 6 3 3 2 4 2" xfId="45877"/>
    <cellStyle name="표준 7 2 6 3 3 2 5" xfId="30913"/>
    <cellStyle name="표준 7 2 6 3 3 3" xfId="8446"/>
    <cellStyle name="표준 7 2 6 3 3 3 2" xfId="15930"/>
    <cellStyle name="표준 7 2 6 3 3 3 2 2" xfId="38397"/>
    <cellStyle name="표준 7 2 6 3 3 3 3" xfId="23414"/>
    <cellStyle name="표준 7 2 6 3 3 3 3 2" xfId="45879"/>
    <cellStyle name="표준 7 2 6 3 3 3 4" xfId="30915"/>
    <cellStyle name="표준 7 2 6 3 3 4" xfId="15927"/>
    <cellStyle name="표준 7 2 6 3 3 4 2" xfId="38394"/>
    <cellStyle name="표준 7 2 6 3 3 5" xfId="23411"/>
    <cellStyle name="표준 7 2 6 3 3 5 2" xfId="45876"/>
    <cellStyle name="표준 7 2 6 3 3 6" xfId="30912"/>
    <cellStyle name="표준 7 2 6 3 4" xfId="8447"/>
    <cellStyle name="표준 7 2 6 3 4 2" xfId="8448"/>
    <cellStyle name="표준 7 2 6 3 4 2 2" xfId="15932"/>
    <cellStyle name="표준 7 2 6 3 4 2 2 2" xfId="38399"/>
    <cellStyle name="표준 7 2 6 3 4 2 3" xfId="23416"/>
    <cellStyle name="표준 7 2 6 3 4 2 3 2" xfId="45881"/>
    <cellStyle name="표준 7 2 6 3 4 2 4" xfId="30917"/>
    <cellStyle name="표준 7 2 6 3 4 3" xfId="15931"/>
    <cellStyle name="표준 7 2 6 3 4 3 2" xfId="38398"/>
    <cellStyle name="표준 7 2 6 3 4 4" xfId="23415"/>
    <cellStyle name="표준 7 2 6 3 4 4 2" xfId="45880"/>
    <cellStyle name="표준 7 2 6 3 4 5" xfId="30916"/>
    <cellStyle name="표준 7 2 6 3 5" xfId="8449"/>
    <cellStyle name="표준 7 2 6 3 5 2" xfId="15933"/>
    <cellStyle name="표준 7 2 6 3 5 2 2" xfId="38400"/>
    <cellStyle name="표준 7 2 6 3 5 3" xfId="23417"/>
    <cellStyle name="표준 7 2 6 3 5 3 2" xfId="45882"/>
    <cellStyle name="표준 7 2 6 3 5 4" xfId="30918"/>
    <cellStyle name="표준 7 2 6 3 6" xfId="15918"/>
    <cellStyle name="표준 7 2 6 3 6 2" xfId="38385"/>
    <cellStyle name="표준 7 2 6 3 7" xfId="23402"/>
    <cellStyle name="표준 7 2 6 3 7 2" xfId="45867"/>
    <cellStyle name="표준 7 2 6 3 8" xfId="30903"/>
    <cellStyle name="표준 7 2 6 4" xfId="8450"/>
    <cellStyle name="표준 7 2 6 4 2" xfId="8451"/>
    <cellStyle name="표준 7 2 6 4 2 2" xfId="8452"/>
    <cellStyle name="표준 7 2 6 4 2 2 2" xfId="8453"/>
    <cellStyle name="표준 7 2 6 4 2 2 2 2" xfId="15937"/>
    <cellStyle name="표준 7 2 6 4 2 2 2 2 2" xfId="38404"/>
    <cellStyle name="표준 7 2 6 4 2 2 2 3" xfId="23421"/>
    <cellStyle name="표준 7 2 6 4 2 2 2 3 2" xfId="45886"/>
    <cellStyle name="표준 7 2 6 4 2 2 2 4" xfId="30922"/>
    <cellStyle name="표준 7 2 6 4 2 2 3" xfId="15936"/>
    <cellStyle name="표준 7 2 6 4 2 2 3 2" xfId="38403"/>
    <cellStyle name="표준 7 2 6 4 2 2 4" xfId="23420"/>
    <cellStyle name="표준 7 2 6 4 2 2 4 2" xfId="45885"/>
    <cellStyle name="표준 7 2 6 4 2 2 5" xfId="30921"/>
    <cellStyle name="표준 7 2 6 4 2 3" xfId="8454"/>
    <cellStyle name="표준 7 2 6 4 2 3 2" xfId="15938"/>
    <cellStyle name="표준 7 2 6 4 2 3 2 2" xfId="38405"/>
    <cellStyle name="표준 7 2 6 4 2 3 3" xfId="23422"/>
    <cellStyle name="표준 7 2 6 4 2 3 3 2" xfId="45887"/>
    <cellStyle name="표준 7 2 6 4 2 3 4" xfId="30923"/>
    <cellStyle name="표준 7 2 6 4 2 4" xfId="15935"/>
    <cellStyle name="표준 7 2 6 4 2 4 2" xfId="38402"/>
    <cellStyle name="표준 7 2 6 4 2 5" xfId="23419"/>
    <cellStyle name="표준 7 2 6 4 2 5 2" xfId="45884"/>
    <cellStyle name="표준 7 2 6 4 2 6" xfId="30920"/>
    <cellStyle name="표준 7 2 6 4 3" xfId="8455"/>
    <cellStyle name="표준 7 2 6 4 3 2" xfId="8456"/>
    <cellStyle name="표준 7 2 6 4 3 2 2" xfId="15940"/>
    <cellStyle name="표준 7 2 6 4 3 2 2 2" xfId="38407"/>
    <cellStyle name="표준 7 2 6 4 3 2 3" xfId="23424"/>
    <cellStyle name="표준 7 2 6 4 3 2 3 2" xfId="45889"/>
    <cellStyle name="표준 7 2 6 4 3 2 4" xfId="30925"/>
    <cellStyle name="표준 7 2 6 4 3 3" xfId="15939"/>
    <cellStyle name="표준 7 2 6 4 3 3 2" xfId="38406"/>
    <cellStyle name="표준 7 2 6 4 3 4" xfId="23423"/>
    <cellStyle name="표준 7 2 6 4 3 4 2" xfId="45888"/>
    <cellStyle name="표준 7 2 6 4 3 5" xfId="30924"/>
    <cellStyle name="표준 7 2 6 4 4" xfId="8457"/>
    <cellStyle name="표준 7 2 6 4 4 2" xfId="15941"/>
    <cellStyle name="표준 7 2 6 4 4 2 2" xfId="38408"/>
    <cellStyle name="표준 7 2 6 4 4 3" xfId="23425"/>
    <cellStyle name="표준 7 2 6 4 4 3 2" xfId="45890"/>
    <cellStyle name="표준 7 2 6 4 4 4" xfId="30926"/>
    <cellStyle name="표준 7 2 6 4 5" xfId="15934"/>
    <cellStyle name="표준 7 2 6 4 5 2" xfId="38401"/>
    <cellStyle name="표준 7 2 6 4 6" xfId="23418"/>
    <cellStyle name="표준 7 2 6 4 6 2" xfId="45883"/>
    <cellStyle name="표준 7 2 6 4 7" xfId="30919"/>
    <cellStyle name="표준 7 2 6 5" xfId="8458"/>
    <cellStyle name="표준 7 2 6 5 2" xfId="8459"/>
    <cellStyle name="표준 7 2 6 5 2 2" xfId="8460"/>
    <cellStyle name="표준 7 2 6 5 2 2 2" xfId="15944"/>
    <cellStyle name="표준 7 2 6 5 2 2 2 2" xfId="38411"/>
    <cellStyle name="표준 7 2 6 5 2 2 3" xfId="23428"/>
    <cellStyle name="표준 7 2 6 5 2 2 3 2" xfId="45893"/>
    <cellStyle name="표준 7 2 6 5 2 2 4" xfId="30929"/>
    <cellStyle name="표준 7 2 6 5 2 3" xfId="15943"/>
    <cellStyle name="표준 7 2 6 5 2 3 2" xfId="38410"/>
    <cellStyle name="표준 7 2 6 5 2 4" xfId="23427"/>
    <cellStyle name="표준 7 2 6 5 2 4 2" xfId="45892"/>
    <cellStyle name="표준 7 2 6 5 2 5" xfId="30928"/>
    <cellStyle name="표준 7 2 6 5 3" xfId="8461"/>
    <cellStyle name="표준 7 2 6 5 3 2" xfId="15945"/>
    <cellStyle name="표준 7 2 6 5 3 2 2" xfId="38412"/>
    <cellStyle name="표준 7 2 6 5 3 3" xfId="23429"/>
    <cellStyle name="표준 7 2 6 5 3 3 2" xfId="45894"/>
    <cellStyle name="표준 7 2 6 5 3 4" xfId="30930"/>
    <cellStyle name="표준 7 2 6 5 4" xfId="15942"/>
    <cellStyle name="표준 7 2 6 5 4 2" xfId="38409"/>
    <cellStyle name="표준 7 2 6 5 5" xfId="23426"/>
    <cellStyle name="표준 7 2 6 5 5 2" xfId="45891"/>
    <cellStyle name="표준 7 2 6 5 6" xfId="30927"/>
    <cellStyle name="표준 7 2 6 6" xfId="8462"/>
    <cellStyle name="표준 7 2 6 6 2" xfId="8463"/>
    <cellStyle name="표준 7 2 6 6 2 2" xfId="15947"/>
    <cellStyle name="표준 7 2 6 6 2 2 2" xfId="38414"/>
    <cellStyle name="표준 7 2 6 6 2 3" xfId="23431"/>
    <cellStyle name="표준 7 2 6 6 2 3 2" xfId="45896"/>
    <cellStyle name="표준 7 2 6 6 2 4" xfId="30932"/>
    <cellStyle name="표준 7 2 6 6 3" xfId="15946"/>
    <cellStyle name="표준 7 2 6 6 3 2" xfId="38413"/>
    <cellStyle name="표준 7 2 6 6 4" xfId="23430"/>
    <cellStyle name="표준 7 2 6 6 4 2" xfId="45895"/>
    <cellStyle name="표준 7 2 6 6 5" xfId="30931"/>
    <cellStyle name="표준 7 2 6 7" xfId="8464"/>
    <cellStyle name="표준 7 2 6 7 2" xfId="15948"/>
    <cellStyle name="표준 7 2 6 7 2 2" xfId="38415"/>
    <cellStyle name="표준 7 2 6 7 3" xfId="23432"/>
    <cellStyle name="표준 7 2 6 7 3 2" xfId="45897"/>
    <cellStyle name="표준 7 2 6 7 4" xfId="30933"/>
    <cellStyle name="표준 7 2 6 8" xfId="15901"/>
    <cellStyle name="표준 7 2 6 8 2" xfId="38368"/>
    <cellStyle name="표준 7 2 6 9" xfId="23385"/>
    <cellStyle name="표준 7 2 6 9 2" xfId="45850"/>
    <cellStyle name="표준 7 2 7" xfId="8465"/>
    <cellStyle name="표준 7 2 7 2" xfId="8466"/>
    <cellStyle name="표준 7 2 7 2 2" xfId="8467"/>
    <cellStyle name="표준 7 2 7 2 2 2" xfId="8468"/>
    <cellStyle name="표준 7 2 7 2 2 2 2" xfId="8469"/>
    <cellStyle name="표준 7 2 7 2 2 2 2 2" xfId="15953"/>
    <cellStyle name="표준 7 2 7 2 2 2 2 2 2" xfId="38420"/>
    <cellStyle name="표준 7 2 7 2 2 2 2 3" xfId="23437"/>
    <cellStyle name="표준 7 2 7 2 2 2 2 3 2" xfId="45902"/>
    <cellStyle name="표준 7 2 7 2 2 2 2 4" xfId="30938"/>
    <cellStyle name="표준 7 2 7 2 2 2 3" xfId="15952"/>
    <cellStyle name="표준 7 2 7 2 2 2 3 2" xfId="38419"/>
    <cellStyle name="표준 7 2 7 2 2 2 4" xfId="23436"/>
    <cellStyle name="표준 7 2 7 2 2 2 4 2" xfId="45901"/>
    <cellStyle name="표준 7 2 7 2 2 2 5" xfId="30937"/>
    <cellStyle name="표준 7 2 7 2 2 3" xfId="8470"/>
    <cellStyle name="표준 7 2 7 2 2 3 2" xfId="15954"/>
    <cellStyle name="표준 7 2 7 2 2 3 2 2" xfId="38421"/>
    <cellStyle name="표준 7 2 7 2 2 3 3" xfId="23438"/>
    <cellStyle name="표준 7 2 7 2 2 3 3 2" xfId="45903"/>
    <cellStyle name="표준 7 2 7 2 2 3 4" xfId="30939"/>
    <cellStyle name="표준 7 2 7 2 2 4" xfId="15951"/>
    <cellStyle name="표준 7 2 7 2 2 4 2" xfId="38418"/>
    <cellStyle name="표준 7 2 7 2 2 5" xfId="23435"/>
    <cellStyle name="표준 7 2 7 2 2 5 2" xfId="45900"/>
    <cellStyle name="표준 7 2 7 2 2 6" xfId="30936"/>
    <cellStyle name="표준 7 2 7 2 3" xfId="8471"/>
    <cellStyle name="표준 7 2 7 2 3 2" xfId="8472"/>
    <cellStyle name="표준 7 2 7 2 3 2 2" xfId="15956"/>
    <cellStyle name="표준 7 2 7 2 3 2 2 2" xfId="38423"/>
    <cellStyle name="표준 7 2 7 2 3 2 3" xfId="23440"/>
    <cellStyle name="표준 7 2 7 2 3 2 3 2" xfId="45905"/>
    <cellStyle name="표준 7 2 7 2 3 2 4" xfId="30941"/>
    <cellStyle name="표준 7 2 7 2 3 3" xfId="15955"/>
    <cellStyle name="표준 7 2 7 2 3 3 2" xfId="38422"/>
    <cellStyle name="표준 7 2 7 2 3 4" xfId="23439"/>
    <cellStyle name="표준 7 2 7 2 3 4 2" xfId="45904"/>
    <cellStyle name="표준 7 2 7 2 3 5" xfId="30940"/>
    <cellStyle name="표준 7 2 7 2 4" xfId="8473"/>
    <cellStyle name="표준 7 2 7 2 4 2" xfId="15957"/>
    <cellStyle name="표준 7 2 7 2 4 2 2" xfId="38424"/>
    <cellStyle name="표준 7 2 7 2 4 3" xfId="23441"/>
    <cellStyle name="표준 7 2 7 2 4 3 2" xfId="45906"/>
    <cellStyle name="표준 7 2 7 2 4 4" xfId="30942"/>
    <cellStyle name="표준 7 2 7 2 5" xfId="15950"/>
    <cellStyle name="표준 7 2 7 2 5 2" xfId="38417"/>
    <cellStyle name="표준 7 2 7 2 6" xfId="23434"/>
    <cellStyle name="표준 7 2 7 2 6 2" xfId="45899"/>
    <cellStyle name="표준 7 2 7 2 7" xfId="30935"/>
    <cellStyle name="표준 7 2 7 3" xfId="8474"/>
    <cellStyle name="표준 7 2 7 3 2" xfId="8475"/>
    <cellStyle name="표준 7 2 7 3 2 2" xfId="8476"/>
    <cellStyle name="표준 7 2 7 3 2 2 2" xfId="15960"/>
    <cellStyle name="표준 7 2 7 3 2 2 2 2" xfId="38427"/>
    <cellStyle name="표준 7 2 7 3 2 2 3" xfId="23444"/>
    <cellStyle name="표준 7 2 7 3 2 2 3 2" xfId="45909"/>
    <cellStyle name="표준 7 2 7 3 2 2 4" xfId="30945"/>
    <cellStyle name="표준 7 2 7 3 2 3" xfId="15959"/>
    <cellStyle name="표준 7 2 7 3 2 3 2" xfId="38426"/>
    <cellStyle name="표준 7 2 7 3 2 4" xfId="23443"/>
    <cellStyle name="표준 7 2 7 3 2 4 2" xfId="45908"/>
    <cellStyle name="표준 7 2 7 3 2 5" xfId="30944"/>
    <cellStyle name="표준 7 2 7 3 3" xfId="8477"/>
    <cellStyle name="표준 7 2 7 3 3 2" xfId="15961"/>
    <cellStyle name="표준 7 2 7 3 3 2 2" xfId="38428"/>
    <cellStyle name="표준 7 2 7 3 3 3" xfId="23445"/>
    <cellStyle name="표준 7 2 7 3 3 3 2" xfId="45910"/>
    <cellStyle name="표준 7 2 7 3 3 4" xfId="30946"/>
    <cellStyle name="표준 7 2 7 3 4" xfId="15958"/>
    <cellStyle name="표준 7 2 7 3 4 2" xfId="38425"/>
    <cellStyle name="표준 7 2 7 3 5" xfId="23442"/>
    <cellStyle name="표준 7 2 7 3 5 2" xfId="45907"/>
    <cellStyle name="표준 7 2 7 3 6" xfId="30943"/>
    <cellStyle name="표준 7 2 7 4" xfId="8478"/>
    <cellStyle name="표준 7 2 7 4 2" xfId="8479"/>
    <cellStyle name="표준 7 2 7 4 2 2" xfId="15963"/>
    <cellStyle name="표준 7 2 7 4 2 2 2" xfId="38430"/>
    <cellStyle name="표준 7 2 7 4 2 3" xfId="23447"/>
    <cellStyle name="표준 7 2 7 4 2 3 2" xfId="45912"/>
    <cellStyle name="표준 7 2 7 4 2 4" xfId="30948"/>
    <cellStyle name="표준 7 2 7 4 3" xfId="15962"/>
    <cellStyle name="표준 7 2 7 4 3 2" xfId="38429"/>
    <cellStyle name="표준 7 2 7 4 4" xfId="23446"/>
    <cellStyle name="표준 7 2 7 4 4 2" xfId="45911"/>
    <cellStyle name="표준 7 2 7 4 5" xfId="30947"/>
    <cellStyle name="표준 7 2 7 5" xfId="8480"/>
    <cellStyle name="표준 7 2 7 5 2" xfId="15964"/>
    <cellStyle name="표준 7 2 7 5 2 2" xfId="38431"/>
    <cellStyle name="표준 7 2 7 5 3" xfId="23448"/>
    <cellStyle name="표준 7 2 7 5 3 2" xfId="45913"/>
    <cellStyle name="표준 7 2 7 5 4" xfId="30949"/>
    <cellStyle name="표준 7 2 7 6" xfId="15949"/>
    <cellStyle name="표준 7 2 7 6 2" xfId="38416"/>
    <cellStyle name="표준 7 2 7 7" xfId="23433"/>
    <cellStyle name="표준 7 2 7 7 2" xfId="45898"/>
    <cellStyle name="표준 7 2 7 8" xfId="30934"/>
    <cellStyle name="표준 7 2 8" xfId="8481"/>
    <cellStyle name="표준 7 2 8 2" xfId="8482"/>
    <cellStyle name="표준 7 2 8 2 2" xfId="8483"/>
    <cellStyle name="표준 7 2 8 2 2 2" xfId="8484"/>
    <cellStyle name="표준 7 2 8 2 2 2 2" xfId="8485"/>
    <cellStyle name="표준 7 2 8 2 2 2 2 2" xfId="15969"/>
    <cellStyle name="표준 7 2 8 2 2 2 2 2 2" xfId="38436"/>
    <cellStyle name="표준 7 2 8 2 2 2 2 3" xfId="23453"/>
    <cellStyle name="표준 7 2 8 2 2 2 2 3 2" xfId="45918"/>
    <cellStyle name="표준 7 2 8 2 2 2 2 4" xfId="30954"/>
    <cellStyle name="표준 7 2 8 2 2 2 3" xfId="15968"/>
    <cellStyle name="표준 7 2 8 2 2 2 3 2" xfId="38435"/>
    <cellStyle name="표준 7 2 8 2 2 2 4" xfId="23452"/>
    <cellStyle name="표준 7 2 8 2 2 2 4 2" xfId="45917"/>
    <cellStyle name="표준 7 2 8 2 2 2 5" xfId="30953"/>
    <cellStyle name="표준 7 2 8 2 2 3" xfId="8486"/>
    <cellStyle name="표준 7 2 8 2 2 3 2" xfId="15970"/>
    <cellStyle name="표준 7 2 8 2 2 3 2 2" xfId="38437"/>
    <cellStyle name="표준 7 2 8 2 2 3 3" xfId="23454"/>
    <cellStyle name="표준 7 2 8 2 2 3 3 2" xfId="45919"/>
    <cellStyle name="표준 7 2 8 2 2 3 4" xfId="30955"/>
    <cellStyle name="표준 7 2 8 2 2 4" xfId="15967"/>
    <cellStyle name="표준 7 2 8 2 2 4 2" xfId="38434"/>
    <cellStyle name="표준 7 2 8 2 2 5" xfId="23451"/>
    <cellStyle name="표준 7 2 8 2 2 5 2" xfId="45916"/>
    <cellStyle name="표준 7 2 8 2 2 6" xfId="30952"/>
    <cellStyle name="표준 7 2 8 2 3" xfId="8487"/>
    <cellStyle name="표준 7 2 8 2 3 2" xfId="8488"/>
    <cellStyle name="표준 7 2 8 2 3 2 2" xfId="15972"/>
    <cellStyle name="표준 7 2 8 2 3 2 2 2" xfId="38439"/>
    <cellStyle name="표준 7 2 8 2 3 2 3" xfId="23456"/>
    <cellStyle name="표준 7 2 8 2 3 2 3 2" xfId="45921"/>
    <cellStyle name="표준 7 2 8 2 3 2 4" xfId="30957"/>
    <cellStyle name="표준 7 2 8 2 3 3" xfId="15971"/>
    <cellStyle name="표준 7 2 8 2 3 3 2" xfId="38438"/>
    <cellStyle name="표준 7 2 8 2 3 4" xfId="23455"/>
    <cellStyle name="표준 7 2 8 2 3 4 2" xfId="45920"/>
    <cellStyle name="표준 7 2 8 2 3 5" xfId="30956"/>
    <cellStyle name="표준 7 2 8 2 4" xfId="8489"/>
    <cellStyle name="표준 7 2 8 2 4 2" xfId="15973"/>
    <cellStyle name="표준 7 2 8 2 4 2 2" xfId="38440"/>
    <cellStyle name="표준 7 2 8 2 4 3" xfId="23457"/>
    <cellStyle name="표준 7 2 8 2 4 3 2" xfId="45922"/>
    <cellStyle name="표준 7 2 8 2 4 4" xfId="30958"/>
    <cellStyle name="표준 7 2 8 2 5" xfId="15966"/>
    <cellStyle name="표준 7 2 8 2 5 2" xfId="38433"/>
    <cellStyle name="표준 7 2 8 2 6" xfId="23450"/>
    <cellStyle name="표준 7 2 8 2 6 2" xfId="45915"/>
    <cellStyle name="표준 7 2 8 2 7" xfId="30951"/>
    <cellStyle name="표준 7 2 8 3" xfId="8490"/>
    <cellStyle name="표준 7 2 8 3 2" xfId="8491"/>
    <cellStyle name="표준 7 2 8 3 2 2" xfId="8492"/>
    <cellStyle name="표준 7 2 8 3 2 2 2" xfId="15976"/>
    <cellStyle name="표준 7 2 8 3 2 2 2 2" xfId="38443"/>
    <cellStyle name="표준 7 2 8 3 2 2 3" xfId="23460"/>
    <cellStyle name="표준 7 2 8 3 2 2 3 2" xfId="45925"/>
    <cellStyle name="표준 7 2 8 3 2 2 4" xfId="30961"/>
    <cellStyle name="표준 7 2 8 3 2 3" xfId="15975"/>
    <cellStyle name="표준 7 2 8 3 2 3 2" xfId="38442"/>
    <cellStyle name="표준 7 2 8 3 2 4" xfId="23459"/>
    <cellStyle name="표준 7 2 8 3 2 4 2" xfId="45924"/>
    <cellStyle name="표준 7 2 8 3 2 5" xfId="30960"/>
    <cellStyle name="표준 7 2 8 3 3" xfId="8493"/>
    <cellStyle name="표준 7 2 8 3 3 2" xfId="15977"/>
    <cellStyle name="표준 7 2 8 3 3 2 2" xfId="38444"/>
    <cellStyle name="표준 7 2 8 3 3 3" xfId="23461"/>
    <cellStyle name="표준 7 2 8 3 3 3 2" xfId="45926"/>
    <cellStyle name="표준 7 2 8 3 3 4" xfId="30962"/>
    <cellStyle name="표준 7 2 8 3 4" xfId="15974"/>
    <cellStyle name="표준 7 2 8 3 4 2" xfId="38441"/>
    <cellStyle name="표준 7 2 8 3 5" xfId="23458"/>
    <cellStyle name="표준 7 2 8 3 5 2" xfId="45923"/>
    <cellStyle name="표준 7 2 8 3 6" xfId="30959"/>
    <cellStyle name="표준 7 2 8 4" xfId="8494"/>
    <cellStyle name="표준 7 2 8 4 2" xfId="8495"/>
    <cellStyle name="표준 7 2 8 4 2 2" xfId="15979"/>
    <cellStyle name="표준 7 2 8 4 2 2 2" xfId="38446"/>
    <cellStyle name="표준 7 2 8 4 2 3" xfId="23463"/>
    <cellStyle name="표준 7 2 8 4 2 3 2" xfId="45928"/>
    <cellStyle name="표준 7 2 8 4 2 4" xfId="30964"/>
    <cellStyle name="표준 7 2 8 4 3" xfId="15978"/>
    <cellStyle name="표준 7 2 8 4 3 2" xfId="38445"/>
    <cellStyle name="표준 7 2 8 4 4" xfId="23462"/>
    <cellStyle name="표준 7 2 8 4 4 2" xfId="45927"/>
    <cellStyle name="표준 7 2 8 4 5" xfId="30963"/>
    <cellStyle name="표준 7 2 8 5" xfId="8496"/>
    <cellStyle name="표준 7 2 8 5 2" xfId="15980"/>
    <cellStyle name="표준 7 2 8 5 2 2" xfId="38447"/>
    <cellStyle name="표준 7 2 8 5 3" xfId="23464"/>
    <cellStyle name="표준 7 2 8 5 3 2" xfId="45929"/>
    <cellStyle name="표준 7 2 8 5 4" xfId="30965"/>
    <cellStyle name="표준 7 2 8 6" xfId="15965"/>
    <cellStyle name="표준 7 2 8 6 2" xfId="38432"/>
    <cellStyle name="표준 7 2 8 7" xfId="23449"/>
    <cellStyle name="표준 7 2 8 7 2" xfId="45914"/>
    <cellStyle name="표준 7 2 8 8" xfId="30950"/>
    <cellStyle name="표준 7 2 9" xfId="8497"/>
    <cellStyle name="표준 7 2 9 2" xfId="8498"/>
    <cellStyle name="표준 7 2 9 2 2" xfId="8499"/>
    <cellStyle name="표준 7 2 9 2 2 2" xfId="8500"/>
    <cellStyle name="표준 7 2 9 2 2 2 2" xfId="15984"/>
    <cellStyle name="표준 7 2 9 2 2 2 2 2" xfId="38451"/>
    <cellStyle name="표준 7 2 9 2 2 2 3" xfId="23468"/>
    <cellStyle name="표준 7 2 9 2 2 2 3 2" xfId="45933"/>
    <cellStyle name="표준 7 2 9 2 2 2 4" xfId="30969"/>
    <cellStyle name="표준 7 2 9 2 2 3" xfId="15983"/>
    <cellStyle name="표준 7 2 9 2 2 3 2" xfId="38450"/>
    <cellStyle name="표준 7 2 9 2 2 4" xfId="23467"/>
    <cellStyle name="표준 7 2 9 2 2 4 2" xfId="45932"/>
    <cellStyle name="표준 7 2 9 2 2 5" xfId="30968"/>
    <cellStyle name="표준 7 2 9 2 3" xfId="8501"/>
    <cellStyle name="표준 7 2 9 2 3 2" xfId="15985"/>
    <cellStyle name="표준 7 2 9 2 3 2 2" xfId="38452"/>
    <cellStyle name="표준 7 2 9 2 3 3" xfId="23469"/>
    <cellStyle name="표준 7 2 9 2 3 3 2" xfId="45934"/>
    <cellStyle name="표준 7 2 9 2 3 4" xfId="30970"/>
    <cellStyle name="표준 7 2 9 2 4" xfId="15982"/>
    <cellStyle name="표준 7 2 9 2 4 2" xfId="38449"/>
    <cellStyle name="표준 7 2 9 2 5" xfId="23466"/>
    <cellStyle name="표준 7 2 9 2 5 2" xfId="45931"/>
    <cellStyle name="표준 7 2 9 2 6" xfId="30967"/>
    <cellStyle name="표준 7 2 9 3" xfId="8502"/>
    <cellStyle name="표준 7 2 9 3 2" xfId="8503"/>
    <cellStyle name="표준 7 2 9 3 2 2" xfId="15987"/>
    <cellStyle name="표준 7 2 9 3 2 2 2" xfId="38454"/>
    <cellStyle name="표준 7 2 9 3 2 3" xfId="23471"/>
    <cellStyle name="표준 7 2 9 3 2 3 2" xfId="45936"/>
    <cellStyle name="표준 7 2 9 3 2 4" xfId="30972"/>
    <cellStyle name="표준 7 2 9 3 3" xfId="15986"/>
    <cellStyle name="표준 7 2 9 3 3 2" xfId="38453"/>
    <cellStyle name="표준 7 2 9 3 4" xfId="23470"/>
    <cellStyle name="표준 7 2 9 3 4 2" xfId="45935"/>
    <cellStyle name="표준 7 2 9 3 5" xfId="30971"/>
    <cellStyle name="표준 7 2 9 4" xfId="8504"/>
    <cellStyle name="표준 7 2 9 4 2" xfId="15988"/>
    <cellStyle name="표준 7 2 9 4 2 2" xfId="38455"/>
    <cellStyle name="표준 7 2 9 4 3" xfId="23472"/>
    <cellStyle name="표준 7 2 9 4 3 2" xfId="45937"/>
    <cellStyle name="표준 7 2 9 4 4" xfId="30973"/>
    <cellStyle name="표준 7 2 9 5" xfId="15981"/>
    <cellStyle name="표준 7 2 9 5 2" xfId="38448"/>
    <cellStyle name="표준 7 2 9 6" xfId="23465"/>
    <cellStyle name="표준 7 2 9 6 2" xfId="45930"/>
    <cellStyle name="표준 7 2 9 7" xfId="30966"/>
    <cellStyle name="표준 8" xfId="8505"/>
    <cellStyle name="표준 8 2" xfId="8506"/>
    <cellStyle name="표준 8 2 10" xfId="8507"/>
    <cellStyle name="표준 8 2 10 2" xfId="8508"/>
    <cellStyle name="표준 8 2 10 2 2" xfId="8509"/>
    <cellStyle name="표준 8 2 10 2 2 2" xfId="8510"/>
    <cellStyle name="표준 8 2 10 2 2 2 2" xfId="15993"/>
    <cellStyle name="표준 8 2 10 2 2 2 2 2" xfId="38460"/>
    <cellStyle name="표준 8 2 10 2 2 2 3" xfId="23477"/>
    <cellStyle name="표준 8 2 10 2 2 2 3 2" xfId="45942"/>
    <cellStyle name="표준 8 2 10 2 2 2 4" xfId="30978"/>
    <cellStyle name="표준 8 2 10 2 2 3" xfId="15992"/>
    <cellStyle name="표준 8 2 10 2 2 3 2" xfId="38459"/>
    <cellStyle name="표준 8 2 10 2 2 4" xfId="23476"/>
    <cellStyle name="표준 8 2 10 2 2 4 2" xfId="45941"/>
    <cellStyle name="표준 8 2 10 2 2 5" xfId="30977"/>
    <cellStyle name="표준 8 2 10 2 3" xfId="8511"/>
    <cellStyle name="표준 8 2 10 2 3 2" xfId="15994"/>
    <cellStyle name="표준 8 2 10 2 3 2 2" xfId="38461"/>
    <cellStyle name="표준 8 2 10 2 3 3" xfId="23478"/>
    <cellStyle name="표준 8 2 10 2 3 3 2" xfId="45943"/>
    <cellStyle name="표준 8 2 10 2 3 4" xfId="30979"/>
    <cellStyle name="표준 8 2 10 2 4" xfId="15991"/>
    <cellStyle name="표준 8 2 10 2 4 2" xfId="38458"/>
    <cellStyle name="표준 8 2 10 2 5" xfId="23475"/>
    <cellStyle name="표준 8 2 10 2 5 2" xfId="45940"/>
    <cellStyle name="표준 8 2 10 2 6" xfId="30976"/>
    <cellStyle name="표준 8 2 10 3" xfId="8512"/>
    <cellStyle name="표준 8 2 10 3 2" xfId="8513"/>
    <cellStyle name="표준 8 2 10 3 2 2" xfId="15996"/>
    <cellStyle name="표준 8 2 10 3 2 2 2" xfId="38463"/>
    <cellStyle name="표준 8 2 10 3 2 3" xfId="23480"/>
    <cellStyle name="표준 8 2 10 3 2 3 2" xfId="45945"/>
    <cellStyle name="표준 8 2 10 3 2 4" xfId="30981"/>
    <cellStyle name="표준 8 2 10 3 3" xfId="15995"/>
    <cellStyle name="표준 8 2 10 3 3 2" xfId="38462"/>
    <cellStyle name="표준 8 2 10 3 4" xfId="23479"/>
    <cellStyle name="표준 8 2 10 3 4 2" xfId="45944"/>
    <cellStyle name="표준 8 2 10 3 5" xfId="30980"/>
    <cellStyle name="표준 8 2 10 4" xfId="8514"/>
    <cellStyle name="표준 8 2 10 4 2" xfId="15997"/>
    <cellStyle name="표준 8 2 10 4 2 2" xfId="38464"/>
    <cellStyle name="표준 8 2 10 4 3" xfId="23481"/>
    <cellStyle name="표준 8 2 10 4 3 2" xfId="45946"/>
    <cellStyle name="표준 8 2 10 4 4" xfId="30982"/>
    <cellStyle name="표준 8 2 10 5" xfId="15990"/>
    <cellStyle name="표준 8 2 10 5 2" xfId="38457"/>
    <cellStyle name="표준 8 2 10 6" xfId="23474"/>
    <cellStyle name="표준 8 2 10 6 2" xfId="45939"/>
    <cellStyle name="표준 8 2 10 7" xfId="30975"/>
    <cellStyle name="표준 8 2 11" xfId="8515"/>
    <cellStyle name="표준 8 2 11 2" xfId="8516"/>
    <cellStyle name="표준 8 2 11 2 2" xfId="8517"/>
    <cellStyle name="표준 8 2 11 2 2 2" xfId="8518"/>
    <cellStyle name="표준 8 2 11 2 2 2 2" xfId="16001"/>
    <cellStyle name="표준 8 2 11 2 2 2 2 2" xfId="38468"/>
    <cellStyle name="표준 8 2 11 2 2 2 3" xfId="23485"/>
    <cellStyle name="표준 8 2 11 2 2 2 3 2" xfId="45950"/>
    <cellStyle name="표준 8 2 11 2 2 2 4" xfId="30986"/>
    <cellStyle name="표준 8 2 11 2 2 3" xfId="16000"/>
    <cellStyle name="표준 8 2 11 2 2 3 2" xfId="38467"/>
    <cellStyle name="표준 8 2 11 2 2 4" xfId="23484"/>
    <cellStyle name="표준 8 2 11 2 2 4 2" xfId="45949"/>
    <cellStyle name="표준 8 2 11 2 2 5" xfId="30985"/>
    <cellStyle name="표준 8 2 11 2 3" xfId="8519"/>
    <cellStyle name="표준 8 2 11 2 3 2" xfId="16002"/>
    <cellStyle name="표준 8 2 11 2 3 2 2" xfId="38469"/>
    <cellStyle name="표준 8 2 11 2 3 3" xfId="23486"/>
    <cellStyle name="표준 8 2 11 2 3 3 2" xfId="45951"/>
    <cellStyle name="표준 8 2 11 2 3 4" xfId="30987"/>
    <cellStyle name="표준 8 2 11 2 4" xfId="15999"/>
    <cellStyle name="표준 8 2 11 2 4 2" xfId="38466"/>
    <cellStyle name="표준 8 2 11 2 5" xfId="23483"/>
    <cellStyle name="표준 8 2 11 2 5 2" xfId="45948"/>
    <cellStyle name="표준 8 2 11 2 6" xfId="30984"/>
    <cellStyle name="표준 8 2 11 3" xfId="8520"/>
    <cellStyle name="표준 8 2 11 3 2" xfId="8521"/>
    <cellStyle name="표준 8 2 11 3 2 2" xfId="16004"/>
    <cellStyle name="표준 8 2 11 3 2 2 2" xfId="38471"/>
    <cellStyle name="표준 8 2 11 3 2 3" xfId="23488"/>
    <cellStyle name="표준 8 2 11 3 2 3 2" xfId="45953"/>
    <cellStyle name="표준 8 2 11 3 2 4" xfId="30989"/>
    <cellStyle name="표준 8 2 11 3 3" xfId="16003"/>
    <cellStyle name="표준 8 2 11 3 3 2" xfId="38470"/>
    <cellStyle name="표준 8 2 11 3 4" xfId="23487"/>
    <cellStyle name="표준 8 2 11 3 4 2" xfId="45952"/>
    <cellStyle name="표준 8 2 11 3 5" xfId="30988"/>
    <cellStyle name="표준 8 2 11 4" xfId="8522"/>
    <cellStyle name="표준 8 2 11 4 2" xfId="16005"/>
    <cellStyle name="표준 8 2 11 4 2 2" xfId="38472"/>
    <cellStyle name="표준 8 2 11 4 3" xfId="23489"/>
    <cellStyle name="표준 8 2 11 4 3 2" xfId="45954"/>
    <cellStyle name="표준 8 2 11 4 4" xfId="30990"/>
    <cellStyle name="표준 8 2 11 5" xfId="15998"/>
    <cellStyle name="표준 8 2 11 5 2" xfId="38465"/>
    <cellStyle name="표준 8 2 11 6" xfId="23482"/>
    <cellStyle name="표준 8 2 11 6 2" xfId="45947"/>
    <cellStyle name="표준 8 2 11 7" xfId="30983"/>
    <cellStyle name="표준 8 2 12" xfId="8523"/>
    <cellStyle name="표준 8 2 12 2" xfId="8524"/>
    <cellStyle name="표준 8 2 12 2 2" xfId="8525"/>
    <cellStyle name="표준 8 2 12 2 2 2" xfId="16008"/>
    <cellStyle name="표준 8 2 12 2 2 2 2" xfId="38475"/>
    <cellStyle name="표준 8 2 12 2 2 3" xfId="23492"/>
    <cellStyle name="표준 8 2 12 2 2 3 2" xfId="45957"/>
    <cellStyle name="표준 8 2 12 2 2 4" xfId="30993"/>
    <cellStyle name="표준 8 2 12 2 3" xfId="16007"/>
    <cellStyle name="표준 8 2 12 2 3 2" xfId="38474"/>
    <cellStyle name="표준 8 2 12 2 4" xfId="23491"/>
    <cellStyle name="표준 8 2 12 2 4 2" xfId="45956"/>
    <cellStyle name="표준 8 2 12 2 5" xfId="30992"/>
    <cellStyle name="표준 8 2 12 3" xfId="8526"/>
    <cellStyle name="표준 8 2 12 3 2" xfId="16009"/>
    <cellStyle name="표준 8 2 12 3 2 2" xfId="38476"/>
    <cellStyle name="표준 8 2 12 3 3" xfId="23493"/>
    <cellStyle name="표준 8 2 12 3 3 2" xfId="45958"/>
    <cellStyle name="표준 8 2 12 3 4" xfId="30994"/>
    <cellStyle name="표준 8 2 12 4" xfId="16006"/>
    <cellStyle name="표준 8 2 12 4 2" xfId="38473"/>
    <cellStyle name="표준 8 2 12 5" xfId="23490"/>
    <cellStyle name="표준 8 2 12 5 2" xfId="45955"/>
    <cellStyle name="표준 8 2 12 6" xfId="30991"/>
    <cellStyle name="표준 8 2 13" xfId="8527"/>
    <cellStyle name="표준 8 2 13 2" xfId="8528"/>
    <cellStyle name="표준 8 2 13 2 2" xfId="8529"/>
    <cellStyle name="표준 8 2 13 2 2 2" xfId="16012"/>
    <cellStyle name="표준 8 2 13 2 2 2 2" xfId="38479"/>
    <cellStyle name="표준 8 2 13 2 2 3" xfId="23496"/>
    <cellStyle name="표준 8 2 13 2 2 3 2" xfId="45961"/>
    <cellStyle name="표준 8 2 13 2 2 4" xfId="30997"/>
    <cellStyle name="표준 8 2 13 2 3" xfId="16011"/>
    <cellStyle name="표준 8 2 13 2 3 2" xfId="38478"/>
    <cellStyle name="표준 8 2 13 2 4" xfId="23495"/>
    <cellStyle name="표준 8 2 13 2 4 2" xfId="45960"/>
    <cellStyle name="표준 8 2 13 2 5" xfId="30996"/>
    <cellStyle name="표준 8 2 13 3" xfId="8530"/>
    <cellStyle name="표준 8 2 13 3 2" xfId="16013"/>
    <cellStyle name="표준 8 2 13 3 2 2" xfId="38480"/>
    <cellStyle name="표준 8 2 13 3 3" xfId="23497"/>
    <cellStyle name="표준 8 2 13 3 3 2" xfId="45962"/>
    <cellStyle name="표준 8 2 13 3 4" xfId="30998"/>
    <cellStyle name="표준 8 2 13 4" xfId="16010"/>
    <cellStyle name="표준 8 2 13 4 2" xfId="38477"/>
    <cellStyle name="표준 8 2 13 5" xfId="23494"/>
    <cellStyle name="표준 8 2 13 5 2" xfId="45959"/>
    <cellStyle name="표준 8 2 13 6" xfId="30995"/>
    <cellStyle name="표준 8 2 14" xfId="8531"/>
    <cellStyle name="표준 8 2 14 2" xfId="8532"/>
    <cellStyle name="표준 8 2 14 2 2" xfId="8533"/>
    <cellStyle name="표준 8 2 14 2 2 2" xfId="16016"/>
    <cellStyle name="표준 8 2 14 2 2 2 2" xfId="38483"/>
    <cellStyle name="표준 8 2 14 2 2 3" xfId="23500"/>
    <cellStyle name="표준 8 2 14 2 2 3 2" xfId="45965"/>
    <cellStyle name="표준 8 2 14 2 2 4" xfId="31001"/>
    <cellStyle name="표준 8 2 14 2 3" xfId="16015"/>
    <cellStyle name="표준 8 2 14 2 3 2" xfId="38482"/>
    <cellStyle name="표준 8 2 14 2 4" xfId="23499"/>
    <cellStyle name="표준 8 2 14 2 4 2" xfId="45964"/>
    <cellStyle name="표준 8 2 14 2 5" xfId="31000"/>
    <cellStyle name="표준 8 2 14 3" xfId="8534"/>
    <cellStyle name="표준 8 2 14 3 2" xfId="16017"/>
    <cellStyle name="표준 8 2 14 3 2 2" xfId="38484"/>
    <cellStyle name="표준 8 2 14 3 3" xfId="23501"/>
    <cellStyle name="표준 8 2 14 3 3 2" xfId="45966"/>
    <cellStyle name="표준 8 2 14 3 4" xfId="31002"/>
    <cellStyle name="표준 8 2 14 4" xfId="16014"/>
    <cellStyle name="표준 8 2 14 4 2" xfId="38481"/>
    <cellStyle name="표준 8 2 14 5" xfId="23498"/>
    <cellStyle name="표준 8 2 14 5 2" xfId="45963"/>
    <cellStyle name="표준 8 2 14 6" xfId="30999"/>
    <cellStyle name="표준 8 2 15" xfId="8535"/>
    <cellStyle name="표준 8 2 15 2" xfId="8536"/>
    <cellStyle name="표준 8 2 15 2 2" xfId="8537"/>
    <cellStyle name="표준 8 2 15 2 2 2" xfId="16020"/>
    <cellStyle name="표준 8 2 15 2 2 2 2" xfId="38487"/>
    <cellStyle name="표준 8 2 15 2 2 3" xfId="23504"/>
    <cellStyle name="표준 8 2 15 2 2 3 2" xfId="45969"/>
    <cellStyle name="표준 8 2 15 2 2 4" xfId="31005"/>
    <cellStyle name="표준 8 2 15 2 3" xfId="16019"/>
    <cellStyle name="표준 8 2 15 2 3 2" xfId="38486"/>
    <cellStyle name="표준 8 2 15 2 4" xfId="23503"/>
    <cellStyle name="표준 8 2 15 2 4 2" xfId="45968"/>
    <cellStyle name="표준 8 2 15 2 5" xfId="31004"/>
    <cellStyle name="표준 8 2 15 3" xfId="8538"/>
    <cellStyle name="표준 8 2 15 3 2" xfId="16021"/>
    <cellStyle name="표준 8 2 15 3 2 2" xfId="38488"/>
    <cellStyle name="표준 8 2 15 3 3" xfId="23505"/>
    <cellStyle name="표준 8 2 15 3 3 2" xfId="45970"/>
    <cellStyle name="표준 8 2 15 3 4" xfId="31006"/>
    <cellStyle name="표준 8 2 15 4" xfId="16018"/>
    <cellStyle name="표준 8 2 15 4 2" xfId="38485"/>
    <cellStyle name="표준 8 2 15 5" xfId="23502"/>
    <cellStyle name="표준 8 2 15 5 2" xfId="45967"/>
    <cellStyle name="표준 8 2 15 6" xfId="31003"/>
    <cellStyle name="표준 8 2 16" xfId="8539"/>
    <cellStyle name="표준 8 2 16 2" xfId="8540"/>
    <cellStyle name="표준 8 2 16 2 2" xfId="16023"/>
    <cellStyle name="표준 8 2 16 2 2 2" xfId="38490"/>
    <cellStyle name="표준 8 2 16 2 3" xfId="23507"/>
    <cellStyle name="표준 8 2 16 2 3 2" xfId="45972"/>
    <cellStyle name="표준 8 2 16 2 4" xfId="31008"/>
    <cellStyle name="표준 8 2 16 3" xfId="16022"/>
    <cellStyle name="표준 8 2 16 3 2" xfId="38489"/>
    <cellStyle name="표준 8 2 16 4" xfId="23506"/>
    <cellStyle name="표준 8 2 16 4 2" xfId="45971"/>
    <cellStyle name="표준 8 2 16 5" xfId="31007"/>
    <cellStyle name="표준 8 2 17" xfId="8541"/>
    <cellStyle name="표준 8 2 17 2" xfId="16024"/>
    <cellStyle name="표준 8 2 17 2 2" xfId="38491"/>
    <cellStyle name="표준 8 2 17 3" xfId="23508"/>
    <cellStyle name="표준 8 2 17 3 2" xfId="45973"/>
    <cellStyle name="표준 8 2 17 4" xfId="31009"/>
    <cellStyle name="표준 8 2 18" xfId="8542"/>
    <cellStyle name="표준 8 2 18 2" xfId="16025"/>
    <cellStyle name="표준 8 2 18 2 2" xfId="38492"/>
    <cellStyle name="표준 8 2 18 3" xfId="23509"/>
    <cellStyle name="표준 8 2 18 3 2" xfId="45974"/>
    <cellStyle name="표준 8 2 18 4" xfId="31010"/>
    <cellStyle name="표준 8 2 19" xfId="15989"/>
    <cellStyle name="표준 8 2 19 2" xfId="38456"/>
    <cellStyle name="표준 8 2 2" xfId="8543"/>
    <cellStyle name="표준 8 2 2 10" xfId="8544"/>
    <cellStyle name="표준 8 2 2 10 2" xfId="8545"/>
    <cellStyle name="표준 8 2 2 10 2 2" xfId="8546"/>
    <cellStyle name="표준 8 2 2 10 2 2 2" xfId="8547"/>
    <cellStyle name="표준 8 2 2 10 2 2 2 2" xfId="16030"/>
    <cellStyle name="표준 8 2 2 10 2 2 2 2 2" xfId="38497"/>
    <cellStyle name="표준 8 2 2 10 2 2 2 3" xfId="23514"/>
    <cellStyle name="표준 8 2 2 10 2 2 2 3 2" xfId="45979"/>
    <cellStyle name="표준 8 2 2 10 2 2 2 4" xfId="31015"/>
    <cellStyle name="표준 8 2 2 10 2 2 3" xfId="16029"/>
    <cellStyle name="표준 8 2 2 10 2 2 3 2" xfId="38496"/>
    <cellStyle name="표준 8 2 2 10 2 2 4" xfId="23513"/>
    <cellStyle name="표준 8 2 2 10 2 2 4 2" xfId="45978"/>
    <cellStyle name="표준 8 2 2 10 2 2 5" xfId="31014"/>
    <cellStyle name="표준 8 2 2 10 2 3" xfId="8548"/>
    <cellStyle name="표준 8 2 2 10 2 3 2" xfId="16031"/>
    <cellStyle name="표준 8 2 2 10 2 3 2 2" xfId="38498"/>
    <cellStyle name="표준 8 2 2 10 2 3 3" xfId="23515"/>
    <cellStyle name="표준 8 2 2 10 2 3 3 2" xfId="45980"/>
    <cellStyle name="표준 8 2 2 10 2 3 4" xfId="31016"/>
    <cellStyle name="표준 8 2 2 10 2 4" xfId="16028"/>
    <cellStyle name="표준 8 2 2 10 2 4 2" xfId="38495"/>
    <cellStyle name="표준 8 2 2 10 2 5" xfId="23512"/>
    <cellStyle name="표준 8 2 2 10 2 5 2" xfId="45977"/>
    <cellStyle name="표준 8 2 2 10 2 6" xfId="31013"/>
    <cellStyle name="표준 8 2 2 10 3" xfId="8549"/>
    <cellStyle name="표준 8 2 2 10 3 2" xfId="8550"/>
    <cellStyle name="표준 8 2 2 10 3 2 2" xfId="16033"/>
    <cellStyle name="표준 8 2 2 10 3 2 2 2" xfId="38500"/>
    <cellStyle name="표준 8 2 2 10 3 2 3" xfId="23517"/>
    <cellStyle name="표준 8 2 2 10 3 2 3 2" xfId="45982"/>
    <cellStyle name="표준 8 2 2 10 3 2 4" xfId="31018"/>
    <cellStyle name="표준 8 2 2 10 3 3" xfId="16032"/>
    <cellStyle name="표준 8 2 2 10 3 3 2" xfId="38499"/>
    <cellStyle name="표준 8 2 2 10 3 4" xfId="23516"/>
    <cellStyle name="표준 8 2 2 10 3 4 2" xfId="45981"/>
    <cellStyle name="표준 8 2 2 10 3 5" xfId="31017"/>
    <cellStyle name="표준 8 2 2 10 4" xfId="8551"/>
    <cellStyle name="표준 8 2 2 10 4 2" xfId="16034"/>
    <cellStyle name="표준 8 2 2 10 4 2 2" xfId="38501"/>
    <cellStyle name="표준 8 2 2 10 4 3" xfId="23518"/>
    <cellStyle name="표준 8 2 2 10 4 3 2" xfId="45983"/>
    <cellStyle name="표준 8 2 2 10 4 4" xfId="31019"/>
    <cellStyle name="표준 8 2 2 10 5" xfId="16027"/>
    <cellStyle name="표준 8 2 2 10 5 2" xfId="38494"/>
    <cellStyle name="표준 8 2 2 10 6" xfId="23511"/>
    <cellStyle name="표준 8 2 2 10 6 2" xfId="45976"/>
    <cellStyle name="표준 8 2 2 10 7" xfId="31012"/>
    <cellStyle name="표준 8 2 2 11" xfId="8552"/>
    <cellStyle name="표준 8 2 2 11 2" xfId="8553"/>
    <cellStyle name="표준 8 2 2 11 2 2" xfId="8554"/>
    <cellStyle name="표준 8 2 2 11 2 2 2" xfId="16037"/>
    <cellStyle name="표준 8 2 2 11 2 2 2 2" xfId="38504"/>
    <cellStyle name="표준 8 2 2 11 2 2 3" xfId="23521"/>
    <cellStyle name="표준 8 2 2 11 2 2 3 2" xfId="45986"/>
    <cellStyle name="표준 8 2 2 11 2 2 4" xfId="31022"/>
    <cellStyle name="표준 8 2 2 11 2 3" xfId="16036"/>
    <cellStyle name="표준 8 2 2 11 2 3 2" xfId="38503"/>
    <cellStyle name="표준 8 2 2 11 2 4" xfId="23520"/>
    <cellStyle name="표준 8 2 2 11 2 4 2" xfId="45985"/>
    <cellStyle name="표준 8 2 2 11 2 5" xfId="31021"/>
    <cellStyle name="표준 8 2 2 11 3" xfId="8555"/>
    <cellStyle name="표준 8 2 2 11 3 2" xfId="16038"/>
    <cellStyle name="표준 8 2 2 11 3 2 2" xfId="38505"/>
    <cellStyle name="표준 8 2 2 11 3 3" xfId="23522"/>
    <cellStyle name="표준 8 2 2 11 3 3 2" xfId="45987"/>
    <cellStyle name="표준 8 2 2 11 3 4" xfId="31023"/>
    <cellStyle name="표준 8 2 2 11 4" xfId="16035"/>
    <cellStyle name="표준 8 2 2 11 4 2" xfId="38502"/>
    <cellStyle name="표준 8 2 2 11 5" xfId="23519"/>
    <cellStyle name="표준 8 2 2 11 5 2" xfId="45984"/>
    <cellStyle name="표준 8 2 2 11 6" xfId="31020"/>
    <cellStyle name="표준 8 2 2 12" xfId="8556"/>
    <cellStyle name="표준 8 2 2 12 2" xfId="8557"/>
    <cellStyle name="표준 8 2 2 12 2 2" xfId="8558"/>
    <cellStyle name="표준 8 2 2 12 2 2 2" xfId="16041"/>
    <cellStyle name="표준 8 2 2 12 2 2 2 2" xfId="38508"/>
    <cellStyle name="표준 8 2 2 12 2 2 3" xfId="23525"/>
    <cellStyle name="표준 8 2 2 12 2 2 3 2" xfId="45990"/>
    <cellStyle name="표준 8 2 2 12 2 2 4" xfId="31026"/>
    <cellStyle name="표준 8 2 2 12 2 3" xfId="16040"/>
    <cellStyle name="표준 8 2 2 12 2 3 2" xfId="38507"/>
    <cellStyle name="표준 8 2 2 12 2 4" xfId="23524"/>
    <cellStyle name="표준 8 2 2 12 2 4 2" xfId="45989"/>
    <cellStyle name="표준 8 2 2 12 2 5" xfId="31025"/>
    <cellStyle name="표준 8 2 2 12 3" xfId="8559"/>
    <cellStyle name="표준 8 2 2 12 3 2" xfId="16042"/>
    <cellStyle name="표준 8 2 2 12 3 2 2" xfId="38509"/>
    <cellStyle name="표준 8 2 2 12 3 3" xfId="23526"/>
    <cellStyle name="표준 8 2 2 12 3 3 2" xfId="45991"/>
    <cellStyle name="표준 8 2 2 12 3 4" xfId="31027"/>
    <cellStyle name="표준 8 2 2 12 4" xfId="16039"/>
    <cellStyle name="표준 8 2 2 12 4 2" xfId="38506"/>
    <cellStyle name="표준 8 2 2 12 5" xfId="23523"/>
    <cellStyle name="표준 8 2 2 12 5 2" xfId="45988"/>
    <cellStyle name="표준 8 2 2 12 6" xfId="31024"/>
    <cellStyle name="표준 8 2 2 13" xfId="8560"/>
    <cellStyle name="표준 8 2 2 13 2" xfId="8561"/>
    <cellStyle name="표준 8 2 2 13 2 2" xfId="8562"/>
    <cellStyle name="표준 8 2 2 13 2 2 2" xfId="16045"/>
    <cellStyle name="표준 8 2 2 13 2 2 2 2" xfId="38512"/>
    <cellStyle name="표준 8 2 2 13 2 2 3" xfId="23529"/>
    <cellStyle name="표준 8 2 2 13 2 2 3 2" xfId="45994"/>
    <cellStyle name="표준 8 2 2 13 2 2 4" xfId="31030"/>
    <cellStyle name="표준 8 2 2 13 2 3" xfId="16044"/>
    <cellStyle name="표준 8 2 2 13 2 3 2" xfId="38511"/>
    <cellStyle name="표준 8 2 2 13 2 4" xfId="23528"/>
    <cellStyle name="표준 8 2 2 13 2 4 2" xfId="45993"/>
    <cellStyle name="표준 8 2 2 13 2 5" xfId="31029"/>
    <cellStyle name="표준 8 2 2 13 3" xfId="8563"/>
    <cellStyle name="표준 8 2 2 13 3 2" xfId="16046"/>
    <cellStyle name="표준 8 2 2 13 3 2 2" xfId="38513"/>
    <cellStyle name="표준 8 2 2 13 3 3" xfId="23530"/>
    <cellStyle name="표준 8 2 2 13 3 3 2" xfId="45995"/>
    <cellStyle name="표준 8 2 2 13 3 4" xfId="31031"/>
    <cellStyle name="표준 8 2 2 13 4" xfId="16043"/>
    <cellStyle name="표준 8 2 2 13 4 2" xfId="38510"/>
    <cellStyle name="표준 8 2 2 13 5" xfId="23527"/>
    <cellStyle name="표준 8 2 2 13 5 2" xfId="45992"/>
    <cellStyle name="표준 8 2 2 13 6" xfId="31028"/>
    <cellStyle name="표준 8 2 2 14" xfId="8564"/>
    <cellStyle name="표준 8 2 2 14 2" xfId="8565"/>
    <cellStyle name="표준 8 2 2 14 2 2" xfId="8566"/>
    <cellStyle name="표준 8 2 2 14 2 2 2" xfId="16049"/>
    <cellStyle name="표준 8 2 2 14 2 2 2 2" xfId="38516"/>
    <cellStyle name="표준 8 2 2 14 2 2 3" xfId="23533"/>
    <cellStyle name="표준 8 2 2 14 2 2 3 2" xfId="45998"/>
    <cellStyle name="표준 8 2 2 14 2 2 4" xfId="31034"/>
    <cellStyle name="표준 8 2 2 14 2 3" xfId="16048"/>
    <cellStyle name="표준 8 2 2 14 2 3 2" xfId="38515"/>
    <cellStyle name="표준 8 2 2 14 2 4" xfId="23532"/>
    <cellStyle name="표준 8 2 2 14 2 4 2" xfId="45997"/>
    <cellStyle name="표준 8 2 2 14 2 5" xfId="31033"/>
    <cellStyle name="표준 8 2 2 14 3" xfId="8567"/>
    <cellStyle name="표준 8 2 2 14 3 2" xfId="16050"/>
    <cellStyle name="표준 8 2 2 14 3 2 2" xfId="38517"/>
    <cellStyle name="표준 8 2 2 14 3 3" xfId="23534"/>
    <cellStyle name="표준 8 2 2 14 3 3 2" xfId="45999"/>
    <cellStyle name="표준 8 2 2 14 3 4" xfId="31035"/>
    <cellStyle name="표준 8 2 2 14 4" xfId="16047"/>
    <cellStyle name="표준 8 2 2 14 4 2" xfId="38514"/>
    <cellStyle name="표준 8 2 2 14 5" xfId="23531"/>
    <cellStyle name="표준 8 2 2 14 5 2" xfId="45996"/>
    <cellStyle name="표준 8 2 2 14 6" xfId="31032"/>
    <cellStyle name="표준 8 2 2 15" xfId="8568"/>
    <cellStyle name="표준 8 2 2 15 2" xfId="8569"/>
    <cellStyle name="표준 8 2 2 15 2 2" xfId="16052"/>
    <cellStyle name="표준 8 2 2 15 2 2 2" xfId="38519"/>
    <cellStyle name="표준 8 2 2 15 2 3" xfId="23536"/>
    <cellStyle name="표준 8 2 2 15 2 3 2" xfId="46001"/>
    <cellStyle name="표준 8 2 2 15 2 4" xfId="31037"/>
    <cellStyle name="표준 8 2 2 15 3" xfId="16051"/>
    <cellStyle name="표준 8 2 2 15 3 2" xfId="38518"/>
    <cellStyle name="표준 8 2 2 15 4" xfId="23535"/>
    <cellStyle name="표준 8 2 2 15 4 2" xfId="46000"/>
    <cellStyle name="표준 8 2 2 15 5" xfId="31036"/>
    <cellStyle name="표준 8 2 2 16" xfId="8570"/>
    <cellStyle name="표준 8 2 2 16 2" xfId="16053"/>
    <cellStyle name="표준 8 2 2 16 2 2" xfId="38520"/>
    <cellStyle name="표준 8 2 2 16 3" xfId="23537"/>
    <cellStyle name="표준 8 2 2 16 3 2" xfId="46002"/>
    <cellStyle name="표준 8 2 2 16 4" xfId="31038"/>
    <cellStyle name="표준 8 2 2 17" xfId="8571"/>
    <cellStyle name="표준 8 2 2 17 2" xfId="16054"/>
    <cellStyle name="표준 8 2 2 17 2 2" xfId="38521"/>
    <cellStyle name="표준 8 2 2 17 3" xfId="23538"/>
    <cellStyle name="표준 8 2 2 17 3 2" xfId="46003"/>
    <cellStyle name="표준 8 2 2 17 4" xfId="31039"/>
    <cellStyle name="표준 8 2 2 18" xfId="16026"/>
    <cellStyle name="표준 8 2 2 18 2" xfId="38493"/>
    <cellStyle name="표준 8 2 2 19" xfId="23510"/>
    <cellStyle name="표준 8 2 2 19 2" xfId="45975"/>
    <cellStyle name="표준 8 2 2 2" xfId="8572"/>
    <cellStyle name="표준 8 2 2 2 10" xfId="8573"/>
    <cellStyle name="표준 8 2 2 2 10 2" xfId="8574"/>
    <cellStyle name="표준 8 2 2 2 10 2 2" xfId="8575"/>
    <cellStyle name="표준 8 2 2 2 10 2 2 2" xfId="16058"/>
    <cellStyle name="표준 8 2 2 2 10 2 2 2 2" xfId="38525"/>
    <cellStyle name="표준 8 2 2 2 10 2 2 3" xfId="23542"/>
    <cellStyle name="표준 8 2 2 2 10 2 2 3 2" xfId="46007"/>
    <cellStyle name="표준 8 2 2 2 10 2 2 4" xfId="31043"/>
    <cellStyle name="표준 8 2 2 2 10 2 3" xfId="16057"/>
    <cellStyle name="표준 8 2 2 2 10 2 3 2" xfId="38524"/>
    <cellStyle name="표준 8 2 2 2 10 2 4" xfId="23541"/>
    <cellStyle name="표준 8 2 2 2 10 2 4 2" xfId="46006"/>
    <cellStyle name="표준 8 2 2 2 10 2 5" xfId="31042"/>
    <cellStyle name="표준 8 2 2 2 10 3" xfId="8576"/>
    <cellStyle name="표준 8 2 2 2 10 3 2" xfId="16059"/>
    <cellStyle name="표준 8 2 2 2 10 3 2 2" xfId="38526"/>
    <cellStyle name="표준 8 2 2 2 10 3 3" xfId="23543"/>
    <cellStyle name="표준 8 2 2 2 10 3 3 2" xfId="46008"/>
    <cellStyle name="표준 8 2 2 2 10 3 4" xfId="31044"/>
    <cellStyle name="표준 8 2 2 2 10 4" xfId="16056"/>
    <cellStyle name="표준 8 2 2 2 10 4 2" xfId="38523"/>
    <cellStyle name="표준 8 2 2 2 10 5" xfId="23540"/>
    <cellStyle name="표준 8 2 2 2 10 5 2" xfId="46005"/>
    <cellStyle name="표준 8 2 2 2 10 6" xfId="31041"/>
    <cellStyle name="표준 8 2 2 2 11" xfId="8577"/>
    <cellStyle name="표준 8 2 2 2 11 2" xfId="8578"/>
    <cellStyle name="표준 8 2 2 2 11 2 2" xfId="8579"/>
    <cellStyle name="표준 8 2 2 2 11 2 2 2" xfId="16062"/>
    <cellStyle name="표준 8 2 2 2 11 2 2 2 2" xfId="38529"/>
    <cellStyle name="표준 8 2 2 2 11 2 2 3" xfId="23546"/>
    <cellStyle name="표준 8 2 2 2 11 2 2 3 2" xfId="46011"/>
    <cellStyle name="표준 8 2 2 2 11 2 2 4" xfId="31047"/>
    <cellStyle name="표준 8 2 2 2 11 2 3" xfId="16061"/>
    <cellStyle name="표준 8 2 2 2 11 2 3 2" xfId="38528"/>
    <cellStyle name="표준 8 2 2 2 11 2 4" xfId="23545"/>
    <cellStyle name="표준 8 2 2 2 11 2 4 2" xfId="46010"/>
    <cellStyle name="표준 8 2 2 2 11 2 5" xfId="31046"/>
    <cellStyle name="표준 8 2 2 2 11 3" xfId="8580"/>
    <cellStyle name="표준 8 2 2 2 11 3 2" xfId="16063"/>
    <cellStyle name="표준 8 2 2 2 11 3 2 2" xfId="38530"/>
    <cellStyle name="표준 8 2 2 2 11 3 3" xfId="23547"/>
    <cellStyle name="표준 8 2 2 2 11 3 3 2" xfId="46012"/>
    <cellStyle name="표준 8 2 2 2 11 3 4" xfId="31048"/>
    <cellStyle name="표준 8 2 2 2 11 4" xfId="16060"/>
    <cellStyle name="표준 8 2 2 2 11 4 2" xfId="38527"/>
    <cellStyle name="표준 8 2 2 2 11 5" xfId="23544"/>
    <cellStyle name="표준 8 2 2 2 11 5 2" xfId="46009"/>
    <cellStyle name="표준 8 2 2 2 11 6" xfId="31045"/>
    <cellStyle name="표준 8 2 2 2 12" xfId="8581"/>
    <cellStyle name="표준 8 2 2 2 12 2" xfId="8582"/>
    <cellStyle name="표준 8 2 2 2 12 2 2" xfId="8583"/>
    <cellStyle name="표준 8 2 2 2 12 2 2 2" xfId="16066"/>
    <cellStyle name="표준 8 2 2 2 12 2 2 2 2" xfId="38533"/>
    <cellStyle name="표준 8 2 2 2 12 2 2 3" xfId="23550"/>
    <cellStyle name="표준 8 2 2 2 12 2 2 3 2" xfId="46015"/>
    <cellStyle name="표준 8 2 2 2 12 2 2 4" xfId="31051"/>
    <cellStyle name="표준 8 2 2 2 12 2 3" xfId="16065"/>
    <cellStyle name="표준 8 2 2 2 12 2 3 2" xfId="38532"/>
    <cellStyle name="표준 8 2 2 2 12 2 4" xfId="23549"/>
    <cellStyle name="표준 8 2 2 2 12 2 4 2" xfId="46014"/>
    <cellStyle name="표준 8 2 2 2 12 2 5" xfId="31050"/>
    <cellStyle name="표준 8 2 2 2 12 3" xfId="8584"/>
    <cellStyle name="표준 8 2 2 2 12 3 2" xfId="16067"/>
    <cellStyle name="표준 8 2 2 2 12 3 2 2" xfId="38534"/>
    <cellStyle name="표준 8 2 2 2 12 3 3" xfId="23551"/>
    <cellStyle name="표준 8 2 2 2 12 3 3 2" xfId="46016"/>
    <cellStyle name="표준 8 2 2 2 12 3 4" xfId="31052"/>
    <cellStyle name="표준 8 2 2 2 12 4" xfId="16064"/>
    <cellStyle name="표준 8 2 2 2 12 4 2" xfId="38531"/>
    <cellStyle name="표준 8 2 2 2 12 5" xfId="23548"/>
    <cellStyle name="표준 8 2 2 2 12 5 2" xfId="46013"/>
    <cellStyle name="표준 8 2 2 2 12 6" xfId="31049"/>
    <cellStyle name="표준 8 2 2 2 13" xfId="8585"/>
    <cellStyle name="표준 8 2 2 2 13 2" xfId="8586"/>
    <cellStyle name="표준 8 2 2 2 13 2 2" xfId="16069"/>
    <cellStyle name="표준 8 2 2 2 13 2 2 2" xfId="38536"/>
    <cellStyle name="표준 8 2 2 2 13 2 3" xfId="23553"/>
    <cellStyle name="표준 8 2 2 2 13 2 3 2" xfId="46018"/>
    <cellStyle name="표준 8 2 2 2 13 2 4" xfId="31054"/>
    <cellStyle name="표준 8 2 2 2 13 3" xfId="16068"/>
    <cellStyle name="표준 8 2 2 2 13 3 2" xfId="38535"/>
    <cellStyle name="표준 8 2 2 2 13 4" xfId="23552"/>
    <cellStyle name="표준 8 2 2 2 13 4 2" xfId="46017"/>
    <cellStyle name="표준 8 2 2 2 13 5" xfId="31053"/>
    <cellStyle name="표준 8 2 2 2 14" xfId="8587"/>
    <cellStyle name="표준 8 2 2 2 14 2" xfId="16070"/>
    <cellStyle name="표준 8 2 2 2 14 2 2" xfId="38537"/>
    <cellStyle name="표준 8 2 2 2 14 3" xfId="23554"/>
    <cellStyle name="표준 8 2 2 2 14 3 2" xfId="46019"/>
    <cellStyle name="표준 8 2 2 2 14 4" xfId="31055"/>
    <cellStyle name="표준 8 2 2 2 15" xfId="16055"/>
    <cellStyle name="표준 8 2 2 2 15 2" xfId="38522"/>
    <cellStyle name="표준 8 2 2 2 16" xfId="23539"/>
    <cellStyle name="표준 8 2 2 2 16 2" xfId="46004"/>
    <cellStyle name="표준 8 2 2 2 17" xfId="31040"/>
    <cellStyle name="표준 8 2 2 2 2" xfId="8588"/>
    <cellStyle name="표준 8 2 2 2 2 10" xfId="16071"/>
    <cellStyle name="표준 8 2 2 2 2 10 2" xfId="38538"/>
    <cellStyle name="표준 8 2 2 2 2 11" xfId="23555"/>
    <cellStyle name="표준 8 2 2 2 2 11 2" xfId="46020"/>
    <cellStyle name="표준 8 2 2 2 2 12" xfId="31056"/>
    <cellStyle name="표준 8 2 2 2 2 2" xfId="8589"/>
    <cellStyle name="표준 8 2 2 2 2 2 10" xfId="31057"/>
    <cellStyle name="표준 8 2 2 2 2 2 2" xfId="8590"/>
    <cellStyle name="표준 8 2 2 2 2 2 2 2" xfId="8591"/>
    <cellStyle name="표준 8 2 2 2 2 2 2 2 2" xfId="8592"/>
    <cellStyle name="표준 8 2 2 2 2 2 2 2 2 2" xfId="8593"/>
    <cellStyle name="표준 8 2 2 2 2 2 2 2 2 2 2" xfId="8594"/>
    <cellStyle name="표준 8 2 2 2 2 2 2 2 2 2 2 2" xfId="16077"/>
    <cellStyle name="표준 8 2 2 2 2 2 2 2 2 2 2 2 2" xfId="38544"/>
    <cellStyle name="표준 8 2 2 2 2 2 2 2 2 2 2 3" xfId="23561"/>
    <cellStyle name="표준 8 2 2 2 2 2 2 2 2 2 2 3 2" xfId="46026"/>
    <cellStyle name="표준 8 2 2 2 2 2 2 2 2 2 2 4" xfId="31062"/>
    <cellStyle name="표준 8 2 2 2 2 2 2 2 2 2 3" xfId="16076"/>
    <cellStyle name="표준 8 2 2 2 2 2 2 2 2 2 3 2" xfId="38543"/>
    <cellStyle name="표준 8 2 2 2 2 2 2 2 2 2 4" xfId="23560"/>
    <cellStyle name="표준 8 2 2 2 2 2 2 2 2 2 4 2" xfId="46025"/>
    <cellStyle name="표준 8 2 2 2 2 2 2 2 2 2 5" xfId="31061"/>
    <cellStyle name="표준 8 2 2 2 2 2 2 2 2 3" xfId="8595"/>
    <cellStyle name="표준 8 2 2 2 2 2 2 2 2 3 2" xfId="16078"/>
    <cellStyle name="표준 8 2 2 2 2 2 2 2 2 3 2 2" xfId="38545"/>
    <cellStyle name="표준 8 2 2 2 2 2 2 2 2 3 3" xfId="23562"/>
    <cellStyle name="표준 8 2 2 2 2 2 2 2 2 3 3 2" xfId="46027"/>
    <cellStyle name="표준 8 2 2 2 2 2 2 2 2 3 4" xfId="31063"/>
    <cellStyle name="표준 8 2 2 2 2 2 2 2 2 4" xfId="16075"/>
    <cellStyle name="표준 8 2 2 2 2 2 2 2 2 4 2" xfId="38542"/>
    <cellStyle name="표준 8 2 2 2 2 2 2 2 2 5" xfId="23559"/>
    <cellStyle name="표준 8 2 2 2 2 2 2 2 2 5 2" xfId="46024"/>
    <cellStyle name="표준 8 2 2 2 2 2 2 2 2 6" xfId="31060"/>
    <cellStyle name="표준 8 2 2 2 2 2 2 2 3" xfId="8596"/>
    <cellStyle name="표준 8 2 2 2 2 2 2 2 3 2" xfId="8597"/>
    <cellStyle name="표준 8 2 2 2 2 2 2 2 3 2 2" xfId="16080"/>
    <cellStyle name="표준 8 2 2 2 2 2 2 2 3 2 2 2" xfId="38547"/>
    <cellStyle name="표준 8 2 2 2 2 2 2 2 3 2 3" xfId="23564"/>
    <cellStyle name="표준 8 2 2 2 2 2 2 2 3 2 3 2" xfId="46029"/>
    <cellStyle name="표준 8 2 2 2 2 2 2 2 3 2 4" xfId="31065"/>
    <cellStyle name="표준 8 2 2 2 2 2 2 2 3 3" xfId="16079"/>
    <cellStyle name="표준 8 2 2 2 2 2 2 2 3 3 2" xfId="38546"/>
    <cellStyle name="표준 8 2 2 2 2 2 2 2 3 4" xfId="23563"/>
    <cellStyle name="표준 8 2 2 2 2 2 2 2 3 4 2" xfId="46028"/>
    <cellStyle name="표준 8 2 2 2 2 2 2 2 3 5" xfId="31064"/>
    <cellStyle name="표준 8 2 2 2 2 2 2 2 4" xfId="8598"/>
    <cellStyle name="표준 8 2 2 2 2 2 2 2 4 2" xfId="16081"/>
    <cellStyle name="표준 8 2 2 2 2 2 2 2 4 2 2" xfId="38548"/>
    <cellStyle name="표준 8 2 2 2 2 2 2 2 4 3" xfId="23565"/>
    <cellStyle name="표준 8 2 2 2 2 2 2 2 4 3 2" xfId="46030"/>
    <cellStyle name="표준 8 2 2 2 2 2 2 2 4 4" xfId="31066"/>
    <cellStyle name="표준 8 2 2 2 2 2 2 2 5" xfId="16074"/>
    <cellStyle name="표준 8 2 2 2 2 2 2 2 5 2" xfId="38541"/>
    <cellStyle name="표준 8 2 2 2 2 2 2 2 6" xfId="23558"/>
    <cellStyle name="표준 8 2 2 2 2 2 2 2 6 2" xfId="46023"/>
    <cellStyle name="표준 8 2 2 2 2 2 2 2 7" xfId="31059"/>
    <cellStyle name="표준 8 2 2 2 2 2 2 3" xfId="8599"/>
    <cellStyle name="표준 8 2 2 2 2 2 2 3 2" xfId="8600"/>
    <cellStyle name="표준 8 2 2 2 2 2 2 3 2 2" xfId="8601"/>
    <cellStyle name="표준 8 2 2 2 2 2 2 3 2 2 2" xfId="16084"/>
    <cellStyle name="표준 8 2 2 2 2 2 2 3 2 2 2 2" xfId="38551"/>
    <cellStyle name="표준 8 2 2 2 2 2 2 3 2 2 3" xfId="23568"/>
    <cellStyle name="표준 8 2 2 2 2 2 2 3 2 2 3 2" xfId="46033"/>
    <cellStyle name="표준 8 2 2 2 2 2 2 3 2 2 4" xfId="31069"/>
    <cellStyle name="표준 8 2 2 2 2 2 2 3 2 3" xfId="16083"/>
    <cellStyle name="표준 8 2 2 2 2 2 2 3 2 3 2" xfId="38550"/>
    <cellStyle name="표준 8 2 2 2 2 2 2 3 2 4" xfId="23567"/>
    <cellStyle name="표준 8 2 2 2 2 2 2 3 2 4 2" xfId="46032"/>
    <cellStyle name="표준 8 2 2 2 2 2 2 3 2 5" xfId="31068"/>
    <cellStyle name="표준 8 2 2 2 2 2 2 3 3" xfId="8602"/>
    <cellStyle name="표준 8 2 2 2 2 2 2 3 3 2" xfId="16085"/>
    <cellStyle name="표준 8 2 2 2 2 2 2 3 3 2 2" xfId="38552"/>
    <cellStyle name="표준 8 2 2 2 2 2 2 3 3 3" xfId="23569"/>
    <cellStyle name="표준 8 2 2 2 2 2 2 3 3 3 2" xfId="46034"/>
    <cellStyle name="표준 8 2 2 2 2 2 2 3 3 4" xfId="31070"/>
    <cellStyle name="표준 8 2 2 2 2 2 2 3 4" xfId="16082"/>
    <cellStyle name="표준 8 2 2 2 2 2 2 3 4 2" xfId="38549"/>
    <cellStyle name="표준 8 2 2 2 2 2 2 3 5" xfId="23566"/>
    <cellStyle name="표준 8 2 2 2 2 2 2 3 5 2" xfId="46031"/>
    <cellStyle name="표준 8 2 2 2 2 2 2 3 6" xfId="31067"/>
    <cellStyle name="표준 8 2 2 2 2 2 2 4" xfId="8603"/>
    <cellStyle name="표준 8 2 2 2 2 2 2 4 2" xfId="8604"/>
    <cellStyle name="표준 8 2 2 2 2 2 2 4 2 2" xfId="16087"/>
    <cellStyle name="표준 8 2 2 2 2 2 2 4 2 2 2" xfId="38554"/>
    <cellStyle name="표준 8 2 2 2 2 2 2 4 2 3" xfId="23571"/>
    <cellStyle name="표준 8 2 2 2 2 2 2 4 2 3 2" xfId="46036"/>
    <cellStyle name="표준 8 2 2 2 2 2 2 4 2 4" xfId="31072"/>
    <cellStyle name="표준 8 2 2 2 2 2 2 4 3" xfId="16086"/>
    <cellStyle name="표준 8 2 2 2 2 2 2 4 3 2" xfId="38553"/>
    <cellStyle name="표준 8 2 2 2 2 2 2 4 4" xfId="23570"/>
    <cellStyle name="표준 8 2 2 2 2 2 2 4 4 2" xfId="46035"/>
    <cellStyle name="표준 8 2 2 2 2 2 2 4 5" xfId="31071"/>
    <cellStyle name="표준 8 2 2 2 2 2 2 5" xfId="8605"/>
    <cellStyle name="표준 8 2 2 2 2 2 2 5 2" xfId="16088"/>
    <cellStyle name="표준 8 2 2 2 2 2 2 5 2 2" xfId="38555"/>
    <cellStyle name="표준 8 2 2 2 2 2 2 5 3" xfId="23572"/>
    <cellStyle name="표준 8 2 2 2 2 2 2 5 3 2" xfId="46037"/>
    <cellStyle name="표준 8 2 2 2 2 2 2 5 4" xfId="31073"/>
    <cellStyle name="표준 8 2 2 2 2 2 2 6" xfId="16073"/>
    <cellStyle name="표준 8 2 2 2 2 2 2 6 2" xfId="38540"/>
    <cellStyle name="표준 8 2 2 2 2 2 2 7" xfId="23557"/>
    <cellStyle name="표준 8 2 2 2 2 2 2 7 2" xfId="46022"/>
    <cellStyle name="표준 8 2 2 2 2 2 2 8" xfId="31058"/>
    <cellStyle name="표준 8 2 2 2 2 2 3" xfId="8606"/>
    <cellStyle name="표준 8 2 2 2 2 2 3 2" xfId="8607"/>
    <cellStyle name="표준 8 2 2 2 2 2 3 2 2" xfId="8608"/>
    <cellStyle name="표준 8 2 2 2 2 2 3 2 2 2" xfId="8609"/>
    <cellStyle name="표준 8 2 2 2 2 2 3 2 2 2 2" xfId="8610"/>
    <cellStyle name="표준 8 2 2 2 2 2 3 2 2 2 2 2" xfId="16093"/>
    <cellStyle name="표준 8 2 2 2 2 2 3 2 2 2 2 2 2" xfId="38560"/>
    <cellStyle name="표준 8 2 2 2 2 2 3 2 2 2 2 3" xfId="23577"/>
    <cellStyle name="표준 8 2 2 2 2 2 3 2 2 2 2 3 2" xfId="46042"/>
    <cellStyle name="표준 8 2 2 2 2 2 3 2 2 2 2 4" xfId="31078"/>
    <cellStyle name="표준 8 2 2 2 2 2 3 2 2 2 3" xfId="16092"/>
    <cellStyle name="표준 8 2 2 2 2 2 3 2 2 2 3 2" xfId="38559"/>
    <cellStyle name="표준 8 2 2 2 2 2 3 2 2 2 4" xfId="23576"/>
    <cellStyle name="표준 8 2 2 2 2 2 3 2 2 2 4 2" xfId="46041"/>
    <cellStyle name="표준 8 2 2 2 2 2 3 2 2 2 5" xfId="31077"/>
    <cellStyle name="표준 8 2 2 2 2 2 3 2 2 3" xfId="8611"/>
    <cellStyle name="표준 8 2 2 2 2 2 3 2 2 3 2" xfId="16094"/>
    <cellStyle name="표준 8 2 2 2 2 2 3 2 2 3 2 2" xfId="38561"/>
    <cellStyle name="표준 8 2 2 2 2 2 3 2 2 3 3" xfId="23578"/>
    <cellStyle name="표준 8 2 2 2 2 2 3 2 2 3 3 2" xfId="46043"/>
    <cellStyle name="표준 8 2 2 2 2 2 3 2 2 3 4" xfId="31079"/>
    <cellStyle name="표준 8 2 2 2 2 2 3 2 2 4" xfId="16091"/>
    <cellStyle name="표준 8 2 2 2 2 2 3 2 2 4 2" xfId="38558"/>
    <cellStyle name="표준 8 2 2 2 2 2 3 2 2 5" xfId="23575"/>
    <cellStyle name="표준 8 2 2 2 2 2 3 2 2 5 2" xfId="46040"/>
    <cellStyle name="표준 8 2 2 2 2 2 3 2 2 6" xfId="31076"/>
    <cellStyle name="표준 8 2 2 2 2 2 3 2 3" xfId="8612"/>
    <cellStyle name="표준 8 2 2 2 2 2 3 2 3 2" xfId="8613"/>
    <cellStyle name="표준 8 2 2 2 2 2 3 2 3 2 2" xfId="16096"/>
    <cellStyle name="표준 8 2 2 2 2 2 3 2 3 2 2 2" xfId="38563"/>
    <cellStyle name="표준 8 2 2 2 2 2 3 2 3 2 3" xfId="23580"/>
    <cellStyle name="표준 8 2 2 2 2 2 3 2 3 2 3 2" xfId="46045"/>
    <cellStyle name="표준 8 2 2 2 2 2 3 2 3 2 4" xfId="31081"/>
    <cellStyle name="표준 8 2 2 2 2 2 3 2 3 3" xfId="16095"/>
    <cellStyle name="표준 8 2 2 2 2 2 3 2 3 3 2" xfId="38562"/>
    <cellStyle name="표준 8 2 2 2 2 2 3 2 3 4" xfId="23579"/>
    <cellStyle name="표준 8 2 2 2 2 2 3 2 3 4 2" xfId="46044"/>
    <cellStyle name="표준 8 2 2 2 2 2 3 2 3 5" xfId="31080"/>
    <cellStyle name="표준 8 2 2 2 2 2 3 2 4" xfId="8614"/>
    <cellStyle name="표준 8 2 2 2 2 2 3 2 4 2" xfId="16097"/>
    <cellStyle name="표준 8 2 2 2 2 2 3 2 4 2 2" xfId="38564"/>
    <cellStyle name="표준 8 2 2 2 2 2 3 2 4 3" xfId="23581"/>
    <cellStyle name="표준 8 2 2 2 2 2 3 2 4 3 2" xfId="46046"/>
    <cellStyle name="표준 8 2 2 2 2 2 3 2 4 4" xfId="31082"/>
    <cellStyle name="표준 8 2 2 2 2 2 3 2 5" xfId="16090"/>
    <cellStyle name="표준 8 2 2 2 2 2 3 2 5 2" xfId="38557"/>
    <cellStyle name="표준 8 2 2 2 2 2 3 2 6" xfId="23574"/>
    <cellStyle name="표준 8 2 2 2 2 2 3 2 6 2" xfId="46039"/>
    <cellStyle name="표준 8 2 2 2 2 2 3 2 7" xfId="31075"/>
    <cellStyle name="표준 8 2 2 2 2 2 3 3" xfId="8615"/>
    <cellStyle name="표준 8 2 2 2 2 2 3 3 2" xfId="8616"/>
    <cellStyle name="표준 8 2 2 2 2 2 3 3 2 2" xfId="8617"/>
    <cellStyle name="표준 8 2 2 2 2 2 3 3 2 2 2" xfId="16100"/>
    <cellStyle name="표준 8 2 2 2 2 2 3 3 2 2 2 2" xfId="38567"/>
    <cellStyle name="표준 8 2 2 2 2 2 3 3 2 2 3" xfId="23584"/>
    <cellStyle name="표준 8 2 2 2 2 2 3 3 2 2 3 2" xfId="46049"/>
    <cellStyle name="표준 8 2 2 2 2 2 3 3 2 2 4" xfId="31085"/>
    <cellStyle name="표준 8 2 2 2 2 2 3 3 2 3" xfId="16099"/>
    <cellStyle name="표준 8 2 2 2 2 2 3 3 2 3 2" xfId="38566"/>
    <cellStyle name="표준 8 2 2 2 2 2 3 3 2 4" xfId="23583"/>
    <cellStyle name="표준 8 2 2 2 2 2 3 3 2 4 2" xfId="46048"/>
    <cellStyle name="표준 8 2 2 2 2 2 3 3 2 5" xfId="31084"/>
    <cellStyle name="표준 8 2 2 2 2 2 3 3 3" xfId="8618"/>
    <cellStyle name="표준 8 2 2 2 2 2 3 3 3 2" xfId="16101"/>
    <cellStyle name="표준 8 2 2 2 2 2 3 3 3 2 2" xfId="38568"/>
    <cellStyle name="표준 8 2 2 2 2 2 3 3 3 3" xfId="23585"/>
    <cellStyle name="표준 8 2 2 2 2 2 3 3 3 3 2" xfId="46050"/>
    <cellStyle name="표준 8 2 2 2 2 2 3 3 3 4" xfId="31086"/>
    <cellStyle name="표준 8 2 2 2 2 2 3 3 4" xfId="16098"/>
    <cellStyle name="표준 8 2 2 2 2 2 3 3 4 2" xfId="38565"/>
    <cellStyle name="표준 8 2 2 2 2 2 3 3 5" xfId="23582"/>
    <cellStyle name="표준 8 2 2 2 2 2 3 3 5 2" xfId="46047"/>
    <cellStyle name="표준 8 2 2 2 2 2 3 3 6" xfId="31083"/>
    <cellStyle name="표준 8 2 2 2 2 2 3 4" xfId="8619"/>
    <cellStyle name="표준 8 2 2 2 2 2 3 4 2" xfId="8620"/>
    <cellStyle name="표준 8 2 2 2 2 2 3 4 2 2" xfId="16103"/>
    <cellStyle name="표준 8 2 2 2 2 2 3 4 2 2 2" xfId="38570"/>
    <cellStyle name="표준 8 2 2 2 2 2 3 4 2 3" xfId="23587"/>
    <cellStyle name="표준 8 2 2 2 2 2 3 4 2 3 2" xfId="46052"/>
    <cellStyle name="표준 8 2 2 2 2 2 3 4 2 4" xfId="31088"/>
    <cellStyle name="표준 8 2 2 2 2 2 3 4 3" xfId="16102"/>
    <cellStyle name="표준 8 2 2 2 2 2 3 4 3 2" xfId="38569"/>
    <cellStyle name="표준 8 2 2 2 2 2 3 4 4" xfId="23586"/>
    <cellStyle name="표준 8 2 2 2 2 2 3 4 4 2" xfId="46051"/>
    <cellStyle name="표준 8 2 2 2 2 2 3 4 5" xfId="31087"/>
    <cellStyle name="표준 8 2 2 2 2 2 3 5" xfId="8621"/>
    <cellStyle name="표준 8 2 2 2 2 2 3 5 2" xfId="16104"/>
    <cellStyle name="표준 8 2 2 2 2 2 3 5 2 2" xfId="38571"/>
    <cellStyle name="표준 8 2 2 2 2 2 3 5 3" xfId="23588"/>
    <cellStyle name="표준 8 2 2 2 2 2 3 5 3 2" xfId="46053"/>
    <cellStyle name="표준 8 2 2 2 2 2 3 5 4" xfId="31089"/>
    <cellStyle name="표준 8 2 2 2 2 2 3 6" xfId="16089"/>
    <cellStyle name="표준 8 2 2 2 2 2 3 6 2" xfId="38556"/>
    <cellStyle name="표준 8 2 2 2 2 2 3 7" xfId="23573"/>
    <cellStyle name="표준 8 2 2 2 2 2 3 7 2" xfId="46038"/>
    <cellStyle name="표준 8 2 2 2 2 2 3 8" xfId="31074"/>
    <cellStyle name="표준 8 2 2 2 2 2 4" xfId="8622"/>
    <cellStyle name="표준 8 2 2 2 2 2 4 2" xfId="8623"/>
    <cellStyle name="표준 8 2 2 2 2 2 4 2 2" xfId="8624"/>
    <cellStyle name="표준 8 2 2 2 2 2 4 2 2 2" xfId="8625"/>
    <cellStyle name="표준 8 2 2 2 2 2 4 2 2 2 2" xfId="16108"/>
    <cellStyle name="표준 8 2 2 2 2 2 4 2 2 2 2 2" xfId="38575"/>
    <cellStyle name="표준 8 2 2 2 2 2 4 2 2 2 3" xfId="23592"/>
    <cellStyle name="표준 8 2 2 2 2 2 4 2 2 2 3 2" xfId="46057"/>
    <cellStyle name="표준 8 2 2 2 2 2 4 2 2 2 4" xfId="31093"/>
    <cellStyle name="표준 8 2 2 2 2 2 4 2 2 3" xfId="16107"/>
    <cellStyle name="표준 8 2 2 2 2 2 4 2 2 3 2" xfId="38574"/>
    <cellStyle name="표준 8 2 2 2 2 2 4 2 2 4" xfId="23591"/>
    <cellStyle name="표준 8 2 2 2 2 2 4 2 2 4 2" xfId="46056"/>
    <cellStyle name="표준 8 2 2 2 2 2 4 2 2 5" xfId="31092"/>
    <cellStyle name="표준 8 2 2 2 2 2 4 2 3" xfId="8626"/>
    <cellStyle name="표준 8 2 2 2 2 2 4 2 3 2" xfId="16109"/>
    <cellStyle name="표준 8 2 2 2 2 2 4 2 3 2 2" xfId="38576"/>
    <cellStyle name="표준 8 2 2 2 2 2 4 2 3 3" xfId="23593"/>
    <cellStyle name="표준 8 2 2 2 2 2 4 2 3 3 2" xfId="46058"/>
    <cellStyle name="표준 8 2 2 2 2 2 4 2 3 4" xfId="31094"/>
    <cellStyle name="표준 8 2 2 2 2 2 4 2 4" xfId="16106"/>
    <cellStyle name="표준 8 2 2 2 2 2 4 2 4 2" xfId="38573"/>
    <cellStyle name="표준 8 2 2 2 2 2 4 2 5" xfId="23590"/>
    <cellStyle name="표준 8 2 2 2 2 2 4 2 5 2" xfId="46055"/>
    <cellStyle name="표준 8 2 2 2 2 2 4 2 6" xfId="31091"/>
    <cellStyle name="표준 8 2 2 2 2 2 4 3" xfId="8627"/>
    <cellStyle name="표준 8 2 2 2 2 2 4 3 2" xfId="8628"/>
    <cellStyle name="표준 8 2 2 2 2 2 4 3 2 2" xfId="16111"/>
    <cellStyle name="표준 8 2 2 2 2 2 4 3 2 2 2" xfId="38578"/>
    <cellStyle name="표준 8 2 2 2 2 2 4 3 2 3" xfId="23595"/>
    <cellStyle name="표준 8 2 2 2 2 2 4 3 2 3 2" xfId="46060"/>
    <cellStyle name="표준 8 2 2 2 2 2 4 3 2 4" xfId="31096"/>
    <cellStyle name="표준 8 2 2 2 2 2 4 3 3" xfId="16110"/>
    <cellStyle name="표준 8 2 2 2 2 2 4 3 3 2" xfId="38577"/>
    <cellStyle name="표준 8 2 2 2 2 2 4 3 4" xfId="23594"/>
    <cellStyle name="표준 8 2 2 2 2 2 4 3 4 2" xfId="46059"/>
    <cellStyle name="표준 8 2 2 2 2 2 4 3 5" xfId="31095"/>
    <cellStyle name="표준 8 2 2 2 2 2 4 4" xfId="8629"/>
    <cellStyle name="표준 8 2 2 2 2 2 4 4 2" xfId="16112"/>
    <cellStyle name="표준 8 2 2 2 2 2 4 4 2 2" xfId="38579"/>
    <cellStyle name="표준 8 2 2 2 2 2 4 4 3" xfId="23596"/>
    <cellStyle name="표준 8 2 2 2 2 2 4 4 3 2" xfId="46061"/>
    <cellStyle name="표준 8 2 2 2 2 2 4 4 4" xfId="31097"/>
    <cellStyle name="표준 8 2 2 2 2 2 4 5" xfId="16105"/>
    <cellStyle name="표준 8 2 2 2 2 2 4 5 2" xfId="38572"/>
    <cellStyle name="표준 8 2 2 2 2 2 4 6" xfId="23589"/>
    <cellStyle name="표준 8 2 2 2 2 2 4 6 2" xfId="46054"/>
    <cellStyle name="표준 8 2 2 2 2 2 4 7" xfId="31090"/>
    <cellStyle name="표준 8 2 2 2 2 2 5" xfId="8630"/>
    <cellStyle name="표준 8 2 2 2 2 2 5 2" xfId="8631"/>
    <cellStyle name="표준 8 2 2 2 2 2 5 2 2" xfId="8632"/>
    <cellStyle name="표준 8 2 2 2 2 2 5 2 2 2" xfId="16115"/>
    <cellStyle name="표준 8 2 2 2 2 2 5 2 2 2 2" xfId="38582"/>
    <cellStyle name="표준 8 2 2 2 2 2 5 2 2 3" xfId="23599"/>
    <cellStyle name="표준 8 2 2 2 2 2 5 2 2 3 2" xfId="46064"/>
    <cellStyle name="표준 8 2 2 2 2 2 5 2 2 4" xfId="31100"/>
    <cellStyle name="표준 8 2 2 2 2 2 5 2 3" xfId="16114"/>
    <cellStyle name="표준 8 2 2 2 2 2 5 2 3 2" xfId="38581"/>
    <cellStyle name="표준 8 2 2 2 2 2 5 2 4" xfId="23598"/>
    <cellStyle name="표준 8 2 2 2 2 2 5 2 4 2" xfId="46063"/>
    <cellStyle name="표준 8 2 2 2 2 2 5 2 5" xfId="31099"/>
    <cellStyle name="표준 8 2 2 2 2 2 5 3" xfId="8633"/>
    <cellStyle name="표준 8 2 2 2 2 2 5 3 2" xfId="16116"/>
    <cellStyle name="표준 8 2 2 2 2 2 5 3 2 2" xfId="38583"/>
    <cellStyle name="표준 8 2 2 2 2 2 5 3 3" xfId="23600"/>
    <cellStyle name="표준 8 2 2 2 2 2 5 3 3 2" xfId="46065"/>
    <cellStyle name="표준 8 2 2 2 2 2 5 3 4" xfId="31101"/>
    <cellStyle name="표준 8 2 2 2 2 2 5 4" xfId="16113"/>
    <cellStyle name="표준 8 2 2 2 2 2 5 4 2" xfId="38580"/>
    <cellStyle name="표준 8 2 2 2 2 2 5 5" xfId="23597"/>
    <cellStyle name="표준 8 2 2 2 2 2 5 5 2" xfId="46062"/>
    <cellStyle name="표준 8 2 2 2 2 2 5 6" xfId="31098"/>
    <cellStyle name="표준 8 2 2 2 2 2 6" xfId="8634"/>
    <cellStyle name="표준 8 2 2 2 2 2 6 2" xfId="8635"/>
    <cellStyle name="표준 8 2 2 2 2 2 6 2 2" xfId="16118"/>
    <cellStyle name="표준 8 2 2 2 2 2 6 2 2 2" xfId="38585"/>
    <cellStyle name="표준 8 2 2 2 2 2 6 2 3" xfId="23602"/>
    <cellStyle name="표준 8 2 2 2 2 2 6 2 3 2" xfId="46067"/>
    <cellStyle name="표준 8 2 2 2 2 2 6 2 4" xfId="31103"/>
    <cellStyle name="표준 8 2 2 2 2 2 6 3" xfId="16117"/>
    <cellStyle name="표준 8 2 2 2 2 2 6 3 2" xfId="38584"/>
    <cellStyle name="표준 8 2 2 2 2 2 6 4" xfId="23601"/>
    <cellStyle name="표준 8 2 2 2 2 2 6 4 2" xfId="46066"/>
    <cellStyle name="표준 8 2 2 2 2 2 6 5" xfId="31102"/>
    <cellStyle name="표준 8 2 2 2 2 2 7" xfId="8636"/>
    <cellStyle name="표준 8 2 2 2 2 2 7 2" xfId="16119"/>
    <cellStyle name="표준 8 2 2 2 2 2 7 2 2" xfId="38586"/>
    <cellStyle name="표준 8 2 2 2 2 2 7 3" xfId="23603"/>
    <cellStyle name="표준 8 2 2 2 2 2 7 3 2" xfId="46068"/>
    <cellStyle name="표준 8 2 2 2 2 2 7 4" xfId="31104"/>
    <cellStyle name="표준 8 2 2 2 2 2 8" xfId="16072"/>
    <cellStyle name="표준 8 2 2 2 2 2 8 2" xfId="38539"/>
    <cellStyle name="표준 8 2 2 2 2 2 9" xfId="23556"/>
    <cellStyle name="표준 8 2 2 2 2 2 9 2" xfId="46021"/>
    <cellStyle name="표준 8 2 2 2 2 3" xfId="8637"/>
    <cellStyle name="표준 8 2 2 2 2 3 2" xfId="8638"/>
    <cellStyle name="표준 8 2 2 2 2 3 2 2" xfId="8639"/>
    <cellStyle name="표준 8 2 2 2 2 3 2 2 2" xfId="8640"/>
    <cellStyle name="표준 8 2 2 2 2 3 2 2 2 2" xfId="8641"/>
    <cellStyle name="표준 8 2 2 2 2 3 2 2 2 2 2" xfId="16124"/>
    <cellStyle name="표준 8 2 2 2 2 3 2 2 2 2 2 2" xfId="38591"/>
    <cellStyle name="표준 8 2 2 2 2 3 2 2 2 2 3" xfId="23608"/>
    <cellStyle name="표준 8 2 2 2 2 3 2 2 2 2 3 2" xfId="46073"/>
    <cellStyle name="표준 8 2 2 2 2 3 2 2 2 2 4" xfId="31109"/>
    <cellStyle name="표준 8 2 2 2 2 3 2 2 2 3" xfId="16123"/>
    <cellStyle name="표준 8 2 2 2 2 3 2 2 2 3 2" xfId="38590"/>
    <cellStyle name="표준 8 2 2 2 2 3 2 2 2 4" xfId="23607"/>
    <cellStyle name="표준 8 2 2 2 2 3 2 2 2 4 2" xfId="46072"/>
    <cellStyle name="표준 8 2 2 2 2 3 2 2 2 5" xfId="31108"/>
    <cellStyle name="표준 8 2 2 2 2 3 2 2 3" xfId="8642"/>
    <cellStyle name="표준 8 2 2 2 2 3 2 2 3 2" xfId="16125"/>
    <cellStyle name="표준 8 2 2 2 2 3 2 2 3 2 2" xfId="38592"/>
    <cellStyle name="표준 8 2 2 2 2 3 2 2 3 3" xfId="23609"/>
    <cellStyle name="표준 8 2 2 2 2 3 2 2 3 3 2" xfId="46074"/>
    <cellStyle name="표준 8 2 2 2 2 3 2 2 3 4" xfId="31110"/>
    <cellStyle name="표준 8 2 2 2 2 3 2 2 4" xfId="16122"/>
    <cellStyle name="표준 8 2 2 2 2 3 2 2 4 2" xfId="38589"/>
    <cellStyle name="표준 8 2 2 2 2 3 2 2 5" xfId="23606"/>
    <cellStyle name="표준 8 2 2 2 2 3 2 2 5 2" xfId="46071"/>
    <cellStyle name="표준 8 2 2 2 2 3 2 2 6" xfId="31107"/>
    <cellStyle name="표준 8 2 2 2 2 3 2 3" xfId="8643"/>
    <cellStyle name="표준 8 2 2 2 2 3 2 3 2" xfId="8644"/>
    <cellStyle name="표준 8 2 2 2 2 3 2 3 2 2" xfId="16127"/>
    <cellStyle name="표준 8 2 2 2 2 3 2 3 2 2 2" xfId="38594"/>
    <cellStyle name="표준 8 2 2 2 2 3 2 3 2 3" xfId="23611"/>
    <cellStyle name="표준 8 2 2 2 2 3 2 3 2 3 2" xfId="46076"/>
    <cellStyle name="표준 8 2 2 2 2 3 2 3 2 4" xfId="31112"/>
    <cellStyle name="표준 8 2 2 2 2 3 2 3 3" xfId="16126"/>
    <cellStyle name="표준 8 2 2 2 2 3 2 3 3 2" xfId="38593"/>
    <cellStyle name="표준 8 2 2 2 2 3 2 3 4" xfId="23610"/>
    <cellStyle name="표준 8 2 2 2 2 3 2 3 4 2" xfId="46075"/>
    <cellStyle name="표준 8 2 2 2 2 3 2 3 5" xfId="31111"/>
    <cellStyle name="표준 8 2 2 2 2 3 2 4" xfId="8645"/>
    <cellStyle name="표준 8 2 2 2 2 3 2 4 2" xfId="16128"/>
    <cellStyle name="표준 8 2 2 2 2 3 2 4 2 2" xfId="38595"/>
    <cellStyle name="표준 8 2 2 2 2 3 2 4 3" xfId="23612"/>
    <cellStyle name="표준 8 2 2 2 2 3 2 4 3 2" xfId="46077"/>
    <cellStyle name="표준 8 2 2 2 2 3 2 4 4" xfId="31113"/>
    <cellStyle name="표준 8 2 2 2 2 3 2 5" xfId="16121"/>
    <cellStyle name="표준 8 2 2 2 2 3 2 5 2" xfId="38588"/>
    <cellStyle name="표준 8 2 2 2 2 3 2 6" xfId="23605"/>
    <cellStyle name="표준 8 2 2 2 2 3 2 6 2" xfId="46070"/>
    <cellStyle name="표준 8 2 2 2 2 3 2 7" xfId="31106"/>
    <cellStyle name="표준 8 2 2 2 2 3 3" xfId="8646"/>
    <cellStyle name="표준 8 2 2 2 2 3 3 2" xfId="8647"/>
    <cellStyle name="표준 8 2 2 2 2 3 3 2 2" xfId="8648"/>
    <cellStyle name="표준 8 2 2 2 2 3 3 2 2 2" xfId="16131"/>
    <cellStyle name="표준 8 2 2 2 2 3 3 2 2 2 2" xfId="38598"/>
    <cellStyle name="표준 8 2 2 2 2 3 3 2 2 3" xfId="23615"/>
    <cellStyle name="표준 8 2 2 2 2 3 3 2 2 3 2" xfId="46080"/>
    <cellStyle name="표준 8 2 2 2 2 3 3 2 2 4" xfId="31116"/>
    <cellStyle name="표준 8 2 2 2 2 3 3 2 3" xfId="16130"/>
    <cellStyle name="표준 8 2 2 2 2 3 3 2 3 2" xfId="38597"/>
    <cellStyle name="표준 8 2 2 2 2 3 3 2 4" xfId="23614"/>
    <cellStyle name="표준 8 2 2 2 2 3 3 2 4 2" xfId="46079"/>
    <cellStyle name="표준 8 2 2 2 2 3 3 2 5" xfId="31115"/>
    <cellStyle name="표준 8 2 2 2 2 3 3 3" xfId="8649"/>
    <cellStyle name="표준 8 2 2 2 2 3 3 3 2" xfId="16132"/>
    <cellStyle name="표준 8 2 2 2 2 3 3 3 2 2" xfId="38599"/>
    <cellStyle name="표준 8 2 2 2 2 3 3 3 3" xfId="23616"/>
    <cellStyle name="표준 8 2 2 2 2 3 3 3 3 2" xfId="46081"/>
    <cellStyle name="표준 8 2 2 2 2 3 3 3 4" xfId="31117"/>
    <cellStyle name="표준 8 2 2 2 2 3 3 4" xfId="16129"/>
    <cellStyle name="표준 8 2 2 2 2 3 3 4 2" xfId="38596"/>
    <cellStyle name="표준 8 2 2 2 2 3 3 5" xfId="23613"/>
    <cellStyle name="표준 8 2 2 2 2 3 3 5 2" xfId="46078"/>
    <cellStyle name="표준 8 2 2 2 2 3 3 6" xfId="31114"/>
    <cellStyle name="표준 8 2 2 2 2 3 4" xfId="8650"/>
    <cellStyle name="표준 8 2 2 2 2 3 4 2" xfId="8651"/>
    <cellStyle name="표준 8 2 2 2 2 3 4 2 2" xfId="16134"/>
    <cellStyle name="표준 8 2 2 2 2 3 4 2 2 2" xfId="38601"/>
    <cellStyle name="표준 8 2 2 2 2 3 4 2 3" xfId="23618"/>
    <cellStyle name="표준 8 2 2 2 2 3 4 2 3 2" xfId="46083"/>
    <cellStyle name="표준 8 2 2 2 2 3 4 2 4" xfId="31119"/>
    <cellStyle name="표준 8 2 2 2 2 3 4 3" xfId="16133"/>
    <cellStyle name="표준 8 2 2 2 2 3 4 3 2" xfId="38600"/>
    <cellStyle name="표준 8 2 2 2 2 3 4 4" xfId="23617"/>
    <cellStyle name="표준 8 2 2 2 2 3 4 4 2" xfId="46082"/>
    <cellStyle name="표준 8 2 2 2 2 3 4 5" xfId="31118"/>
    <cellStyle name="표준 8 2 2 2 2 3 5" xfId="8652"/>
    <cellStyle name="표준 8 2 2 2 2 3 5 2" xfId="16135"/>
    <cellStyle name="표준 8 2 2 2 2 3 5 2 2" xfId="38602"/>
    <cellStyle name="표준 8 2 2 2 2 3 5 3" xfId="23619"/>
    <cellStyle name="표준 8 2 2 2 2 3 5 3 2" xfId="46084"/>
    <cellStyle name="표준 8 2 2 2 2 3 5 4" xfId="31120"/>
    <cellStyle name="표준 8 2 2 2 2 3 6" xfId="16120"/>
    <cellStyle name="표준 8 2 2 2 2 3 6 2" xfId="38587"/>
    <cellStyle name="표준 8 2 2 2 2 3 7" xfId="23604"/>
    <cellStyle name="표준 8 2 2 2 2 3 7 2" xfId="46069"/>
    <cellStyle name="표준 8 2 2 2 2 3 8" xfId="31105"/>
    <cellStyle name="표준 8 2 2 2 2 4" xfId="8653"/>
    <cellStyle name="표준 8 2 2 2 2 4 2" xfId="8654"/>
    <cellStyle name="표준 8 2 2 2 2 4 2 2" xfId="8655"/>
    <cellStyle name="표준 8 2 2 2 2 4 2 2 2" xfId="8656"/>
    <cellStyle name="표준 8 2 2 2 2 4 2 2 2 2" xfId="8657"/>
    <cellStyle name="표준 8 2 2 2 2 4 2 2 2 2 2" xfId="16140"/>
    <cellStyle name="표준 8 2 2 2 2 4 2 2 2 2 2 2" xfId="38607"/>
    <cellStyle name="표준 8 2 2 2 2 4 2 2 2 2 3" xfId="23624"/>
    <cellStyle name="표준 8 2 2 2 2 4 2 2 2 2 3 2" xfId="46089"/>
    <cellStyle name="표준 8 2 2 2 2 4 2 2 2 2 4" xfId="31125"/>
    <cellStyle name="표준 8 2 2 2 2 4 2 2 2 3" xfId="16139"/>
    <cellStyle name="표준 8 2 2 2 2 4 2 2 2 3 2" xfId="38606"/>
    <cellStyle name="표준 8 2 2 2 2 4 2 2 2 4" xfId="23623"/>
    <cellStyle name="표준 8 2 2 2 2 4 2 2 2 4 2" xfId="46088"/>
    <cellStyle name="표준 8 2 2 2 2 4 2 2 2 5" xfId="31124"/>
    <cellStyle name="표준 8 2 2 2 2 4 2 2 3" xfId="8658"/>
    <cellStyle name="표준 8 2 2 2 2 4 2 2 3 2" xfId="16141"/>
    <cellStyle name="표준 8 2 2 2 2 4 2 2 3 2 2" xfId="38608"/>
    <cellStyle name="표준 8 2 2 2 2 4 2 2 3 3" xfId="23625"/>
    <cellStyle name="표준 8 2 2 2 2 4 2 2 3 3 2" xfId="46090"/>
    <cellStyle name="표준 8 2 2 2 2 4 2 2 3 4" xfId="31126"/>
    <cellStyle name="표준 8 2 2 2 2 4 2 2 4" xfId="16138"/>
    <cellStyle name="표준 8 2 2 2 2 4 2 2 4 2" xfId="38605"/>
    <cellStyle name="표준 8 2 2 2 2 4 2 2 5" xfId="23622"/>
    <cellStyle name="표준 8 2 2 2 2 4 2 2 5 2" xfId="46087"/>
    <cellStyle name="표준 8 2 2 2 2 4 2 2 6" xfId="31123"/>
    <cellStyle name="표준 8 2 2 2 2 4 2 3" xfId="8659"/>
    <cellStyle name="표준 8 2 2 2 2 4 2 3 2" xfId="8660"/>
    <cellStyle name="표준 8 2 2 2 2 4 2 3 2 2" xfId="16143"/>
    <cellStyle name="표준 8 2 2 2 2 4 2 3 2 2 2" xfId="38610"/>
    <cellStyle name="표준 8 2 2 2 2 4 2 3 2 3" xfId="23627"/>
    <cellStyle name="표준 8 2 2 2 2 4 2 3 2 3 2" xfId="46092"/>
    <cellStyle name="표준 8 2 2 2 2 4 2 3 2 4" xfId="31128"/>
    <cellStyle name="표준 8 2 2 2 2 4 2 3 3" xfId="16142"/>
    <cellStyle name="표준 8 2 2 2 2 4 2 3 3 2" xfId="38609"/>
    <cellStyle name="표준 8 2 2 2 2 4 2 3 4" xfId="23626"/>
    <cellStyle name="표준 8 2 2 2 2 4 2 3 4 2" xfId="46091"/>
    <cellStyle name="표준 8 2 2 2 2 4 2 3 5" xfId="31127"/>
    <cellStyle name="표준 8 2 2 2 2 4 2 4" xfId="8661"/>
    <cellStyle name="표준 8 2 2 2 2 4 2 4 2" xfId="16144"/>
    <cellStyle name="표준 8 2 2 2 2 4 2 4 2 2" xfId="38611"/>
    <cellStyle name="표준 8 2 2 2 2 4 2 4 3" xfId="23628"/>
    <cellStyle name="표준 8 2 2 2 2 4 2 4 3 2" xfId="46093"/>
    <cellStyle name="표준 8 2 2 2 2 4 2 4 4" xfId="31129"/>
    <cellStyle name="표준 8 2 2 2 2 4 2 5" xfId="16137"/>
    <cellStyle name="표준 8 2 2 2 2 4 2 5 2" xfId="38604"/>
    <cellStyle name="표준 8 2 2 2 2 4 2 6" xfId="23621"/>
    <cellStyle name="표준 8 2 2 2 2 4 2 6 2" xfId="46086"/>
    <cellStyle name="표준 8 2 2 2 2 4 2 7" xfId="31122"/>
    <cellStyle name="표준 8 2 2 2 2 4 3" xfId="8662"/>
    <cellStyle name="표준 8 2 2 2 2 4 3 2" xfId="8663"/>
    <cellStyle name="표준 8 2 2 2 2 4 3 2 2" xfId="8664"/>
    <cellStyle name="표준 8 2 2 2 2 4 3 2 2 2" xfId="16147"/>
    <cellStyle name="표준 8 2 2 2 2 4 3 2 2 2 2" xfId="38614"/>
    <cellStyle name="표준 8 2 2 2 2 4 3 2 2 3" xfId="23631"/>
    <cellStyle name="표준 8 2 2 2 2 4 3 2 2 3 2" xfId="46096"/>
    <cellStyle name="표준 8 2 2 2 2 4 3 2 2 4" xfId="31132"/>
    <cellStyle name="표준 8 2 2 2 2 4 3 2 3" xfId="16146"/>
    <cellStyle name="표준 8 2 2 2 2 4 3 2 3 2" xfId="38613"/>
    <cellStyle name="표준 8 2 2 2 2 4 3 2 4" xfId="23630"/>
    <cellStyle name="표준 8 2 2 2 2 4 3 2 4 2" xfId="46095"/>
    <cellStyle name="표준 8 2 2 2 2 4 3 2 5" xfId="31131"/>
    <cellStyle name="표준 8 2 2 2 2 4 3 3" xfId="8665"/>
    <cellStyle name="표준 8 2 2 2 2 4 3 3 2" xfId="16148"/>
    <cellStyle name="표준 8 2 2 2 2 4 3 3 2 2" xfId="38615"/>
    <cellStyle name="표준 8 2 2 2 2 4 3 3 3" xfId="23632"/>
    <cellStyle name="표준 8 2 2 2 2 4 3 3 3 2" xfId="46097"/>
    <cellStyle name="표준 8 2 2 2 2 4 3 3 4" xfId="31133"/>
    <cellStyle name="표준 8 2 2 2 2 4 3 4" xfId="16145"/>
    <cellStyle name="표준 8 2 2 2 2 4 3 4 2" xfId="38612"/>
    <cellStyle name="표준 8 2 2 2 2 4 3 5" xfId="23629"/>
    <cellStyle name="표준 8 2 2 2 2 4 3 5 2" xfId="46094"/>
    <cellStyle name="표준 8 2 2 2 2 4 3 6" xfId="31130"/>
    <cellStyle name="표준 8 2 2 2 2 4 4" xfId="8666"/>
    <cellStyle name="표준 8 2 2 2 2 4 4 2" xfId="8667"/>
    <cellStyle name="표준 8 2 2 2 2 4 4 2 2" xfId="16150"/>
    <cellStyle name="표준 8 2 2 2 2 4 4 2 2 2" xfId="38617"/>
    <cellStyle name="표준 8 2 2 2 2 4 4 2 3" xfId="23634"/>
    <cellStyle name="표준 8 2 2 2 2 4 4 2 3 2" xfId="46099"/>
    <cellStyle name="표준 8 2 2 2 2 4 4 2 4" xfId="31135"/>
    <cellStyle name="표준 8 2 2 2 2 4 4 3" xfId="16149"/>
    <cellStyle name="표준 8 2 2 2 2 4 4 3 2" xfId="38616"/>
    <cellStyle name="표준 8 2 2 2 2 4 4 4" xfId="23633"/>
    <cellStyle name="표준 8 2 2 2 2 4 4 4 2" xfId="46098"/>
    <cellStyle name="표준 8 2 2 2 2 4 4 5" xfId="31134"/>
    <cellStyle name="표준 8 2 2 2 2 4 5" xfId="8668"/>
    <cellStyle name="표준 8 2 2 2 2 4 5 2" xfId="16151"/>
    <cellStyle name="표준 8 2 2 2 2 4 5 2 2" xfId="38618"/>
    <cellStyle name="표준 8 2 2 2 2 4 5 3" xfId="23635"/>
    <cellStyle name="표준 8 2 2 2 2 4 5 3 2" xfId="46100"/>
    <cellStyle name="표준 8 2 2 2 2 4 5 4" xfId="31136"/>
    <cellStyle name="표준 8 2 2 2 2 4 6" xfId="16136"/>
    <cellStyle name="표준 8 2 2 2 2 4 6 2" xfId="38603"/>
    <cellStyle name="표준 8 2 2 2 2 4 7" xfId="23620"/>
    <cellStyle name="표준 8 2 2 2 2 4 7 2" xfId="46085"/>
    <cellStyle name="표준 8 2 2 2 2 4 8" xfId="31121"/>
    <cellStyle name="표준 8 2 2 2 2 5" xfId="8669"/>
    <cellStyle name="표준 8 2 2 2 2 5 2" xfId="8670"/>
    <cellStyle name="표준 8 2 2 2 2 5 2 2" xfId="8671"/>
    <cellStyle name="표준 8 2 2 2 2 5 2 2 2" xfId="8672"/>
    <cellStyle name="표준 8 2 2 2 2 5 2 2 2 2" xfId="16155"/>
    <cellStyle name="표준 8 2 2 2 2 5 2 2 2 2 2" xfId="38622"/>
    <cellStyle name="표준 8 2 2 2 2 5 2 2 2 3" xfId="23639"/>
    <cellStyle name="표준 8 2 2 2 2 5 2 2 2 3 2" xfId="46104"/>
    <cellStyle name="표준 8 2 2 2 2 5 2 2 2 4" xfId="31140"/>
    <cellStyle name="표준 8 2 2 2 2 5 2 2 3" xfId="16154"/>
    <cellStyle name="표준 8 2 2 2 2 5 2 2 3 2" xfId="38621"/>
    <cellStyle name="표준 8 2 2 2 2 5 2 2 4" xfId="23638"/>
    <cellStyle name="표준 8 2 2 2 2 5 2 2 4 2" xfId="46103"/>
    <cellStyle name="표준 8 2 2 2 2 5 2 2 5" xfId="31139"/>
    <cellStyle name="표준 8 2 2 2 2 5 2 3" xfId="8673"/>
    <cellStyle name="표준 8 2 2 2 2 5 2 3 2" xfId="16156"/>
    <cellStyle name="표준 8 2 2 2 2 5 2 3 2 2" xfId="38623"/>
    <cellStyle name="표준 8 2 2 2 2 5 2 3 3" xfId="23640"/>
    <cellStyle name="표준 8 2 2 2 2 5 2 3 3 2" xfId="46105"/>
    <cellStyle name="표준 8 2 2 2 2 5 2 3 4" xfId="31141"/>
    <cellStyle name="표준 8 2 2 2 2 5 2 4" xfId="16153"/>
    <cellStyle name="표준 8 2 2 2 2 5 2 4 2" xfId="38620"/>
    <cellStyle name="표준 8 2 2 2 2 5 2 5" xfId="23637"/>
    <cellStyle name="표준 8 2 2 2 2 5 2 5 2" xfId="46102"/>
    <cellStyle name="표준 8 2 2 2 2 5 2 6" xfId="31138"/>
    <cellStyle name="표준 8 2 2 2 2 5 3" xfId="8674"/>
    <cellStyle name="표준 8 2 2 2 2 5 3 2" xfId="8675"/>
    <cellStyle name="표준 8 2 2 2 2 5 3 2 2" xfId="16158"/>
    <cellStyle name="표준 8 2 2 2 2 5 3 2 2 2" xfId="38625"/>
    <cellStyle name="표준 8 2 2 2 2 5 3 2 3" xfId="23642"/>
    <cellStyle name="표준 8 2 2 2 2 5 3 2 3 2" xfId="46107"/>
    <cellStyle name="표준 8 2 2 2 2 5 3 2 4" xfId="31143"/>
    <cellStyle name="표준 8 2 2 2 2 5 3 3" xfId="16157"/>
    <cellStyle name="표준 8 2 2 2 2 5 3 3 2" xfId="38624"/>
    <cellStyle name="표준 8 2 2 2 2 5 3 4" xfId="23641"/>
    <cellStyle name="표준 8 2 2 2 2 5 3 4 2" xfId="46106"/>
    <cellStyle name="표준 8 2 2 2 2 5 3 5" xfId="31142"/>
    <cellStyle name="표준 8 2 2 2 2 5 4" xfId="8676"/>
    <cellStyle name="표준 8 2 2 2 2 5 4 2" xfId="16159"/>
    <cellStyle name="표준 8 2 2 2 2 5 4 2 2" xfId="38626"/>
    <cellStyle name="표준 8 2 2 2 2 5 4 3" xfId="23643"/>
    <cellStyle name="표준 8 2 2 2 2 5 4 3 2" xfId="46108"/>
    <cellStyle name="표준 8 2 2 2 2 5 4 4" xfId="31144"/>
    <cellStyle name="표준 8 2 2 2 2 5 5" xfId="16152"/>
    <cellStyle name="표준 8 2 2 2 2 5 5 2" xfId="38619"/>
    <cellStyle name="표준 8 2 2 2 2 5 6" xfId="23636"/>
    <cellStyle name="표준 8 2 2 2 2 5 6 2" xfId="46101"/>
    <cellStyle name="표준 8 2 2 2 2 5 7" xfId="31137"/>
    <cellStyle name="표준 8 2 2 2 2 6" xfId="8677"/>
    <cellStyle name="표준 8 2 2 2 2 6 2" xfId="8678"/>
    <cellStyle name="표준 8 2 2 2 2 6 2 2" xfId="8679"/>
    <cellStyle name="표준 8 2 2 2 2 6 2 2 2" xfId="16162"/>
    <cellStyle name="표준 8 2 2 2 2 6 2 2 2 2" xfId="38629"/>
    <cellStyle name="표준 8 2 2 2 2 6 2 2 3" xfId="23646"/>
    <cellStyle name="표준 8 2 2 2 2 6 2 2 3 2" xfId="46111"/>
    <cellStyle name="표준 8 2 2 2 2 6 2 2 4" xfId="31147"/>
    <cellStyle name="표준 8 2 2 2 2 6 2 3" xfId="16161"/>
    <cellStyle name="표준 8 2 2 2 2 6 2 3 2" xfId="38628"/>
    <cellStyle name="표준 8 2 2 2 2 6 2 4" xfId="23645"/>
    <cellStyle name="표준 8 2 2 2 2 6 2 4 2" xfId="46110"/>
    <cellStyle name="표준 8 2 2 2 2 6 2 5" xfId="31146"/>
    <cellStyle name="표준 8 2 2 2 2 6 3" xfId="8680"/>
    <cellStyle name="표준 8 2 2 2 2 6 3 2" xfId="16163"/>
    <cellStyle name="표준 8 2 2 2 2 6 3 2 2" xfId="38630"/>
    <cellStyle name="표준 8 2 2 2 2 6 3 3" xfId="23647"/>
    <cellStyle name="표준 8 2 2 2 2 6 3 3 2" xfId="46112"/>
    <cellStyle name="표준 8 2 2 2 2 6 3 4" xfId="31148"/>
    <cellStyle name="표준 8 2 2 2 2 6 4" xfId="16160"/>
    <cellStyle name="표준 8 2 2 2 2 6 4 2" xfId="38627"/>
    <cellStyle name="표준 8 2 2 2 2 6 5" xfId="23644"/>
    <cellStyle name="표준 8 2 2 2 2 6 5 2" xfId="46109"/>
    <cellStyle name="표준 8 2 2 2 2 6 6" xfId="31145"/>
    <cellStyle name="표준 8 2 2 2 2 7" xfId="8681"/>
    <cellStyle name="표준 8 2 2 2 2 7 2" xfId="8682"/>
    <cellStyle name="표준 8 2 2 2 2 7 2 2" xfId="8683"/>
    <cellStyle name="표준 8 2 2 2 2 7 2 2 2" xfId="16166"/>
    <cellStyle name="표준 8 2 2 2 2 7 2 2 2 2" xfId="38633"/>
    <cellStyle name="표준 8 2 2 2 2 7 2 2 3" xfId="23650"/>
    <cellStyle name="표준 8 2 2 2 2 7 2 2 3 2" xfId="46115"/>
    <cellStyle name="표준 8 2 2 2 2 7 2 2 4" xfId="31151"/>
    <cellStyle name="표준 8 2 2 2 2 7 2 3" xfId="16165"/>
    <cellStyle name="표준 8 2 2 2 2 7 2 3 2" xfId="38632"/>
    <cellStyle name="표준 8 2 2 2 2 7 2 4" xfId="23649"/>
    <cellStyle name="표준 8 2 2 2 2 7 2 4 2" xfId="46114"/>
    <cellStyle name="표준 8 2 2 2 2 7 2 5" xfId="31150"/>
    <cellStyle name="표준 8 2 2 2 2 7 3" xfId="8684"/>
    <cellStyle name="표준 8 2 2 2 2 7 3 2" xfId="16167"/>
    <cellStyle name="표준 8 2 2 2 2 7 3 2 2" xfId="38634"/>
    <cellStyle name="표준 8 2 2 2 2 7 3 3" xfId="23651"/>
    <cellStyle name="표준 8 2 2 2 2 7 3 3 2" xfId="46116"/>
    <cellStyle name="표준 8 2 2 2 2 7 3 4" xfId="31152"/>
    <cellStyle name="표준 8 2 2 2 2 7 4" xfId="16164"/>
    <cellStyle name="표준 8 2 2 2 2 7 4 2" xfId="38631"/>
    <cellStyle name="표준 8 2 2 2 2 7 5" xfId="23648"/>
    <cellStyle name="표준 8 2 2 2 2 7 5 2" xfId="46113"/>
    <cellStyle name="표준 8 2 2 2 2 7 6" xfId="31149"/>
    <cellStyle name="표준 8 2 2 2 2 8" xfId="8685"/>
    <cellStyle name="표준 8 2 2 2 2 8 2" xfId="8686"/>
    <cellStyle name="표준 8 2 2 2 2 8 2 2" xfId="16169"/>
    <cellStyle name="표준 8 2 2 2 2 8 2 2 2" xfId="38636"/>
    <cellStyle name="표준 8 2 2 2 2 8 2 3" xfId="23653"/>
    <cellStyle name="표준 8 2 2 2 2 8 2 3 2" xfId="46118"/>
    <cellStyle name="표준 8 2 2 2 2 8 2 4" xfId="31154"/>
    <cellStyle name="표준 8 2 2 2 2 8 3" xfId="16168"/>
    <cellStyle name="표준 8 2 2 2 2 8 3 2" xfId="38635"/>
    <cellStyle name="표준 8 2 2 2 2 8 4" xfId="23652"/>
    <cellStyle name="표준 8 2 2 2 2 8 4 2" xfId="46117"/>
    <cellStyle name="표준 8 2 2 2 2 8 5" xfId="31153"/>
    <cellStyle name="표준 8 2 2 2 2 9" xfId="8687"/>
    <cellStyle name="표준 8 2 2 2 2 9 2" xfId="16170"/>
    <cellStyle name="표준 8 2 2 2 2 9 2 2" xfId="38637"/>
    <cellStyle name="표준 8 2 2 2 2 9 3" xfId="23654"/>
    <cellStyle name="표준 8 2 2 2 2 9 3 2" xfId="46119"/>
    <cellStyle name="표준 8 2 2 2 2 9 4" xfId="31155"/>
    <cellStyle name="표준 8 2 2 2 3" xfId="8688"/>
    <cellStyle name="표준 8 2 2 2 3 10" xfId="31156"/>
    <cellStyle name="표준 8 2 2 2 3 2" xfId="8689"/>
    <cellStyle name="표준 8 2 2 2 3 2 2" xfId="8690"/>
    <cellStyle name="표준 8 2 2 2 3 2 2 2" xfId="8691"/>
    <cellStyle name="표준 8 2 2 2 3 2 2 2 2" xfId="8692"/>
    <cellStyle name="표준 8 2 2 2 3 2 2 2 2 2" xfId="8693"/>
    <cellStyle name="표준 8 2 2 2 3 2 2 2 2 2 2" xfId="16176"/>
    <cellStyle name="표준 8 2 2 2 3 2 2 2 2 2 2 2" xfId="38643"/>
    <cellStyle name="표준 8 2 2 2 3 2 2 2 2 2 3" xfId="23660"/>
    <cellStyle name="표준 8 2 2 2 3 2 2 2 2 2 3 2" xfId="46125"/>
    <cellStyle name="표준 8 2 2 2 3 2 2 2 2 2 4" xfId="31161"/>
    <cellStyle name="표준 8 2 2 2 3 2 2 2 2 3" xfId="16175"/>
    <cellStyle name="표준 8 2 2 2 3 2 2 2 2 3 2" xfId="38642"/>
    <cellStyle name="표준 8 2 2 2 3 2 2 2 2 4" xfId="23659"/>
    <cellStyle name="표준 8 2 2 2 3 2 2 2 2 4 2" xfId="46124"/>
    <cellStyle name="표준 8 2 2 2 3 2 2 2 2 5" xfId="31160"/>
    <cellStyle name="표준 8 2 2 2 3 2 2 2 3" xfId="8694"/>
    <cellStyle name="표준 8 2 2 2 3 2 2 2 3 2" xfId="16177"/>
    <cellStyle name="표준 8 2 2 2 3 2 2 2 3 2 2" xfId="38644"/>
    <cellStyle name="표준 8 2 2 2 3 2 2 2 3 3" xfId="23661"/>
    <cellStyle name="표준 8 2 2 2 3 2 2 2 3 3 2" xfId="46126"/>
    <cellStyle name="표준 8 2 2 2 3 2 2 2 3 4" xfId="31162"/>
    <cellStyle name="표준 8 2 2 2 3 2 2 2 4" xfId="16174"/>
    <cellStyle name="표준 8 2 2 2 3 2 2 2 4 2" xfId="38641"/>
    <cellStyle name="표준 8 2 2 2 3 2 2 2 5" xfId="23658"/>
    <cellStyle name="표준 8 2 2 2 3 2 2 2 5 2" xfId="46123"/>
    <cellStyle name="표준 8 2 2 2 3 2 2 2 6" xfId="31159"/>
    <cellStyle name="표준 8 2 2 2 3 2 2 3" xfId="8695"/>
    <cellStyle name="표준 8 2 2 2 3 2 2 3 2" xfId="8696"/>
    <cellStyle name="표준 8 2 2 2 3 2 2 3 2 2" xfId="16179"/>
    <cellStyle name="표준 8 2 2 2 3 2 2 3 2 2 2" xfId="38646"/>
    <cellStyle name="표준 8 2 2 2 3 2 2 3 2 3" xfId="23663"/>
    <cellStyle name="표준 8 2 2 2 3 2 2 3 2 3 2" xfId="46128"/>
    <cellStyle name="표준 8 2 2 2 3 2 2 3 2 4" xfId="31164"/>
    <cellStyle name="표준 8 2 2 2 3 2 2 3 3" xfId="16178"/>
    <cellStyle name="표준 8 2 2 2 3 2 2 3 3 2" xfId="38645"/>
    <cellStyle name="표준 8 2 2 2 3 2 2 3 4" xfId="23662"/>
    <cellStyle name="표준 8 2 2 2 3 2 2 3 4 2" xfId="46127"/>
    <cellStyle name="표준 8 2 2 2 3 2 2 3 5" xfId="31163"/>
    <cellStyle name="표준 8 2 2 2 3 2 2 4" xfId="8697"/>
    <cellStyle name="표준 8 2 2 2 3 2 2 4 2" xfId="16180"/>
    <cellStyle name="표준 8 2 2 2 3 2 2 4 2 2" xfId="38647"/>
    <cellStyle name="표준 8 2 2 2 3 2 2 4 3" xfId="23664"/>
    <cellStyle name="표준 8 2 2 2 3 2 2 4 3 2" xfId="46129"/>
    <cellStyle name="표준 8 2 2 2 3 2 2 4 4" xfId="31165"/>
    <cellStyle name="표준 8 2 2 2 3 2 2 5" xfId="16173"/>
    <cellStyle name="표준 8 2 2 2 3 2 2 5 2" xfId="38640"/>
    <cellStyle name="표준 8 2 2 2 3 2 2 6" xfId="23657"/>
    <cellStyle name="표준 8 2 2 2 3 2 2 6 2" xfId="46122"/>
    <cellStyle name="표준 8 2 2 2 3 2 2 7" xfId="31158"/>
    <cellStyle name="표준 8 2 2 2 3 2 3" xfId="8698"/>
    <cellStyle name="표준 8 2 2 2 3 2 3 2" xfId="8699"/>
    <cellStyle name="표준 8 2 2 2 3 2 3 2 2" xfId="8700"/>
    <cellStyle name="표준 8 2 2 2 3 2 3 2 2 2" xfId="16183"/>
    <cellStyle name="표준 8 2 2 2 3 2 3 2 2 2 2" xfId="38650"/>
    <cellStyle name="표준 8 2 2 2 3 2 3 2 2 3" xfId="23667"/>
    <cellStyle name="표준 8 2 2 2 3 2 3 2 2 3 2" xfId="46132"/>
    <cellStyle name="표준 8 2 2 2 3 2 3 2 2 4" xfId="31168"/>
    <cellStyle name="표준 8 2 2 2 3 2 3 2 3" xfId="16182"/>
    <cellStyle name="표준 8 2 2 2 3 2 3 2 3 2" xfId="38649"/>
    <cellStyle name="표준 8 2 2 2 3 2 3 2 4" xfId="23666"/>
    <cellStyle name="표준 8 2 2 2 3 2 3 2 4 2" xfId="46131"/>
    <cellStyle name="표준 8 2 2 2 3 2 3 2 5" xfId="31167"/>
    <cellStyle name="표준 8 2 2 2 3 2 3 3" xfId="8701"/>
    <cellStyle name="표준 8 2 2 2 3 2 3 3 2" xfId="16184"/>
    <cellStyle name="표준 8 2 2 2 3 2 3 3 2 2" xfId="38651"/>
    <cellStyle name="표준 8 2 2 2 3 2 3 3 3" xfId="23668"/>
    <cellStyle name="표준 8 2 2 2 3 2 3 3 3 2" xfId="46133"/>
    <cellStyle name="표준 8 2 2 2 3 2 3 3 4" xfId="31169"/>
    <cellStyle name="표준 8 2 2 2 3 2 3 4" xfId="16181"/>
    <cellStyle name="표준 8 2 2 2 3 2 3 4 2" xfId="38648"/>
    <cellStyle name="표준 8 2 2 2 3 2 3 5" xfId="23665"/>
    <cellStyle name="표준 8 2 2 2 3 2 3 5 2" xfId="46130"/>
    <cellStyle name="표준 8 2 2 2 3 2 3 6" xfId="31166"/>
    <cellStyle name="표준 8 2 2 2 3 2 4" xfId="8702"/>
    <cellStyle name="표준 8 2 2 2 3 2 4 2" xfId="8703"/>
    <cellStyle name="표준 8 2 2 2 3 2 4 2 2" xfId="16186"/>
    <cellStyle name="표준 8 2 2 2 3 2 4 2 2 2" xfId="38653"/>
    <cellStyle name="표준 8 2 2 2 3 2 4 2 3" xfId="23670"/>
    <cellStyle name="표준 8 2 2 2 3 2 4 2 3 2" xfId="46135"/>
    <cellStyle name="표준 8 2 2 2 3 2 4 2 4" xfId="31171"/>
    <cellStyle name="표준 8 2 2 2 3 2 4 3" xfId="16185"/>
    <cellStyle name="표준 8 2 2 2 3 2 4 3 2" xfId="38652"/>
    <cellStyle name="표준 8 2 2 2 3 2 4 4" xfId="23669"/>
    <cellStyle name="표준 8 2 2 2 3 2 4 4 2" xfId="46134"/>
    <cellStyle name="표준 8 2 2 2 3 2 4 5" xfId="31170"/>
    <cellStyle name="표준 8 2 2 2 3 2 5" xfId="8704"/>
    <cellStyle name="표준 8 2 2 2 3 2 5 2" xfId="16187"/>
    <cellStyle name="표준 8 2 2 2 3 2 5 2 2" xfId="38654"/>
    <cellStyle name="표준 8 2 2 2 3 2 5 3" xfId="23671"/>
    <cellStyle name="표준 8 2 2 2 3 2 5 3 2" xfId="46136"/>
    <cellStyle name="표준 8 2 2 2 3 2 5 4" xfId="31172"/>
    <cellStyle name="표준 8 2 2 2 3 2 6" xfId="16172"/>
    <cellStyle name="표준 8 2 2 2 3 2 6 2" xfId="38639"/>
    <cellStyle name="표준 8 2 2 2 3 2 7" xfId="23656"/>
    <cellStyle name="표준 8 2 2 2 3 2 7 2" xfId="46121"/>
    <cellStyle name="표준 8 2 2 2 3 2 8" xfId="31157"/>
    <cellStyle name="표준 8 2 2 2 3 3" xfId="8705"/>
    <cellStyle name="표준 8 2 2 2 3 3 2" xfId="8706"/>
    <cellStyle name="표준 8 2 2 2 3 3 2 2" xfId="8707"/>
    <cellStyle name="표준 8 2 2 2 3 3 2 2 2" xfId="8708"/>
    <cellStyle name="표준 8 2 2 2 3 3 2 2 2 2" xfId="8709"/>
    <cellStyle name="표준 8 2 2 2 3 3 2 2 2 2 2" xfId="16192"/>
    <cellStyle name="표준 8 2 2 2 3 3 2 2 2 2 2 2" xfId="38659"/>
    <cellStyle name="표준 8 2 2 2 3 3 2 2 2 2 3" xfId="23676"/>
    <cellStyle name="표준 8 2 2 2 3 3 2 2 2 2 3 2" xfId="46141"/>
    <cellStyle name="표준 8 2 2 2 3 3 2 2 2 2 4" xfId="31177"/>
    <cellStyle name="표준 8 2 2 2 3 3 2 2 2 3" xfId="16191"/>
    <cellStyle name="표준 8 2 2 2 3 3 2 2 2 3 2" xfId="38658"/>
    <cellStyle name="표준 8 2 2 2 3 3 2 2 2 4" xfId="23675"/>
    <cellStyle name="표준 8 2 2 2 3 3 2 2 2 4 2" xfId="46140"/>
    <cellStyle name="표준 8 2 2 2 3 3 2 2 2 5" xfId="31176"/>
    <cellStyle name="표준 8 2 2 2 3 3 2 2 3" xfId="8710"/>
    <cellStyle name="표준 8 2 2 2 3 3 2 2 3 2" xfId="16193"/>
    <cellStyle name="표준 8 2 2 2 3 3 2 2 3 2 2" xfId="38660"/>
    <cellStyle name="표준 8 2 2 2 3 3 2 2 3 3" xfId="23677"/>
    <cellStyle name="표준 8 2 2 2 3 3 2 2 3 3 2" xfId="46142"/>
    <cellStyle name="표준 8 2 2 2 3 3 2 2 3 4" xfId="31178"/>
    <cellStyle name="표준 8 2 2 2 3 3 2 2 4" xfId="16190"/>
    <cellStyle name="표준 8 2 2 2 3 3 2 2 4 2" xfId="38657"/>
    <cellStyle name="표준 8 2 2 2 3 3 2 2 5" xfId="23674"/>
    <cellStyle name="표준 8 2 2 2 3 3 2 2 5 2" xfId="46139"/>
    <cellStyle name="표준 8 2 2 2 3 3 2 2 6" xfId="31175"/>
    <cellStyle name="표준 8 2 2 2 3 3 2 3" xfId="8711"/>
    <cellStyle name="표준 8 2 2 2 3 3 2 3 2" xfId="8712"/>
    <cellStyle name="표준 8 2 2 2 3 3 2 3 2 2" xfId="16195"/>
    <cellStyle name="표준 8 2 2 2 3 3 2 3 2 2 2" xfId="38662"/>
    <cellStyle name="표준 8 2 2 2 3 3 2 3 2 3" xfId="23679"/>
    <cellStyle name="표준 8 2 2 2 3 3 2 3 2 3 2" xfId="46144"/>
    <cellStyle name="표준 8 2 2 2 3 3 2 3 2 4" xfId="31180"/>
    <cellStyle name="표준 8 2 2 2 3 3 2 3 3" xfId="16194"/>
    <cellStyle name="표준 8 2 2 2 3 3 2 3 3 2" xfId="38661"/>
    <cellStyle name="표준 8 2 2 2 3 3 2 3 4" xfId="23678"/>
    <cellStyle name="표준 8 2 2 2 3 3 2 3 4 2" xfId="46143"/>
    <cellStyle name="표준 8 2 2 2 3 3 2 3 5" xfId="31179"/>
    <cellStyle name="표준 8 2 2 2 3 3 2 4" xfId="8713"/>
    <cellStyle name="표준 8 2 2 2 3 3 2 4 2" xfId="16196"/>
    <cellStyle name="표준 8 2 2 2 3 3 2 4 2 2" xfId="38663"/>
    <cellStyle name="표준 8 2 2 2 3 3 2 4 3" xfId="23680"/>
    <cellStyle name="표준 8 2 2 2 3 3 2 4 3 2" xfId="46145"/>
    <cellStyle name="표준 8 2 2 2 3 3 2 4 4" xfId="31181"/>
    <cellStyle name="표준 8 2 2 2 3 3 2 5" xfId="16189"/>
    <cellStyle name="표준 8 2 2 2 3 3 2 5 2" xfId="38656"/>
    <cellStyle name="표준 8 2 2 2 3 3 2 6" xfId="23673"/>
    <cellStyle name="표준 8 2 2 2 3 3 2 6 2" xfId="46138"/>
    <cellStyle name="표준 8 2 2 2 3 3 2 7" xfId="31174"/>
    <cellStyle name="표준 8 2 2 2 3 3 3" xfId="8714"/>
    <cellStyle name="표준 8 2 2 2 3 3 3 2" xfId="8715"/>
    <cellStyle name="표준 8 2 2 2 3 3 3 2 2" xfId="8716"/>
    <cellStyle name="표준 8 2 2 2 3 3 3 2 2 2" xfId="16199"/>
    <cellStyle name="표준 8 2 2 2 3 3 3 2 2 2 2" xfId="38666"/>
    <cellStyle name="표준 8 2 2 2 3 3 3 2 2 3" xfId="23683"/>
    <cellStyle name="표준 8 2 2 2 3 3 3 2 2 3 2" xfId="46148"/>
    <cellStyle name="표준 8 2 2 2 3 3 3 2 2 4" xfId="31184"/>
    <cellStyle name="표준 8 2 2 2 3 3 3 2 3" xfId="16198"/>
    <cellStyle name="표준 8 2 2 2 3 3 3 2 3 2" xfId="38665"/>
    <cellStyle name="표준 8 2 2 2 3 3 3 2 4" xfId="23682"/>
    <cellStyle name="표준 8 2 2 2 3 3 3 2 4 2" xfId="46147"/>
    <cellStyle name="표준 8 2 2 2 3 3 3 2 5" xfId="31183"/>
    <cellStyle name="표준 8 2 2 2 3 3 3 3" xfId="8717"/>
    <cellStyle name="표준 8 2 2 2 3 3 3 3 2" xfId="16200"/>
    <cellStyle name="표준 8 2 2 2 3 3 3 3 2 2" xfId="38667"/>
    <cellStyle name="표준 8 2 2 2 3 3 3 3 3" xfId="23684"/>
    <cellStyle name="표준 8 2 2 2 3 3 3 3 3 2" xfId="46149"/>
    <cellStyle name="표준 8 2 2 2 3 3 3 3 4" xfId="31185"/>
    <cellStyle name="표준 8 2 2 2 3 3 3 4" xfId="16197"/>
    <cellStyle name="표준 8 2 2 2 3 3 3 4 2" xfId="38664"/>
    <cellStyle name="표준 8 2 2 2 3 3 3 5" xfId="23681"/>
    <cellStyle name="표준 8 2 2 2 3 3 3 5 2" xfId="46146"/>
    <cellStyle name="표준 8 2 2 2 3 3 3 6" xfId="31182"/>
    <cellStyle name="표준 8 2 2 2 3 3 4" xfId="8718"/>
    <cellStyle name="표준 8 2 2 2 3 3 4 2" xfId="8719"/>
    <cellStyle name="표준 8 2 2 2 3 3 4 2 2" xfId="16202"/>
    <cellStyle name="표준 8 2 2 2 3 3 4 2 2 2" xfId="38669"/>
    <cellStyle name="표준 8 2 2 2 3 3 4 2 3" xfId="23686"/>
    <cellStyle name="표준 8 2 2 2 3 3 4 2 3 2" xfId="46151"/>
    <cellStyle name="표준 8 2 2 2 3 3 4 2 4" xfId="31187"/>
    <cellStyle name="표준 8 2 2 2 3 3 4 3" xfId="16201"/>
    <cellStyle name="표준 8 2 2 2 3 3 4 3 2" xfId="38668"/>
    <cellStyle name="표준 8 2 2 2 3 3 4 4" xfId="23685"/>
    <cellStyle name="표준 8 2 2 2 3 3 4 4 2" xfId="46150"/>
    <cellStyle name="표준 8 2 2 2 3 3 4 5" xfId="31186"/>
    <cellStyle name="표준 8 2 2 2 3 3 5" xfId="8720"/>
    <cellStyle name="표준 8 2 2 2 3 3 5 2" xfId="16203"/>
    <cellStyle name="표준 8 2 2 2 3 3 5 2 2" xfId="38670"/>
    <cellStyle name="표준 8 2 2 2 3 3 5 3" xfId="23687"/>
    <cellStyle name="표준 8 2 2 2 3 3 5 3 2" xfId="46152"/>
    <cellStyle name="표준 8 2 2 2 3 3 5 4" xfId="31188"/>
    <cellStyle name="표준 8 2 2 2 3 3 6" xfId="16188"/>
    <cellStyle name="표준 8 2 2 2 3 3 6 2" xfId="38655"/>
    <cellStyle name="표준 8 2 2 2 3 3 7" xfId="23672"/>
    <cellStyle name="표준 8 2 2 2 3 3 7 2" xfId="46137"/>
    <cellStyle name="표준 8 2 2 2 3 3 8" xfId="31173"/>
    <cellStyle name="표준 8 2 2 2 3 4" xfId="8721"/>
    <cellStyle name="표준 8 2 2 2 3 4 2" xfId="8722"/>
    <cellStyle name="표준 8 2 2 2 3 4 2 2" xfId="8723"/>
    <cellStyle name="표준 8 2 2 2 3 4 2 2 2" xfId="8724"/>
    <cellStyle name="표준 8 2 2 2 3 4 2 2 2 2" xfId="16207"/>
    <cellStyle name="표준 8 2 2 2 3 4 2 2 2 2 2" xfId="38674"/>
    <cellStyle name="표준 8 2 2 2 3 4 2 2 2 3" xfId="23691"/>
    <cellStyle name="표준 8 2 2 2 3 4 2 2 2 3 2" xfId="46156"/>
    <cellStyle name="표준 8 2 2 2 3 4 2 2 2 4" xfId="31192"/>
    <cellStyle name="표준 8 2 2 2 3 4 2 2 3" xfId="16206"/>
    <cellStyle name="표준 8 2 2 2 3 4 2 2 3 2" xfId="38673"/>
    <cellStyle name="표준 8 2 2 2 3 4 2 2 4" xfId="23690"/>
    <cellStyle name="표준 8 2 2 2 3 4 2 2 4 2" xfId="46155"/>
    <cellStyle name="표준 8 2 2 2 3 4 2 2 5" xfId="31191"/>
    <cellStyle name="표준 8 2 2 2 3 4 2 3" xfId="8725"/>
    <cellStyle name="표준 8 2 2 2 3 4 2 3 2" xfId="16208"/>
    <cellStyle name="표준 8 2 2 2 3 4 2 3 2 2" xfId="38675"/>
    <cellStyle name="표준 8 2 2 2 3 4 2 3 3" xfId="23692"/>
    <cellStyle name="표준 8 2 2 2 3 4 2 3 3 2" xfId="46157"/>
    <cellStyle name="표준 8 2 2 2 3 4 2 3 4" xfId="31193"/>
    <cellStyle name="표준 8 2 2 2 3 4 2 4" xfId="16205"/>
    <cellStyle name="표준 8 2 2 2 3 4 2 4 2" xfId="38672"/>
    <cellStyle name="표준 8 2 2 2 3 4 2 5" xfId="23689"/>
    <cellStyle name="표준 8 2 2 2 3 4 2 5 2" xfId="46154"/>
    <cellStyle name="표준 8 2 2 2 3 4 2 6" xfId="31190"/>
    <cellStyle name="표준 8 2 2 2 3 4 3" xfId="8726"/>
    <cellStyle name="표준 8 2 2 2 3 4 3 2" xfId="8727"/>
    <cellStyle name="표준 8 2 2 2 3 4 3 2 2" xfId="16210"/>
    <cellStyle name="표준 8 2 2 2 3 4 3 2 2 2" xfId="38677"/>
    <cellStyle name="표준 8 2 2 2 3 4 3 2 3" xfId="23694"/>
    <cellStyle name="표준 8 2 2 2 3 4 3 2 3 2" xfId="46159"/>
    <cellStyle name="표준 8 2 2 2 3 4 3 2 4" xfId="31195"/>
    <cellStyle name="표준 8 2 2 2 3 4 3 3" xfId="16209"/>
    <cellStyle name="표준 8 2 2 2 3 4 3 3 2" xfId="38676"/>
    <cellStyle name="표준 8 2 2 2 3 4 3 4" xfId="23693"/>
    <cellStyle name="표준 8 2 2 2 3 4 3 4 2" xfId="46158"/>
    <cellStyle name="표준 8 2 2 2 3 4 3 5" xfId="31194"/>
    <cellStyle name="표준 8 2 2 2 3 4 4" xfId="8728"/>
    <cellStyle name="표준 8 2 2 2 3 4 4 2" xfId="16211"/>
    <cellStyle name="표준 8 2 2 2 3 4 4 2 2" xfId="38678"/>
    <cellStyle name="표준 8 2 2 2 3 4 4 3" xfId="23695"/>
    <cellStyle name="표준 8 2 2 2 3 4 4 3 2" xfId="46160"/>
    <cellStyle name="표준 8 2 2 2 3 4 4 4" xfId="31196"/>
    <cellStyle name="표준 8 2 2 2 3 4 5" xfId="16204"/>
    <cellStyle name="표준 8 2 2 2 3 4 5 2" xfId="38671"/>
    <cellStyle name="표준 8 2 2 2 3 4 6" xfId="23688"/>
    <cellStyle name="표준 8 2 2 2 3 4 6 2" xfId="46153"/>
    <cellStyle name="표준 8 2 2 2 3 4 7" xfId="31189"/>
    <cellStyle name="표준 8 2 2 2 3 5" xfId="8729"/>
    <cellStyle name="표준 8 2 2 2 3 5 2" xfId="8730"/>
    <cellStyle name="표준 8 2 2 2 3 5 2 2" xfId="8731"/>
    <cellStyle name="표준 8 2 2 2 3 5 2 2 2" xfId="16214"/>
    <cellStyle name="표준 8 2 2 2 3 5 2 2 2 2" xfId="38681"/>
    <cellStyle name="표준 8 2 2 2 3 5 2 2 3" xfId="23698"/>
    <cellStyle name="표준 8 2 2 2 3 5 2 2 3 2" xfId="46163"/>
    <cellStyle name="표준 8 2 2 2 3 5 2 2 4" xfId="31199"/>
    <cellStyle name="표준 8 2 2 2 3 5 2 3" xfId="16213"/>
    <cellStyle name="표준 8 2 2 2 3 5 2 3 2" xfId="38680"/>
    <cellStyle name="표준 8 2 2 2 3 5 2 4" xfId="23697"/>
    <cellStyle name="표준 8 2 2 2 3 5 2 4 2" xfId="46162"/>
    <cellStyle name="표준 8 2 2 2 3 5 2 5" xfId="31198"/>
    <cellStyle name="표준 8 2 2 2 3 5 3" xfId="8732"/>
    <cellStyle name="표준 8 2 2 2 3 5 3 2" xfId="16215"/>
    <cellStyle name="표준 8 2 2 2 3 5 3 2 2" xfId="38682"/>
    <cellStyle name="표준 8 2 2 2 3 5 3 3" xfId="23699"/>
    <cellStyle name="표준 8 2 2 2 3 5 3 3 2" xfId="46164"/>
    <cellStyle name="표준 8 2 2 2 3 5 3 4" xfId="31200"/>
    <cellStyle name="표준 8 2 2 2 3 5 4" xfId="16212"/>
    <cellStyle name="표준 8 2 2 2 3 5 4 2" xfId="38679"/>
    <cellStyle name="표준 8 2 2 2 3 5 5" xfId="23696"/>
    <cellStyle name="표준 8 2 2 2 3 5 5 2" xfId="46161"/>
    <cellStyle name="표준 8 2 2 2 3 5 6" xfId="31197"/>
    <cellStyle name="표준 8 2 2 2 3 6" xfId="8733"/>
    <cellStyle name="표준 8 2 2 2 3 6 2" xfId="8734"/>
    <cellStyle name="표준 8 2 2 2 3 6 2 2" xfId="16217"/>
    <cellStyle name="표준 8 2 2 2 3 6 2 2 2" xfId="38684"/>
    <cellStyle name="표준 8 2 2 2 3 6 2 3" xfId="23701"/>
    <cellStyle name="표준 8 2 2 2 3 6 2 3 2" xfId="46166"/>
    <cellStyle name="표준 8 2 2 2 3 6 2 4" xfId="31202"/>
    <cellStyle name="표준 8 2 2 2 3 6 3" xfId="16216"/>
    <cellStyle name="표준 8 2 2 2 3 6 3 2" xfId="38683"/>
    <cellStyle name="표준 8 2 2 2 3 6 4" xfId="23700"/>
    <cellStyle name="표준 8 2 2 2 3 6 4 2" xfId="46165"/>
    <cellStyle name="표준 8 2 2 2 3 6 5" xfId="31201"/>
    <cellStyle name="표준 8 2 2 2 3 7" xfId="8735"/>
    <cellStyle name="표준 8 2 2 2 3 7 2" xfId="16218"/>
    <cellStyle name="표준 8 2 2 2 3 7 2 2" xfId="38685"/>
    <cellStyle name="표준 8 2 2 2 3 7 3" xfId="23702"/>
    <cellStyle name="표준 8 2 2 2 3 7 3 2" xfId="46167"/>
    <cellStyle name="표준 8 2 2 2 3 7 4" xfId="31203"/>
    <cellStyle name="표준 8 2 2 2 3 8" xfId="16171"/>
    <cellStyle name="표준 8 2 2 2 3 8 2" xfId="38638"/>
    <cellStyle name="표준 8 2 2 2 3 9" xfId="23655"/>
    <cellStyle name="표준 8 2 2 2 3 9 2" xfId="46120"/>
    <cellStyle name="표준 8 2 2 2 4" xfId="8736"/>
    <cellStyle name="표준 8 2 2 2 4 2" xfId="8737"/>
    <cellStyle name="표준 8 2 2 2 4 2 2" xfId="8738"/>
    <cellStyle name="표준 8 2 2 2 4 2 2 2" xfId="8739"/>
    <cellStyle name="표준 8 2 2 2 4 2 2 2 2" xfId="8740"/>
    <cellStyle name="표준 8 2 2 2 4 2 2 2 2 2" xfId="16223"/>
    <cellStyle name="표준 8 2 2 2 4 2 2 2 2 2 2" xfId="38690"/>
    <cellStyle name="표준 8 2 2 2 4 2 2 2 2 3" xfId="23707"/>
    <cellStyle name="표준 8 2 2 2 4 2 2 2 2 3 2" xfId="46172"/>
    <cellStyle name="표준 8 2 2 2 4 2 2 2 2 4" xfId="31208"/>
    <cellStyle name="표준 8 2 2 2 4 2 2 2 3" xfId="16222"/>
    <cellStyle name="표준 8 2 2 2 4 2 2 2 3 2" xfId="38689"/>
    <cellStyle name="표준 8 2 2 2 4 2 2 2 4" xfId="23706"/>
    <cellStyle name="표준 8 2 2 2 4 2 2 2 4 2" xfId="46171"/>
    <cellStyle name="표준 8 2 2 2 4 2 2 2 5" xfId="31207"/>
    <cellStyle name="표준 8 2 2 2 4 2 2 3" xfId="8741"/>
    <cellStyle name="표준 8 2 2 2 4 2 2 3 2" xfId="16224"/>
    <cellStyle name="표준 8 2 2 2 4 2 2 3 2 2" xfId="38691"/>
    <cellStyle name="표준 8 2 2 2 4 2 2 3 3" xfId="23708"/>
    <cellStyle name="표준 8 2 2 2 4 2 2 3 3 2" xfId="46173"/>
    <cellStyle name="표준 8 2 2 2 4 2 2 3 4" xfId="31209"/>
    <cellStyle name="표준 8 2 2 2 4 2 2 4" xfId="16221"/>
    <cellStyle name="표준 8 2 2 2 4 2 2 4 2" xfId="38688"/>
    <cellStyle name="표준 8 2 2 2 4 2 2 5" xfId="23705"/>
    <cellStyle name="표준 8 2 2 2 4 2 2 5 2" xfId="46170"/>
    <cellStyle name="표준 8 2 2 2 4 2 2 6" xfId="31206"/>
    <cellStyle name="표준 8 2 2 2 4 2 3" xfId="8742"/>
    <cellStyle name="표준 8 2 2 2 4 2 3 2" xfId="8743"/>
    <cellStyle name="표준 8 2 2 2 4 2 3 2 2" xfId="16226"/>
    <cellStyle name="표준 8 2 2 2 4 2 3 2 2 2" xfId="38693"/>
    <cellStyle name="표준 8 2 2 2 4 2 3 2 3" xfId="23710"/>
    <cellStyle name="표준 8 2 2 2 4 2 3 2 3 2" xfId="46175"/>
    <cellStyle name="표준 8 2 2 2 4 2 3 2 4" xfId="31211"/>
    <cellStyle name="표준 8 2 2 2 4 2 3 3" xfId="16225"/>
    <cellStyle name="표준 8 2 2 2 4 2 3 3 2" xfId="38692"/>
    <cellStyle name="표준 8 2 2 2 4 2 3 4" xfId="23709"/>
    <cellStyle name="표준 8 2 2 2 4 2 3 4 2" xfId="46174"/>
    <cellStyle name="표준 8 2 2 2 4 2 3 5" xfId="31210"/>
    <cellStyle name="표준 8 2 2 2 4 2 4" xfId="8744"/>
    <cellStyle name="표준 8 2 2 2 4 2 4 2" xfId="16227"/>
    <cellStyle name="표준 8 2 2 2 4 2 4 2 2" xfId="38694"/>
    <cellStyle name="표준 8 2 2 2 4 2 4 3" xfId="23711"/>
    <cellStyle name="표준 8 2 2 2 4 2 4 3 2" xfId="46176"/>
    <cellStyle name="표준 8 2 2 2 4 2 4 4" xfId="31212"/>
    <cellStyle name="표준 8 2 2 2 4 2 5" xfId="16220"/>
    <cellStyle name="표준 8 2 2 2 4 2 5 2" xfId="38687"/>
    <cellStyle name="표준 8 2 2 2 4 2 6" xfId="23704"/>
    <cellStyle name="표준 8 2 2 2 4 2 6 2" xfId="46169"/>
    <cellStyle name="표준 8 2 2 2 4 2 7" xfId="31205"/>
    <cellStyle name="표준 8 2 2 2 4 3" xfId="8745"/>
    <cellStyle name="표준 8 2 2 2 4 3 2" xfId="8746"/>
    <cellStyle name="표준 8 2 2 2 4 3 2 2" xfId="8747"/>
    <cellStyle name="표준 8 2 2 2 4 3 2 2 2" xfId="16230"/>
    <cellStyle name="표준 8 2 2 2 4 3 2 2 2 2" xfId="38697"/>
    <cellStyle name="표준 8 2 2 2 4 3 2 2 3" xfId="23714"/>
    <cellStyle name="표준 8 2 2 2 4 3 2 2 3 2" xfId="46179"/>
    <cellStyle name="표준 8 2 2 2 4 3 2 2 4" xfId="31215"/>
    <cellStyle name="표준 8 2 2 2 4 3 2 3" xfId="16229"/>
    <cellStyle name="표준 8 2 2 2 4 3 2 3 2" xfId="38696"/>
    <cellStyle name="표준 8 2 2 2 4 3 2 4" xfId="23713"/>
    <cellStyle name="표준 8 2 2 2 4 3 2 4 2" xfId="46178"/>
    <cellStyle name="표준 8 2 2 2 4 3 2 5" xfId="31214"/>
    <cellStyle name="표준 8 2 2 2 4 3 3" xfId="8748"/>
    <cellStyle name="표준 8 2 2 2 4 3 3 2" xfId="16231"/>
    <cellStyle name="표준 8 2 2 2 4 3 3 2 2" xfId="38698"/>
    <cellStyle name="표준 8 2 2 2 4 3 3 3" xfId="23715"/>
    <cellStyle name="표준 8 2 2 2 4 3 3 3 2" xfId="46180"/>
    <cellStyle name="표준 8 2 2 2 4 3 3 4" xfId="31216"/>
    <cellStyle name="표준 8 2 2 2 4 3 4" xfId="16228"/>
    <cellStyle name="표준 8 2 2 2 4 3 4 2" xfId="38695"/>
    <cellStyle name="표준 8 2 2 2 4 3 5" xfId="23712"/>
    <cellStyle name="표준 8 2 2 2 4 3 5 2" xfId="46177"/>
    <cellStyle name="표준 8 2 2 2 4 3 6" xfId="31213"/>
    <cellStyle name="표준 8 2 2 2 4 4" xfId="8749"/>
    <cellStyle name="표준 8 2 2 2 4 4 2" xfId="8750"/>
    <cellStyle name="표준 8 2 2 2 4 4 2 2" xfId="16233"/>
    <cellStyle name="표준 8 2 2 2 4 4 2 2 2" xfId="38700"/>
    <cellStyle name="표준 8 2 2 2 4 4 2 3" xfId="23717"/>
    <cellStyle name="표준 8 2 2 2 4 4 2 3 2" xfId="46182"/>
    <cellStyle name="표준 8 2 2 2 4 4 2 4" xfId="31218"/>
    <cellStyle name="표준 8 2 2 2 4 4 3" xfId="16232"/>
    <cellStyle name="표준 8 2 2 2 4 4 3 2" xfId="38699"/>
    <cellStyle name="표준 8 2 2 2 4 4 4" xfId="23716"/>
    <cellStyle name="표준 8 2 2 2 4 4 4 2" xfId="46181"/>
    <cellStyle name="표준 8 2 2 2 4 4 5" xfId="31217"/>
    <cellStyle name="표준 8 2 2 2 4 5" xfId="8751"/>
    <cellStyle name="표준 8 2 2 2 4 5 2" xfId="16234"/>
    <cellStyle name="표준 8 2 2 2 4 5 2 2" xfId="38701"/>
    <cellStyle name="표준 8 2 2 2 4 5 3" xfId="23718"/>
    <cellStyle name="표준 8 2 2 2 4 5 3 2" xfId="46183"/>
    <cellStyle name="표준 8 2 2 2 4 5 4" xfId="31219"/>
    <cellStyle name="표준 8 2 2 2 4 6" xfId="16219"/>
    <cellStyle name="표준 8 2 2 2 4 6 2" xfId="38686"/>
    <cellStyle name="표준 8 2 2 2 4 7" xfId="23703"/>
    <cellStyle name="표준 8 2 2 2 4 7 2" xfId="46168"/>
    <cellStyle name="표준 8 2 2 2 4 8" xfId="31204"/>
    <cellStyle name="표준 8 2 2 2 5" xfId="8752"/>
    <cellStyle name="표준 8 2 2 2 5 2" xfId="8753"/>
    <cellStyle name="표준 8 2 2 2 5 2 2" xfId="8754"/>
    <cellStyle name="표준 8 2 2 2 5 2 2 2" xfId="8755"/>
    <cellStyle name="표준 8 2 2 2 5 2 2 2 2" xfId="8756"/>
    <cellStyle name="표준 8 2 2 2 5 2 2 2 2 2" xfId="16239"/>
    <cellStyle name="표준 8 2 2 2 5 2 2 2 2 2 2" xfId="38706"/>
    <cellStyle name="표준 8 2 2 2 5 2 2 2 2 3" xfId="23723"/>
    <cellStyle name="표준 8 2 2 2 5 2 2 2 2 3 2" xfId="46188"/>
    <cellStyle name="표준 8 2 2 2 5 2 2 2 2 4" xfId="31224"/>
    <cellStyle name="표준 8 2 2 2 5 2 2 2 3" xfId="16238"/>
    <cellStyle name="표준 8 2 2 2 5 2 2 2 3 2" xfId="38705"/>
    <cellStyle name="표준 8 2 2 2 5 2 2 2 4" xfId="23722"/>
    <cellStyle name="표준 8 2 2 2 5 2 2 2 4 2" xfId="46187"/>
    <cellStyle name="표준 8 2 2 2 5 2 2 2 5" xfId="31223"/>
    <cellStyle name="표준 8 2 2 2 5 2 2 3" xfId="8757"/>
    <cellStyle name="표준 8 2 2 2 5 2 2 3 2" xfId="16240"/>
    <cellStyle name="표준 8 2 2 2 5 2 2 3 2 2" xfId="38707"/>
    <cellStyle name="표준 8 2 2 2 5 2 2 3 3" xfId="23724"/>
    <cellStyle name="표준 8 2 2 2 5 2 2 3 3 2" xfId="46189"/>
    <cellStyle name="표준 8 2 2 2 5 2 2 3 4" xfId="31225"/>
    <cellStyle name="표준 8 2 2 2 5 2 2 4" xfId="16237"/>
    <cellStyle name="표준 8 2 2 2 5 2 2 4 2" xfId="38704"/>
    <cellStyle name="표준 8 2 2 2 5 2 2 5" xfId="23721"/>
    <cellStyle name="표준 8 2 2 2 5 2 2 5 2" xfId="46186"/>
    <cellStyle name="표준 8 2 2 2 5 2 2 6" xfId="31222"/>
    <cellStyle name="표준 8 2 2 2 5 2 3" xfId="8758"/>
    <cellStyle name="표준 8 2 2 2 5 2 3 2" xfId="8759"/>
    <cellStyle name="표준 8 2 2 2 5 2 3 2 2" xfId="16242"/>
    <cellStyle name="표준 8 2 2 2 5 2 3 2 2 2" xfId="38709"/>
    <cellStyle name="표준 8 2 2 2 5 2 3 2 3" xfId="23726"/>
    <cellStyle name="표준 8 2 2 2 5 2 3 2 3 2" xfId="46191"/>
    <cellStyle name="표준 8 2 2 2 5 2 3 2 4" xfId="31227"/>
    <cellStyle name="표준 8 2 2 2 5 2 3 3" xfId="16241"/>
    <cellStyle name="표준 8 2 2 2 5 2 3 3 2" xfId="38708"/>
    <cellStyle name="표준 8 2 2 2 5 2 3 4" xfId="23725"/>
    <cellStyle name="표준 8 2 2 2 5 2 3 4 2" xfId="46190"/>
    <cellStyle name="표준 8 2 2 2 5 2 3 5" xfId="31226"/>
    <cellStyle name="표준 8 2 2 2 5 2 4" xfId="8760"/>
    <cellStyle name="표준 8 2 2 2 5 2 4 2" xfId="16243"/>
    <cellStyle name="표준 8 2 2 2 5 2 4 2 2" xfId="38710"/>
    <cellStyle name="표준 8 2 2 2 5 2 4 3" xfId="23727"/>
    <cellStyle name="표준 8 2 2 2 5 2 4 3 2" xfId="46192"/>
    <cellStyle name="표준 8 2 2 2 5 2 4 4" xfId="31228"/>
    <cellStyle name="표준 8 2 2 2 5 2 5" xfId="16236"/>
    <cellStyle name="표준 8 2 2 2 5 2 5 2" xfId="38703"/>
    <cellStyle name="표준 8 2 2 2 5 2 6" xfId="23720"/>
    <cellStyle name="표준 8 2 2 2 5 2 6 2" xfId="46185"/>
    <cellStyle name="표준 8 2 2 2 5 2 7" xfId="31221"/>
    <cellStyle name="표준 8 2 2 2 5 3" xfId="8761"/>
    <cellStyle name="표준 8 2 2 2 5 3 2" xfId="8762"/>
    <cellStyle name="표준 8 2 2 2 5 3 2 2" xfId="8763"/>
    <cellStyle name="표준 8 2 2 2 5 3 2 2 2" xfId="16246"/>
    <cellStyle name="표준 8 2 2 2 5 3 2 2 2 2" xfId="38713"/>
    <cellStyle name="표준 8 2 2 2 5 3 2 2 3" xfId="23730"/>
    <cellStyle name="표준 8 2 2 2 5 3 2 2 3 2" xfId="46195"/>
    <cellStyle name="표준 8 2 2 2 5 3 2 2 4" xfId="31231"/>
    <cellStyle name="표준 8 2 2 2 5 3 2 3" xfId="16245"/>
    <cellStyle name="표준 8 2 2 2 5 3 2 3 2" xfId="38712"/>
    <cellStyle name="표준 8 2 2 2 5 3 2 4" xfId="23729"/>
    <cellStyle name="표준 8 2 2 2 5 3 2 4 2" xfId="46194"/>
    <cellStyle name="표준 8 2 2 2 5 3 2 5" xfId="31230"/>
    <cellStyle name="표준 8 2 2 2 5 3 3" xfId="8764"/>
    <cellStyle name="표준 8 2 2 2 5 3 3 2" xfId="16247"/>
    <cellStyle name="표준 8 2 2 2 5 3 3 2 2" xfId="38714"/>
    <cellStyle name="표준 8 2 2 2 5 3 3 3" xfId="23731"/>
    <cellStyle name="표준 8 2 2 2 5 3 3 3 2" xfId="46196"/>
    <cellStyle name="표준 8 2 2 2 5 3 3 4" xfId="31232"/>
    <cellStyle name="표준 8 2 2 2 5 3 4" xfId="16244"/>
    <cellStyle name="표준 8 2 2 2 5 3 4 2" xfId="38711"/>
    <cellStyle name="표준 8 2 2 2 5 3 5" xfId="23728"/>
    <cellStyle name="표준 8 2 2 2 5 3 5 2" xfId="46193"/>
    <cellStyle name="표준 8 2 2 2 5 3 6" xfId="31229"/>
    <cellStyle name="표준 8 2 2 2 5 4" xfId="8765"/>
    <cellStyle name="표준 8 2 2 2 5 4 2" xfId="8766"/>
    <cellStyle name="표준 8 2 2 2 5 4 2 2" xfId="16249"/>
    <cellStyle name="표준 8 2 2 2 5 4 2 2 2" xfId="38716"/>
    <cellStyle name="표준 8 2 2 2 5 4 2 3" xfId="23733"/>
    <cellStyle name="표준 8 2 2 2 5 4 2 3 2" xfId="46198"/>
    <cellStyle name="표준 8 2 2 2 5 4 2 4" xfId="31234"/>
    <cellStyle name="표준 8 2 2 2 5 4 3" xfId="16248"/>
    <cellStyle name="표준 8 2 2 2 5 4 3 2" xfId="38715"/>
    <cellStyle name="표준 8 2 2 2 5 4 4" xfId="23732"/>
    <cellStyle name="표준 8 2 2 2 5 4 4 2" xfId="46197"/>
    <cellStyle name="표준 8 2 2 2 5 4 5" xfId="31233"/>
    <cellStyle name="표준 8 2 2 2 5 5" xfId="8767"/>
    <cellStyle name="표준 8 2 2 2 5 5 2" xfId="16250"/>
    <cellStyle name="표준 8 2 2 2 5 5 2 2" xfId="38717"/>
    <cellStyle name="표준 8 2 2 2 5 5 3" xfId="23734"/>
    <cellStyle name="표준 8 2 2 2 5 5 3 2" xfId="46199"/>
    <cellStyle name="표준 8 2 2 2 5 5 4" xfId="31235"/>
    <cellStyle name="표준 8 2 2 2 5 6" xfId="16235"/>
    <cellStyle name="표준 8 2 2 2 5 6 2" xfId="38702"/>
    <cellStyle name="표준 8 2 2 2 5 7" xfId="23719"/>
    <cellStyle name="표준 8 2 2 2 5 7 2" xfId="46184"/>
    <cellStyle name="표준 8 2 2 2 5 8" xfId="31220"/>
    <cellStyle name="표준 8 2 2 2 6" xfId="8768"/>
    <cellStyle name="표준 8 2 2 2 6 2" xfId="8769"/>
    <cellStyle name="표준 8 2 2 2 6 2 2" xfId="8770"/>
    <cellStyle name="표준 8 2 2 2 6 2 2 2" xfId="8771"/>
    <cellStyle name="표준 8 2 2 2 6 2 2 2 2" xfId="16254"/>
    <cellStyle name="표준 8 2 2 2 6 2 2 2 2 2" xfId="38721"/>
    <cellStyle name="표준 8 2 2 2 6 2 2 2 3" xfId="23738"/>
    <cellStyle name="표준 8 2 2 2 6 2 2 2 3 2" xfId="46203"/>
    <cellStyle name="표준 8 2 2 2 6 2 2 2 4" xfId="31239"/>
    <cellStyle name="표준 8 2 2 2 6 2 2 3" xfId="16253"/>
    <cellStyle name="표준 8 2 2 2 6 2 2 3 2" xfId="38720"/>
    <cellStyle name="표준 8 2 2 2 6 2 2 4" xfId="23737"/>
    <cellStyle name="표준 8 2 2 2 6 2 2 4 2" xfId="46202"/>
    <cellStyle name="표준 8 2 2 2 6 2 2 5" xfId="31238"/>
    <cellStyle name="표준 8 2 2 2 6 2 3" xfId="8772"/>
    <cellStyle name="표준 8 2 2 2 6 2 3 2" xfId="16255"/>
    <cellStyle name="표준 8 2 2 2 6 2 3 2 2" xfId="38722"/>
    <cellStyle name="표준 8 2 2 2 6 2 3 3" xfId="23739"/>
    <cellStyle name="표준 8 2 2 2 6 2 3 3 2" xfId="46204"/>
    <cellStyle name="표준 8 2 2 2 6 2 3 4" xfId="31240"/>
    <cellStyle name="표준 8 2 2 2 6 2 4" xfId="16252"/>
    <cellStyle name="표준 8 2 2 2 6 2 4 2" xfId="38719"/>
    <cellStyle name="표준 8 2 2 2 6 2 5" xfId="23736"/>
    <cellStyle name="표준 8 2 2 2 6 2 5 2" xfId="46201"/>
    <cellStyle name="표준 8 2 2 2 6 2 6" xfId="31237"/>
    <cellStyle name="표준 8 2 2 2 6 3" xfId="8773"/>
    <cellStyle name="표준 8 2 2 2 6 3 2" xfId="8774"/>
    <cellStyle name="표준 8 2 2 2 6 3 2 2" xfId="16257"/>
    <cellStyle name="표준 8 2 2 2 6 3 2 2 2" xfId="38724"/>
    <cellStyle name="표준 8 2 2 2 6 3 2 3" xfId="23741"/>
    <cellStyle name="표준 8 2 2 2 6 3 2 3 2" xfId="46206"/>
    <cellStyle name="표준 8 2 2 2 6 3 2 4" xfId="31242"/>
    <cellStyle name="표준 8 2 2 2 6 3 3" xfId="16256"/>
    <cellStyle name="표준 8 2 2 2 6 3 3 2" xfId="38723"/>
    <cellStyle name="표준 8 2 2 2 6 3 4" xfId="23740"/>
    <cellStyle name="표준 8 2 2 2 6 3 4 2" xfId="46205"/>
    <cellStyle name="표준 8 2 2 2 6 3 5" xfId="31241"/>
    <cellStyle name="표준 8 2 2 2 6 4" xfId="8775"/>
    <cellStyle name="표준 8 2 2 2 6 4 2" xfId="16258"/>
    <cellStyle name="표준 8 2 2 2 6 4 2 2" xfId="38725"/>
    <cellStyle name="표준 8 2 2 2 6 4 3" xfId="23742"/>
    <cellStyle name="표준 8 2 2 2 6 4 3 2" xfId="46207"/>
    <cellStyle name="표준 8 2 2 2 6 4 4" xfId="31243"/>
    <cellStyle name="표준 8 2 2 2 6 5" xfId="16251"/>
    <cellStyle name="표준 8 2 2 2 6 5 2" xfId="38718"/>
    <cellStyle name="표준 8 2 2 2 6 6" xfId="23735"/>
    <cellStyle name="표준 8 2 2 2 6 6 2" xfId="46200"/>
    <cellStyle name="표준 8 2 2 2 6 7" xfId="31236"/>
    <cellStyle name="표준 8 2 2 2 7" xfId="8776"/>
    <cellStyle name="표준 8 2 2 2 7 2" xfId="8777"/>
    <cellStyle name="표준 8 2 2 2 7 2 2" xfId="8778"/>
    <cellStyle name="표준 8 2 2 2 7 2 2 2" xfId="8779"/>
    <cellStyle name="표준 8 2 2 2 7 2 2 2 2" xfId="16262"/>
    <cellStyle name="표준 8 2 2 2 7 2 2 2 2 2" xfId="38729"/>
    <cellStyle name="표준 8 2 2 2 7 2 2 2 3" xfId="23746"/>
    <cellStyle name="표준 8 2 2 2 7 2 2 2 3 2" xfId="46211"/>
    <cellStyle name="표준 8 2 2 2 7 2 2 2 4" xfId="31247"/>
    <cellStyle name="표준 8 2 2 2 7 2 2 3" xfId="16261"/>
    <cellStyle name="표준 8 2 2 2 7 2 2 3 2" xfId="38728"/>
    <cellStyle name="표준 8 2 2 2 7 2 2 4" xfId="23745"/>
    <cellStyle name="표준 8 2 2 2 7 2 2 4 2" xfId="46210"/>
    <cellStyle name="표준 8 2 2 2 7 2 2 5" xfId="31246"/>
    <cellStyle name="표준 8 2 2 2 7 2 3" xfId="8780"/>
    <cellStyle name="표준 8 2 2 2 7 2 3 2" xfId="16263"/>
    <cellStyle name="표준 8 2 2 2 7 2 3 2 2" xfId="38730"/>
    <cellStyle name="표준 8 2 2 2 7 2 3 3" xfId="23747"/>
    <cellStyle name="표준 8 2 2 2 7 2 3 3 2" xfId="46212"/>
    <cellStyle name="표준 8 2 2 2 7 2 3 4" xfId="31248"/>
    <cellStyle name="표준 8 2 2 2 7 2 4" xfId="16260"/>
    <cellStyle name="표준 8 2 2 2 7 2 4 2" xfId="38727"/>
    <cellStyle name="표준 8 2 2 2 7 2 5" xfId="23744"/>
    <cellStyle name="표준 8 2 2 2 7 2 5 2" xfId="46209"/>
    <cellStyle name="표준 8 2 2 2 7 2 6" xfId="31245"/>
    <cellStyle name="표준 8 2 2 2 7 3" xfId="8781"/>
    <cellStyle name="표준 8 2 2 2 7 3 2" xfId="8782"/>
    <cellStyle name="표준 8 2 2 2 7 3 2 2" xfId="16265"/>
    <cellStyle name="표준 8 2 2 2 7 3 2 2 2" xfId="38732"/>
    <cellStyle name="표준 8 2 2 2 7 3 2 3" xfId="23749"/>
    <cellStyle name="표준 8 2 2 2 7 3 2 3 2" xfId="46214"/>
    <cellStyle name="표준 8 2 2 2 7 3 2 4" xfId="31250"/>
    <cellStyle name="표준 8 2 2 2 7 3 3" xfId="16264"/>
    <cellStyle name="표준 8 2 2 2 7 3 3 2" xfId="38731"/>
    <cellStyle name="표준 8 2 2 2 7 3 4" xfId="23748"/>
    <cellStyle name="표준 8 2 2 2 7 3 4 2" xfId="46213"/>
    <cellStyle name="표준 8 2 2 2 7 3 5" xfId="31249"/>
    <cellStyle name="표준 8 2 2 2 7 4" xfId="8783"/>
    <cellStyle name="표준 8 2 2 2 7 4 2" xfId="16266"/>
    <cellStyle name="표준 8 2 2 2 7 4 2 2" xfId="38733"/>
    <cellStyle name="표준 8 2 2 2 7 4 3" xfId="23750"/>
    <cellStyle name="표준 8 2 2 2 7 4 3 2" xfId="46215"/>
    <cellStyle name="표준 8 2 2 2 7 4 4" xfId="31251"/>
    <cellStyle name="표준 8 2 2 2 7 5" xfId="16259"/>
    <cellStyle name="표준 8 2 2 2 7 5 2" xfId="38726"/>
    <cellStyle name="표준 8 2 2 2 7 6" xfId="23743"/>
    <cellStyle name="표준 8 2 2 2 7 6 2" xfId="46208"/>
    <cellStyle name="표준 8 2 2 2 7 7" xfId="31244"/>
    <cellStyle name="표준 8 2 2 2 8" xfId="8784"/>
    <cellStyle name="표준 8 2 2 2 8 2" xfId="8785"/>
    <cellStyle name="표준 8 2 2 2 8 2 2" xfId="8786"/>
    <cellStyle name="표준 8 2 2 2 8 2 2 2" xfId="8787"/>
    <cellStyle name="표준 8 2 2 2 8 2 2 2 2" xfId="16270"/>
    <cellStyle name="표준 8 2 2 2 8 2 2 2 2 2" xfId="38737"/>
    <cellStyle name="표준 8 2 2 2 8 2 2 2 3" xfId="23754"/>
    <cellStyle name="표준 8 2 2 2 8 2 2 2 3 2" xfId="46219"/>
    <cellStyle name="표준 8 2 2 2 8 2 2 2 4" xfId="31255"/>
    <cellStyle name="표준 8 2 2 2 8 2 2 3" xfId="16269"/>
    <cellStyle name="표준 8 2 2 2 8 2 2 3 2" xfId="38736"/>
    <cellStyle name="표준 8 2 2 2 8 2 2 4" xfId="23753"/>
    <cellStyle name="표준 8 2 2 2 8 2 2 4 2" xfId="46218"/>
    <cellStyle name="표준 8 2 2 2 8 2 2 5" xfId="31254"/>
    <cellStyle name="표준 8 2 2 2 8 2 3" xfId="8788"/>
    <cellStyle name="표준 8 2 2 2 8 2 3 2" xfId="16271"/>
    <cellStyle name="표준 8 2 2 2 8 2 3 2 2" xfId="38738"/>
    <cellStyle name="표준 8 2 2 2 8 2 3 3" xfId="23755"/>
    <cellStyle name="표준 8 2 2 2 8 2 3 3 2" xfId="46220"/>
    <cellStyle name="표준 8 2 2 2 8 2 3 4" xfId="31256"/>
    <cellStyle name="표준 8 2 2 2 8 2 4" xfId="16268"/>
    <cellStyle name="표준 8 2 2 2 8 2 4 2" xfId="38735"/>
    <cellStyle name="표준 8 2 2 2 8 2 5" xfId="23752"/>
    <cellStyle name="표준 8 2 2 2 8 2 5 2" xfId="46217"/>
    <cellStyle name="표준 8 2 2 2 8 2 6" xfId="31253"/>
    <cellStyle name="표준 8 2 2 2 8 3" xfId="8789"/>
    <cellStyle name="표준 8 2 2 2 8 3 2" xfId="8790"/>
    <cellStyle name="표준 8 2 2 2 8 3 2 2" xfId="16273"/>
    <cellStyle name="표준 8 2 2 2 8 3 2 2 2" xfId="38740"/>
    <cellStyle name="표준 8 2 2 2 8 3 2 3" xfId="23757"/>
    <cellStyle name="표준 8 2 2 2 8 3 2 3 2" xfId="46222"/>
    <cellStyle name="표준 8 2 2 2 8 3 2 4" xfId="31258"/>
    <cellStyle name="표준 8 2 2 2 8 3 3" xfId="16272"/>
    <cellStyle name="표준 8 2 2 2 8 3 3 2" xfId="38739"/>
    <cellStyle name="표준 8 2 2 2 8 3 4" xfId="23756"/>
    <cellStyle name="표준 8 2 2 2 8 3 4 2" xfId="46221"/>
    <cellStyle name="표준 8 2 2 2 8 3 5" xfId="31257"/>
    <cellStyle name="표준 8 2 2 2 8 4" xfId="8791"/>
    <cellStyle name="표준 8 2 2 2 8 4 2" xfId="16274"/>
    <cellStyle name="표준 8 2 2 2 8 4 2 2" xfId="38741"/>
    <cellStyle name="표준 8 2 2 2 8 4 3" xfId="23758"/>
    <cellStyle name="표준 8 2 2 2 8 4 3 2" xfId="46223"/>
    <cellStyle name="표준 8 2 2 2 8 4 4" xfId="31259"/>
    <cellStyle name="표준 8 2 2 2 8 5" xfId="16267"/>
    <cellStyle name="표준 8 2 2 2 8 5 2" xfId="38734"/>
    <cellStyle name="표준 8 2 2 2 8 6" xfId="23751"/>
    <cellStyle name="표준 8 2 2 2 8 6 2" xfId="46216"/>
    <cellStyle name="표준 8 2 2 2 8 7" xfId="31252"/>
    <cellStyle name="표준 8 2 2 2 9" xfId="8792"/>
    <cellStyle name="표준 8 2 2 2 9 2" xfId="8793"/>
    <cellStyle name="표준 8 2 2 2 9 2 2" xfId="8794"/>
    <cellStyle name="표준 8 2 2 2 9 2 2 2" xfId="16277"/>
    <cellStyle name="표준 8 2 2 2 9 2 2 2 2" xfId="38744"/>
    <cellStyle name="표준 8 2 2 2 9 2 2 3" xfId="23761"/>
    <cellStyle name="표준 8 2 2 2 9 2 2 3 2" xfId="46226"/>
    <cellStyle name="표준 8 2 2 2 9 2 2 4" xfId="31262"/>
    <cellStyle name="표준 8 2 2 2 9 2 3" xfId="16276"/>
    <cellStyle name="표준 8 2 2 2 9 2 3 2" xfId="38743"/>
    <cellStyle name="표준 8 2 2 2 9 2 4" xfId="23760"/>
    <cellStyle name="표준 8 2 2 2 9 2 4 2" xfId="46225"/>
    <cellStyle name="표준 8 2 2 2 9 2 5" xfId="31261"/>
    <cellStyle name="표준 8 2 2 2 9 3" xfId="8795"/>
    <cellStyle name="표준 8 2 2 2 9 3 2" xfId="16278"/>
    <cellStyle name="표준 8 2 2 2 9 3 2 2" xfId="38745"/>
    <cellStyle name="표준 8 2 2 2 9 3 3" xfId="23762"/>
    <cellStyle name="표준 8 2 2 2 9 3 3 2" xfId="46227"/>
    <cellStyle name="표준 8 2 2 2 9 3 4" xfId="31263"/>
    <cellStyle name="표준 8 2 2 2 9 4" xfId="16275"/>
    <cellStyle name="표준 8 2 2 2 9 4 2" xfId="38742"/>
    <cellStyle name="표준 8 2 2 2 9 5" xfId="23759"/>
    <cellStyle name="표준 8 2 2 2 9 5 2" xfId="46224"/>
    <cellStyle name="표준 8 2 2 2 9 6" xfId="31260"/>
    <cellStyle name="표준 8 2 2 20" xfId="31011"/>
    <cellStyle name="표준 8 2 2 3" xfId="8796"/>
    <cellStyle name="표준 8 2 2 3 10" xfId="16279"/>
    <cellStyle name="표준 8 2 2 3 10 2" xfId="38746"/>
    <cellStyle name="표준 8 2 2 3 11" xfId="23763"/>
    <cellStyle name="표준 8 2 2 3 11 2" xfId="46228"/>
    <cellStyle name="표준 8 2 2 3 12" xfId="31264"/>
    <cellStyle name="표준 8 2 2 3 2" xfId="8797"/>
    <cellStyle name="표준 8 2 2 3 2 10" xfId="31265"/>
    <cellStyle name="표준 8 2 2 3 2 2" xfId="8798"/>
    <cellStyle name="표준 8 2 2 3 2 2 2" xfId="8799"/>
    <cellStyle name="표준 8 2 2 3 2 2 2 2" xfId="8800"/>
    <cellStyle name="표준 8 2 2 3 2 2 2 2 2" xfId="8801"/>
    <cellStyle name="표준 8 2 2 3 2 2 2 2 2 2" xfId="8802"/>
    <cellStyle name="표준 8 2 2 3 2 2 2 2 2 2 2" xfId="16285"/>
    <cellStyle name="표준 8 2 2 3 2 2 2 2 2 2 2 2" xfId="38752"/>
    <cellStyle name="표준 8 2 2 3 2 2 2 2 2 2 3" xfId="23769"/>
    <cellStyle name="표준 8 2 2 3 2 2 2 2 2 2 3 2" xfId="46234"/>
    <cellStyle name="표준 8 2 2 3 2 2 2 2 2 2 4" xfId="31270"/>
    <cellStyle name="표준 8 2 2 3 2 2 2 2 2 3" xfId="16284"/>
    <cellStyle name="표준 8 2 2 3 2 2 2 2 2 3 2" xfId="38751"/>
    <cellStyle name="표준 8 2 2 3 2 2 2 2 2 4" xfId="23768"/>
    <cellStyle name="표준 8 2 2 3 2 2 2 2 2 4 2" xfId="46233"/>
    <cellStyle name="표준 8 2 2 3 2 2 2 2 2 5" xfId="31269"/>
    <cellStyle name="표준 8 2 2 3 2 2 2 2 3" xfId="8803"/>
    <cellStyle name="표준 8 2 2 3 2 2 2 2 3 2" xfId="16286"/>
    <cellStyle name="표준 8 2 2 3 2 2 2 2 3 2 2" xfId="38753"/>
    <cellStyle name="표준 8 2 2 3 2 2 2 2 3 3" xfId="23770"/>
    <cellStyle name="표준 8 2 2 3 2 2 2 2 3 3 2" xfId="46235"/>
    <cellStyle name="표준 8 2 2 3 2 2 2 2 3 4" xfId="31271"/>
    <cellStyle name="표준 8 2 2 3 2 2 2 2 4" xfId="16283"/>
    <cellStyle name="표준 8 2 2 3 2 2 2 2 4 2" xfId="38750"/>
    <cellStyle name="표준 8 2 2 3 2 2 2 2 5" xfId="23767"/>
    <cellStyle name="표준 8 2 2 3 2 2 2 2 5 2" xfId="46232"/>
    <cellStyle name="표준 8 2 2 3 2 2 2 2 6" xfId="31268"/>
    <cellStyle name="표준 8 2 2 3 2 2 2 3" xfId="8804"/>
    <cellStyle name="표준 8 2 2 3 2 2 2 3 2" xfId="8805"/>
    <cellStyle name="표준 8 2 2 3 2 2 2 3 2 2" xfId="16288"/>
    <cellStyle name="표준 8 2 2 3 2 2 2 3 2 2 2" xfId="38755"/>
    <cellStyle name="표준 8 2 2 3 2 2 2 3 2 3" xfId="23772"/>
    <cellStyle name="표준 8 2 2 3 2 2 2 3 2 3 2" xfId="46237"/>
    <cellStyle name="표준 8 2 2 3 2 2 2 3 2 4" xfId="31273"/>
    <cellStyle name="표준 8 2 2 3 2 2 2 3 3" xfId="16287"/>
    <cellStyle name="표준 8 2 2 3 2 2 2 3 3 2" xfId="38754"/>
    <cellStyle name="표준 8 2 2 3 2 2 2 3 4" xfId="23771"/>
    <cellStyle name="표준 8 2 2 3 2 2 2 3 4 2" xfId="46236"/>
    <cellStyle name="표준 8 2 2 3 2 2 2 3 5" xfId="31272"/>
    <cellStyle name="표준 8 2 2 3 2 2 2 4" xfId="8806"/>
    <cellStyle name="표준 8 2 2 3 2 2 2 4 2" xfId="16289"/>
    <cellStyle name="표준 8 2 2 3 2 2 2 4 2 2" xfId="38756"/>
    <cellStyle name="표준 8 2 2 3 2 2 2 4 3" xfId="23773"/>
    <cellStyle name="표준 8 2 2 3 2 2 2 4 3 2" xfId="46238"/>
    <cellStyle name="표준 8 2 2 3 2 2 2 4 4" xfId="31274"/>
    <cellStyle name="표준 8 2 2 3 2 2 2 5" xfId="16282"/>
    <cellStyle name="표준 8 2 2 3 2 2 2 5 2" xfId="38749"/>
    <cellStyle name="표준 8 2 2 3 2 2 2 6" xfId="23766"/>
    <cellStyle name="표준 8 2 2 3 2 2 2 6 2" xfId="46231"/>
    <cellStyle name="표준 8 2 2 3 2 2 2 7" xfId="31267"/>
    <cellStyle name="표준 8 2 2 3 2 2 3" xfId="8807"/>
    <cellStyle name="표준 8 2 2 3 2 2 3 2" xfId="8808"/>
    <cellStyle name="표준 8 2 2 3 2 2 3 2 2" xfId="8809"/>
    <cellStyle name="표준 8 2 2 3 2 2 3 2 2 2" xfId="16292"/>
    <cellStyle name="표준 8 2 2 3 2 2 3 2 2 2 2" xfId="38759"/>
    <cellStyle name="표준 8 2 2 3 2 2 3 2 2 3" xfId="23776"/>
    <cellStyle name="표준 8 2 2 3 2 2 3 2 2 3 2" xfId="46241"/>
    <cellStyle name="표준 8 2 2 3 2 2 3 2 2 4" xfId="31277"/>
    <cellStyle name="표준 8 2 2 3 2 2 3 2 3" xfId="16291"/>
    <cellStyle name="표준 8 2 2 3 2 2 3 2 3 2" xfId="38758"/>
    <cellStyle name="표준 8 2 2 3 2 2 3 2 4" xfId="23775"/>
    <cellStyle name="표준 8 2 2 3 2 2 3 2 4 2" xfId="46240"/>
    <cellStyle name="표준 8 2 2 3 2 2 3 2 5" xfId="31276"/>
    <cellStyle name="표준 8 2 2 3 2 2 3 3" xfId="8810"/>
    <cellStyle name="표준 8 2 2 3 2 2 3 3 2" xfId="16293"/>
    <cellStyle name="표준 8 2 2 3 2 2 3 3 2 2" xfId="38760"/>
    <cellStyle name="표준 8 2 2 3 2 2 3 3 3" xfId="23777"/>
    <cellStyle name="표준 8 2 2 3 2 2 3 3 3 2" xfId="46242"/>
    <cellStyle name="표준 8 2 2 3 2 2 3 3 4" xfId="31278"/>
    <cellStyle name="표준 8 2 2 3 2 2 3 4" xfId="16290"/>
    <cellStyle name="표준 8 2 2 3 2 2 3 4 2" xfId="38757"/>
    <cellStyle name="표준 8 2 2 3 2 2 3 5" xfId="23774"/>
    <cellStyle name="표준 8 2 2 3 2 2 3 5 2" xfId="46239"/>
    <cellStyle name="표준 8 2 2 3 2 2 3 6" xfId="31275"/>
    <cellStyle name="표준 8 2 2 3 2 2 4" xfId="8811"/>
    <cellStyle name="표준 8 2 2 3 2 2 4 2" xfId="8812"/>
    <cellStyle name="표준 8 2 2 3 2 2 4 2 2" xfId="16295"/>
    <cellStyle name="표준 8 2 2 3 2 2 4 2 2 2" xfId="38762"/>
    <cellStyle name="표준 8 2 2 3 2 2 4 2 3" xfId="23779"/>
    <cellStyle name="표준 8 2 2 3 2 2 4 2 3 2" xfId="46244"/>
    <cellStyle name="표준 8 2 2 3 2 2 4 2 4" xfId="31280"/>
    <cellStyle name="표준 8 2 2 3 2 2 4 3" xfId="16294"/>
    <cellStyle name="표준 8 2 2 3 2 2 4 3 2" xfId="38761"/>
    <cellStyle name="표준 8 2 2 3 2 2 4 4" xfId="23778"/>
    <cellStyle name="표준 8 2 2 3 2 2 4 4 2" xfId="46243"/>
    <cellStyle name="표준 8 2 2 3 2 2 4 5" xfId="31279"/>
    <cellStyle name="표준 8 2 2 3 2 2 5" xfId="8813"/>
    <cellStyle name="표준 8 2 2 3 2 2 5 2" xfId="16296"/>
    <cellStyle name="표준 8 2 2 3 2 2 5 2 2" xfId="38763"/>
    <cellStyle name="표준 8 2 2 3 2 2 5 3" xfId="23780"/>
    <cellStyle name="표준 8 2 2 3 2 2 5 3 2" xfId="46245"/>
    <cellStyle name="표준 8 2 2 3 2 2 5 4" xfId="31281"/>
    <cellStyle name="표준 8 2 2 3 2 2 6" xfId="16281"/>
    <cellStyle name="표준 8 2 2 3 2 2 6 2" xfId="38748"/>
    <cellStyle name="표준 8 2 2 3 2 2 7" xfId="23765"/>
    <cellStyle name="표준 8 2 2 3 2 2 7 2" xfId="46230"/>
    <cellStyle name="표준 8 2 2 3 2 2 8" xfId="31266"/>
    <cellStyle name="표준 8 2 2 3 2 3" xfId="8814"/>
    <cellStyle name="표준 8 2 2 3 2 3 2" xfId="8815"/>
    <cellStyle name="표준 8 2 2 3 2 3 2 2" xfId="8816"/>
    <cellStyle name="표준 8 2 2 3 2 3 2 2 2" xfId="8817"/>
    <cellStyle name="표준 8 2 2 3 2 3 2 2 2 2" xfId="8818"/>
    <cellStyle name="표준 8 2 2 3 2 3 2 2 2 2 2" xfId="16301"/>
    <cellStyle name="표준 8 2 2 3 2 3 2 2 2 2 2 2" xfId="38768"/>
    <cellStyle name="표준 8 2 2 3 2 3 2 2 2 2 3" xfId="23785"/>
    <cellStyle name="표준 8 2 2 3 2 3 2 2 2 2 3 2" xfId="46250"/>
    <cellStyle name="표준 8 2 2 3 2 3 2 2 2 2 4" xfId="31286"/>
    <cellStyle name="표준 8 2 2 3 2 3 2 2 2 3" xfId="16300"/>
    <cellStyle name="표준 8 2 2 3 2 3 2 2 2 3 2" xfId="38767"/>
    <cellStyle name="표준 8 2 2 3 2 3 2 2 2 4" xfId="23784"/>
    <cellStyle name="표준 8 2 2 3 2 3 2 2 2 4 2" xfId="46249"/>
    <cellStyle name="표준 8 2 2 3 2 3 2 2 2 5" xfId="31285"/>
    <cellStyle name="표준 8 2 2 3 2 3 2 2 3" xfId="8819"/>
    <cellStyle name="표준 8 2 2 3 2 3 2 2 3 2" xfId="16302"/>
    <cellStyle name="표준 8 2 2 3 2 3 2 2 3 2 2" xfId="38769"/>
    <cellStyle name="표준 8 2 2 3 2 3 2 2 3 3" xfId="23786"/>
    <cellStyle name="표준 8 2 2 3 2 3 2 2 3 3 2" xfId="46251"/>
    <cellStyle name="표준 8 2 2 3 2 3 2 2 3 4" xfId="31287"/>
    <cellStyle name="표준 8 2 2 3 2 3 2 2 4" xfId="16299"/>
    <cellStyle name="표준 8 2 2 3 2 3 2 2 4 2" xfId="38766"/>
    <cellStyle name="표준 8 2 2 3 2 3 2 2 5" xfId="23783"/>
    <cellStyle name="표준 8 2 2 3 2 3 2 2 5 2" xfId="46248"/>
    <cellStyle name="표준 8 2 2 3 2 3 2 2 6" xfId="31284"/>
    <cellStyle name="표준 8 2 2 3 2 3 2 3" xfId="8820"/>
    <cellStyle name="표준 8 2 2 3 2 3 2 3 2" xfId="8821"/>
    <cellStyle name="표준 8 2 2 3 2 3 2 3 2 2" xfId="16304"/>
    <cellStyle name="표준 8 2 2 3 2 3 2 3 2 2 2" xfId="38771"/>
    <cellStyle name="표준 8 2 2 3 2 3 2 3 2 3" xfId="23788"/>
    <cellStyle name="표준 8 2 2 3 2 3 2 3 2 3 2" xfId="46253"/>
    <cellStyle name="표준 8 2 2 3 2 3 2 3 2 4" xfId="31289"/>
    <cellStyle name="표준 8 2 2 3 2 3 2 3 3" xfId="16303"/>
    <cellStyle name="표준 8 2 2 3 2 3 2 3 3 2" xfId="38770"/>
    <cellStyle name="표준 8 2 2 3 2 3 2 3 4" xfId="23787"/>
    <cellStyle name="표준 8 2 2 3 2 3 2 3 4 2" xfId="46252"/>
    <cellStyle name="표준 8 2 2 3 2 3 2 3 5" xfId="31288"/>
    <cellStyle name="표준 8 2 2 3 2 3 2 4" xfId="8822"/>
    <cellStyle name="표준 8 2 2 3 2 3 2 4 2" xfId="16305"/>
    <cellStyle name="표준 8 2 2 3 2 3 2 4 2 2" xfId="38772"/>
    <cellStyle name="표준 8 2 2 3 2 3 2 4 3" xfId="23789"/>
    <cellStyle name="표준 8 2 2 3 2 3 2 4 3 2" xfId="46254"/>
    <cellStyle name="표준 8 2 2 3 2 3 2 4 4" xfId="31290"/>
    <cellStyle name="표준 8 2 2 3 2 3 2 5" xfId="16298"/>
    <cellStyle name="표준 8 2 2 3 2 3 2 5 2" xfId="38765"/>
    <cellStyle name="표준 8 2 2 3 2 3 2 6" xfId="23782"/>
    <cellStyle name="표준 8 2 2 3 2 3 2 6 2" xfId="46247"/>
    <cellStyle name="표준 8 2 2 3 2 3 2 7" xfId="31283"/>
    <cellStyle name="표준 8 2 2 3 2 3 3" xfId="8823"/>
    <cellStyle name="표준 8 2 2 3 2 3 3 2" xfId="8824"/>
    <cellStyle name="표준 8 2 2 3 2 3 3 2 2" xfId="8825"/>
    <cellStyle name="표준 8 2 2 3 2 3 3 2 2 2" xfId="16308"/>
    <cellStyle name="표준 8 2 2 3 2 3 3 2 2 2 2" xfId="38775"/>
    <cellStyle name="표준 8 2 2 3 2 3 3 2 2 3" xfId="23792"/>
    <cellStyle name="표준 8 2 2 3 2 3 3 2 2 3 2" xfId="46257"/>
    <cellStyle name="표준 8 2 2 3 2 3 3 2 2 4" xfId="31293"/>
    <cellStyle name="표준 8 2 2 3 2 3 3 2 3" xfId="16307"/>
    <cellStyle name="표준 8 2 2 3 2 3 3 2 3 2" xfId="38774"/>
    <cellStyle name="표준 8 2 2 3 2 3 3 2 4" xfId="23791"/>
    <cellStyle name="표준 8 2 2 3 2 3 3 2 4 2" xfId="46256"/>
    <cellStyle name="표준 8 2 2 3 2 3 3 2 5" xfId="31292"/>
    <cellStyle name="표준 8 2 2 3 2 3 3 3" xfId="8826"/>
    <cellStyle name="표준 8 2 2 3 2 3 3 3 2" xfId="16309"/>
    <cellStyle name="표준 8 2 2 3 2 3 3 3 2 2" xfId="38776"/>
    <cellStyle name="표준 8 2 2 3 2 3 3 3 3" xfId="23793"/>
    <cellStyle name="표준 8 2 2 3 2 3 3 3 3 2" xfId="46258"/>
    <cellStyle name="표준 8 2 2 3 2 3 3 3 4" xfId="31294"/>
    <cellStyle name="표준 8 2 2 3 2 3 3 4" xfId="16306"/>
    <cellStyle name="표준 8 2 2 3 2 3 3 4 2" xfId="38773"/>
    <cellStyle name="표준 8 2 2 3 2 3 3 5" xfId="23790"/>
    <cellStyle name="표준 8 2 2 3 2 3 3 5 2" xfId="46255"/>
    <cellStyle name="표준 8 2 2 3 2 3 3 6" xfId="31291"/>
    <cellStyle name="표준 8 2 2 3 2 3 4" xfId="8827"/>
    <cellStyle name="표준 8 2 2 3 2 3 4 2" xfId="8828"/>
    <cellStyle name="표준 8 2 2 3 2 3 4 2 2" xfId="16311"/>
    <cellStyle name="표준 8 2 2 3 2 3 4 2 2 2" xfId="38778"/>
    <cellStyle name="표준 8 2 2 3 2 3 4 2 3" xfId="23795"/>
    <cellStyle name="표준 8 2 2 3 2 3 4 2 3 2" xfId="46260"/>
    <cellStyle name="표준 8 2 2 3 2 3 4 2 4" xfId="31296"/>
    <cellStyle name="표준 8 2 2 3 2 3 4 3" xfId="16310"/>
    <cellStyle name="표준 8 2 2 3 2 3 4 3 2" xfId="38777"/>
    <cellStyle name="표준 8 2 2 3 2 3 4 4" xfId="23794"/>
    <cellStyle name="표준 8 2 2 3 2 3 4 4 2" xfId="46259"/>
    <cellStyle name="표준 8 2 2 3 2 3 4 5" xfId="31295"/>
    <cellStyle name="표준 8 2 2 3 2 3 5" xfId="8829"/>
    <cellStyle name="표준 8 2 2 3 2 3 5 2" xfId="16312"/>
    <cellStyle name="표준 8 2 2 3 2 3 5 2 2" xfId="38779"/>
    <cellStyle name="표준 8 2 2 3 2 3 5 3" xfId="23796"/>
    <cellStyle name="표준 8 2 2 3 2 3 5 3 2" xfId="46261"/>
    <cellStyle name="표준 8 2 2 3 2 3 5 4" xfId="31297"/>
    <cellStyle name="표준 8 2 2 3 2 3 6" xfId="16297"/>
    <cellStyle name="표준 8 2 2 3 2 3 6 2" xfId="38764"/>
    <cellStyle name="표준 8 2 2 3 2 3 7" xfId="23781"/>
    <cellStyle name="표준 8 2 2 3 2 3 7 2" xfId="46246"/>
    <cellStyle name="표준 8 2 2 3 2 3 8" xfId="31282"/>
    <cellStyle name="표준 8 2 2 3 2 4" xfId="8830"/>
    <cellStyle name="표준 8 2 2 3 2 4 2" xfId="8831"/>
    <cellStyle name="표준 8 2 2 3 2 4 2 2" xfId="8832"/>
    <cellStyle name="표준 8 2 2 3 2 4 2 2 2" xfId="8833"/>
    <cellStyle name="표준 8 2 2 3 2 4 2 2 2 2" xfId="16316"/>
    <cellStyle name="표준 8 2 2 3 2 4 2 2 2 2 2" xfId="38783"/>
    <cellStyle name="표준 8 2 2 3 2 4 2 2 2 3" xfId="23800"/>
    <cellStyle name="표준 8 2 2 3 2 4 2 2 2 3 2" xfId="46265"/>
    <cellStyle name="표준 8 2 2 3 2 4 2 2 2 4" xfId="31301"/>
    <cellStyle name="표준 8 2 2 3 2 4 2 2 3" xfId="16315"/>
    <cellStyle name="표준 8 2 2 3 2 4 2 2 3 2" xfId="38782"/>
    <cellStyle name="표준 8 2 2 3 2 4 2 2 4" xfId="23799"/>
    <cellStyle name="표준 8 2 2 3 2 4 2 2 4 2" xfId="46264"/>
    <cellStyle name="표준 8 2 2 3 2 4 2 2 5" xfId="31300"/>
    <cellStyle name="표준 8 2 2 3 2 4 2 3" xfId="8834"/>
    <cellStyle name="표준 8 2 2 3 2 4 2 3 2" xfId="16317"/>
    <cellStyle name="표준 8 2 2 3 2 4 2 3 2 2" xfId="38784"/>
    <cellStyle name="표준 8 2 2 3 2 4 2 3 3" xfId="23801"/>
    <cellStyle name="표준 8 2 2 3 2 4 2 3 3 2" xfId="46266"/>
    <cellStyle name="표준 8 2 2 3 2 4 2 3 4" xfId="31302"/>
    <cellStyle name="표준 8 2 2 3 2 4 2 4" xfId="16314"/>
    <cellStyle name="표준 8 2 2 3 2 4 2 4 2" xfId="38781"/>
    <cellStyle name="표준 8 2 2 3 2 4 2 5" xfId="23798"/>
    <cellStyle name="표준 8 2 2 3 2 4 2 5 2" xfId="46263"/>
    <cellStyle name="표준 8 2 2 3 2 4 2 6" xfId="31299"/>
    <cellStyle name="표준 8 2 2 3 2 4 3" xfId="8835"/>
    <cellStyle name="표준 8 2 2 3 2 4 3 2" xfId="8836"/>
    <cellStyle name="표준 8 2 2 3 2 4 3 2 2" xfId="16319"/>
    <cellStyle name="표준 8 2 2 3 2 4 3 2 2 2" xfId="38786"/>
    <cellStyle name="표준 8 2 2 3 2 4 3 2 3" xfId="23803"/>
    <cellStyle name="표준 8 2 2 3 2 4 3 2 3 2" xfId="46268"/>
    <cellStyle name="표준 8 2 2 3 2 4 3 2 4" xfId="31304"/>
    <cellStyle name="표준 8 2 2 3 2 4 3 3" xfId="16318"/>
    <cellStyle name="표준 8 2 2 3 2 4 3 3 2" xfId="38785"/>
    <cellStyle name="표준 8 2 2 3 2 4 3 4" xfId="23802"/>
    <cellStyle name="표준 8 2 2 3 2 4 3 4 2" xfId="46267"/>
    <cellStyle name="표준 8 2 2 3 2 4 3 5" xfId="31303"/>
    <cellStyle name="표준 8 2 2 3 2 4 4" xfId="8837"/>
    <cellStyle name="표준 8 2 2 3 2 4 4 2" xfId="16320"/>
    <cellStyle name="표준 8 2 2 3 2 4 4 2 2" xfId="38787"/>
    <cellStyle name="표준 8 2 2 3 2 4 4 3" xfId="23804"/>
    <cellStyle name="표준 8 2 2 3 2 4 4 3 2" xfId="46269"/>
    <cellStyle name="표준 8 2 2 3 2 4 4 4" xfId="31305"/>
    <cellStyle name="표준 8 2 2 3 2 4 5" xfId="16313"/>
    <cellStyle name="표준 8 2 2 3 2 4 5 2" xfId="38780"/>
    <cellStyle name="표준 8 2 2 3 2 4 6" xfId="23797"/>
    <cellStyle name="표준 8 2 2 3 2 4 6 2" xfId="46262"/>
    <cellStyle name="표준 8 2 2 3 2 4 7" xfId="31298"/>
    <cellStyle name="표준 8 2 2 3 2 5" xfId="8838"/>
    <cellStyle name="표준 8 2 2 3 2 5 2" xfId="8839"/>
    <cellStyle name="표준 8 2 2 3 2 5 2 2" xfId="8840"/>
    <cellStyle name="표준 8 2 2 3 2 5 2 2 2" xfId="16323"/>
    <cellStyle name="표준 8 2 2 3 2 5 2 2 2 2" xfId="38790"/>
    <cellStyle name="표준 8 2 2 3 2 5 2 2 3" xfId="23807"/>
    <cellStyle name="표준 8 2 2 3 2 5 2 2 3 2" xfId="46272"/>
    <cellStyle name="표준 8 2 2 3 2 5 2 2 4" xfId="31308"/>
    <cellStyle name="표준 8 2 2 3 2 5 2 3" xfId="16322"/>
    <cellStyle name="표준 8 2 2 3 2 5 2 3 2" xfId="38789"/>
    <cellStyle name="표준 8 2 2 3 2 5 2 4" xfId="23806"/>
    <cellStyle name="표준 8 2 2 3 2 5 2 4 2" xfId="46271"/>
    <cellStyle name="표준 8 2 2 3 2 5 2 5" xfId="31307"/>
    <cellStyle name="표준 8 2 2 3 2 5 3" xfId="8841"/>
    <cellStyle name="표준 8 2 2 3 2 5 3 2" xfId="16324"/>
    <cellStyle name="표준 8 2 2 3 2 5 3 2 2" xfId="38791"/>
    <cellStyle name="표준 8 2 2 3 2 5 3 3" xfId="23808"/>
    <cellStyle name="표준 8 2 2 3 2 5 3 3 2" xfId="46273"/>
    <cellStyle name="표준 8 2 2 3 2 5 3 4" xfId="31309"/>
    <cellStyle name="표준 8 2 2 3 2 5 4" xfId="16321"/>
    <cellStyle name="표준 8 2 2 3 2 5 4 2" xfId="38788"/>
    <cellStyle name="표준 8 2 2 3 2 5 5" xfId="23805"/>
    <cellStyle name="표준 8 2 2 3 2 5 5 2" xfId="46270"/>
    <cellStyle name="표준 8 2 2 3 2 5 6" xfId="31306"/>
    <cellStyle name="표준 8 2 2 3 2 6" xfId="8842"/>
    <cellStyle name="표준 8 2 2 3 2 6 2" xfId="8843"/>
    <cellStyle name="표준 8 2 2 3 2 6 2 2" xfId="16326"/>
    <cellStyle name="표준 8 2 2 3 2 6 2 2 2" xfId="38793"/>
    <cellStyle name="표준 8 2 2 3 2 6 2 3" xfId="23810"/>
    <cellStyle name="표준 8 2 2 3 2 6 2 3 2" xfId="46275"/>
    <cellStyle name="표준 8 2 2 3 2 6 2 4" xfId="31311"/>
    <cellStyle name="표준 8 2 2 3 2 6 3" xfId="16325"/>
    <cellStyle name="표준 8 2 2 3 2 6 3 2" xfId="38792"/>
    <cellStyle name="표준 8 2 2 3 2 6 4" xfId="23809"/>
    <cellStyle name="표준 8 2 2 3 2 6 4 2" xfId="46274"/>
    <cellStyle name="표준 8 2 2 3 2 6 5" xfId="31310"/>
    <cellStyle name="표준 8 2 2 3 2 7" xfId="8844"/>
    <cellStyle name="표준 8 2 2 3 2 7 2" xfId="16327"/>
    <cellStyle name="표준 8 2 2 3 2 7 2 2" xfId="38794"/>
    <cellStyle name="표준 8 2 2 3 2 7 3" xfId="23811"/>
    <cellStyle name="표준 8 2 2 3 2 7 3 2" xfId="46276"/>
    <cellStyle name="표준 8 2 2 3 2 7 4" xfId="31312"/>
    <cellStyle name="표준 8 2 2 3 2 8" xfId="16280"/>
    <cellStyle name="표준 8 2 2 3 2 8 2" xfId="38747"/>
    <cellStyle name="표준 8 2 2 3 2 9" xfId="23764"/>
    <cellStyle name="표준 8 2 2 3 2 9 2" xfId="46229"/>
    <cellStyle name="표준 8 2 2 3 3" xfId="8845"/>
    <cellStyle name="표준 8 2 2 3 3 2" xfId="8846"/>
    <cellStyle name="표준 8 2 2 3 3 2 2" xfId="8847"/>
    <cellStyle name="표준 8 2 2 3 3 2 2 2" xfId="8848"/>
    <cellStyle name="표준 8 2 2 3 3 2 2 2 2" xfId="8849"/>
    <cellStyle name="표준 8 2 2 3 3 2 2 2 2 2" xfId="16332"/>
    <cellStyle name="표준 8 2 2 3 3 2 2 2 2 2 2" xfId="38799"/>
    <cellStyle name="표준 8 2 2 3 3 2 2 2 2 3" xfId="23816"/>
    <cellStyle name="표준 8 2 2 3 3 2 2 2 2 3 2" xfId="46281"/>
    <cellStyle name="표준 8 2 2 3 3 2 2 2 2 4" xfId="31317"/>
    <cellStyle name="표준 8 2 2 3 3 2 2 2 3" xfId="16331"/>
    <cellStyle name="표준 8 2 2 3 3 2 2 2 3 2" xfId="38798"/>
    <cellStyle name="표준 8 2 2 3 3 2 2 2 4" xfId="23815"/>
    <cellStyle name="표준 8 2 2 3 3 2 2 2 4 2" xfId="46280"/>
    <cellStyle name="표준 8 2 2 3 3 2 2 2 5" xfId="31316"/>
    <cellStyle name="표준 8 2 2 3 3 2 2 3" xfId="8850"/>
    <cellStyle name="표준 8 2 2 3 3 2 2 3 2" xfId="16333"/>
    <cellStyle name="표준 8 2 2 3 3 2 2 3 2 2" xfId="38800"/>
    <cellStyle name="표준 8 2 2 3 3 2 2 3 3" xfId="23817"/>
    <cellStyle name="표준 8 2 2 3 3 2 2 3 3 2" xfId="46282"/>
    <cellStyle name="표준 8 2 2 3 3 2 2 3 4" xfId="31318"/>
    <cellStyle name="표준 8 2 2 3 3 2 2 4" xfId="16330"/>
    <cellStyle name="표준 8 2 2 3 3 2 2 4 2" xfId="38797"/>
    <cellStyle name="표준 8 2 2 3 3 2 2 5" xfId="23814"/>
    <cellStyle name="표준 8 2 2 3 3 2 2 5 2" xfId="46279"/>
    <cellStyle name="표준 8 2 2 3 3 2 2 6" xfId="31315"/>
    <cellStyle name="표준 8 2 2 3 3 2 3" xfId="8851"/>
    <cellStyle name="표준 8 2 2 3 3 2 3 2" xfId="8852"/>
    <cellStyle name="표준 8 2 2 3 3 2 3 2 2" xfId="16335"/>
    <cellStyle name="표준 8 2 2 3 3 2 3 2 2 2" xfId="38802"/>
    <cellStyle name="표준 8 2 2 3 3 2 3 2 3" xfId="23819"/>
    <cellStyle name="표준 8 2 2 3 3 2 3 2 3 2" xfId="46284"/>
    <cellStyle name="표준 8 2 2 3 3 2 3 2 4" xfId="31320"/>
    <cellStyle name="표준 8 2 2 3 3 2 3 3" xfId="16334"/>
    <cellStyle name="표준 8 2 2 3 3 2 3 3 2" xfId="38801"/>
    <cellStyle name="표준 8 2 2 3 3 2 3 4" xfId="23818"/>
    <cellStyle name="표준 8 2 2 3 3 2 3 4 2" xfId="46283"/>
    <cellStyle name="표준 8 2 2 3 3 2 3 5" xfId="31319"/>
    <cellStyle name="표준 8 2 2 3 3 2 4" xfId="8853"/>
    <cellStyle name="표준 8 2 2 3 3 2 4 2" xfId="16336"/>
    <cellStyle name="표준 8 2 2 3 3 2 4 2 2" xfId="38803"/>
    <cellStyle name="표준 8 2 2 3 3 2 4 3" xfId="23820"/>
    <cellStyle name="표준 8 2 2 3 3 2 4 3 2" xfId="46285"/>
    <cellStyle name="표준 8 2 2 3 3 2 4 4" xfId="31321"/>
    <cellStyle name="표준 8 2 2 3 3 2 5" xfId="16329"/>
    <cellStyle name="표준 8 2 2 3 3 2 5 2" xfId="38796"/>
    <cellStyle name="표준 8 2 2 3 3 2 6" xfId="23813"/>
    <cellStyle name="표준 8 2 2 3 3 2 6 2" xfId="46278"/>
    <cellStyle name="표준 8 2 2 3 3 2 7" xfId="31314"/>
    <cellStyle name="표준 8 2 2 3 3 3" xfId="8854"/>
    <cellStyle name="표준 8 2 2 3 3 3 2" xfId="8855"/>
    <cellStyle name="표준 8 2 2 3 3 3 2 2" xfId="8856"/>
    <cellStyle name="표준 8 2 2 3 3 3 2 2 2" xfId="16339"/>
    <cellStyle name="표준 8 2 2 3 3 3 2 2 2 2" xfId="38806"/>
    <cellStyle name="표준 8 2 2 3 3 3 2 2 3" xfId="23823"/>
    <cellStyle name="표준 8 2 2 3 3 3 2 2 3 2" xfId="46288"/>
    <cellStyle name="표준 8 2 2 3 3 3 2 2 4" xfId="31324"/>
    <cellStyle name="표준 8 2 2 3 3 3 2 3" xfId="16338"/>
    <cellStyle name="표준 8 2 2 3 3 3 2 3 2" xfId="38805"/>
    <cellStyle name="표준 8 2 2 3 3 3 2 4" xfId="23822"/>
    <cellStyle name="표준 8 2 2 3 3 3 2 4 2" xfId="46287"/>
    <cellStyle name="표준 8 2 2 3 3 3 2 5" xfId="31323"/>
    <cellStyle name="표준 8 2 2 3 3 3 3" xfId="8857"/>
    <cellStyle name="표준 8 2 2 3 3 3 3 2" xfId="16340"/>
    <cellStyle name="표준 8 2 2 3 3 3 3 2 2" xfId="38807"/>
    <cellStyle name="표준 8 2 2 3 3 3 3 3" xfId="23824"/>
    <cellStyle name="표준 8 2 2 3 3 3 3 3 2" xfId="46289"/>
    <cellStyle name="표준 8 2 2 3 3 3 3 4" xfId="31325"/>
    <cellStyle name="표준 8 2 2 3 3 3 4" xfId="16337"/>
    <cellStyle name="표준 8 2 2 3 3 3 4 2" xfId="38804"/>
    <cellStyle name="표준 8 2 2 3 3 3 5" xfId="23821"/>
    <cellStyle name="표준 8 2 2 3 3 3 5 2" xfId="46286"/>
    <cellStyle name="표준 8 2 2 3 3 3 6" xfId="31322"/>
    <cellStyle name="표준 8 2 2 3 3 4" xfId="8858"/>
    <cellStyle name="표준 8 2 2 3 3 4 2" xfId="8859"/>
    <cellStyle name="표준 8 2 2 3 3 4 2 2" xfId="16342"/>
    <cellStyle name="표준 8 2 2 3 3 4 2 2 2" xfId="38809"/>
    <cellStyle name="표준 8 2 2 3 3 4 2 3" xfId="23826"/>
    <cellStyle name="표준 8 2 2 3 3 4 2 3 2" xfId="46291"/>
    <cellStyle name="표준 8 2 2 3 3 4 2 4" xfId="31327"/>
    <cellStyle name="표준 8 2 2 3 3 4 3" xfId="16341"/>
    <cellStyle name="표준 8 2 2 3 3 4 3 2" xfId="38808"/>
    <cellStyle name="표준 8 2 2 3 3 4 4" xfId="23825"/>
    <cellStyle name="표준 8 2 2 3 3 4 4 2" xfId="46290"/>
    <cellStyle name="표준 8 2 2 3 3 4 5" xfId="31326"/>
    <cellStyle name="표준 8 2 2 3 3 5" xfId="8860"/>
    <cellStyle name="표준 8 2 2 3 3 5 2" xfId="16343"/>
    <cellStyle name="표준 8 2 2 3 3 5 2 2" xfId="38810"/>
    <cellStyle name="표준 8 2 2 3 3 5 3" xfId="23827"/>
    <cellStyle name="표준 8 2 2 3 3 5 3 2" xfId="46292"/>
    <cellStyle name="표준 8 2 2 3 3 5 4" xfId="31328"/>
    <cellStyle name="표준 8 2 2 3 3 6" xfId="16328"/>
    <cellStyle name="표준 8 2 2 3 3 6 2" xfId="38795"/>
    <cellStyle name="표준 8 2 2 3 3 7" xfId="23812"/>
    <cellStyle name="표준 8 2 2 3 3 7 2" xfId="46277"/>
    <cellStyle name="표준 8 2 2 3 3 8" xfId="31313"/>
    <cellStyle name="표준 8 2 2 3 4" xfId="8861"/>
    <cellStyle name="표준 8 2 2 3 4 2" xfId="8862"/>
    <cellStyle name="표준 8 2 2 3 4 2 2" xfId="8863"/>
    <cellStyle name="표준 8 2 2 3 4 2 2 2" xfId="8864"/>
    <cellStyle name="표준 8 2 2 3 4 2 2 2 2" xfId="8865"/>
    <cellStyle name="표준 8 2 2 3 4 2 2 2 2 2" xfId="16348"/>
    <cellStyle name="표준 8 2 2 3 4 2 2 2 2 2 2" xfId="38815"/>
    <cellStyle name="표준 8 2 2 3 4 2 2 2 2 3" xfId="23832"/>
    <cellStyle name="표준 8 2 2 3 4 2 2 2 2 3 2" xfId="46297"/>
    <cellStyle name="표준 8 2 2 3 4 2 2 2 2 4" xfId="31333"/>
    <cellStyle name="표준 8 2 2 3 4 2 2 2 3" xfId="16347"/>
    <cellStyle name="표준 8 2 2 3 4 2 2 2 3 2" xfId="38814"/>
    <cellStyle name="표준 8 2 2 3 4 2 2 2 4" xfId="23831"/>
    <cellStyle name="표준 8 2 2 3 4 2 2 2 4 2" xfId="46296"/>
    <cellStyle name="표준 8 2 2 3 4 2 2 2 5" xfId="31332"/>
    <cellStyle name="표준 8 2 2 3 4 2 2 3" xfId="8866"/>
    <cellStyle name="표준 8 2 2 3 4 2 2 3 2" xfId="16349"/>
    <cellStyle name="표준 8 2 2 3 4 2 2 3 2 2" xfId="38816"/>
    <cellStyle name="표준 8 2 2 3 4 2 2 3 3" xfId="23833"/>
    <cellStyle name="표준 8 2 2 3 4 2 2 3 3 2" xfId="46298"/>
    <cellStyle name="표준 8 2 2 3 4 2 2 3 4" xfId="31334"/>
    <cellStyle name="표준 8 2 2 3 4 2 2 4" xfId="16346"/>
    <cellStyle name="표준 8 2 2 3 4 2 2 4 2" xfId="38813"/>
    <cellStyle name="표준 8 2 2 3 4 2 2 5" xfId="23830"/>
    <cellStyle name="표준 8 2 2 3 4 2 2 5 2" xfId="46295"/>
    <cellStyle name="표준 8 2 2 3 4 2 2 6" xfId="31331"/>
    <cellStyle name="표준 8 2 2 3 4 2 3" xfId="8867"/>
    <cellStyle name="표준 8 2 2 3 4 2 3 2" xfId="8868"/>
    <cellStyle name="표준 8 2 2 3 4 2 3 2 2" xfId="16351"/>
    <cellStyle name="표준 8 2 2 3 4 2 3 2 2 2" xfId="38818"/>
    <cellStyle name="표준 8 2 2 3 4 2 3 2 3" xfId="23835"/>
    <cellStyle name="표준 8 2 2 3 4 2 3 2 3 2" xfId="46300"/>
    <cellStyle name="표준 8 2 2 3 4 2 3 2 4" xfId="31336"/>
    <cellStyle name="표준 8 2 2 3 4 2 3 3" xfId="16350"/>
    <cellStyle name="표준 8 2 2 3 4 2 3 3 2" xfId="38817"/>
    <cellStyle name="표준 8 2 2 3 4 2 3 4" xfId="23834"/>
    <cellStyle name="표준 8 2 2 3 4 2 3 4 2" xfId="46299"/>
    <cellStyle name="표준 8 2 2 3 4 2 3 5" xfId="31335"/>
    <cellStyle name="표준 8 2 2 3 4 2 4" xfId="8869"/>
    <cellStyle name="표준 8 2 2 3 4 2 4 2" xfId="16352"/>
    <cellStyle name="표준 8 2 2 3 4 2 4 2 2" xfId="38819"/>
    <cellStyle name="표준 8 2 2 3 4 2 4 3" xfId="23836"/>
    <cellStyle name="표준 8 2 2 3 4 2 4 3 2" xfId="46301"/>
    <cellStyle name="표준 8 2 2 3 4 2 4 4" xfId="31337"/>
    <cellStyle name="표준 8 2 2 3 4 2 5" xfId="16345"/>
    <cellStyle name="표준 8 2 2 3 4 2 5 2" xfId="38812"/>
    <cellStyle name="표준 8 2 2 3 4 2 6" xfId="23829"/>
    <cellStyle name="표준 8 2 2 3 4 2 6 2" xfId="46294"/>
    <cellStyle name="표준 8 2 2 3 4 2 7" xfId="31330"/>
    <cellStyle name="표준 8 2 2 3 4 3" xfId="8870"/>
    <cellStyle name="표준 8 2 2 3 4 3 2" xfId="8871"/>
    <cellStyle name="표준 8 2 2 3 4 3 2 2" xfId="8872"/>
    <cellStyle name="표준 8 2 2 3 4 3 2 2 2" xfId="16355"/>
    <cellStyle name="표준 8 2 2 3 4 3 2 2 2 2" xfId="38822"/>
    <cellStyle name="표준 8 2 2 3 4 3 2 2 3" xfId="23839"/>
    <cellStyle name="표준 8 2 2 3 4 3 2 2 3 2" xfId="46304"/>
    <cellStyle name="표준 8 2 2 3 4 3 2 2 4" xfId="31340"/>
    <cellStyle name="표준 8 2 2 3 4 3 2 3" xfId="16354"/>
    <cellStyle name="표준 8 2 2 3 4 3 2 3 2" xfId="38821"/>
    <cellStyle name="표준 8 2 2 3 4 3 2 4" xfId="23838"/>
    <cellStyle name="표준 8 2 2 3 4 3 2 4 2" xfId="46303"/>
    <cellStyle name="표준 8 2 2 3 4 3 2 5" xfId="31339"/>
    <cellStyle name="표준 8 2 2 3 4 3 3" xfId="8873"/>
    <cellStyle name="표준 8 2 2 3 4 3 3 2" xfId="16356"/>
    <cellStyle name="표준 8 2 2 3 4 3 3 2 2" xfId="38823"/>
    <cellStyle name="표준 8 2 2 3 4 3 3 3" xfId="23840"/>
    <cellStyle name="표준 8 2 2 3 4 3 3 3 2" xfId="46305"/>
    <cellStyle name="표준 8 2 2 3 4 3 3 4" xfId="31341"/>
    <cellStyle name="표준 8 2 2 3 4 3 4" xfId="16353"/>
    <cellStyle name="표준 8 2 2 3 4 3 4 2" xfId="38820"/>
    <cellStyle name="표준 8 2 2 3 4 3 5" xfId="23837"/>
    <cellStyle name="표준 8 2 2 3 4 3 5 2" xfId="46302"/>
    <cellStyle name="표준 8 2 2 3 4 3 6" xfId="31338"/>
    <cellStyle name="표준 8 2 2 3 4 4" xfId="8874"/>
    <cellStyle name="표준 8 2 2 3 4 4 2" xfId="8875"/>
    <cellStyle name="표준 8 2 2 3 4 4 2 2" xfId="16358"/>
    <cellStyle name="표준 8 2 2 3 4 4 2 2 2" xfId="38825"/>
    <cellStyle name="표준 8 2 2 3 4 4 2 3" xfId="23842"/>
    <cellStyle name="표준 8 2 2 3 4 4 2 3 2" xfId="46307"/>
    <cellStyle name="표준 8 2 2 3 4 4 2 4" xfId="31343"/>
    <cellStyle name="표준 8 2 2 3 4 4 3" xfId="16357"/>
    <cellStyle name="표준 8 2 2 3 4 4 3 2" xfId="38824"/>
    <cellStyle name="표준 8 2 2 3 4 4 4" xfId="23841"/>
    <cellStyle name="표준 8 2 2 3 4 4 4 2" xfId="46306"/>
    <cellStyle name="표준 8 2 2 3 4 4 5" xfId="31342"/>
    <cellStyle name="표준 8 2 2 3 4 5" xfId="8876"/>
    <cellStyle name="표준 8 2 2 3 4 5 2" xfId="16359"/>
    <cellStyle name="표준 8 2 2 3 4 5 2 2" xfId="38826"/>
    <cellStyle name="표준 8 2 2 3 4 5 3" xfId="23843"/>
    <cellStyle name="표준 8 2 2 3 4 5 3 2" xfId="46308"/>
    <cellStyle name="표준 8 2 2 3 4 5 4" xfId="31344"/>
    <cellStyle name="표준 8 2 2 3 4 6" xfId="16344"/>
    <cellStyle name="표준 8 2 2 3 4 6 2" xfId="38811"/>
    <cellStyle name="표준 8 2 2 3 4 7" xfId="23828"/>
    <cellStyle name="표준 8 2 2 3 4 7 2" xfId="46293"/>
    <cellStyle name="표준 8 2 2 3 4 8" xfId="31329"/>
    <cellStyle name="표준 8 2 2 3 5" xfId="8877"/>
    <cellStyle name="표준 8 2 2 3 5 2" xfId="8878"/>
    <cellStyle name="표준 8 2 2 3 5 2 2" xfId="8879"/>
    <cellStyle name="표준 8 2 2 3 5 2 2 2" xfId="8880"/>
    <cellStyle name="표준 8 2 2 3 5 2 2 2 2" xfId="16363"/>
    <cellStyle name="표준 8 2 2 3 5 2 2 2 2 2" xfId="38830"/>
    <cellStyle name="표준 8 2 2 3 5 2 2 2 3" xfId="23847"/>
    <cellStyle name="표준 8 2 2 3 5 2 2 2 3 2" xfId="46312"/>
    <cellStyle name="표준 8 2 2 3 5 2 2 2 4" xfId="31348"/>
    <cellStyle name="표준 8 2 2 3 5 2 2 3" xfId="16362"/>
    <cellStyle name="표준 8 2 2 3 5 2 2 3 2" xfId="38829"/>
    <cellStyle name="표준 8 2 2 3 5 2 2 4" xfId="23846"/>
    <cellStyle name="표준 8 2 2 3 5 2 2 4 2" xfId="46311"/>
    <cellStyle name="표준 8 2 2 3 5 2 2 5" xfId="31347"/>
    <cellStyle name="표준 8 2 2 3 5 2 3" xfId="8881"/>
    <cellStyle name="표준 8 2 2 3 5 2 3 2" xfId="16364"/>
    <cellStyle name="표준 8 2 2 3 5 2 3 2 2" xfId="38831"/>
    <cellStyle name="표준 8 2 2 3 5 2 3 3" xfId="23848"/>
    <cellStyle name="표준 8 2 2 3 5 2 3 3 2" xfId="46313"/>
    <cellStyle name="표준 8 2 2 3 5 2 3 4" xfId="31349"/>
    <cellStyle name="표준 8 2 2 3 5 2 4" xfId="16361"/>
    <cellStyle name="표준 8 2 2 3 5 2 4 2" xfId="38828"/>
    <cellStyle name="표준 8 2 2 3 5 2 5" xfId="23845"/>
    <cellStyle name="표준 8 2 2 3 5 2 5 2" xfId="46310"/>
    <cellStyle name="표준 8 2 2 3 5 2 6" xfId="31346"/>
    <cellStyle name="표준 8 2 2 3 5 3" xfId="8882"/>
    <cellStyle name="표준 8 2 2 3 5 3 2" xfId="8883"/>
    <cellStyle name="표준 8 2 2 3 5 3 2 2" xfId="16366"/>
    <cellStyle name="표준 8 2 2 3 5 3 2 2 2" xfId="38833"/>
    <cellStyle name="표준 8 2 2 3 5 3 2 3" xfId="23850"/>
    <cellStyle name="표준 8 2 2 3 5 3 2 3 2" xfId="46315"/>
    <cellStyle name="표준 8 2 2 3 5 3 2 4" xfId="31351"/>
    <cellStyle name="표준 8 2 2 3 5 3 3" xfId="16365"/>
    <cellStyle name="표준 8 2 2 3 5 3 3 2" xfId="38832"/>
    <cellStyle name="표준 8 2 2 3 5 3 4" xfId="23849"/>
    <cellStyle name="표준 8 2 2 3 5 3 4 2" xfId="46314"/>
    <cellStyle name="표준 8 2 2 3 5 3 5" xfId="31350"/>
    <cellStyle name="표준 8 2 2 3 5 4" xfId="8884"/>
    <cellStyle name="표준 8 2 2 3 5 4 2" xfId="16367"/>
    <cellStyle name="표준 8 2 2 3 5 4 2 2" xfId="38834"/>
    <cellStyle name="표준 8 2 2 3 5 4 3" xfId="23851"/>
    <cellStyle name="표준 8 2 2 3 5 4 3 2" xfId="46316"/>
    <cellStyle name="표준 8 2 2 3 5 4 4" xfId="31352"/>
    <cellStyle name="표준 8 2 2 3 5 5" xfId="16360"/>
    <cellStyle name="표준 8 2 2 3 5 5 2" xfId="38827"/>
    <cellStyle name="표준 8 2 2 3 5 6" xfId="23844"/>
    <cellStyle name="표준 8 2 2 3 5 6 2" xfId="46309"/>
    <cellStyle name="표준 8 2 2 3 5 7" xfId="31345"/>
    <cellStyle name="표준 8 2 2 3 6" xfId="8885"/>
    <cellStyle name="표준 8 2 2 3 6 2" xfId="8886"/>
    <cellStyle name="표준 8 2 2 3 6 2 2" xfId="8887"/>
    <cellStyle name="표준 8 2 2 3 6 2 2 2" xfId="16370"/>
    <cellStyle name="표준 8 2 2 3 6 2 2 2 2" xfId="38837"/>
    <cellStyle name="표준 8 2 2 3 6 2 2 3" xfId="23854"/>
    <cellStyle name="표준 8 2 2 3 6 2 2 3 2" xfId="46319"/>
    <cellStyle name="표준 8 2 2 3 6 2 2 4" xfId="31355"/>
    <cellStyle name="표준 8 2 2 3 6 2 3" xfId="16369"/>
    <cellStyle name="표준 8 2 2 3 6 2 3 2" xfId="38836"/>
    <cellStyle name="표준 8 2 2 3 6 2 4" xfId="23853"/>
    <cellStyle name="표준 8 2 2 3 6 2 4 2" xfId="46318"/>
    <cellStyle name="표준 8 2 2 3 6 2 5" xfId="31354"/>
    <cellStyle name="표준 8 2 2 3 6 3" xfId="8888"/>
    <cellStyle name="표준 8 2 2 3 6 3 2" xfId="16371"/>
    <cellStyle name="표준 8 2 2 3 6 3 2 2" xfId="38838"/>
    <cellStyle name="표준 8 2 2 3 6 3 3" xfId="23855"/>
    <cellStyle name="표준 8 2 2 3 6 3 3 2" xfId="46320"/>
    <cellStyle name="표준 8 2 2 3 6 3 4" xfId="31356"/>
    <cellStyle name="표준 8 2 2 3 6 4" xfId="16368"/>
    <cellStyle name="표준 8 2 2 3 6 4 2" xfId="38835"/>
    <cellStyle name="표준 8 2 2 3 6 5" xfId="23852"/>
    <cellStyle name="표준 8 2 2 3 6 5 2" xfId="46317"/>
    <cellStyle name="표준 8 2 2 3 6 6" xfId="31353"/>
    <cellStyle name="표준 8 2 2 3 7" xfId="8889"/>
    <cellStyle name="표준 8 2 2 3 7 2" xfId="8890"/>
    <cellStyle name="표준 8 2 2 3 7 2 2" xfId="8891"/>
    <cellStyle name="표준 8 2 2 3 7 2 2 2" xfId="16374"/>
    <cellStyle name="표준 8 2 2 3 7 2 2 2 2" xfId="38841"/>
    <cellStyle name="표준 8 2 2 3 7 2 2 3" xfId="23858"/>
    <cellStyle name="표준 8 2 2 3 7 2 2 3 2" xfId="46323"/>
    <cellStyle name="표준 8 2 2 3 7 2 2 4" xfId="31359"/>
    <cellStyle name="표준 8 2 2 3 7 2 3" xfId="16373"/>
    <cellStyle name="표준 8 2 2 3 7 2 3 2" xfId="38840"/>
    <cellStyle name="표준 8 2 2 3 7 2 4" xfId="23857"/>
    <cellStyle name="표준 8 2 2 3 7 2 4 2" xfId="46322"/>
    <cellStyle name="표준 8 2 2 3 7 2 5" xfId="31358"/>
    <cellStyle name="표준 8 2 2 3 7 3" xfId="8892"/>
    <cellStyle name="표준 8 2 2 3 7 3 2" xfId="16375"/>
    <cellStyle name="표준 8 2 2 3 7 3 2 2" xfId="38842"/>
    <cellStyle name="표준 8 2 2 3 7 3 3" xfId="23859"/>
    <cellStyle name="표준 8 2 2 3 7 3 3 2" xfId="46324"/>
    <cellStyle name="표준 8 2 2 3 7 3 4" xfId="31360"/>
    <cellStyle name="표준 8 2 2 3 7 4" xfId="16372"/>
    <cellStyle name="표준 8 2 2 3 7 4 2" xfId="38839"/>
    <cellStyle name="표준 8 2 2 3 7 5" xfId="23856"/>
    <cellStyle name="표준 8 2 2 3 7 5 2" xfId="46321"/>
    <cellStyle name="표준 8 2 2 3 7 6" xfId="31357"/>
    <cellStyle name="표준 8 2 2 3 8" xfId="8893"/>
    <cellStyle name="표준 8 2 2 3 8 2" xfId="8894"/>
    <cellStyle name="표준 8 2 2 3 8 2 2" xfId="16377"/>
    <cellStyle name="표준 8 2 2 3 8 2 2 2" xfId="38844"/>
    <cellStyle name="표준 8 2 2 3 8 2 3" xfId="23861"/>
    <cellStyle name="표준 8 2 2 3 8 2 3 2" xfId="46326"/>
    <cellStyle name="표준 8 2 2 3 8 2 4" xfId="31362"/>
    <cellStyle name="표준 8 2 2 3 8 3" xfId="16376"/>
    <cellStyle name="표준 8 2 2 3 8 3 2" xfId="38843"/>
    <cellStyle name="표준 8 2 2 3 8 4" xfId="23860"/>
    <cellStyle name="표준 8 2 2 3 8 4 2" xfId="46325"/>
    <cellStyle name="표준 8 2 2 3 8 5" xfId="31361"/>
    <cellStyle name="표준 8 2 2 3 9" xfId="8895"/>
    <cellStyle name="표준 8 2 2 3 9 2" xfId="16378"/>
    <cellStyle name="표준 8 2 2 3 9 2 2" xfId="38845"/>
    <cellStyle name="표준 8 2 2 3 9 3" xfId="23862"/>
    <cellStyle name="표준 8 2 2 3 9 3 2" xfId="46327"/>
    <cellStyle name="표준 8 2 2 3 9 4" xfId="31363"/>
    <cellStyle name="표준 8 2 2 4" xfId="8896"/>
    <cellStyle name="표준 8 2 2 4 10" xfId="23863"/>
    <cellStyle name="표준 8 2 2 4 10 2" xfId="46328"/>
    <cellStyle name="표준 8 2 2 4 11" xfId="31364"/>
    <cellStyle name="표준 8 2 2 4 2" xfId="8897"/>
    <cellStyle name="표준 8 2 2 4 2 10" xfId="31365"/>
    <cellStyle name="표준 8 2 2 4 2 2" xfId="8898"/>
    <cellStyle name="표준 8 2 2 4 2 2 2" xfId="8899"/>
    <cellStyle name="표준 8 2 2 4 2 2 2 2" xfId="8900"/>
    <cellStyle name="표준 8 2 2 4 2 2 2 2 2" xfId="8901"/>
    <cellStyle name="표준 8 2 2 4 2 2 2 2 2 2" xfId="8902"/>
    <cellStyle name="표준 8 2 2 4 2 2 2 2 2 2 2" xfId="16385"/>
    <cellStyle name="표준 8 2 2 4 2 2 2 2 2 2 2 2" xfId="38852"/>
    <cellStyle name="표준 8 2 2 4 2 2 2 2 2 2 3" xfId="23869"/>
    <cellStyle name="표준 8 2 2 4 2 2 2 2 2 2 3 2" xfId="46334"/>
    <cellStyle name="표준 8 2 2 4 2 2 2 2 2 2 4" xfId="31370"/>
    <cellStyle name="표준 8 2 2 4 2 2 2 2 2 3" xfId="16384"/>
    <cellStyle name="표준 8 2 2 4 2 2 2 2 2 3 2" xfId="38851"/>
    <cellStyle name="표준 8 2 2 4 2 2 2 2 2 4" xfId="23868"/>
    <cellStyle name="표준 8 2 2 4 2 2 2 2 2 4 2" xfId="46333"/>
    <cellStyle name="표준 8 2 2 4 2 2 2 2 2 5" xfId="31369"/>
    <cellStyle name="표준 8 2 2 4 2 2 2 2 3" xfId="8903"/>
    <cellStyle name="표준 8 2 2 4 2 2 2 2 3 2" xfId="16386"/>
    <cellStyle name="표준 8 2 2 4 2 2 2 2 3 2 2" xfId="38853"/>
    <cellStyle name="표준 8 2 2 4 2 2 2 2 3 3" xfId="23870"/>
    <cellStyle name="표준 8 2 2 4 2 2 2 2 3 3 2" xfId="46335"/>
    <cellStyle name="표준 8 2 2 4 2 2 2 2 3 4" xfId="31371"/>
    <cellStyle name="표준 8 2 2 4 2 2 2 2 4" xfId="16383"/>
    <cellStyle name="표준 8 2 2 4 2 2 2 2 4 2" xfId="38850"/>
    <cellStyle name="표준 8 2 2 4 2 2 2 2 5" xfId="23867"/>
    <cellStyle name="표준 8 2 2 4 2 2 2 2 5 2" xfId="46332"/>
    <cellStyle name="표준 8 2 2 4 2 2 2 2 6" xfId="31368"/>
    <cellStyle name="표준 8 2 2 4 2 2 2 3" xfId="8904"/>
    <cellStyle name="표준 8 2 2 4 2 2 2 3 2" xfId="8905"/>
    <cellStyle name="표준 8 2 2 4 2 2 2 3 2 2" xfId="16388"/>
    <cellStyle name="표준 8 2 2 4 2 2 2 3 2 2 2" xfId="38855"/>
    <cellStyle name="표준 8 2 2 4 2 2 2 3 2 3" xfId="23872"/>
    <cellStyle name="표준 8 2 2 4 2 2 2 3 2 3 2" xfId="46337"/>
    <cellStyle name="표준 8 2 2 4 2 2 2 3 2 4" xfId="31373"/>
    <cellStyle name="표준 8 2 2 4 2 2 2 3 3" xfId="16387"/>
    <cellStyle name="표준 8 2 2 4 2 2 2 3 3 2" xfId="38854"/>
    <cellStyle name="표준 8 2 2 4 2 2 2 3 4" xfId="23871"/>
    <cellStyle name="표준 8 2 2 4 2 2 2 3 4 2" xfId="46336"/>
    <cellStyle name="표준 8 2 2 4 2 2 2 3 5" xfId="31372"/>
    <cellStyle name="표준 8 2 2 4 2 2 2 4" xfId="8906"/>
    <cellStyle name="표준 8 2 2 4 2 2 2 4 2" xfId="16389"/>
    <cellStyle name="표준 8 2 2 4 2 2 2 4 2 2" xfId="38856"/>
    <cellStyle name="표준 8 2 2 4 2 2 2 4 3" xfId="23873"/>
    <cellStyle name="표준 8 2 2 4 2 2 2 4 3 2" xfId="46338"/>
    <cellStyle name="표준 8 2 2 4 2 2 2 4 4" xfId="31374"/>
    <cellStyle name="표준 8 2 2 4 2 2 2 5" xfId="16382"/>
    <cellStyle name="표준 8 2 2 4 2 2 2 5 2" xfId="38849"/>
    <cellStyle name="표준 8 2 2 4 2 2 2 6" xfId="23866"/>
    <cellStyle name="표준 8 2 2 4 2 2 2 6 2" xfId="46331"/>
    <cellStyle name="표준 8 2 2 4 2 2 2 7" xfId="31367"/>
    <cellStyle name="표준 8 2 2 4 2 2 3" xfId="8907"/>
    <cellStyle name="표준 8 2 2 4 2 2 3 2" xfId="8908"/>
    <cellStyle name="표준 8 2 2 4 2 2 3 2 2" xfId="8909"/>
    <cellStyle name="표준 8 2 2 4 2 2 3 2 2 2" xfId="16392"/>
    <cellStyle name="표준 8 2 2 4 2 2 3 2 2 2 2" xfId="38859"/>
    <cellStyle name="표준 8 2 2 4 2 2 3 2 2 3" xfId="23876"/>
    <cellStyle name="표준 8 2 2 4 2 2 3 2 2 3 2" xfId="46341"/>
    <cellStyle name="표준 8 2 2 4 2 2 3 2 2 4" xfId="31377"/>
    <cellStyle name="표준 8 2 2 4 2 2 3 2 3" xfId="16391"/>
    <cellStyle name="표준 8 2 2 4 2 2 3 2 3 2" xfId="38858"/>
    <cellStyle name="표준 8 2 2 4 2 2 3 2 4" xfId="23875"/>
    <cellStyle name="표준 8 2 2 4 2 2 3 2 4 2" xfId="46340"/>
    <cellStyle name="표준 8 2 2 4 2 2 3 2 5" xfId="31376"/>
    <cellStyle name="표준 8 2 2 4 2 2 3 3" xfId="8910"/>
    <cellStyle name="표준 8 2 2 4 2 2 3 3 2" xfId="16393"/>
    <cellStyle name="표준 8 2 2 4 2 2 3 3 2 2" xfId="38860"/>
    <cellStyle name="표준 8 2 2 4 2 2 3 3 3" xfId="23877"/>
    <cellStyle name="표준 8 2 2 4 2 2 3 3 3 2" xfId="46342"/>
    <cellStyle name="표준 8 2 2 4 2 2 3 3 4" xfId="31378"/>
    <cellStyle name="표준 8 2 2 4 2 2 3 4" xfId="16390"/>
    <cellStyle name="표준 8 2 2 4 2 2 3 4 2" xfId="38857"/>
    <cellStyle name="표준 8 2 2 4 2 2 3 5" xfId="23874"/>
    <cellStyle name="표준 8 2 2 4 2 2 3 5 2" xfId="46339"/>
    <cellStyle name="표준 8 2 2 4 2 2 3 6" xfId="31375"/>
    <cellStyle name="표준 8 2 2 4 2 2 4" xfId="8911"/>
    <cellStyle name="표준 8 2 2 4 2 2 4 2" xfId="8912"/>
    <cellStyle name="표준 8 2 2 4 2 2 4 2 2" xfId="16395"/>
    <cellStyle name="표준 8 2 2 4 2 2 4 2 2 2" xfId="38862"/>
    <cellStyle name="표준 8 2 2 4 2 2 4 2 3" xfId="23879"/>
    <cellStyle name="표준 8 2 2 4 2 2 4 2 3 2" xfId="46344"/>
    <cellStyle name="표준 8 2 2 4 2 2 4 2 4" xfId="31380"/>
    <cellStyle name="표준 8 2 2 4 2 2 4 3" xfId="16394"/>
    <cellStyle name="표준 8 2 2 4 2 2 4 3 2" xfId="38861"/>
    <cellStyle name="표준 8 2 2 4 2 2 4 4" xfId="23878"/>
    <cellStyle name="표준 8 2 2 4 2 2 4 4 2" xfId="46343"/>
    <cellStyle name="표준 8 2 2 4 2 2 4 5" xfId="31379"/>
    <cellStyle name="표준 8 2 2 4 2 2 5" xfId="8913"/>
    <cellStyle name="표준 8 2 2 4 2 2 5 2" xfId="16396"/>
    <cellStyle name="표준 8 2 2 4 2 2 5 2 2" xfId="38863"/>
    <cellStyle name="표준 8 2 2 4 2 2 5 3" xfId="23880"/>
    <cellStyle name="표준 8 2 2 4 2 2 5 3 2" xfId="46345"/>
    <cellStyle name="표준 8 2 2 4 2 2 5 4" xfId="31381"/>
    <cellStyle name="표준 8 2 2 4 2 2 6" xfId="16381"/>
    <cellStyle name="표준 8 2 2 4 2 2 6 2" xfId="38848"/>
    <cellStyle name="표준 8 2 2 4 2 2 7" xfId="23865"/>
    <cellStyle name="표준 8 2 2 4 2 2 7 2" xfId="46330"/>
    <cellStyle name="표준 8 2 2 4 2 2 8" xfId="31366"/>
    <cellStyle name="표준 8 2 2 4 2 3" xfId="8914"/>
    <cellStyle name="표준 8 2 2 4 2 3 2" xfId="8915"/>
    <cellStyle name="표준 8 2 2 4 2 3 2 2" xfId="8916"/>
    <cellStyle name="표준 8 2 2 4 2 3 2 2 2" xfId="8917"/>
    <cellStyle name="표준 8 2 2 4 2 3 2 2 2 2" xfId="8918"/>
    <cellStyle name="표준 8 2 2 4 2 3 2 2 2 2 2" xfId="16401"/>
    <cellStyle name="표준 8 2 2 4 2 3 2 2 2 2 2 2" xfId="38868"/>
    <cellStyle name="표준 8 2 2 4 2 3 2 2 2 2 3" xfId="23885"/>
    <cellStyle name="표준 8 2 2 4 2 3 2 2 2 2 3 2" xfId="46350"/>
    <cellStyle name="표준 8 2 2 4 2 3 2 2 2 2 4" xfId="31386"/>
    <cellStyle name="표준 8 2 2 4 2 3 2 2 2 3" xfId="16400"/>
    <cellStyle name="표준 8 2 2 4 2 3 2 2 2 3 2" xfId="38867"/>
    <cellStyle name="표준 8 2 2 4 2 3 2 2 2 4" xfId="23884"/>
    <cellStyle name="표준 8 2 2 4 2 3 2 2 2 4 2" xfId="46349"/>
    <cellStyle name="표준 8 2 2 4 2 3 2 2 2 5" xfId="31385"/>
    <cellStyle name="표준 8 2 2 4 2 3 2 2 3" xfId="8919"/>
    <cellStyle name="표준 8 2 2 4 2 3 2 2 3 2" xfId="16402"/>
    <cellStyle name="표준 8 2 2 4 2 3 2 2 3 2 2" xfId="38869"/>
    <cellStyle name="표준 8 2 2 4 2 3 2 2 3 3" xfId="23886"/>
    <cellStyle name="표준 8 2 2 4 2 3 2 2 3 3 2" xfId="46351"/>
    <cellStyle name="표준 8 2 2 4 2 3 2 2 3 4" xfId="31387"/>
    <cellStyle name="표준 8 2 2 4 2 3 2 2 4" xfId="16399"/>
    <cellStyle name="표준 8 2 2 4 2 3 2 2 4 2" xfId="38866"/>
    <cellStyle name="표준 8 2 2 4 2 3 2 2 5" xfId="23883"/>
    <cellStyle name="표준 8 2 2 4 2 3 2 2 5 2" xfId="46348"/>
    <cellStyle name="표준 8 2 2 4 2 3 2 2 6" xfId="31384"/>
    <cellStyle name="표준 8 2 2 4 2 3 2 3" xfId="8920"/>
    <cellStyle name="표준 8 2 2 4 2 3 2 3 2" xfId="8921"/>
    <cellStyle name="표준 8 2 2 4 2 3 2 3 2 2" xfId="16404"/>
    <cellStyle name="표준 8 2 2 4 2 3 2 3 2 2 2" xfId="38871"/>
    <cellStyle name="표준 8 2 2 4 2 3 2 3 2 3" xfId="23888"/>
    <cellStyle name="표준 8 2 2 4 2 3 2 3 2 3 2" xfId="46353"/>
    <cellStyle name="표준 8 2 2 4 2 3 2 3 2 4" xfId="31389"/>
    <cellStyle name="표준 8 2 2 4 2 3 2 3 3" xfId="16403"/>
    <cellStyle name="표준 8 2 2 4 2 3 2 3 3 2" xfId="38870"/>
    <cellStyle name="표준 8 2 2 4 2 3 2 3 4" xfId="23887"/>
    <cellStyle name="표준 8 2 2 4 2 3 2 3 4 2" xfId="46352"/>
    <cellStyle name="표준 8 2 2 4 2 3 2 3 5" xfId="31388"/>
    <cellStyle name="표준 8 2 2 4 2 3 2 4" xfId="8922"/>
    <cellStyle name="표준 8 2 2 4 2 3 2 4 2" xfId="16405"/>
    <cellStyle name="표준 8 2 2 4 2 3 2 4 2 2" xfId="38872"/>
    <cellStyle name="표준 8 2 2 4 2 3 2 4 3" xfId="23889"/>
    <cellStyle name="표준 8 2 2 4 2 3 2 4 3 2" xfId="46354"/>
    <cellStyle name="표준 8 2 2 4 2 3 2 4 4" xfId="31390"/>
    <cellStyle name="표준 8 2 2 4 2 3 2 5" xfId="16398"/>
    <cellStyle name="표준 8 2 2 4 2 3 2 5 2" xfId="38865"/>
    <cellStyle name="표준 8 2 2 4 2 3 2 6" xfId="23882"/>
    <cellStyle name="표준 8 2 2 4 2 3 2 6 2" xfId="46347"/>
    <cellStyle name="표준 8 2 2 4 2 3 2 7" xfId="31383"/>
    <cellStyle name="표준 8 2 2 4 2 3 3" xfId="8923"/>
    <cellStyle name="표준 8 2 2 4 2 3 3 2" xfId="8924"/>
    <cellStyle name="표준 8 2 2 4 2 3 3 2 2" xfId="8925"/>
    <cellStyle name="표준 8 2 2 4 2 3 3 2 2 2" xfId="16408"/>
    <cellStyle name="표준 8 2 2 4 2 3 3 2 2 2 2" xfId="38875"/>
    <cellStyle name="표준 8 2 2 4 2 3 3 2 2 3" xfId="23892"/>
    <cellStyle name="표준 8 2 2 4 2 3 3 2 2 3 2" xfId="46357"/>
    <cellStyle name="표준 8 2 2 4 2 3 3 2 2 4" xfId="31393"/>
    <cellStyle name="표준 8 2 2 4 2 3 3 2 3" xfId="16407"/>
    <cellStyle name="표준 8 2 2 4 2 3 3 2 3 2" xfId="38874"/>
    <cellStyle name="표준 8 2 2 4 2 3 3 2 4" xfId="23891"/>
    <cellStyle name="표준 8 2 2 4 2 3 3 2 4 2" xfId="46356"/>
    <cellStyle name="표준 8 2 2 4 2 3 3 2 5" xfId="31392"/>
    <cellStyle name="표준 8 2 2 4 2 3 3 3" xfId="8926"/>
    <cellStyle name="표준 8 2 2 4 2 3 3 3 2" xfId="16409"/>
    <cellStyle name="표준 8 2 2 4 2 3 3 3 2 2" xfId="38876"/>
    <cellStyle name="표준 8 2 2 4 2 3 3 3 3" xfId="23893"/>
    <cellStyle name="표준 8 2 2 4 2 3 3 3 3 2" xfId="46358"/>
    <cellStyle name="표준 8 2 2 4 2 3 3 3 4" xfId="31394"/>
    <cellStyle name="표준 8 2 2 4 2 3 3 4" xfId="16406"/>
    <cellStyle name="표준 8 2 2 4 2 3 3 4 2" xfId="38873"/>
    <cellStyle name="표준 8 2 2 4 2 3 3 5" xfId="23890"/>
    <cellStyle name="표준 8 2 2 4 2 3 3 5 2" xfId="46355"/>
    <cellStyle name="표준 8 2 2 4 2 3 3 6" xfId="31391"/>
    <cellStyle name="표준 8 2 2 4 2 3 4" xfId="8927"/>
    <cellStyle name="표준 8 2 2 4 2 3 4 2" xfId="8928"/>
    <cellStyle name="표준 8 2 2 4 2 3 4 2 2" xfId="16411"/>
    <cellStyle name="표준 8 2 2 4 2 3 4 2 2 2" xfId="38878"/>
    <cellStyle name="표준 8 2 2 4 2 3 4 2 3" xfId="23895"/>
    <cellStyle name="표준 8 2 2 4 2 3 4 2 3 2" xfId="46360"/>
    <cellStyle name="표준 8 2 2 4 2 3 4 2 4" xfId="31396"/>
    <cellStyle name="표준 8 2 2 4 2 3 4 3" xfId="16410"/>
    <cellStyle name="표준 8 2 2 4 2 3 4 3 2" xfId="38877"/>
    <cellStyle name="표준 8 2 2 4 2 3 4 4" xfId="23894"/>
    <cellStyle name="표준 8 2 2 4 2 3 4 4 2" xfId="46359"/>
    <cellStyle name="표준 8 2 2 4 2 3 4 5" xfId="31395"/>
    <cellStyle name="표준 8 2 2 4 2 3 5" xfId="8929"/>
    <cellStyle name="표준 8 2 2 4 2 3 5 2" xfId="16412"/>
    <cellStyle name="표준 8 2 2 4 2 3 5 2 2" xfId="38879"/>
    <cellStyle name="표준 8 2 2 4 2 3 5 3" xfId="23896"/>
    <cellStyle name="표준 8 2 2 4 2 3 5 3 2" xfId="46361"/>
    <cellStyle name="표준 8 2 2 4 2 3 5 4" xfId="31397"/>
    <cellStyle name="표준 8 2 2 4 2 3 6" xfId="16397"/>
    <cellStyle name="표준 8 2 2 4 2 3 6 2" xfId="38864"/>
    <cellStyle name="표준 8 2 2 4 2 3 7" xfId="23881"/>
    <cellStyle name="표준 8 2 2 4 2 3 7 2" xfId="46346"/>
    <cellStyle name="표준 8 2 2 4 2 3 8" xfId="31382"/>
    <cellStyle name="표준 8 2 2 4 2 4" xfId="8930"/>
    <cellStyle name="표준 8 2 2 4 2 4 2" xfId="8931"/>
    <cellStyle name="표준 8 2 2 4 2 4 2 2" xfId="8932"/>
    <cellStyle name="표준 8 2 2 4 2 4 2 2 2" xfId="8933"/>
    <cellStyle name="표준 8 2 2 4 2 4 2 2 2 2" xfId="16416"/>
    <cellStyle name="표준 8 2 2 4 2 4 2 2 2 2 2" xfId="38883"/>
    <cellStyle name="표준 8 2 2 4 2 4 2 2 2 3" xfId="23900"/>
    <cellStyle name="표준 8 2 2 4 2 4 2 2 2 3 2" xfId="46365"/>
    <cellStyle name="표준 8 2 2 4 2 4 2 2 2 4" xfId="31401"/>
    <cellStyle name="표준 8 2 2 4 2 4 2 2 3" xfId="16415"/>
    <cellStyle name="표준 8 2 2 4 2 4 2 2 3 2" xfId="38882"/>
    <cellStyle name="표준 8 2 2 4 2 4 2 2 4" xfId="23899"/>
    <cellStyle name="표준 8 2 2 4 2 4 2 2 4 2" xfId="46364"/>
    <cellStyle name="표준 8 2 2 4 2 4 2 2 5" xfId="31400"/>
    <cellStyle name="표준 8 2 2 4 2 4 2 3" xfId="8934"/>
    <cellStyle name="표준 8 2 2 4 2 4 2 3 2" xfId="16417"/>
    <cellStyle name="표준 8 2 2 4 2 4 2 3 2 2" xfId="38884"/>
    <cellStyle name="표준 8 2 2 4 2 4 2 3 3" xfId="23901"/>
    <cellStyle name="표준 8 2 2 4 2 4 2 3 3 2" xfId="46366"/>
    <cellStyle name="표준 8 2 2 4 2 4 2 3 4" xfId="31402"/>
    <cellStyle name="표준 8 2 2 4 2 4 2 4" xfId="16414"/>
    <cellStyle name="표준 8 2 2 4 2 4 2 4 2" xfId="38881"/>
    <cellStyle name="표준 8 2 2 4 2 4 2 5" xfId="23898"/>
    <cellStyle name="표준 8 2 2 4 2 4 2 5 2" xfId="46363"/>
    <cellStyle name="표준 8 2 2 4 2 4 2 6" xfId="31399"/>
    <cellStyle name="표준 8 2 2 4 2 4 3" xfId="8935"/>
    <cellStyle name="표준 8 2 2 4 2 4 3 2" xfId="8936"/>
    <cellStyle name="표준 8 2 2 4 2 4 3 2 2" xfId="16419"/>
    <cellStyle name="표준 8 2 2 4 2 4 3 2 2 2" xfId="38886"/>
    <cellStyle name="표준 8 2 2 4 2 4 3 2 3" xfId="23903"/>
    <cellStyle name="표준 8 2 2 4 2 4 3 2 3 2" xfId="46368"/>
    <cellStyle name="표준 8 2 2 4 2 4 3 2 4" xfId="31404"/>
    <cellStyle name="표준 8 2 2 4 2 4 3 3" xfId="16418"/>
    <cellStyle name="표준 8 2 2 4 2 4 3 3 2" xfId="38885"/>
    <cellStyle name="표준 8 2 2 4 2 4 3 4" xfId="23902"/>
    <cellStyle name="표준 8 2 2 4 2 4 3 4 2" xfId="46367"/>
    <cellStyle name="표준 8 2 2 4 2 4 3 5" xfId="31403"/>
    <cellStyle name="표준 8 2 2 4 2 4 4" xfId="8937"/>
    <cellStyle name="표준 8 2 2 4 2 4 4 2" xfId="16420"/>
    <cellStyle name="표준 8 2 2 4 2 4 4 2 2" xfId="38887"/>
    <cellStyle name="표준 8 2 2 4 2 4 4 3" xfId="23904"/>
    <cellStyle name="표준 8 2 2 4 2 4 4 3 2" xfId="46369"/>
    <cellStyle name="표준 8 2 2 4 2 4 4 4" xfId="31405"/>
    <cellStyle name="표준 8 2 2 4 2 4 5" xfId="16413"/>
    <cellStyle name="표준 8 2 2 4 2 4 5 2" xfId="38880"/>
    <cellStyle name="표준 8 2 2 4 2 4 6" xfId="23897"/>
    <cellStyle name="표준 8 2 2 4 2 4 6 2" xfId="46362"/>
    <cellStyle name="표준 8 2 2 4 2 4 7" xfId="31398"/>
    <cellStyle name="표준 8 2 2 4 2 5" xfId="8938"/>
    <cellStyle name="표준 8 2 2 4 2 5 2" xfId="8939"/>
    <cellStyle name="표준 8 2 2 4 2 5 2 2" xfId="8940"/>
    <cellStyle name="표준 8 2 2 4 2 5 2 2 2" xfId="16423"/>
    <cellStyle name="표준 8 2 2 4 2 5 2 2 2 2" xfId="38890"/>
    <cellStyle name="표준 8 2 2 4 2 5 2 2 3" xfId="23907"/>
    <cellStyle name="표준 8 2 2 4 2 5 2 2 3 2" xfId="46372"/>
    <cellStyle name="표준 8 2 2 4 2 5 2 2 4" xfId="31408"/>
    <cellStyle name="표준 8 2 2 4 2 5 2 3" xfId="16422"/>
    <cellStyle name="표준 8 2 2 4 2 5 2 3 2" xfId="38889"/>
    <cellStyle name="표준 8 2 2 4 2 5 2 4" xfId="23906"/>
    <cellStyle name="표준 8 2 2 4 2 5 2 4 2" xfId="46371"/>
    <cellStyle name="표준 8 2 2 4 2 5 2 5" xfId="31407"/>
    <cellStyle name="표준 8 2 2 4 2 5 3" xfId="8941"/>
    <cellStyle name="표준 8 2 2 4 2 5 3 2" xfId="16424"/>
    <cellStyle name="표준 8 2 2 4 2 5 3 2 2" xfId="38891"/>
    <cellStyle name="표준 8 2 2 4 2 5 3 3" xfId="23908"/>
    <cellStyle name="표준 8 2 2 4 2 5 3 3 2" xfId="46373"/>
    <cellStyle name="표준 8 2 2 4 2 5 3 4" xfId="31409"/>
    <cellStyle name="표준 8 2 2 4 2 5 4" xfId="16421"/>
    <cellStyle name="표준 8 2 2 4 2 5 4 2" xfId="38888"/>
    <cellStyle name="표준 8 2 2 4 2 5 5" xfId="23905"/>
    <cellStyle name="표준 8 2 2 4 2 5 5 2" xfId="46370"/>
    <cellStyle name="표준 8 2 2 4 2 5 6" xfId="31406"/>
    <cellStyle name="표준 8 2 2 4 2 6" xfId="8942"/>
    <cellStyle name="표준 8 2 2 4 2 6 2" xfId="8943"/>
    <cellStyle name="표준 8 2 2 4 2 6 2 2" xfId="16426"/>
    <cellStyle name="표준 8 2 2 4 2 6 2 2 2" xfId="38893"/>
    <cellStyle name="표준 8 2 2 4 2 6 2 3" xfId="23910"/>
    <cellStyle name="표준 8 2 2 4 2 6 2 3 2" xfId="46375"/>
    <cellStyle name="표준 8 2 2 4 2 6 2 4" xfId="31411"/>
    <cellStyle name="표준 8 2 2 4 2 6 3" xfId="16425"/>
    <cellStyle name="표준 8 2 2 4 2 6 3 2" xfId="38892"/>
    <cellStyle name="표준 8 2 2 4 2 6 4" xfId="23909"/>
    <cellStyle name="표준 8 2 2 4 2 6 4 2" xfId="46374"/>
    <cellStyle name="표준 8 2 2 4 2 6 5" xfId="31410"/>
    <cellStyle name="표준 8 2 2 4 2 7" xfId="8944"/>
    <cellStyle name="표준 8 2 2 4 2 7 2" xfId="16427"/>
    <cellStyle name="표준 8 2 2 4 2 7 2 2" xfId="38894"/>
    <cellStyle name="표준 8 2 2 4 2 7 3" xfId="23911"/>
    <cellStyle name="표준 8 2 2 4 2 7 3 2" xfId="46376"/>
    <cellStyle name="표준 8 2 2 4 2 7 4" xfId="31412"/>
    <cellStyle name="표준 8 2 2 4 2 8" xfId="16380"/>
    <cellStyle name="표준 8 2 2 4 2 8 2" xfId="38847"/>
    <cellStyle name="표준 8 2 2 4 2 9" xfId="23864"/>
    <cellStyle name="표준 8 2 2 4 2 9 2" xfId="46329"/>
    <cellStyle name="표준 8 2 2 4 3" xfId="8945"/>
    <cellStyle name="표준 8 2 2 4 3 2" xfId="8946"/>
    <cellStyle name="표준 8 2 2 4 3 2 2" xfId="8947"/>
    <cellStyle name="표준 8 2 2 4 3 2 2 2" xfId="8948"/>
    <cellStyle name="표준 8 2 2 4 3 2 2 2 2" xfId="8949"/>
    <cellStyle name="표준 8 2 2 4 3 2 2 2 2 2" xfId="16432"/>
    <cellStyle name="표준 8 2 2 4 3 2 2 2 2 2 2" xfId="38899"/>
    <cellStyle name="표준 8 2 2 4 3 2 2 2 2 3" xfId="23916"/>
    <cellStyle name="표준 8 2 2 4 3 2 2 2 2 3 2" xfId="46381"/>
    <cellStyle name="표준 8 2 2 4 3 2 2 2 2 4" xfId="31417"/>
    <cellStyle name="표준 8 2 2 4 3 2 2 2 3" xfId="16431"/>
    <cellStyle name="표준 8 2 2 4 3 2 2 2 3 2" xfId="38898"/>
    <cellStyle name="표준 8 2 2 4 3 2 2 2 4" xfId="23915"/>
    <cellStyle name="표준 8 2 2 4 3 2 2 2 4 2" xfId="46380"/>
    <cellStyle name="표준 8 2 2 4 3 2 2 2 5" xfId="31416"/>
    <cellStyle name="표준 8 2 2 4 3 2 2 3" xfId="8950"/>
    <cellStyle name="표준 8 2 2 4 3 2 2 3 2" xfId="16433"/>
    <cellStyle name="표준 8 2 2 4 3 2 2 3 2 2" xfId="38900"/>
    <cellStyle name="표준 8 2 2 4 3 2 2 3 3" xfId="23917"/>
    <cellStyle name="표준 8 2 2 4 3 2 2 3 3 2" xfId="46382"/>
    <cellStyle name="표준 8 2 2 4 3 2 2 3 4" xfId="31418"/>
    <cellStyle name="표준 8 2 2 4 3 2 2 4" xfId="16430"/>
    <cellStyle name="표준 8 2 2 4 3 2 2 4 2" xfId="38897"/>
    <cellStyle name="표준 8 2 2 4 3 2 2 5" xfId="23914"/>
    <cellStyle name="표준 8 2 2 4 3 2 2 5 2" xfId="46379"/>
    <cellStyle name="표준 8 2 2 4 3 2 2 6" xfId="31415"/>
    <cellStyle name="표준 8 2 2 4 3 2 3" xfId="8951"/>
    <cellStyle name="표준 8 2 2 4 3 2 3 2" xfId="8952"/>
    <cellStyle name="표준 8 2 2 4 3 2 3 2 2" xfId="16435"/>
    <cellStyle name="표준 8 2 2 4 3 2 3 2 2 2" xfId="38902"/>
    <cellStyle name="표준 8 2 2 4 3 2 3 2 3" xfId="23919"/>
    <cellStyle name="표준 8 2 2 4 3 2 3 2 3 2" xfId="46384"/>
    <cellStyle name="표준 8 2 2 4 3 2 3 2 4" xfId="31420"/>
    <cellStyle name="표준 8 2 2 4 3 2 3 3" xfId="16434"/>
    <cellStyle name="표준 8 2 2 4 3 2 3 3 2" xfId="38901"/>
    <cellStyle name="표준 8 2 2 4 3 2 3 4" xfId="23918"/>
    <cellStyle name="표준 8 2 2 4 3 2 3 4 2" xfId="46383"/>
    <cellStyle name="표준 8 2 2 4 3 2 3 5" xfId="31419"/>
    <cellStyle name="표준 8 2 2 4 3 2 4" xfId="8953"/>
    <cellStyle name="표준 8 2 2 4 3 2 4 2" xfId="16436"/>
    <cellStyle name="표준 8 2 2 4 3 2 4 2 2" xfId="38903"/>
    <cellStyle name="표준 8 2 2 4 3 2 4 3" xfId="23920"/>
    <cellStyle name="표준 8 2 2 4 3 2 4 3 2" xfId="46385"/>
    <cellStyle name="표준 8 2 2 4 3 2 4 4" xfId="31421"/>
    <cellStyle name="표준 8 2 2 4 3 2 5" xfId="16429"/>
    <cellStyle name="표준 8 2 2 4 3 2 5 2" xfId="38896"/>
    <cellStyle name="표준 8 2 2 4 3 2 6" xfId="23913"/>
    <cellStyle name="표준 8 2 2 4 3 2 6 2" xfId="46378"/>
    <cellStyle name="표준 8 2 2 4 3 2 7" xfId="31414"/>
    <cellStyle name="표준 8 2 2 4 3 3" xfId="8954"/>
    <cellStyle name="표준 8 2 2 4 3 3 2" xfId="8955"/>
    <cellStyle name="표준 8 2 2 4 3 3 2 2" xfId="8956"/>
    <cellStyle name="표준 8 2 2 4 3 3 2 2 2" xfId="16439"/>
    <cellStyle name="표준 8 2 2 4 3 3 2 2 2 2" xfId="38906"/>
    <cellStyle name="표준 8 2 2 4 3 3 2 2 3" xfId="23923"/>
    <cellStyle name="표준 8 2 2 4 3 3 2 2 3 2" xfId="46388"/>
    <cellStyle name="표준 8 2 2 4 3 3 2 2 4" xfId="31424"/>
    <cellStyle name="표준 8 2 2 4 3 3 2 3" xfId="16438"/>
    <cellStyle name="표준 8 2 2 4 3 3 2 3 2" xfId="38905"/>
    <cellStyle name="표준 8 2 2 4 3 3 2 4" xfId="23922"/>
    <cellStyle name="표준 8 2 2 4 3 3 2 4 2" xfId="46387"/>
    <cellStyle name="표준 8 2 2 4 3 3 2 5" xfId="31423"/>
    <cellStyle name="표준 8 2 2 4 3 3 3" xfId="8957"/>
    <cellStyle name="표준 8 2 2 4 3 3 3 2" xfId="16440"/>
    <cellStyle name="표준 8 2 2 4 3 3 3 2 2" xfId="38907"/>
    <cellStyle name="표준 8 2 2 4 3 3 3 3" xfId="23924"/>
    <cellStyle name="표준 8 2 2 4 3 3 3 3 2" xfId="46389"/>
    <cellStyle name="표준 8 2 2 4 3 3 3 4" xfId="31425"/>
    <cellStyle name="표준 8 2 2 4 3 3 4" xfId="16437"/>
    <cellStyle name="표준 8 2 2 4 3 3 4 2" xfId="38904"/>
    <cellStyle name="표준 8 2 2 4 3 3 5" xfId="23921"/>
    <cellStyle name="표준 8 2 2 4 3 3 5 2" xfId="46386"/>
    <cellStyle name="표준 8 2 2 4 3 3 6" xfId="31422"/>
    <cellStyle name="표준 8 2 2 4 3 4" xfId="8958"/>
    <cellStyle name="표준 8 2 2 4 3 4 2" xfId="8959"/>
    <cellStyle name="표준 8 2 2 4 3 4 2 2" xfId="16442"/>
    <cellStyle name="표준 8 2 2 4 3 4 2 2 2" xfId="38909"/>
    <cellStyle name="표준 8 2 2 4 3 4 2 3" xfId="23926"/>
    <cellStyle name="표준 8 2 2 4 3 4 2 3 2" xfId="46391"/>
    <cellStyle name="표준 8 2 2 4 3 4 2 4" xfId="31427"/>
    <cellStyle name="표준 8 2 2 4 3 4 3" xfId="16441"/>
    <cellStyle name="표준 8 2 2 4 3 4 3 2" xfId="38908"/>
    <cellStyle name="표준 8 2 2 4 3 4 4" xfId="23925"/>
    <cellStyle name="표준 8 2 2 4 3 4 4 2" xfId="46390"/>
    <cellStyle name="표준 8 2 2 4 3 4 5" xfId="31426"/>
    <cellStyle name="표준 8 2 2 4 3 5" xfId="8960"/>
    <cellStyle name="표준 8 2 2 4 3 5 2" xfId="16443"/>
    <cellStyle name="표준 8 2 2 4 3 5 2 2" xfId="38910"/>
    <cellStyle name="표준 8 2 2 4 3 5 3" xfId="23927"/>
    <cellStyle name="표준 8 2 2 4 3 5 3 2" xfId="46392"/>
    <cellStyle name="표준 8 2 2 4 3 5 4" xfId="31428"/>
    <cellStyle name="표준 8 2 2 4 3 6" xfId="16428"/>
    <cellStyle name="표준 8 2 2 4 3 6 2" xfId="38895"/>
    <cellStyle name="표준 8 2 2 4 3 7" xfId="23912"/>
    <cellStyle name="표준 8 2 2 4 3 7 2" xfId="46377"/>
    <cellStyle name="표준 8 2 2 4 3 8" xfId="31413"/>
    <cellStyle name="표준 8 2 2 4 4" xfId="8961"/>
    <cellStyle name="표준 8 2 2 4 4 2" xfId="8962"/>
    <cellStyle name="표준 8 2 2 4 4 2 2" xfId="8963"/>
    <cellStyle name="표준 8 2 2 4 4 2 2 2" xfId="8964"/>
    <cellStyle name="표준 8 2 2 4 4 2 2 2 2" xfId="8965"/>
    <cellStyle name="표준 8 2 2 4 4 2 2 2 2 2" xfId="16448"/>
    <cellStyle name="표준 8 2 2 4 4 2 2 2 2 2 2" xfId="38915"/>
    <cellStyle name="표준 8 2 2 4 4 2 2 2 2 3" xfId="23932"/>
    <cellStyle name="표준 8 2 2 4 4 2 2 2 2 3 2" xfId="46397"/>
    <cellStyle name="표준 8 2 2 4 4 2 2 2 2 4" xfId="31433"/>
    <cellStyle name="표준 8 2 2 4 4 2 2 2 3" xfId="16447"/>
    <cellStyle name="표준 8 2 2 4 4 2 2 2 3 2" xfId="38914"/>
    <cellStyle name="표준 8 2 2 4 4 2 2 2 4" xfId="23931"/>
    <cellStyle name="표준 8 2 2 4 4 2 2 2 4 2" xfId="46396"/>
    <cellStyle name="표준 8 2 2 4 4 2 2 2 5" xfId="31432"/>
    <cellStyle name="표준 8 2 2 4 4 2 2 3" xfId="8966"/>
    <cellStyle name="표준 8 2 2 4 4 2 2 3 2" xfId="16449"/>
    <cellStyle name="표준 8 2 2 4 4 2 2 3 2 2" xfId="38916"/>
    <cellStyle name="표준 8 2 2 4 4 2 2 3 3" xfId="23933"/>
    <cellStyle name="표준 8 2 2 4 4 2 2 3 3 2" xfId="46398"/>
    <cellStyle name="표준 8 2 2 4 4 2 2 3 4" xfId="31434"/>
    <cellStyle name="표준 8 2 2 4 4 2 2 4" xfId="16446"/>
    <cellStyle name="표준 8 2 2 4 4 2 2 4 2" xfId="38913"/>
    <cellStyle name="표준 8 2 2 4 4 2 2 5" xfId="23930"/>
    <cellStyle name="표준 8 2 2 4 4 2 2 5 2" xfId="46395"/>
    <cellStyle name="표준 8 2 2 4 4 2 2 6" xfId="31431"/>
    <cellStyle name="표준 8 2 2 4 4 2 3" xfId="8967"/>
    <cellStyle name="표준 8 2 2 4 4 2 3 2" xfId="8968"/>
    <cellStyle name="표준 8 2 2 4 4 2 3 2 2" xfId="16451"/>
    <cellStyle name="표준 8 2 2 4 4 2 3 2 2 2" xfId="38918"/>
    <cellStyle name="표준 8 2 2 4 4 2 3 2 3" xfId="23935"/>
    <cellStyle name="표준 8 2 2 4 4 2 3 2 3 2" xfId="46400"/>
    <cellStyle name="표준 8 2 2 4 4 2 3 2 4" xfId="31436"/>
    <cellStyle name="표준 8 2 2 4 4 2 3 3" xfId="16450"/>
    <cellStyle name="표준 8 2 2 4 4 2 3 3 2" xfId="38917"/>
    <cellStyle name="표준 8 2 2 4 4 2 3 4" xfId="23934"/>
    <cellStyle name="표준 8 2 2 4 4 2 3 4 2" xfId="46399"/>
    <cellStyle name="표준 8 2 2 4 4 2 3 5" xfId="31435"/>
    <cellStyle name="표준 8 2 2 4 4 2 4" xfId="8969"/>
    <cellStyle name="표준 8 2 2 4 4 2 4 2" xfId="16452"/>
    <cellStyle name="표준 8 2 2 4 4 2 4 2 2" xfId="38919"/>
    <cellStyle name="표준 8 2 2 4 4 2 4 3" xfId="23936"/>
    <cellStyle name="표준 8 2 2 4 4 2 4 3 2" xfId="46401"/>
    <cellStyle name="표준 8 2 2 4 4 2 4 4" xfId="31437"/>
    <cellStyle name="표준 8 2 2 4 4 2 5" xfId="16445"/>
    <cellStyle name="표준 8 2 2 4 4 2 5 2" xfId="38912"/>
    <cellStyle name="표준 8 2 2 4 4 2 6" xfId="23929"/>
    <cellStyle name="표준 8 2 2 4 4 2 6 2" xfId="46394"/>
    <cellStyle name="표준 8 2 2 4 4 2 7" xfId="31430"/>
    <cellStyle name="표준 8 2 2 4 4 3" xfId="8970"/>
    <cellStyle name="표준 8 2 2 4 4 3 2" xfId="8971"/>
    <cellStyle name="표준 8 2 2 4 4 3 2 2" xfId="8972"/>
    <cellStyle name="표준 8 2 2 4 4 3 2 2 2" xfId="16455"/>
    <cellStyle name="표준 8 2 2 4 4 3 2 2 2 2" xfId="38922"/>
    <cellStyle name="표준 8 2 2 4 4 3 2 2 3" xfId="23939"/>
    <cellStyle name="표준 8 2 2 4 4 3 2 2 3 2" xfId="46404"/>
    <cellStyle name="표준 8 2 2 4 4 3 2 2 4" xfId="31440"/>
    <cellStyle name="표준 8 2 2 4 4 3 2 3" xfId="16454"/>
    <cellStyle name="표준 8 2 2 4 4 3 2 3 2" xfId="38921"/>
    <cellStyle name="표준 8 2 2 4 4 3 2 4" xfId="23938"/>
    <cellStyle name="표준 8 2 2 4 4 3 2 4 2" xfId="46403"/>
    <cellStyle name="표준 8 2 2 4 4 3 2 5" xfId="31439"/>
    <cellStyle name="표준 8 2 2 4 4 3 3" xfId="8973"/>
    <cellStyle name="표준 8 2 2 4 4 3 3 2" xfId="16456"/>
    <cellStyle name="표준 8 2 2 4 4 3 3 2 2" xfId="38923"/>
    <cellStyle name="표준 8 2 2 4 4 3 3 3" xfId="23940"/>
    <cellStyle name="표준 8 2 2 4 4 3 3 3 2" xfId="46405"/>
    <cellStyle name="표준 8 2 2 4 4 3 3 4" xfId="31441"/>
    <cellStyle name="표준 8 2 2 4 4 3 4" xfId="16453"/>
    <cellStyle name="표준 8 2 2 4 4 3 4 2" xfId="38920"/>
    <cellStyle name="표준 8 2 2 4 4 3 5" xfId="23937"/>
    <cellStyle name="표준 8 2 2 4 4 3 5 2" xfId="46402"/>
    <cellStyle name="표준 8 2 2 4 4 3 6" xfId="31438"/>
    <cellStyle name="표준 8 2 2 4 4 4" xfId="8974"/>
    <cellStyle name="표준 8 2 2 4 4 4 2" xfId="8975"/>
    <cellStyle name="표준 8 2 2 4 4 4 2 2" xfId="16458"/>
    <cellStyle name="표준 8 2 2 4 4 4 2 2 2" xfId="38925"/>
    <cellStyle name="표준 8 2 2 4 4 4 2 3" xfId="23942"/>
    <cellStyle name="표준 8 2 2 4 4 4 2 3 2" xfId="46407"/>
    <cellStyle name="표준 8 2 2 4 4 4 2 4" xfId="31443"/>
    <cellStyle name="표준 8 2 2 4 4 4 3" xfId="16457"/>
    <cellStyle name="표준 8 2 2 4 4 4 3 2" xfId="38924"/>
    <cellStyle name="표준 8 2 2 4 4 4 4" xfId="23941"/>
    <cellStyle name="표준 8 2 2 4 4 4 4 2" xfId="46406"/>
    <cellStyle name="표준 8 2 2 4 4 4 5" xfId="31442"/>
    <cellStyle name="표준 8 2 2 4 4 5" xfId="8976"/>
    <cellStyle name="표준 8 2 2 4 4 5 2" xfId="16459"/>
    <cellStyle name="표준 8 2 2 4 4 5 2 2" xfId="38926"/>
    <cellStyle name="표준 8 2 2 4 4 5 3" xfId="23943"/>
    <cellStyle name="표준 8 2 2 4 4 5 3 2" xfId="46408"/>
    <cellStyle name="표준 8 2 2 4 4 5 4" xfId="31444"/>
    <cellStyle name="표준 8 2 2 4 4 6" xfId="16444"/>
    <cellStyle name="표준 8 2 2 4 4 6 2" xfId="38911"/>
    <cellStyle name="표준 8 2 2 4 4 7" xfId="23928"/>
    <cellStyle name="표준 8 2 2 4 4 7 2" xfId="46393"/>
    <cellStyle name="표준 8 2 2 4 4 8" xfId="31429"/>
    <cellStyle name="표준 8 2 2 4 5" xfId="8977"/>
    <cellStyle name="표준 8 2 2 4 5 2" xfId="8978"/>
    <cellStyle name="표준 8 2 2 4 5 2 2" xfId="8979"/>
    <cellStyle name="표준 8 2 2 4 5 2 2 2" xfId="8980"/>
    <cellStyle name="표준 8 2 2 4 5 2 2 2 2" xfId="16463"/>
    <cellStyle name="표준 8 2 2 4 5 2 2 2 2 2" xfId="38930"/>
    <cellStyle name="표준 8 2 2 4 5 2 2 2 3" xfId="23947"/>
    <cellStyle name="표준 8 2 2 4 5 2 2 2 3 2" xfId="46412"/>
    <cellStyle name="표준 8 2 2 4 5 2 2 2 4" xfId="31448"/>
    <cellStyle name="표준 8 2 2 4 5 2 2 3" xfId="16462"/>
    <cellStyle name="표준 8 2 2 4 5 2 2 3 2" xfId="38929"/>
    <cellStyle name="표준 8 2 2 4 5 2 2 4" xfId="23946"/>
    <cellStyle name="표준 8 2 2 4 5 2 2 4 2" xfId="46411"/>
    <cellStyle name="표준 8 2 2 4 5 2 2 5" xfId="31447"/>
    <cellStyle name="표준 8 2 2 4 5 2 3" xfId="8981"/>
    <cellStyle name="표준 8 2 2 4 5 2 3 2" xfId="16464"/>
    <cellStyle name="표준 8 2 2 4 5 2 3 2 2" xfId="38931"/>
    <cellStyle name="표준 8 2 2 4 5 2 3 3" xfId="23948"/>
    <cellStyle name="표준 8 2 2 4 5 2 3 3 2" xfId="46413"/>
    <cellStyle name="표준 8 2 2 4 5 2 3 4" xfId="31449"/>
    <cellStyle name="표준 8 2 2 4 5 2 4" xfId="16461"/>
    <cellStyle name="표준 8 2 2 4 5 2 4 2" xfId="38928"/>
    <cellStyle name="표준 8 2 2 4 5 2 5" xfId="23945"/>
    <cellStyle name="표준 8 2 2 4 5 2 5 2" xfId="46410"/>
    <cellStyle name="표준 8 2 2 4 5 2 6" xfId="31446"/>
    <cellStyle name="표준 8 2 2 4 5 3" xfId="8982"/>
    <cellStyle name="표준 8 2 2 4 5 3 2" xfId="8983"/>
    <cellStyle name="표준 8 2 2 4 5 3 2 2" xfId="16466"/>
    <cellStyle name="표준 8 2 2 4 5 3 2 2 2" xfId="38933"/>
    <cellStyle name="표준 8 2 2 4 5 3 2 3" xfId="23950"/>
    <cellStyle name="표준 8 2 2 4 5 3 2 3 2" xfId="46415"/>
    <cellStyle name="표준 8 2 2 4 5 3 2 4" xfId="31451"/>
    <cellStyle name="표준 8 2 2 4 5 3 3" xfId="16465"/>
    <cellStyle name="표준 8 2 2 4 5 3 3 2" xfId="38932"/>
    <cellStyle name="표준 8 2 2 4 5 3 4" xfId="23949"/>
    <cellStyle name="표준 8 2 2 4 5 3 4 2" xfId="46414"/>
    <cellStyle name="표준 8 2 2 4 5 3 5" xfId="31450"/>
    <cellStyle name="표준 8 2 2 4 5 4" xfId="8984"/>
    <cellStyle name="표준 8 2 2 4 5 4 2" xfId="16467"/>
    <cellStyle name="표준 8 2 2 4 5 4 2 2" xfId="38934"/>
    <cellStyle name="표준 8 2 2 4 5 4 3" xfId="23951"/>
    <cellStyle name="표준 8 2 2 4 5 4 3 2" xfId="46416"/>
    <cellStyle name="표준 8 2 2 4 5 4 4" xfId="31452"/>
    <cellStyle name="표준 8 2 2 4 5 5" xfId="16460"/>
    <cellStyle name="표준 8 2 2 4 5 5 2" xfId="38927"/>
    <cellStyle name="표준 8 2 2 4 5 6" xfId="23944"/>
    <cellStyle name="표준 8 2 2 4 5 6 2" xfId="46409"/>
    <cellStyle name="표준 8 2 2 4 5 7" xfId="31445"/>
    <cellStyle name="표준 8 2 2 4 6" xfId="8985"/>
    <cellStyle name="표준 8 2 2 4 6 2" xfId="8986"/>
    <cellStyle name="표준 8 2 2 4 6 2 2" xfId="8987"/>
    <cellStyle name="표준 8 2 2 4 6 2 2 2" xfId="16470"/>
    <cellStyle name="표준 8 2 2 4 6 2 2 2 2" xfId="38937"/>
    <cellStyle name="표준 8 2 2 4 6 2 2 3" xfId="23954"/>
    <cellStyle name="표준 8 2 2 4 6 2 2 3 2" xfId="46419"/>
    <cellStyle name="표준 8 2 2 4 6 2 2 4" xfId="31455"/>
    <cellStyle name="표준 8 2 2 4 6 2 3" xfId="16469"/>
    <cellStyle name="표준 8 2 2 4 6 2 3 2" xfId="38936"/>
    <cellStyle name="표준 8 2 2 4 6 2 4" xfId="23953"/>
    <cellStyle name="표준 8 2 2 4 6 2 4 2" xfId="46418"/>
    <cellStyle name="표준 8 2 2 4 6 2 5" xfId="31454"/>
    <cellStyle name="표준 8 2 2 4 6 3" xfId="8988"/>
    <cellStyle name="표준 8 2 2 4 6 3 2" xfId="16471"/>
    <cellStyle name="표준 8 2 2 4 6 3 2 2" xfId="38938"/>
    <cellStyle name="표준 8 2 2 4 6 3 3" xfId="23955"/>
    <cellStyle name="표준 8 2 2 4 6 3 3 2" xfId="46420"/>
    <cellStyle name="표준 8 2 2 4 6 3 4" xfId="31456"/>
    <cellStyle name="표준 8 2 2 4 6 4" xfId="16468"/>
    <cellStyle name="표준 8 2 2 4 6 4 2" xfId="38935"/>
    <cellStyle name="표준 8 2 2 4 6 5" xfId="23952"/>
    <cellStyle name="표준 8 2 2 4 6 5 2" xfId="46417"/>
    <cellStyle name="표준 8 2 2 4 6 6" xfId="31453"/>
    <cellStyle name="표준 8 2 2 4 7" xfId="8989"/>
    <cellStyle name="표준 8 2 2 4 7 2" xfId="8990"/>
    <cellStyle name="표준 8 2 2 4 7 2 2" xfId="16473"/>
    <cellStyle name="표준 8 2 2 4 7 2 2 2" xfId="38940"/>
    <cellStyle name="표준 8 2 2 4 7 2 3" xfId="23957"/>
    <cellStyle name="표준 8 2 2 4 7 2 3 2" xfId="46422"/>
    <cellStyle name="표준 8 2 2 4 7 2 4" xfId="31458"/>
    <cellStyle name="표준 8 2 2 4 7 3" xfId="16472"/>
    <cellStyle name="표준 8 2 2 4 7 3 2" xfId="38939"/>
    <cellStyle name="표준 8 2 2 4 7 4" xfId="23956"/>
    <cellStyle name="표준 8 2 2 4 7 4 2" xfId="46421"/>
    <cellStyle name="표준 8 2 2 4 7 5" xfId="31457"/>
    <cellStyle name="표준 8 2 2 4 8" xfId="8991"/>
    <cellStyle name="표준 8 2 2 4 8 2" xfId="16474"/>
    <cellStyle name="표준 8 2 2 4 8 2 2" xfId="38941"/>
    <cellStyle name="표준 8 2 2 4 8 3" xfId="23958"/>
    <cellStyle name="표준 8 2 2 4 8 3 2" xfId="46423"/>
    <cellStyle name="표준 8 2 2 4 8 4" xfId="31459"/>
    <cellStyle name="표준 8 2 2 4 9" xfId="16379"/>
    <cellStyle name="표준 8 2 2 4 9 2" xfId="38846"/>
    <cellStyle name="표준 8 2 2 5" xfId="8992"/>
    <cellStyle name="표준 8 2 2 5 10" xfId="31460"/>
    <cellStyle name="표준 8 2 2 5 2" xfId="8993"/>
    <cellStyle name="표준 8 2 2 5 2 2" xfId="8994"/>
    <cellStyle name="표준 8 2 2 5 2 2 2" xfId="8995"/>
    <cellStyle name="표준 8 2 2 5 2 2 2 2" xfId="8996"/>
    <cellStyle name="표준 8 2 2 5 2 2 2 2 2" xfId="8997"/>
    <cellStyle name="표준 8 2 2 5 2 2 2 2 2 2" xfId="16480"/>
    <cellStyle name="표준 8 2 2 5 2 2 2 2 2 2 2" xfId="38947"/>
    <cellStyle name="표준 8 2 2 5 2 2 2 2 2 3" xfId="23964"/>
    <cellStyle name="표준 8 2 2 5 2 2 2 2 2 3 2" xfId="46429"/>
    <cellStyle name="표준 8 2 2 5 2 2 2 2 2 4" xfId="31465"/>
    <cellStyle name="표준 8 2 2 5 2 2 2 2 3" xfId="16479"/>
    <cellStyle name="표준 8 2 2 5 2 2 2 2 3 2" xfId="38946"/>
    <cellStyle name="표준 8 2 2 5 2 2 2 2 4" xfId="23963"/>
    <cellStyle name="표준 8 2 2 5 2 2 2 2 4 2" xfId="46428"/>
    <cellStyle name="표준 8 2 2 5 2 2 2 2 5" xfId="31464"/>
    <cellStyle name="표준 8 2 2 5 2 2 2 3" xfId="8998"/>
    <cellStyle name="표준 8 2 2 5 2 2 2 3 2" xfId="16481"/>
    <cellStyle name="표준 8 2 2 5 2 2 2 3 2 2" xfId="38948"/>
    <cellStyle name="표준 8 2 2 5 2 2 2 3 3" xfId="23965"/>
    <cellStyle name="표준 8 2 2 5 2 2 2 3 3 2" xfId="46430"/>
    <cellStyle name="표준 8 2 2 5 2 2 2 3 4" xfId="31466"/>
    <cellStyle name="표준 8 2 2 5 2 2 2 4" xfId="16478"/>
    <cellStyle name="표준 8 2 2 5 2 2 2 4 2" xfId="38945"/>
    <cellStyle name="표준 8 2 2 5 2 2 2 5" xfId="23962"/>
    <cellStyle name="표준 8 2 2 5 2 2 2 5 2" xfId="46427"/>
    <cellStyle name="표준 8 2 2 5 2 2 2 6" xfId="31463"/>
    <cellStyle name="표준 8 2 2 5 2 2 3" xfId="8999"/>
    <cellStyle name="표준 8 2 2 5 2 2 3 2" xfId="9000"/>
    <cellStyle name="표준 8 2 2 5 2 2 3 2 2" xfId="16483"/>
    <cellStyle name="표준 8 2 2 5 2 2 3 2 2 2" xfId="38950"/>
    <cellStyle name="표준 8 2 2 5 2 2 3 2 3" xfId="23967"/>
    <cellStyle name="표준 8 2 2 5 2 2 3 2 3 2" xfId="46432"/>
    <cellStyle name="표준 8 2 2 5 2 2 3 2 4" xfId="31468"/>
    <cellStyle name="표준 8 2 2 5 2 2 3 3" xfId="16482"/>
    <cellStyle name="표준 8 2 2 5 2 2 3 3 2" xfId="38949"/>
    <cellStyle name="표준 8 2 2 5 2 2 3 4" xfId="23966"/>
    <cellStyle name="표준 8 2 2 5 2 2 3 4 2" xfId="46431"/>
    <cellStyle name="표준 8 2 2 5 2 2 3 5" xfId="31467"/>
    <cellStyle name="표준 8 2 2 5 2 2 4" xfId="9001"/>
    <cellStyle name="표준 8 2 2 5 2 2 4 2" xfId="16484"/>
    <cellStyle name="표준 8 2 2 5 2 2 4 2 2" xfId="38951"/>
    <cellStyle name="표준 8 2 2 5 2 2 4 3" xfId="23968"/>
    <cellStyle name="표준 8 2 2 5 2 2 4 3 2" xfId="46433"/>
    <cellStyle name="표준 8 2 2 5 2 2 4 4" xfId="31469"/>
    <cellStyle name="표준 8 2 2 5 2 2 5" xfId="16477"/>
    <cellStyle name="표준 8 2 2 5 2 2 5 2" xfId="38944"/>
    <cellStyle name="표준 8 2 2 5 2 2 6" xfId="23961"/>
    <cellStyle name="표준 8 2 2 5 2 2 6 2" xfId="46426"/>
    <cellStyle name="표준 8 2 2 5 2 2 7" xfId="31462"/>
    <cellStyle name="표준 8 2 2 5 2 3" xfId="9002"/>
    <cellStyle name="표준 8 2 2 5 2 3 2" xfId="9003"/>
    <cellStyle name="표준 8 2 2 5 2 3 2 2" xfId="9004"/>
    <cellStyle name="표준 8 2 2 5 2 3 2 2 2" xfId="16487"/>
    <cellStyle name="표준 8 2 2 5 2 3 2 2 2 2" xfId="38954"/>
    <cellStyle name="표준 8 2 2 5 2 3 2 2 3" xfId="23971"/>
    <cellStyle name="표준 8 2 2 5 2 3 2 2 3 2" xfId="46436"/>
    <cellStyle name="표준 8 2 2 5 2 3 2 2 4" xfId="31472"/>
    <cellStyle name="표준 8 2 2 5 2 3 2 3" xfId="16486"/>
    <cellStyle name="표준 8 2 2 5 2 3 2 3 2" xfId="38953"/>
    <cellStyle name="표준 8 2 2 5 2 3 2 4" xfId="23970"/>
    <cellStyle name="표준 8 2 2 5 2 3 2 4 2" xfId="46435"/>
    <cellStyle name="표준 8 2 2 5 2 3 2 5" xfId="31471"/>
    <cellStyle name="표준 8 2 2 5 2 3 3" xfId="9005"/>
    <cellStyle name="표준 8 2 2 5 2 3 3 2" xfId="16488"/>
    <cellStyle name="표준 8 2 2 5 2 3 3 2 2" xfId="38955"/>
    <cellStyle name="표준 8 2 2 5 2 3 3 3" xfId="23972"/>
    <cellStyle name="표준 8 2 2 5 2 3 3 3 2" xfId="46437"/>
    <cellStyle name="표준 8 2 2 5 2 3 3 4" xfId="31473"/>
    <cellStyle name="표준 8 2 2 5 2 3 4" xfId="16485"/>
    <cellStyle name="표준 8 2 2 5 2 3 4 2" xfId="38952"/>
    <cellStyle name="표준 8 2 2 5 2 3 5" xfId="23969"/>
    <cellStyle name="표준 8 2 2 5 2 3 5 2" xfId="46434"/>
    <cellStyle name="표준 8 2 2 5 2 3 6" xfId="31470"/>
    <cellStyle name="표준 8 2 2 5 2 4" xfId="9006"/>
    <cellStyle name="표준 8 2 2 5 2 4 2" xfId="9007"/>
    <cellStyle name="표준 8 2 2 5 2 4 2 2" xfId="16490"/>
    <cellStyle name="표준 8 2 2 5 2 4 2 2 2" xfId="38957"/>
    <cellStyle name="표준 8 2 2 5 2 4 2 3" xfId="23974"/>
    <cellStyle name="표준 8 2 2 5 2 4 2 3 2" xfId="46439"/>
    <cellStyle name="표준 8 2 2 5 2 4 2 4" xfId="31475"/>
    <cellStyle name="표준 8 2 2 5 2 4 3" xfId="16489"/>
    <cellStyle name="표준 8 2 2 5 2 4 3 2" xfId="38956"/>
    <cellStyle name="표준 8 2 2 5 2 4 4" xfId="23973"/>
    <cellStyle name="표준 8 2 2 5 2 4 4 2" xfId="46438"/>
    <cellStyle name="표준 8 2 2 5 2 4 5" xfId="31474"/>
    <cellStyle name="표준 8 2 2 5 2 5" xfId="9008"/>
    <cellStyle name="표준 8 2 2 5 2 5 2" xfId="16491"/>
    <cellStyle name="표준 8 2 2 5 2 5 2 2" xfId="38958"/>
    <cellStyle name="표준 8 2 2 5 2 5 3" xfId="23975"/>
    <cellStyle name="표준 8 2 2 5 2 5 3 2" xfId="46440"/>
    <cellStyle name="표준 8 2 2 5 2 5 4" xfId="31476"/>
    <cellStyle name="표준 8 2 2 5 2 6" xfId="16476"/>
    <cellStyle name="표준 8 2 2 5 2 6 2" xfId="38943"/>
    <cellStyle name="표준 8 2 2 5 2 7" xfId="23960"/>
    <cellStyle name="표준 8 2 2 5 2 7 2" xfId="46425"/>
    <cellStyle name="표준 8 2 2 5 2 8" xfId="31461"/>
    <cellStyle name="표준 8 2 2 5 3" xfId="9009"/>
    <cellStyle name="표준 8 2 2 5 3 2" xfId="9010"/>
    <cellStyle name="표준 8 2 2 5 3 2 2" xfId="9011"/>
    <cellStyle name="표준 8 2 2 5 3 2 2 2" xfId="9012"/>
    <cellStyle name="표준 8 2 2 5 3 2 2 2 2" xfId="9013"/>
    <cellStyle name="표준 8 2 2 5 3 2 2 2 2 2" xfId="16496"/>
    <cellStyle name="표준 8 2 2 5 3 2 2 2 2 2 2" xfId="38963"/>
    <cellStyle name="표준 8 2 2 5 3 2 2 2 2 3" xfId="23980"/>
    <cellStyle name="표준 8 2 2 5 3 2 2 2 2 3 2" xfId="46445"/>
    <cellStyle name="표준 8 2 2 5 3 2 2 2 2 4" xfId="31481"/>
    <cellStyle name="표준 8 2 2 5 3 2 2 2 3" xfId="16495"/>
    <cellStyle name="표준 8 2 2 5 3 2 2 2 3 2" xfId="38962"/>
    <cellStyle name="표준 8 2 2 5 3 2 2 2 4" xfId="23979"/>
    <cellStyle name="표준 8 2 2 5 3 2 2 2 4 2" xfId="46444"/>
    <cellStyle name="표준 8 2 2 5 3 2 2 2 5" xfId="31480"/>
    <cellStyle name="표준 8 2 2 5 3 2 2 3" xfId="9014"/>
    <cellStyle name="표준 8 2 2 5 3 2 2 3 2" xfId="16497"/>
    <cellStyle name="표준 8 2 2 5 3 2 2 3 2 2" xfId="38964"/>
    <cellStyle name="표준 8 2 2 5 3 2 2 3 3" xfId="23981"/>
    <cellStyle name="표준 8 2 2 5 3 2 2 3 3 2" xfId="46446"/>
    <cellStyle name="표준 8 2 2 5 3 2 2 3 4" xfId="31482"/>
    <cellStyle name="표준 8 2 2 5 3 2 2 4" xfId="16494"/>
    <cellStyle name="표준 8 2 2 5 3 2 2 4 2" xfId="38961"/>
    <cellStyle name="표준 8 2 2 5 3 2 2 5" xfId="23978"/>
    <cellStyle name="표준 8 2 2 5 3 2 2 5 2" xfId="46443"/>
    <cellStyle name="표준 8 2 2 5 3 2 2 6" xfId="31479"/>
    <cellStyle name="표준 8 2 2 5 3 2 3" xfId="9015"/>
    <cellStyle name="표준 8 2 2 5 3 2 3 2" xfId="9016"/>
    <cellStyle name="표준 8 2 2 5 3 2 3 2 2" xfId="16499"/>
    <cellStyle name="표준 8 2 2 5 3 2 3 2 2 2" xfId="38966"/>
    <cellStyle name="표준 8 2 2 5 3 2 3 2 3" xfId="23983"/>
    <cellStyle name="표준 8 2 2 5 3 2 3 2 3 2" xfId="46448"/>
    <cellStyle name="표준 8 2 2 5 3 2 3 2 4" xfId="31484"/>
    <cellStyle name="표준 8 2 2 5 3 2 3 3" xfId="16498"/>
    <cellStyle name="표준 8 2 2 5 3 2 3 3 2" xfId="38965"/>
    <cellStyle name="표준 8 2 2 5 3 2 3 4" xfId="23982"/>
    <cellStyle name="표준 8 2 2 5 3 2 3 4 2" xfId="46447"/>
    <cellStyle name="표준 8 2 2 5 3 2 3 5" xfId="31483"/>
    <cellStyle name="표준 8 2 2 5 3 2 4" xfId="9017"/>
    <cellStyle name="표준 8 2 2 5 3 2 4 2" xfId="16500"/>
    <cellStyle name="표준 8 2 2 5 3 2 4 2 2" xfId="38967"/>
    <cellStyle name="표준 8 2 2 5 3 2 4 3" xfId="23984"/>
    <cellStyle name="표준 8 2 2 5 3 2 4 3 2" xfId="46449"/>
    <cellStyle name="표준 8 2 2 5 3 2 4 4" xfId="31485"/>
    <cellStyle name="표준 8 2 2 5 3 2 5" xfId="16493"/>
    <cellStyle name="표준 8 2 2 5 3 2 5 2" xfId="38960"/>
    <cellStyle name="표준 8 2 2 5 3 2 6" xfId="23977"/>
    <cellStyle name="표준 8 2 2 5 3 2 6 2" xfId="46442"/>
    <cellStyle name="표준 8 2 2 5 3 2 7" xfId="31478"/>
    <cellStyle name="표준 8 2 2 5 3 3" xfId="9018"/>
    <cellStyle name="표준 8 2 2 5 3 3 2" xfId="9019"/>
    <cellStyle name="표준 8 2 2 5 3 3 2 2" xfId="9020"/>
    <cellStyle name="표준 8 2 2 5 3 3 2 2 2" xfId="16503"/>
    <cellStyle name="표준 8 2 2 5 3 3 2 2 2 2" xfId="38970"/>
    <cellStyle name="표준 8 2 2 5 3 3 2 2 3" xfId="23987"/>
    <cellStyle name="표준 8 2 2 5 3 3 2 2 3 2" xfId="46452"/>
    <cellStyle name="표준 8 2 2 5 3 3 2 2 4" xfId="31488"/>
    <cellStyle name="표준 8 2 2 5 3 3 2 3" xfId="16502"/>
    <cellStyle name="표준 8 2 2 5 3 3 2 3 2" xfId="38969"/>
    <cellStyle name="표준 8 2 2 5 3 3 2 4" xfId="23986"/>
    <cellStyle name="표준 8 2 2 5 3 3 2 4 2" xfId="46451"/>
    <cellStyle name="표준 8 2 2 5 3 3 2 5" xfId="31487"/>
    <cellStyle name="표준 8 2 2 5 3 3 3" xfId="9021"/>
    <cellStyle name="표준 8 2 2 5 3 3 3 2" xfId="16504"/>
    <cellStyle name="표준 8 2 2 5 3 3 3 2 2" xfId="38971"/>
    <cellStyle name="표준 8 2 2 5 3 3 3 3" xfId="23988"/>
    <cellStyle name="표준 8 2 2 5 3 3 3 3 2" xfId="46453"/>
    <cellStyle name="표준 8 2 2 5 3 3 3 4" xfId="31489"/>
    <cellStyle name="표준 8 2 2 5 3 3 4" xfId="16501"/>
    <cellStyle name="표준 8 2 2 5 3 3 4 2" xfId="38968"/>
    <cellStyle name="표준 8 2 2 5 3 3 5" xfId="23985"/>
    <cellStyle name="표준 8 2 2 5 3 3 5 2" xfId="46450"/>
    <cellStyle name="표준 8 2 2 5 3 3 6" xfId="31486"/>
    <cellStyle name="표준 8 2 2 5 3 4" xfId="9022"/>
    <cellStyle name="표준 8 2 2 5 3 4 2" xfId="9023"/>
    <cellStyle name="표준 8 2 2 5 3 4 2 2" xfId="16506"/>
    <cellStyle name="표준 8 2 2 5 3 4 2 2 2" xfId="38973"/>
    <cellStyle name="표준 8 2 2 5 3 4 2 3" xfId="23990"/>
    <cellStyle name="표준 8 2 2 5 3 4 2 3 2" xfId="46455"/>
    <cellStyle name="표준 8 2 2 5 3 4 2 4" xfId="31491"/>
    <cellStyle name="표준 8 2 2 5 3 4 3" xfId="16505"/>
    <cellStyle name="표준 8 2 2 5 3 4 3 2" xfId="38972"/>
    <cellStyle name="표준 8 2 2 5 3 4 4" xfId="23989"/>
    <cellStyle name="표준 8 2 2 5 3 4 4 2" xfId="46454"/>
    <cellStyle name="표준 8 2 2 5 3 4 5" xfId="31490"/>
    <cellStyle name="표준 8 2 2 5 3 5" xfId="9024"/>
    <cellStyle name="표준 8 2 2 5 3 5 2" xfId="16507"/>
    <cellStyle name="표준 8 2 2 5 3 5 2 2" xfId="38974"/>
    <cellStyle name="표준 8 2 2 5 3 5 3" xfId="23991"/>
    <cellStyle name="표준 8 2 2 5 3 5 3 2" xfId="46456"/>
    <cellStyle name="표준 8 2 2 5 3 5 4" xfId="31492"/>
    <cellStyle name="표준 8 2 2 5 3 6" xfId="16492"/>
    <cellStyle name="표준 8 2 2 5 3 6 2" xfId="38959"/>
    <cellStyle name="표준 8 2 2 5 3 7" xfId="23976"/>
    <cellStyle name="표준 8 2 2 5 3 7 2" xfId="46441"/>
    <cellStyle name="표준 8 2 2 5 3 8" xfId="31477"/>
    <cellStyle name="표준 8 2 2 5 4" xfId="9025"/>
    <cellStyle name="표준 8 2 2 5 4 2" xfId="9026"/>
    <cellStyle name="표준 8 2 2 5 4 2 2" xfId="9027"/>
    <cellStyle name="표준 8 2 2 5 4 2 2 2" xfId="9028"/>
    <cellStyle name="표준 8 2 2 5 4 2 2 2 2" xfId="16511"/>
    <cellStyle name="표준 8 2 2 5 4 2 2 2 2 2" xfId="38978"/>
    <cellStyle name="표준 8 2 2 5 4 2 2 2 3" xfId="23995"/>
    <cellStyle name="표준 8 2 2 5 4 2 2 2 3 2" xfId="46460"/>
    <cellStyle name="표준 8 2 2 5 4 2 2 2 4" xfId="31496"/>
    <cellStyle name="표준 8 2 2 5 4 2 2 3" xfId="16510"/>
    <cellStyle name="표준 8 2 2 5 4 2 2 3 2" xfId="38977"/>
    <cellStyle name="표준 8 2 2 5 4 2 2 4" xfId="23994"/>
    <cellStyle name="표준 8 2 2 5 4 2 2 4 2" xfId="46459"/>
    <cellStyle name="표준 8 2 2 5 4 2 2 5" xfId="31495"/>
    <cellStyle name="표준 8 2 2 5 4 2 3" xfId="9029"/>
    <cellStyle name="표준 8 2 2 5 4 2 3 2" xfId="16512"/>
    <cellStyle name="표준 8 2 2 5 4 2 3 2 2" xfId="38979"/>
    <cellStyle name="표준 8 2 2 5 4 2 3 3" xfId="23996"/>
    <cellStyle name="표준 8 2 2 5 4 2 3 3 2" xfId="46461"/>
    <cellStyle name="표준 8 2 2 5 4 2 3 4" xfId="31497"/>
    <cellStyle name="표준 8 2 2 5 4 2 4" xfId="16509"/>
    <cellStyle name="표준 8 2 2 5 4 2 4 2" xfId="38976"/>
    <cellStyle name="표준 8 2 2 5 4 2 5" xfId="23993"/>
    <cellStyle name="표준 8 2 2 5 4 2 5 2" xfId="46458"/>
    <cellStyle name="표준 8 2 2 5 4 2 6" xfId="31494"/>
    <cellStyle name="표준 8 2 2 5 4 3" xfId="9030"/>
    <cellStyle name="표준 8 2 2 5 4 3 2" xfId="9031"/>
    <cellStyle name="표준 8 2 2 5 4 3 2 2" xfId="16514"/>
    <cellStyle name="표준 8 2 2 5 4 3 2 2 2" xfId="38981"/>
    <cellStyle name="표준 8 2 2 5 4 3 2 3" xfId="23998"/>
    <cellStyle name="표준 8 2 2 5 4 3 2 3 2" xfId="46463"/>
    <cellStyle name="표준 8 2 2 5 4 3 2 4" xfId="31499"/>
    <cellStyle name="표준 8 2 2 5 4 3 3" xfId="16513"/>
    <cellStyle name="표준 8 2 2 5 4 3 3 2" xfId="38980"/>
    <cellStyle name="표준 8 2 2 5 4 3 4" xfId="23997"/>
    <cellStyle name="표준 8 2 2 5 4 3 4 2" xfId="46462"/>
    <cellStyle name="표준 8 2 2 5 4 3 5" xfId="31498"/>
    <cellStyle name="표준 8 2 2 5 4 4" xfId="9032"/>
    <cellStyle name="표준 8 2 2 5 4 4 2" xfId="16515"/>
    <cellStyle name="표준 8 2 2 5 4 4 2 2" xfId="38982"/>
    <cellStyle name="표준 8 2 2 5 4 4 3" xfId="23999"/>
    <cellStyle name="표준 8 2 2 5 4 4 3 2" xfId="46464"/>
    <cellStyle name="표준 8 2 2 5 4 4 4" xfId="31500"/>
    <cellStyle name="표준 8 2 2 5 4 5" xfId="16508"/>
    <cellStyle name="표준 8 2 2 5 4 5 2" xfId="38975"/>
    <cellStyle name="표준 8 2 2 5 4 6" xfId="23992"/>
    <cellStyle name="표준 8 2 2 5 4 6 2" xfId="46457"/>
    <cellStyle name="표준 8 2 2 5 4 7" xfId="31493"/>
    <cellStyle name="표준 8 2 2 5 5" xfId="9033"/>
    <cellStyle name="표준 8 2 2 5 5 2" xfId="9034"/>
    <cellStyle name="표준 8 2 2 5 5 2 2" xfId="9035"/>
    <cellStyle name="표준 8 2 2 5 5 2 2 2" xfId="16518"/>
    <cellStyle name="표준 8 2 2 5 5 2 2 2 2" xfId="38985"/>
    <cellStyle name="표준 8 2 2 5 5 2 2 3" xfId="24002"/>
    <cellStyle name="표준 8 2 2 5 5 2 2 3 2" xfId="46467"/>
    <cellStyle name="표준 8 2 2 5 5 2 2 4" xfId="31503"/>
    <cellStyle name="표준 8 2 2 5 5 2 3" xfId="16517"/>
    <cellStyle name="표준 8 2 2 5 5 2 3 2" xfId="38984"/>
    <cellStyle name="표준 8 2 2 5 5 2 4" xfId="24001"/>
    <cellStyle name="표준 8 2 2 5 5 2 4 2" xfId="46466"/>
    <cellStyle name="표준 8 2 2 5 5 2 5" xfId="31502"/>
    <cellStyle name="표준 8 2 2 5 5 3" xfId="9036"/>
    <cellStyle name="표준 8 2 2 5 5 3 2" xfId="16519"/>
    <cellStyle name="표준 8 2 2 5 5 3 2 2" xfId="38986"/>
    <cellStyle name="표준 8 2 2 5 5 3 3" xfId="24003"/>
    <cellStyle name="표준 8 2 2 5 5 3 3 2" xfId="46468"/>
    <cellStyle name="표준 8 2 2 5 5 3 4" xfId="31504"/>
    <cellStyle name="표준 8 2 2 5 5 4" xfId="16516"/>
    <cellStyle name="표준 8 2 2 5 5 4 2" xfId="38983"/>
    <cellStyle name="표준 8 2 2 5 5 5" xfId="24000"/>
    <cellStyle name="표준 8 2 2 5 5 5 2" xfId="46465"/>
    <cellStyle name="표준 8 2 2 5 5 6" xfId="31501"/>
    <cellStyle name="표준 8 2 2 5 6" xfId="9037"/>
    <cellStyle name="표준 8 2 2 5 6 2" xfId="9038"/>
    <cellStyle name="표준 8 2 2 5 6 2 2" xfId="16521"/>
    <cellStyle name="표준 8 2 2 5 6 2 2 2" xfId="38988"/>
    <cellStyle name="표준 8 2 2 5 6 2 3" xfId="24005"/>
    <cellStyle name="표준 8 2 2 5 6 2 3 2" xfId="46470"/>
    <cellStyle name="표준 8 2 2 5 6 2 4" xfId="31506"/>
    <cellStyle name="표준 8 2 2 5 6 3" xfId="16520"/>
    <cellStyle name="표준 8 2 2 5 6 3 2" xfId="38987"/>
    <cellStyle name="표준 8 2 2 5 6 4" xfId="24004"/>
    <cellStyle name="표준 8 2 2 5 6 4 2" xfId="46469"/>
    <cellStyle name="표준 8 2 2 5 6 5" xfId="31505"/>
    <cellStyle name="표준 8 2 2 5 7" xfId="9039"/>
    <cellStyle name="표준 8 2 2 5 7 2" xfId="16522"/>
    <cellStyle name="표준 8 2 2 5 7 2 2" xfId="38989"/>
    <cellStyle name="표준 8 2 2 5 7 3" xfId="24006"/>
    <cellStyle name="표준 8 2 2 5 7 3 2" xfId="46471"/>
    <cellStyle name="표준 8 2 2 5 7 4" xfId="31507"/>
    <cellStyle name="표준 8 2 2 5 8" xfId="16475"/>
    <cellStyle name="표준 8 2 2 5 8 2" xfId="38942"/>
    <cellStyle name="표준 8 2 2 5 9" xfId="23959"/>
    <cellStyle name="표준 8 2 2 5 9 2" xfId="46424"/>
    <cellStyle name="표준 8 2 2 6" xfId="9040"/>
    <cellStyle name="표준 8 2 2 6 2" xfId="9041"/>
    <cellStyle name="표준 8 2 2 6 2 2" xfId="9042"/>
    <cellStyle name="표준 8 2 2 6 2 2 2" xfId="9043"/>
    <cellStyle name="표준 8 2 2 6 2 2 2 2" xfId="9044"/>
    <cellStyle name="표준 8 2 2 6 2 2 2 2 2" xfId="16527"/>
    <cellStyle name="표준 8 2 2 6 2 2 2 2 2 2" xfId="38994"/>
    <cellStyle name="표준 8 2 2 6 2 2 2 2 3" xfId="24011"/>
    <cellStyle name="표준 8 2 2 6 2 2 2 2 3 2" xfId="46476"/>
    <cellStyle name="표준 8 2 2 6 2 2 2 2 4" xfId="31512"/>
    <cellStyle name="표준 8 2 2 6 2 2 2 3" xfId="16526"/>
    <cellStyle name="표준 8 2 2 6 2 2 2 3 2" xfId="38993"/>
    <cellStyle name="표준 8 2 2 6 2 2 2 4" xfId="24010"/>
    <cellStyle name="표준 8 2 2 6 2 2 2 4 2" xfId="46475"/>
    <cellStyle name="표준 8 2 2 6 2 2 2 5" xfId="31511"/>
    <cellStyle name="표준 8 2 2 6 2 2 3" xfId="9045"/>
    <cellStyle name="표준 8 2 2 6 2 2 3 2" xfId="16528"/>
    <cellStyle name="표준 8 2 2 6 2 2 3 2 2" xfId="38995"/>
    <cellStyle name="표준 8 2 2 6 2 2 3 3" xfId="24012"/>
    <cellStyle name="표준 8 2 2 6 2 2 3 3 2" xfId="46477"/>
    <cellStyle name="표준 8 2 2 6 2 2 3 4" xfId="31513"/>
    <cellStyle name="표준 8 2 2 6 2 2 4" xfId="16525"/>
    <cellStyle name="표준 8 2 2 6 2 2 4 2" xfId="38992"/>
    <cellStyle name="표준 8 2 2 6 2 2 5" xfId="24009"/>
    <cellStyle name="표준 8 2 2 6 2 2 5 2" xfId="46474"/>
    <cellStyle name="표준 8 2 2 6 2 2 6" xfId="31510"/>
    <cellStyle name="표준 8 2 2 6 2 3" xfId="9046"/>
    <cellStyle name="표준 8 2 2 6 2 3 2" xfId="9047"/>
    <cellStyle name="표준 8 2 2 6 2 3 2 2" xfId="16530"/>
    <cellStyle name="표준 8 2 2 6 2 3 2 2 2" xfId="38997"/>
    <cellStyle name="표준 8 2 2 6 2 3 2 3" xfId="24014"/>
    <cellStyle name="표준 8 2 2 6 2 3 2 3 2" xfId="46479"/>
    <cellStyle name="표준 8 2 2 6 2 3 2 4" xfId="31515"/>
    <cellStyle name="표준 8 2 2 6 2 3 3" xfId="16529"/>
    <cellStyle name="표준 8 2 2 6 2 3 3 2" xfId="38996"/>
    <cellStyle name="표준 8 2 2 6 2 3 4" xfId="24013"/>
    <cellStyle name="표준 8 2 2 6 2 3 4 2" xfId="46478"/>
    <cellStyle name="표준 8 2 2 6 2 3 5" xfId="31514"/>
    <cellStyle name="표준 8 2 2 6 2 4" xfId="9048"/>
    <cellStyle name="표준 8 2 2 6 2 4 2" xfId="16531"/>
    <cellStyle name="표준 8 2 2 6 2 4 2 2" xfId="38998"/>
    <cellStyle name="표준 8 2 2 6 2 4 3" xfId="24015"/>
    <cellStyle name="표준 8 2 2 6 2 4 3 2" xfId="46480"/>
    <cellStyle name="표준 8 2 2 6 2 4 4" xfId="31516"/>
    <cellStyle name="표준 8 2 2 6 2 5" xfId="16524"/>
    <cellStyle name="표준 8 2 2 6 2 5 2" xfId="38991"/>
    <cellStyle name="표준 8 2 2 6 2 6" xfId="24008"/>
    <cellStyle name="표준 8 2 2 6 2 6 2" xfId="46473"/>
    <cellStyle name="표준 8 2 2 6 2 7" xfId="31509"/>
    <cellStyle name="표준 8 2 2 6 3" xfId="9049"/>
    <cellStyle name="표준 8 2 2 6 3 2" xfId="9050"/>
    <cellStyle name="표준 8 2 2 6 3 2 2" xfId="9051"/>
    <cellStyle name="표준 8 2 2 6 3 2 2 2" xfId="16534"/>
    <cellStyle name="표준 8 2 2 6 3 2 2 2 2" xfId="39001"/>
    <cellStyle name="표준 8 2 2 6 3 2 2 3" xfId="24018"/>
    <cellStyle name="표준 8 2 2 6 3 2 2 3 2" xfId="46483"/>
    <cellStyle name="표준 8 2 2 6 3 2 2 4" xfId="31519"/>
    <cellStyle name="표준 8 2 2 6 3 2 3" xfId="16533"/>
    <cellStyle name="표준 8 2 2 6 3 2 3 2" xfId="39000"/>
    <cellStyle name="표준 8 2 2 6 3 2 4" xfId="24017"/>
    <cellStyle name="표준 8 2 2 6 3 2 4 2" xfId="46482"/>
    <cellStyle name="표준 8 2 2 6 3 2 5" xfId="31518"/>
    <cellStyle name="표준 8 2 2 6 3 3" xfId="9052"/>
    <cellStyle name="표준 8 2 2 6 3 3 2" xfId="16535"/>
    <cellStyle name="표준 8 2 2 6 3 3 2 2" xfId="39002"/>
    <cellStyle name="표준 8 2 2 6 3 3 3" xfId="24019"/>
    <cellStyle name="표준 8 2 2 6 3 3 3 2" xfId="46484"/>
    <cellStyle name="표준 8 2 2 6 3 3 4" xfId="31520"/>
    <cellStyle name="표준 8 2 2 6 3 4" xfId="16532"/>
    <cellStyle name="표준 8 2 2 6 3 4 2" xfId="38999"/>
    <cellStyle name="표준 8 2 2 6 3 5" xfId="24016"/>
    <cellStyle name="표준 8 2 2 6 3 5 2" xfId="46481"/>
    <cellStyle name="표준 8 2 2 6 3 6" xfId="31517"/>
    <cellStyle name="표준 8 2 2 6 4" xfId="9053"/>
    <cellStyle name="표준 8 2 2 6 4 2" xfId="9054"/>
    <cellStyle name="표준 8 2 2 6 4 2 2" xfId="16537"/>
    <cellStyle name="표준 8 2 2 6 4 2 2 2" xfId="39004"/>
    <cellStyle name="표준 8 2 2 6 4 2 3" xfId="24021"/>
    <cellStyle name="표준 8 2 2 6 4 2 3 2" xfId="46486"/>
    <cellStyle name="표준 8 2 2 6 4 2 4" xfId="31522"/>
    <cellStyle name="표준 8 2 2 6 4 3" xfId="16536"/>
    <cellStyle name="표준 8 2 2 6 4 3 2" xfId="39003"/>
    <cellStyle name="표준 8 2 2 6 4 4" xfId="24020"/>
    <cellStyle name="표준 8 2 2 6 4 4 2" xfId="46485"/>
    <cellStyle name="표준 8 2 2 6 4 5" xfId="31521"/>
    <cellStyle name="표준 8 2 2 6 5" xfId="9055"/>
    <cellStyle name="표준 8 2 2 6 5 2" xfId="16538"/>
    <cellStyle name="표준 8 2 2 6 5 2 2" xfId="39005"/>
    <cellStyle name="표준 8 2 2 6 5 3" xfId="24022"/>
    <cellStyle name="표준 8 2 2 6 5 3 2" xfId="46487"/>
    <cellStyle name="표준 8 2 2 6 5 4" xfId="31523"/>
    <cellStyle name="표준 8 2 2 6 6" xfId="16523"/>
    <cellStyle name="표준 8 2 2 6 6 2" xfId="38990"/>
    <cellStyle name="표준 8 2 2 6 7" xfId="24007"/>
    <cellStyle name="표준 8 2 2 6 7 2" xfId="46472"/>
    <cellStyle name="표준 8 2 2 6 8" xfId="31508"/>
    <cellStyle name="표준 8 2 2 7" xfId="9056"/>
    <cellStyle name="표준 8 2 2 7 2" xfId="9057"/>
    <cellStyle name="표준 8 2 2 7 2 2" xfId="9058"/>
    <cellStyle name="표준 8 2 2 7 2 2 2" xfId="9059"/>
    <cellStyle name="표준 8 2 2 7 2 2 2 2" xfId="9060"/>
    <cellStyle name="표준 8 2 2 7 2 2 2 2 2" xfId="16543"/>
    <cellStyle name="표준 8 2 2 7 2 2 2 2 2 2" xfId="39010"/>
    <cellStyle name="표준 8 2 2 7 2 2 2 2 3" xfId="24027"/>
    <cellStyle name="표준 8 2 2 7 2 2 2 2 3 2" xfId="46492"/>
    <cellStyle name="표준 8 2 2 7 2 2 2 2 4" xfId="31528"/>
    <cellStyle name="표준 8 2 2 7 2 2 2 3" xfId="16542"/>
    <cellStyle name="표준 8 2 2 7 2 2 2 3 2" xfId="39009"/>
    <cellStyle name="표준 8 2 2 7 2 2 2 4" xfId="24026"/>
    <cellStyle name="표준 8 2 2 7 2 2 2 4 2" xfId="46491"/>
    <cellStyle name="표준 8 2 2 7 2 2 2 5" xfId="31527"/>
    <cellStyle name="표준 8 2 2 7 2 2 3" xfId="9061"/>
    <cellStyle name="표준 8 2 2 7 2 2 3 2" xfId="16544"/>
    <cellStyle name="표준 8 2 2 7 2 2 3 2 2" xfId="39011"/>
    <cellStyle name="표준 8 2 2 7 2 2 3 3" xfId="24028"/>
    <cellStyle name="표준 8 2 2 7 2 2 3 3 2" xfId="46493"/>
    <cellStyle name="표준 8 2 2 7 2 2 3 4" xfId="31529"/>
    <cellStyle name="표준 8 2 2 7 2 2 4" xfId="16541"/>
    <cellStyle name="표준 8 2 2 7 2 2 4 2" xfId="39008"/>
    <cellStyle name="표준 8 2 2 7 2 2 5" xfId="24025"/>
    <cellStyle name="표준 8 2 2 7 2 2 5 2" xfId="46490"/>
    <cellStyle name="표준 8 2 2 7 2 2 6" xfId="31526"/>
    <cellStyle name="표준 8 2 2 7 2 3" xfId="9062"/>
    <cellStyle name="표준 8 2 2 7 2 3 2" xfId="9063"/>
    <cellStyle name="표준 8 2 2 7 2 3 2 2" xfId="16546"/>
    <cellStyle name="표준 8 2 2 7 2 3 2 2 2" xfId="39013"/>
    <cellStyle name="표준 8 2 2 7 2 3 2 3" xfId="24030"/>
    <cellStyle name="표준 8 2 2 7 2 3 2 3 2" xfId="46495"/>
    <cellStyle name="표준 8 2 2 7 2 3 2 4" xfId="31531"/>
    <cellStyle name="표준 8 2 2 7 2 3 3" xfId="16545"/>
    <cellStyle name="표준 8 2 2 7 2 3 3 2" xfId="39012"/>
    <cellStyle name="표준 8 2 2 7 2 3 4" xfId="24029"/>
    <cellStyle name="표준 8 2 2 7 2 3 4 2" xfId="46494"/>
    <cellStyle name="표준 8 2 2 7 2 3 5" xfId="31530"/>
    <cellStyle name="표준 8 2 2 7 2 4" xfId="9064"/>
    <cellStyle name="표준 8 2 2 7 2 4 2" xfId="16547"/>
    <cellStyle name="표준 8 2 2 7 2 4 2 2" xfId="39014"/>
    <cellStyle name="표준 8 2 2 7 2 4 3" xfId="24031"/>
    <cellStyle name="표준 8 2 2 7 2 4 3 2" xfId="46496"/>
    <cellStyle name="표준 8 2 2 7 2 4 4" xfId="31532"/>
    <cellStyle name="표준 8 2 2 7 2 5" xfId="16540"/>
    <cellStyle name="표준 8 2 2 7 2 5 2" xfId="39007"/>
    <cellStyle name="표준 8 2 2 7 2 6" xfId="24024"/>
    <cellStyle name="표준 8 2 2 7 2 6 2" xfId="46489"/>
    <cellStyle name="표준 8 2 2 7 2 7" xfId="31525"/>
    <cellStyle name="표준 8 2 2 7 3" xfId="9065"/>
    <cellStyle name="표준 8 2 2 7 3 2" xfId="9066"/>
    <cellStyle name="표준 8 2 2 7 3 2 2" xfId="9067"/>
    <cellStyle name="표준 8 2 2 7 3 2 2 2" xfId="16550"/>
    <cellStyle name="표준 8 2 2 7 3 2 2 2 2" xfId="39017"/>
    <cellStyle name="표준 8 2 2 7 3 2 2 3" xfId="24034"/>
    <cellStyle name="표준 8 2 2 7 3 2 2 3 2" xfId="46499"/>
    <cellStyle name="표준 8 2 2 7 3 2 2 4" xfId="31535"/>
    <cellStyle name="표준 8 2 2 7 3 2 3" xfId="16549"/>
    <cellStyle name="표준 8 2 2 7 3 2 3 2" xfId="39016"/>
    <cellStyle name="표준 8 2 2 7 3 2 4" xfId="24033"/>
    <cellStyle name="표준 8 2 2 7 3 2 4 2" xfId="46498"/>
    <cellStyle name="표준 8 2 2 7 3 2 5" xfId="31534"/>
    <cellStyle name="표준 8 2 2 7 3 3" xfId="9068"/>
    <cellStyle name="표준 8 2 2 7 3 3 2" xfId="16551"/>
    <cellStyle name="표준 8 2 2 7 3 3 2 2" xfId="39018"/>
    <cellStyle name="표준 8 2 2 7 3 3 3" xfId="24035"/>
    <cellStyle name="표준 8 2 2 7 3 3 3 2" xfId="46500"/>
    <cellStyle name="표준 8 2 2 7 3 3 4" xfId="31536"/>
    <cellStyle name="표준 8 2 2 7 3 4" xfId="16548"/>
    <cellStyle name="표준 8 2 2 7 3 4 2" xfId="39015"/>
    <cellStyle name="표준 8 2 2 7 3 5" xfId="24032"/>
    <cellStyle name="표준 8 2 2 7 3 5 2" xfId="46497"/>
    <cellStyle name="표준 8 2 2 7 3 6" xfId="31533"/>
    <cellStyle name="표준 8 2 2 7 4" xfId="9069"/>
    <cellStyle name="표준 8 2 2 7 4 2" xfId="9070"/>
    <cellStyle name="표준 8 2 2 7 4 2 2" xfId="16553"/>
    <cellStyle name="표준 8 2 2 7 4 2 2 2" xfId="39020"/>
    <cellStyle name="표준 8 2 2 7 4 2 3" xfId="24037"/>
    <cellStyle name="표준 8 2 2 7 4 2 3 2" xfId="46502"/>
    <cellStyle name="표준 8 2 2 7 4 2 4" xfId="31538"/>
    <cellStyle name="표준 8 2 2 7 4 3" xfId="16552"/>
    <cellStyle name="표준 8 2 2 7 4 3 2" xfId="39019"/>
    <cellStyle name="표준 8 2 2 7 4 4" xfId="24036"/>
    <cellStyle name="표준 8 2 2 7 4 4 2" xfId="46501"/>
    <cellStyle name="표준 8 2 2 7 4 5" xfId="31537"/>
    <cellStyle name="표준 8 2 2 7 5" xfId="9071"/>
    <cellStyle name="표준 8 2 2 7 5 2" xfId="16554"/>
    <cellStyle name="표준 8 2 2 7 5 2 2" xfId="39021"/>
    <cellStyle name="표준 8 2 2 7 5 3" xfId="24038"/>
    <cellStyle name="표준 8 2 2 7 5 3 2" xfId="46503"/>
    <cellStyle name="표준 8 2 2 7 5 4" xfId="31539"/>
    <cellStyle name="표준 8 2 2 7 6" xfId="16539"/>
    <cellStyle name="표준 8 2 2 7 6 2" xfId="39006"/>
    <cellStyle name="표준 8 2 2 7 7" xfId="24023"/>
    <cellStyle name="표준 8 2 2 7 7 2" xfId="46488"/>
    <cellStyle name="표준 8 2 2 7 8" xfId="31524"/>
    <cellStyle name="표준 8 2 2 8" xfId="9072"/>
    <cellStyle name="표준 8 2 2 8 2" xfId="9073"/>
    <cellStyle name="표준 8 2 2 8 2 2" xfId="9074"/>
    <cellStyle name="표준 8 2 2 8 2 2 2" xfId="9075"/>
    <cellStyle name="표준 8 2 2 8 2 2 2 2" xfId="16558"/>
    <cellStyle name="표준 8 2 2 8 2 2 2 2 2" xfId="39025"/>
    <cellStyle name="표준 8 2 2 8 2 2 2 3" xfId="24042"/>
    <cellStyle name="표준 8 2 2 8 2 2 2 3 2" xfId="46507"/>
    <cellStyle name="표준 8 2 2 8 2 2 2 4" xfId="31543"/>
    <cellStyle name="표준 8 2 2 8 2 2 3" xfId="16557"/>
    <cellStyle name="표준 8 2 2 8 2 2 3 2" xfId="39024"/>
    <cellStyle name="표준 8 2 2 8 2 2 4" xfId="24041"/>
    <cellStyle name="표준 8 2 2 8 2 2 4 2" xfId="46506"/>
    <cellStyle name="표준 8 2 2 8 2 2 5" xfId="31542"/>
    <cellStyle name="표준 8 2 2 8 2 3" xfId="9076"/>
    <cellStyle name="표준 8 2 2 8 2 3 2" xfId="16559"/>
    <cellStyle name="표준 8 2 2 8 2 3 2 2" xfId="39026"/>
    <cellStyle name="표준 8 2 2 8 2 3 3" xfId="24043"/>
    <cellStyle name="표준 8 2 2 8 2 3 3 2" xfId="46508"/>
    <cellStyle name="표준 8 2 2 8 2 3 4" xfId="31544"/>
    <cellStyle name="표준 8 2 2 8 2 4" xfId="16556"/>
    <cellStyle name="표준 8 2 2 8 2 4 2" xfId="39023"/>
    <cellStyle name="표준 8 2 2 8 2 5" xfId="24040"/>
    <cellStyle name="표준 8 2 2 8 2 5 2" xfId="46505"/>
    <cellStyle name="표준 8 2 2 8 2 6" xfId="31541"/>
    <cellStyle name="표준 8 2 2 8 3" xfId="9077"/>
    <cellStyle name="표준 8 2 2 8 3 2" xfId="9078"/>
    <cellStyle name="표준 8 2 2 8 3 2 2" xfId="16561"/>
    <cellStyle name="표준 8 2 2 8 3 2 2 2" xfId="39028"/>
    <cellStyle name="표준 8 2 2 8 3 2 3" xfId="24045"/>
    <cellStyle name="표준 8 2 2 8 3 2 3 2" xfId="46510"/>
    <cellStyle name="표준 8 2 2 8 3 2 4" xfId="31546"/>
    <cellStyle name="표준 8 2 2 8 3 3" xfId="16560"/>
    <cellStyle name="표준 8 2 2 8 3 3 2" xfId="39027"/>
    <cellStyle name="표준 8 2 2 8 3 4" xfId="24044"/>
    <cellStyle name="표준 8 2 2 8 3 4 2" xfId="46509"/>
    <cellStyle name="표준 8 2 2 8 3 5" xfId="31545"/>
    <cellStyle name="표준 8 2 2 8 4" xfId="9079"/>
    <cellStyle name="표준 8 2 2 8 4 2" xfId="16562"/>
    <cellStyle name="표준 8 2 2 8 4 2 2" xfId="39029"/>
    <cellStyle name="표준 8 2 2 8 4 3" xfId="24046"/>
    <cellStyle name="표준 8 2 2 8 4 3 2" xfId="46511"/>
    <cellStyle name="표준 8 2 2 8 4 4" xfId="31547"/>
    <cellStyle name="표준 8 2 2 8 5" xfId="16555"/>
    <cellStyle name="표준 8 2 2 8 5 2" xfId="39022"/>
    <cellStyle name="표준 8 2 2 8 6" xfId="24039"/>
    <cellStyle name="표준 8 2 2 8 6 2" xfId="46504"/>
    <cellStyle name="표준 8 2 2 8 7" xfId="31540"/>
    <cellStyle name="표준 8 2 2 9" xfId="9080"/>
    <cellStyle name="표준 8 2 2 9 2" xfId="9081"/>
    <cellStyle name="표준 8 2 2 9 2 2" xfId="9082"/>
    <cellStyle name="표준 8 2 2 9 2 2 2" xfId="9083"/>
    <cellStyle name="표준 8 2 2 9 2 2 2 2" xfId="16566"/>
    <cellStyle name="표준 8 2 2 9 2 2 2 2 2" xfId="39033"/>
    <cellStyle name="표준 8 2 2 9 2 2 2 3" xfId="24050"/>
    <cellStyle name="표준 8 2 2 9 2 2 2 3 2" xfId="46515"/>
    <cellStyle name="표준 8 2 2 9 2 2 2 4" xfId="31551"/>
    <cellStyle name="표준 8 2 2 9 2 2 3" xfId="16565"/>
    <cellStyle name="표준 8 2 2 9 2 2 3 2" xfId="39032"/>
    <cellStyle name="표준 8 2 2 9 2 2 4" xfId="24049"/>
    <cellStyle name="표준 8 2 2 9 2 2 4 2" xfId="46514"/>
    <cellStyle name="표준 8 2 2 9 2 2 5" xfId="31550"/>
    <cellStyle name="표준 8 2 2 9 2 3" xfId="9084"/>
    <cellStyle name="표준 8 2 2 9 2 3 2" xfId="16567"/>
    <cellStyle name="표준 8 2 2 9 2 3 2 2" xfId="39034"/>
    <cellStyle name="표준 8 2 2 9 2 3 3" xfId="24051"/>
    <cellStyle name="표준 8 2 2 9 2 3 3 2" xfId="46516"/>
    <cellStyle name="표준 8 2 2 9 2 3 4" xfId="31552"/>
    <cellStyle name="표준 8 2 2 9 2 4" xfId="16564"/>
    <cellStyle name="표준 8 2 2 9 2 4 2" xfId="39031"/>
    <cellStyle name="표준 8 2 2 9 2 5" xfId="24048"/>
    <cellStyle name="표준 8 2 2 9 2 5 2" xfId="46513"/>
    <cellStyle name="표준 8 2 2 9 2 6" xfId="31549"/>
    <cellStyle name="표준 8 2 2 9 3" xfId="9085"/>
    <cellStyle name="표준 8 2 2 9 3 2" xfId="9086"/>
    <cellStyle name="표준 8 2 2 9 3 2 2" xfId="16569"/>
    <cellStyle name="표준 8 2 2 9 3 2 2 2" xfId="39036"/>
    <cellStyle name="표준 8 2 2 9 3 2 3" xfId="24053"/>
    <cellStyle name="표준 8 2 2 9 3 2 3 2" xfId="46518"/>
    <cellStyle name="표준 8 2 2 9 3 2 4" xfId="31554"/>
    <cellStyle name="표준 8 2 2 9 3 3" xfId="16568"/>
    <cellStyle name="표준 8 2 2 9 3 3 2" xfId="39035"/>
    <cellStyle name="표준 8 2 2 9 3 4" xfId="24052"/>
    <cellStyle name="표준 8 2 2 9 3 4 2" xfId="46517"/>
    <cellStyle name="표준 8 2 2 9 3 5" xfId="31553"/>
    <cellStyle name="표준 8 2 2 9 4" xfId="9087"/>
    <cellStyle name="표준 8 2 2 9 4 2" xfId="16570"/>
    <cellStyle name="표준 8 2 2 9 4 2 2" xfId="39037"/>
    <cellStyle name="표준 8 2 2 9 4 3" xfId="24054"/>
    <cellStyle name="표준 8 2 2 9 4 3 2" xfId="46519"/>
    <cellStyle name="표준 8 2 2 9 4 4" xfId="31555"/>
    <cellStyle name="표준 8 2 2 9 5" xfId="16563"/>
    <cellStyle name="표준 8 2 2 9 5 2" xfId="39030"/>
    <cellStyle name="표준 8 2 2 9 6" xfId="24047"/>
    <cellStyle name="표준 8 2 2 9 6 2" xfId="46512"/>
    <cellStyle name="표준 8 2 2 9 7" xfId="31548"/>
    <cellStyle name="표준 8 2 20" xfId="23473"/>
    <cellStyle name="표준 8 2 20 2" xfId="45938"/>
    <cellStyle name="표준 8 2 21" xfId="30974"/>
    <cellStyle name="표준 8 2 3" xfId="9088"/>
    <cellStyle name="표준 8 2 3 10" xfId="9089"/>
    <cellStyle name="표준 8 2 3 10 2" xfId="9090"/>
    <cellStyle name="표준 8 2 3 10 2 2" xfId="9091"/>
    <cellStyle name="표준 8 2 3 10 2 2 2" xfId="16574"/>
    <cellStyle name="표준 8 2 3 10 2 2 2 2" xfId="39041"/>
    <cellStyle name="표준 8 2 3 10 2 2 3" xfId="24058"/>
    <cellStyle name="표준 8 2 3 10 2 2 3 2" xfId="46523"/>
    <cellStyle name="표준 8 2 3 10 2 2 4" xfId="31559"/>
    <cellStyle name="표준 8 2 3 10 2 3" xfId="16573"/>
    <cellStyle name="표준 8 2 3 10 2 3 2" xfId="39040"/>
    <cellStyle name="표준 8 2 3 10 2 4" xfId="24057"/>
    <cellStyle name="표준 8 2 3 10 2 4 2" xfId="46522"/>
    <cellStyle name="표준 8 2 3 10 2 5" xfId="31558"/>
    <cellStyle name="표준 8 2 3 10 3" xfId="9092"/>
    <cellStyle name="표준 8 2 3 10 3 2" xfId="16575"/>
    <cellStyle name="표준 8 2 3 10 3 2 2" xfId="39042"/>
    <cellStyle name="표준 8 2 3 10 3 3" xfId="24059"/>
    <cellStyle name="표준 8 2 3 10 3 3 2" xfId="46524"/>
    <cellStyle name="표준 8 2 3 10 3 4" xfId="31560"/>
    <cellStyle name="표준 8 2 3 10 4" xfId="16572"/>
    <cellStyle name="표준 8 2 3 10 4 2" xfId="39039"/>
    <cellStyle name="표준 8 2 3 10 5" xfId="24056"/>
    <cellStyle name="표준 8 2 3 10 5 2" xfId="46521"/>
    <cellStyle name="표준 8 2 3 10 6" xfId="31557"/>
    <cellStyle name="표준 8 2 3 11" xfId="9093"/>
    <cellStyle name="표준 8 2 3 11 2" xfId="9094"/>
    <cellStyle name="표준 8 2 3 11 2 2" xfId="9095"/>
    <cellStyle name="표준 8 2 3 11 2 2 2" xfId="16578"/>
    <cellStyle name="표준 8 2 3 11 2 2 2 2" xfId="39045"/>
    <cellStyle name="표준 8 2 3 11 2 2 3" xfId="24062"/>
    <cellStyle name="표준 8 2 3 11 2 2 3 2" xfId="46527"/>
    <cellStyle name="표준 8 2 3 11 2 2 4" xfId="31563"/>
    <cellStyle name="표준 8 2 3 11 2 3" xfId="16577"/>
    <cellStyle name="표준 8 2 3 11 2 3 2" xfId="39044"/>
    <cellStyle name="표준 8 2 3 11 2 4" xfId="24061"/>
    <cellStyle name="표준 8 2 3 11 2 4 2" xfId="46526"/>
    <cellStyle name="표준 8 2 3 11 2 5" xfId="31562"/>
    <cellStyle name="표준 8 2 3 11 3" xfId="9096"/>
    <cellStyle name="표준 8 2 3 11 3 2" xfId="16579"/>
    <cellStyle name="표준 8 2 3 11 3 2 2" xfId="39046"/>
    <cellStyle name="표준 8 2 3 11 3 3" xfId="24063"/>
    <cellStyle name="표준 8 2 3 11 3 3 2" xfId="46528"/>
    <cellStyle name="표준 8 2 3 11 3 4" xfId="31564"/>
    <cellStyle name="표준 8 2 3 11 4" xfId="16576"/>
    <cellStyle name="표준 8 2 3 11 4 2" xfId="39043"/>
    <cellStyle name="표준 8 2 3 11 5" xfId="24060"/>
    <cellStyle name="표준 8 2 3 11 5 2" xfId="46525"/>
    <cellStyle name="표준 8 2 3 11 6" xfId="31561"/>
    <cellStyle name="표준 8 2 3 12" xfId="9097"/>
    <cellStyle name="표준 8 2 3 12 2" xfId="9098"/>
    <cellStyle name="표준 8 2 3 12 2 2" xfId="9099"/>
    <cellStyle name="표준 8 2 3 12 2 2 2" xfId="16582"/>
    <cellStyle name="표준 8 2 3 12 2 2 2 2" xfId="39049"/>
    <cellStyle name="표준 8 2 3 12 2 2 3" xfId="24066"/>
    <cellStyle name="표준 8 2 3 12 2 2 3 2" xfId="46531"/>
    <cellStyle name="표준 8 2 3 12 2 2 4" xfId="31567"/>
    <cellStyle name="표준 8 2 3 12 2 3" xfId="16581"/>
    <cellStyle name="표준 8 2 3 12 2 3 2" xfId="39048"/>
    <cellStyle name="표준 8 2 3 12 2 4" xfId="24065"/>
    <cellStyle name="표준 8 2 3 12 2 4 2" xfId="46530"/>
    <cellStyle name="표준 8 2 3 12 2 5" xfId="31566"/>
    <cellStyle name="표준 8 2 3 12 3" xfId="9100"/>
    <cellStyle name="표준 8 2 3 12 3 2" xfId="16583"/>
    <cellStyle name="표준 8 2 3 12 3 2 2" xfId="39050"/>
    <cellStyle name="표준 8 2 3 12 3 3" xfId="24067"/>
    <cellStyle name="표준 8 2 3 12 3 3 2" xfId="46532"/>
    <cellStyle name="표준 8 2 3 12 3 4" xfId="31568"/>
    <cellStyle name="표준 8 2 3 12 4" xfId="16580"/>
    <cellStyle name="표준 8 2 3 12 4 2" xfId="39047"/>
    <cellStyle name="표준 8 2 3 12 5" xfId="24064"/>
    <cellStyle name="표준 8 2 3 12 5 2" xfId="46529"/>
    <cellStyle name="표준 8 2 3 12 6" xfId="31565"/>
    <cellStyle name="표준 8 2 3 13" xfId="9101"/>
    <cellStyle name="표준 8 2 3 13 2" xfId="9102"/>
    <cellStyle name="표준 8 2 3 13 2 2" xfId="16585"/>
    <cellStyle name="표준 8 2 3 13 2 2 2" xfId="39052"/>
    <cellStyle name="표준 8 2 3 13 2 3" xfId="24069"/>
    <cellStyle name="표준 8 2 3 13 2 3 2" xfId="46534"/>
    <cellStyle name="표준 8 2 3 13 2 4" xfId="31570"/>
    <cellStyle name="표준 8 2 3 13 3" xfId="16584"/>
    <cellStyle name="표준 8 2 3 13 3 2" xfId="39051"/>
    <cellStyle name="표준 8 2 3 13 4" xfId="24068"/>
    <cellStyle name="표준 8 2 3 13 4 2" xfId="46533"/>
    <cellStyle name="표준 8 2 3 13 5" xfId="31569"/>
    <cellStyle name="표준 8 2 3 14" xfId="9103"/>
    <cellStyle name="표준 8 2 3 14 2" xfId="16586"/>
    <cellStyle name="표준 8 2 3 14 2 2" xfId="39053"/>
    <cellStyle name="표준 8 2 3 14 3" xfId="24070"/>
    <cellStyle name="표준 8 2 3 14 3 2" xfId="46535"/>
    <cellStyle name="표준 8 2 3 14 4" xfId="31571"/>
    <cellStyle name="표준 8 2 3 15" xfId="16571"/>
    <cellStyle name="표준 8 2 3 15 2" xfId="39038"/>
    <cellStyle name="표준 8 2 3 16" xfId="24055"/>
    <cellStyle name="표준 8 2 3 16 2" xfId="46520"/>
    <cellStyle name="표준 8 2 3 17" xfId="31556"/>
    <cellStyle name="표준 8 2 3 2" xfId="9104"/>
    <cellStyle name="표준 8 2 3 2 10" xfId="16587"/>
    <cellStyle name="표준 8 2 3 2 10 2" xfId="39054"/>
    <cellStyle name="표준 8 2 3 2 11" xfId="24071"/>
    <cellStyle name="표준 8 2 3 2 11 2" xfId="46536"/>
    <cellStyle name="표준 8 2 3 2 12" xfId="31572"/>
    <cellStyle name="표준 8 2 3 2 2" xfId="9105"/>
    <cellStyle name="표준 8 2 3 2 2 10" xfId="31573"/>
    <cellStyle name="표준 8 2 3 2 2 2" xfId="9106"/>
    <cellStyle name="표준 8 2 3 2 2 2 2" xfId="9107"/>
    <cellStyle name="표준 8 2 3 2 2 2 2 2" xfId="9108"/>
    <cellStyle name="표준 8 2 3 2 2 2 2 2 2" xfId="9109"/>
    <cellStyle name="표준 8 2 3 2 2 2 2 2 2 2" xfId="9110"/>
    <cellStyle name="표준 8 2 3 2 2 2 2 2 2 2 2" xfId="16593"/>
    <cellStyle name="표준 8 2 3 2 2 2 2 2 2 2 2 2" xfId="39060"/>
    <cellStyle name="표준 8 2 3 2 2 2 2 2 2 2 3" xfId="24077"/>
    <cellStyle name="표준 8 2 3 2 2 2 2 2 2 2 3 2" xfId="46542"/>
    <cellStyle name="표준 8 2 3 2 2 2 2 2 2 2 4" xfId="31578"/>
    <cellStyle name="표준 8 2 3 2 2 2 2 2 2 3" xfId="16592"/>
    <cellStyle name="표준 8 2 3 2 2 2 2 2 2 3 2" xfId="39059"/>
    <cellStyle name="표준 8 2 3 2 2 2 2 2 2 4" xfId="24076"/>
    <cellStyle name="표준 8 2 3 2 2 2 2 2 2 4 2" xfId="46541"/>
    <cellStyle name="표준 8 2 3 2 2 2 2 2 2 5" xfId="31577"/>
    <cellStyle name="표준 8 2 3 2 2 2 2 2 3" xfId="9111"/>
    <cellStyle name="표준 8 2 3 2 2 2 2 2 3 2" xfId="16594"/>
    <cellStyle name="표준 8 2 3 2 2 2 2 2 3 2 2" xfId="39061"/>
    <cellStyle name="표준 8 2 3 2 2 2 2 2 3 3" xfId="24078"/>
    <cellStyle name="표준 8 2 3 2 2 2 2 2 3 3 2" xfId="46543"/>
    <cellStyle name="표준 8 2 3 2 2 2 2 2 3 4" xfId="31579"/>
    <cellStyle name="표준 8 2 3 2 2 2 2 2 4" xfId="16591"/>
    <cellStyle name="표준 8 2 3 2 2 2 2 2 4 2" xfId="39058"/>
    <cellStyle name="표준 8 2 3 2 2 2 2 2 5" xfId="24075"/>
    <cellStyle name="표준 8 2 3 2 2 2 2 2 5 2" xfId="46540"/>
    <cellStyle name="표준 8 2 3 2 2 2 2 2 6" xfId="31576"/>
    <cellStyle name="표준 8 2 3 2 2 2 2 3" xfId="9112"/>
    <cellStyle name="표준 8 2 3 2 2 2 2 3 2" xfId="9113"/>
    <cellStyle name="표준 8 2 3 2 2 2 2 3 2 2" xfId="16596"/>
    <cellStyle name="표준 8 2 3 2 2 2 2 3 2 2 2" xfId="39063"/>
    <cellStyle name="표준 8 2 3 2 2 2 2 3 2 3" xfId="24080"/>
    <cellStyle name="표준 8 2 3 2 2 2 2 3 2 3 2" xfId="46545"/>
    <cellStyle name="표준 8 2 3 2 2 2 2 3 2 4" xfId="31581"/>
    <cellStyle name="표준 8 2 3 2 2 2 2 3 3" xfId="16595"/>
    <cellStyle name="표준 8 2 3 2 2 2 2 3 3 2" xfId="39062"/>
    <cellStyle name="표준 8 2 3 2 2 2 2 3 4" xfId="24079"/>
    <cellStyle name="표준 8 2 3 2 2 2 2 3 4 2" xfId="46544"/>
    <cellStyle name="표준 8 2 3 2 2 2 2 3 5" xfId="31580"/>
    <cellStyle name="표준 8 2 3 2 2 2 2 4" xfId="9114"/>
    <cellStyle name="표준 8 2 3 2 2 2 2 4 2" xfId="16597"/>
    <cellStyle name="표준 8 2 3 2 2 2 2 4 2 2" xfId="39064"/>
    <cellStyle name="표준 8 2 3 2 2 2 2 4 3" xfId="24081"/>
    <cellStyle name="표준 8 2 3 2 2 2 2 4 3 2" xfId="46546"/>
    <cellStyle name="표준 8 2 3 2 2 2 2 4 4" xfId="31582"/>
    <cellStyle name="표준 8 2 3 2 2 2 2 5" xfId="16590"/>
    <cellStyle name="표준 8 2 3 2 2 2 2 5 2" xfId="39057"/>
    <cellStyle name="표준 8 2 3 2 2 2 2 6" xfId="24074"/>
    <cellStyle name="표준 8 2 3 2 2 2 2 6 2" xfId="46539"/>
    <cellStyle name="표준 8 2 3 2 2 2 2 7" xfId="31575"/>
    <cellStyle name="표준 8 2 3 2 2 2 3" xfId="9115"/>
    <cellStyle name="표준 8 2 3 2 2 2 3 2" xfId="9116"/>
    <cellStyle name="표준 8 2 3 2 2 2 3 2 2" xfId="9117"/>
    <cellStyle name="표준 8 2 3 2 2 2 3 2 2 2" xfId="16600"/>
    <cellStyle name="표준 8 2 3 2 2 2 3 2 2 2 2" xfId="39067"/>
    <cellStyle name="표준 8 2 3 2 2 2 3 2 2 3" xfId="24084"/>
    <cellStyle name="표준 8 2 3 2 2 2 3 2 2 3 2" xfId="46549"/>
    <cellStyle name="표준 8 2 3 2 2 2 3 2 2 4" xfId="31585"/>
    <cellStyle name="표준 8 2 3 2 2 2 3 2 3" xfId="16599"/>
    <cellStyle name="표준 8 2 3 2 2 2 3 2 3 2" xfId="39066"/>
    <cellStyle name="표준 8 2 3 2 2 2 3 2 4" xfId="24083"/>
    <cellStyle name="표준 8 2 3 2 2 2 3 2 4 2" xfId="46548"/>
    <cellStyle name="표준 8 2 3 2 2 2 3 2 5" xfId="31584"/>
    <cellStyle name="표준 8 2 3 2 2 2 3 3" xfId="9118"/>
    <cellStyle name="표준 8 2 3 2 2 2 3 3 2" xfId="16601"/>
    <cellStyle name="표준 8 2 3 2 2 2 3 3 2 2" xfId="39068"/>
    <cellStyle name="표준 8 2 3 2 2 2 3 3 3" xfId="24085"/>
    <cellStyle name="표준 8 2 3 2 2 2 3 3 3 2" xfId="46550"/>
    <cellStyle name="표준 8 2 3 2 2 2 3 3 4" xfId="31586"/>
    <cellStyle name="표준 8 2 3 2 2 2 3 4" xfId="16598"/>
    <cellStyle name="표준 8 2 3 2 2 2 3 4 2" xfId="39065"/>
    <cellStyle name="표준 8 2 3 2 2 2 3 5" xfId="24082"/>
    <cellStyle name="표준 8 2 3 2 2 2 3 5 2" xfId="46547"/>
    <cellStyle name="표준 8 2 3 2 2 2 3 6" xfId="31583"/>
    <cellStyle name="표준 8 2 3 2 2 2 4" xfId="9119"/>
    <cellStyle name="표준 8 2 3 2 2 2 4 2" xfId="9120"/>
    <cellStyle name="표준 8 2 3 2 2 2 4 2 2" xfId="16603"/>
    <cellStyle name="표준 8 2 3 2 2 2 4 2 2 2" xfId="39070"/>
    <cellStyle name="표준 8 2 3 2 2 2 4 2 3" xfId="24087"/>
    <cellStyle name="표준 8 2 3 2 2 2 4 2 3 2" xfId="46552"/>
    <cellStyle name="표준 8 2 3 2 2 2 4 2 4" xfId="31588"/>
    <cellStyle name="표준 8 2 3 2 2 2 4 3" xfId="16602"/>
    <cellStyle name="표준 8 2 3 2 2 2 4 3 2" xfId="39069"/>
    <cellStyle name="표준 8 2 3 2 2 2 4 4" xfId="24086"/>
    <cellStyle name="표준 8 2 3 2 2 2 4 4 2" xfId="46551"/>
    <cellStyle name="표준 8 2 3 2 2 2 4 5" xfId="31587"/>
    <cellStyle name="표준 8 2 3 2 2 2 5" xfId="9121"/>
    <cellStyle name="표준 8 2 3 2 2 2 5 2" xfId="16604"/>
    <cellStyle name="표준 8 2 3 2 2 2 5 2 2" xfId="39071"/>
    <cellStyle name="표준 8 2 3 2 2 2 5 3" xfId="24088"/>
    <cellStyle name="표준 8 2 3 2 2 2 5 3 2" xfId="46553"/>
    <cellStyle name="표준 8 2 3 2 2 2 5 4" xfId="31589"/>
    <cellStyle name="표준 8 2 3 2 2 2 6" xfId="16589"/>
    <cellStyle name="표준 8 2 3 2 2 2 6 2" xfId="39056"/>
    <cellStyle name="표준 8 2 3 2 2 2 7" xfId="24073"/>
    <cellStyle name="표준 8 2 3 2 2 2 7 2" xfId="46538"/>
    <cellStyle name="표준 8 2 3 2 2 2 8" xfId="31574"/>
    <cellStyle name="표준 8 2 3 2 2 3" xfId="9122"/>
    <cellStyle name="표준 8 2 3 2 2 3 2" xfId="9123"/>
    <cellStyle name="표준 8 2 3 2 2 3 2 2" xfId="9124"/>
    <cellStyle name="표준 8 2 3 2 2 3 2 2 2" xfId="9125"/>
    <cellStyle name="표준 8 2 3 2 2 3 2 2 2 2" xfId="9126"/>
    <cellStyle name="표준 8 2 3 2 2 3 2 2 2 2 2" xfId="16609"/>
    <cellStyle name="표준 8 2 3 2 2 3 2 2 2 2 2 2" xfId="39076"/>
    <cellStyle name="표준 8 2 3 2 2 3 2 2 2 2 3" xfId="24093"/>
    <cellStyle name="표준 8 2 3 2 2 3 2 2 2 2 3 2" xfId="46558"/>
    <cellStyle name="표준 8 2 3 2 2 3 2 2 2 2 4" xfId="31594"/>
    <cellStyle name="표준 8 2 3 2 2 3 2 2 2 3" xfId="16608"/>
    <cellStyle name="표준 8 2 3 2 2 3 2 2 2 3 2" xfId="39075"/>
    <cellStyle name="표준 8 2 3 2 2 3 2 2 2 4" xfId="24092"/>
    <cellStyle name="표준 8 2 3 2 2 3 2 2 2 4 2" xfId="46557"/>
    <cellStyle name="표준 8 2 3 2 2 3 2 2 2 5" xfId="31593"/>
    <cellStyle name="표준 8 2 3 2 2 3 2 2 3" xfId="9127"/>
    <cellStyle name="표준 8 2 3 2 2 3 2 2 3 2" xfId="16610"/>
    <cellStyle name="표준 8 2 3 2 2 3 2 2 3 2 2" xfId="39077"/>
    <cellStyle name="표준 8 2 3 2 2 3 2 2 3 3" xfId="24094"/>
    <cellStyle name="표준 8 2 3 2 2 3 2 2 3 3 2" xfId="46559"/>
    <cellStyle name="표준 8 2 3 2 2 3 2 2 3 4" xfId="31595"/>
    <cellStyle name="표준 8 2 3 2 2 3 2 2 4" xfId="16607"/>
    <cellStyle name="표준 8 2 3 2 2 3 2 2 4 2" xfId="39074"/>
    <cellStyle name="표준 8 2 3 2 2 3 2 2 5" xfId="24091"/>
    <cellStyle name="표준 8 2 3 2 2 3 2 2 5 2" xfId="46556"/>
    <cellStyle name="표준 8 2 3 2 2 3 2 2 6" xfId="31592"/>
    <cellStyle name="표준 8 2 3 2 2 3 2 3" xfId="9128"/>
    <cellStyle name="표준 8 2 3 2 2 3 2 3 2" xfId="9129"/>
    <cellStyle name="표준 8 2 3 2 2 3 2 3 2 2" xfId="16612"/>
    <cellStyle name="표준 8 2 3 2 2 3 2 3 2 2 2" xfId="39079"/>
    <cellStyle name="표준 8 2 3 2 2 3 2 3 2 3" xfId="24096"/>
    <cellStyle name="표준 8 2 3 2 2 3 2 3 2 3 2" xfId="46561"/>
    <cellStyle name="표준 8 2 3 2 2 3 2 3 2 4" xfId="31597"/>
    <cellStyle name="표준 8 2 3 2 2 3 2 3 3" xfId="16611"/>
    <cellStyle name="표준 8 2 3 2 2 3 2 3 3 2" xfId="39078"/>
    <cellStyle name="표준 8 2 3 2 2 3 2 3 4" xfId="24095"/>
    <cellStyle name="표준 8 2 3 2 2 3 2 3 4 2" xfId="46560"/>
    <cellStyle name="표준 8 2 3 2 2 3 2 3 5" xfId="31596"/>
    <cellStyle name="표준 8 2 3 2 2 3 2 4" xfId="9130"/>
    <cellStyle name="표준 8 2 3 2 2 3 2 4 2" xfId="16613"/>
    <cellStyle name="표준 8 2 3 2 2 3 2 4 2 2" xfId="39080"/>
    <cellStyle name="표준 8 2 3 2 2 3 2 4 3" xfId="24097"/>
    <cellStyle name="표준 8 2 3 2 2 3 2 4 3 2" xfId="46562"/>
    <cellStyle name="표준 8 2 3 2 2 3 2 4 4" xfId="31598"/>
    <cellStyle name="표준 8 2 3 2 2 3 2 5" xfId="16606"/>
    <cellStyle name="표준 8 2 3 2 2 3 2 5 2" xfId="39073"/>
    <cellStyle name="표준 8 2 3 2 2 3 2 6" xfId="24090"/>
    <cellStyle name="표준 8 2 3 2 2 3 2 6 2" xfId="46555"/>
    <cellStyle name="표준 8 2 3 2 2 3 2 7" xfId="31591"/>
    <cellStyle name="표준 8 2 3 2 2 3 3" xfId="9131"/>
    <cellStyle name="표준 8 2 3 2 2 3 3 2" xfId="9132"/>
    <cellStyle name="표준 8 2 3 2 2 3 3 2 2" xfId="9133"/>
    <cellStyle name="표준 8 2 3 2 2 3 3 2 2 2" xfId="16616"/>
    <cellStyle name="표준 8 2 3 2 2 3 3 2 2 2 2" xfId="39083"/>
    <cellStyle name="표준 8 2 3 2 2 3 3 2 2 3" xfId="24100"/>
    <cellStyle name="표준 8 2 3 2 2 3 3 2 2 3 2" xfId="46565"/>
    <cellStyle name="표준 8 2 3 2 2 3 3 2 2 4" xfId="31601"/>
    <cellStyle name="표준 8 2 3 2 2 3 3 2 3" xfId="16615"/>
    <cellStyle name="표준 8 2 3 2 2 3 3 2 3 2" xfId="39082"/>
    <cellStyle name="표준 8 2 3 2 2 3 3 2 4" xfId="24099"/>
    <cellStyle name="표준 8 2 3 2 2 3 3 2 4 2" xfId="46564"/>
    <cellStyle name="표준 8 2 3 2 2 3 3 2 5" xfId="31600"/>
    <cellStyle name="표준 8 2 3 2 2 3 3 3" xfId="9134"/>
    <cellStyle name="표준 8 2 3 2 2 3 3 3 2" xfId="16617"/>
    <cellStyle name="표준 8 2 3 2 2 3 3 3 2 2" xfId="39084"/>
    <cellStyle name="표준 8 2 3 2 2 3 3 3 3" xfId="24101"/>
    <cellStyle name="표준 8 2 3 2 2 3 3 3 3 2" xfId="46566"/>
    <cellStyle name="표준 8 2 3 2 2 3 3 3 4" xfId="31602"/>
    <cellStyle name="표준 8 2 3 2 2 3 3 4" xfId="16614"/>
    <cellStyle name="표준 8 2 3 2 2 3 3 4 2" xfId="39081"/>
    <cellStyle name="표준 8 2 3 2 2 3 3 5" xfId="24098"/>
    <cellStyle name="표준 8 2 3 2 2 3 3 5 2" xfId="46563"/>
    <cellStyle name="표준 8 2 3 2 2 3 3 6" xfId="31599"/>
    <cellStyle name="표준 8 2 3 2 2 3 4" xfId="9135"/>
    <cellStyle name="표준 8 2 3 2 2 3 4 2" xfId="9136"/>
    <cellStyle name="표준 8 2 3 2 2 3 4 2 2" xfId="16619"/>
    <cellStyle name="표준 8 2 3 2 2 3 4 2 2 2" xfId="39086"/>
    <cellStyle name="표준 8 2 3 2 2 3 4 2 3" xfId="24103"/>
    <cellStyle name="표준 8 2 3 2 2 3 4 2 3 2" xfId="46568"/>
    <cellStyle name="표준 8 2 3 2 2 3 4 2 4" xfId="31604"/>
    <cellStyle name="표준 8 2 3 2 2 3 4 3" xfId="16618"/>
    <cellStyle name="표준 8 2 3 2 2 3 4 3 2" xfId="39085"/>
    <cellStyle name="표준 8 2 3 2 2 3 4 4" xfId="24102"/>
    <cellStyle name="표준 8 2 3 2 2 3 4 4 2" xfId="46567"/>
    <cellStyle name="표준 8 2 3 2 2 3 4 5" xfId="31603"/>
    <cellStyle name="표준 8 2 3 2 2 3 5" xfId="9137"/>
    <cellStyle name="표준 8 2 3 2 2 3 5 2" xfId="16620"/>
    <cellStyle name="표준 8 2 3 2 2 3 5 2 2" xfId="39087"/>
    <cellStyle name="표준 8 2 3 2 2 3 5 3" xfId="24104"/>
    <cellStyle name="표준 8 2 3 2 2 3 5 3 2" xfId="46569"/>
    <cellStyle name="표준 8 2 3 2 2 3 5 4" xfId="31605"/>
    <cellStyle name="표준 8 2 3 2 2 3 6" xfId="16605"/>
    <cellStyle name="표준 8 2 3 2 2 3 6 2" xfId="39072"/>
    <cellStyle name="표준 8 2 3 2 2 3 7" xfId="24089"/>
    <cellStyle name="표준 8 2 3 2 2 3 7 2" xfId="46554"/>
    <cellStyle name="표준 8 2 3 2 2 3 8" xfId="31590"/>
    <cellStyle name="표준 8 2 3 2 2 4" xfId="9138"/>
    <cellStyle name="표준 8 2 3 2 2 4 2" xfId="9139"/>
    <cellStyle name="표준 8 2 3 2 2 4 2 2" xfId="9140"/>
    <cellStyle name="표준 8 2 3 2 2 4 2 2 2" xfId="9141"/>
    <cellStyle name="표준 8 2 3 2 2 4 2 2 2 2" xfId="16624"/>
    <cellStyle name="표준 8 2 3 2 2 4 2 2 2 2 2" xfId="39091"/>
    <cellStyle name="표준 8 2 3 2 2 4 2 2 2 3" xfId="24108"/>
    <cellStyle name="표준 8 2 3 2 2 4 2 2 2 3 2" xfId="46573"/>
    <cellStyle name="표준 8 2 3 2 2 4 2 2 2 4" xfId="31609"/>
    <cellStyle name="표준 8 2 3 2 2 4 2 2 3" xfId="16623"/>
    <cellStyle name="표준 8 2 3 2 2 4 2 2 3 2" xfId="39090"/>
    <cellStyle name="표준 8 2 3 2 2 4 2 2 4" xfId="24107"/>
    <cellStyle name="표준 8 2 3 2 2 4 2 2 4 2" xfId="46572"/>
    <cellStyle name="표준 8 2 3 2 2 4 2 2 5" xfId="31608"/>
    <cellStyle name="표준 8 2 3 2 2 4 2 3" xfId="9142"/>
    <cellStyle name="표준 8 2 3 2 2 4 2 3 2" xfId="16625"/>
    <cellStyle name="표준 8 2 3 2 2 4 2 3 2 2" xfId="39092"/>
    <cellStyle name="표준 8 2 3 2 2 4 2 3 3" xfId="24109"/>
    <cellStyle name="표준 8 2 3 2 2 4 2 3 3 2" xfId="46574"/>
    <cellStyle name="표준 8 2 3 2 2 4 2 3 4" xfId="31610"/>
    <cellStyle name="표준 8 2 3 2 2 4 2 4" xfId="16622"/>
    <cellStyle name="표준 8 2 3 2 2 4 2 4 2" xfId="39089"/>
    <cellStyle name="표준 8 2 3 2 2 4 2 5" xfId="24106"/>
    <cellStyle name="표준 8 2 3 2 2 4 2 5 2" xfId="46571"/>
    <cellStyle name="표준 8 2 3 2 2 4 2 6" xfId="31607"/>
    <cellStyle name="표준 8 2 3 2 2 4 3" xfId="9143"/>
    <cellStyle name="표준 8 2 3 2 2 4 3 2" xfId="9144"/>
    <cellStyle name="표준 8 2 3 2 2 4 3 2 2" xfId="16627"/>
    <cellStyle name="표준 8 2 3 2 2 4 3 2 2 2" xfId="39094"/>
    <cellStyle name="표준 8 2 3 2 2 4 3 2 3" xfId="24111"/>
    <cellStyle name="표준 8 2 3 2 2 4 3 2 3 2" xfId="46576"/>
    <cellStyle name="표준 8 2 3 2 2 4 3 2 4" xfId="31612"/>
    <cellStyle name="표준 8 2 3 2 2 4 3 3" xfId="16626"/>
    <cellStyle name="표준 8 2 3 2 2 4 3 3 2" xfId="39093"/>
    <cellStyle name="표준 8 2 3 2 2 4 3 4" xfId="24110"/>
    <cellStyle name="표준 8 2 3 2 2 4 3 4 2" xfId="46575"/>
    <cellStyle name="표준 8 2 3 2 2 4 3 5" xfId="31611"/>
    <cellStyle name="표준 8 2 3 2 2 4 4" xfId="9145"/>
    <cellStyle name="표준 8 2 3 2 2 4 4 2" xfId="16628"/>
    <cellStyle name="표준 8 2 3 2 2 4 4 2 2" xfId="39095"/>
    <cellStyle name="표준 8 2 3 2 2 4 4 3" xfId="24112"/>
    <cellStyle name="표준 8 2 3 2 2 4 4 3 2" xfId="46577"/>
    <cellStyle name="표준 8 2 3 2 2 4 4 4" xfId="31613"/>
    <cellStyle name="표준 8 2 3 2 2 4 5" xfId="16621"/>
    <cellStyle name="표준 8 2 3 2 2 4 5 2" xfId="39088"/>
    <cellStyle name="표준 8 2 3 2 2 4 6" xfId="24105"/>
    <cellStyle name="표준 8 2 3 2 2 4 6 2" xfId="46570"/>
    <cellStyle name="표준 8 2 3 2 2 4 7" xfId="31606"/>
    <cellStyle name="표준 8 2 3 2 2 5" xfId="9146"/>
    <cellStyle name="표준 8 2 3 2 2 5 2" xfId="9147"/>
    <cellStyle name="표준 8 2 3 2 2 5 2 2" xfId="9148"/>
    <cellStyle name="표준 8 2 3 2 2 5 2 2 2" xfId="16631"/>
    <cellStyle name="표준 8 2 3 2 2 5 2 2 2 2" xfId="39098"/>
    <cellStyle name="표준 8 2 3 2 2 5 2 2 3" xfId="24115"/>
    <cellStyle name="표준 8 2 3 2 2 5 2 2 3 2" xfId="46580"/>
    <cellStyle name="표준 8 2 3 2 2 5 2 2 4" xfId="31616"/>
    <cellStyle name="표준 8 2 3 2 2 5 2 3" xfId="16630"/>
    <cellStyle name="표준 8 2 3 2 2 5 2 3 2" xfId="39097"/>
    <cellStyle name="표준 8 2 3 2 2 5 2 4" xfId="24114"/>
    <cellStyle name="표준 8 2 3 2 2 5 2 4 2" xfId="46579"/>
    <cellStyle name="표준 8 2 3 2 2 5 2 5" xfId="31615"/>
    <cellStyle name="표준 8 2 3 2 2 5 3" xfId="9149"/>
    <cellStyle name="표준 8 2 3 2 2 5 3 2" xfId="16632"/>
    <cellStyle name="표준 8 2 3 2 2 5 3 2 2" xfId="39099"/>
    <cellStyle name="표준 8 2 3 2 2 5 3 3" xfId="24116"/>
    <cellStyle name="표준 8 2 3 2 2 5 3 3 2" xfId="46581"/>
    <cellStyle name="표준 8 2 3 2 2 5 3 4" xfId="31617"/>
    <cellStyle name="표준 8 2 3 2 2 5 4" xfId="16629"/>
    <cellStyle name="표준 8 2 3 2 2 5 4 2" xfId="39096"/>
    <cellStyle name="표준 8 2 3 2 2 5 5" xfId="24113"/>
    <cellStyle name="표준 8 2 3 2 2 5 5 2" xfId="46578"/>
    <cellStyle name="표준 8 2 3 2 2 5 6" xfId="31614"/>
    <cellStyle name="표준 8 2 3 2 2 6" xfId="9150"/>
    <cellStyle name="표준 8 2 3 2 2 6 2" xfId="9151"/>
    <cellStyle name="표준 8 2 3 2 2 6 2 2" xfId="16634"/>
    <cellStyle name="표준 8 2 3 2 2 6 2 2 2" xfId="39101"/>
    <cellStyle name="표준 8 2 3 2 2 6 2 3" xfId="24118"/>
    <cellStyle name="표준 8 2 3 2 2 6 2 3 2" xfId="46583"/>
    <cellStyle name="표준 8 2 3 2 2 6 2 4" xfId="31619"/>
    <cellStyle name="표준 8 2 3 2 2 6 3" xfId="16633"/>
    <cellStyle name="표준 8 2 3 2 2 6 3 2" xfId="39100"/>
    <cellStyle name="표준 8 2 3 2 2 6 4" xfId="24117"/>
    <cellStyle name="표준 8 2 3 2 2 6 4 2" xfId="46582"/>
    <cellStyle name="표준 8 2 3 2 2 6 5" xfId="31618"/>
    <cellStyle name="표준 8 2 3 2 2 7" xfId="9152"/>
    <cellStyle name="표준 8 2 3 2 2 7 2" xfId="16635"/>
    <cellStyle name="표준 8 2 3 2 2 7 2 2" xfId="39102"/>
    <cellStyle name="표준 8 2 3 2 2 7 3" xfId="24119"/>
    <cellStyle name="표준 8 2 3 2 2 7 3 2" xfId="46584"/>
    <cellStyle name="표준 8 2 3 2 2 7 4" xfId="31620"/>
    <cellStyle name="표준 8 2 3 2 2 8" xfId="16588"/>
    <cellStyle name="표준 8 2 3 2 2 8 2" xfId="39055"/>
    <cellStyle name="표준 8 2 3 2 2 9" xfId="24072"/>
    <cellStyle name="표준 8 2 3 2 2 9 2" xfId="46537"/>
    <cellStyle name="표준 8 2 3 2 3" xfId="9153"/>
    <cellStyle name="표준 8 2 3 2 3 2" xfId="9154"/>
    <cellStyle name="표준 8 2 3 2 3 2 2" xfId="9155"/>
    <cellStyle name="표준 8 2 3 2 3 2 2 2" xfId="9156"/>
    <cellStyle name="표준 8 2 3 2 3 2 2 2 2" xfId="9157"/>
    <cellStyle name="표준 8 2 3 2 3 2 2 2 2 2" xfId="16640"/>
    <cellStyle name="표준 8 2 3 2 3 2 2 2 2 2 2" xfId="39107"/>
    <cellStyle name="표준 8 2 3 2 3 2 2 2 2 3" xfId="24124"/>
    <cellStyle name="표준 8 2 3 2 3 2 2 2 2 3 2" xfId="46589"/>
    <cellStyle name="표준 8 2 3 2 3 2 2 2 2 4" xfId="31625"/>
    <cellStyle name="표준 8 2 3 2 3 2 2 2 3" xfId="16639"/>
    <cellStyle name="표준 8 2 3 2 3 2 2 2 3 2" xfId="39106"/>
    <cellStyle name="표준 8 2 3 2 3 2 2 2 4" xfId="24123"/>
    <cellStyle name="표준 8 2 3 2 3 2 2 2 4 2" xfId="46588"/>
    <cellStyle name="표준 8 2 3 2 3 2 2 2 5" xfId="31624"/>
    <cellStyle name="표준 8 2 3 2 3 2 2 3" xfId="9158"/>
    <cellStyle name="표준 8 2 3 2 3 2 2 3 2" xfId="16641"/>
    <cellStyle name="표준 8 2 3 2 3 2 2 3 2 2" xfId="39108"/>
    <cellStyle name="표준 8 2 3 2 3 2 2 3 3" xfId="24125"/>
    <cellStyle name="표준 8 2 3 2 3 2 2 3 3 2" xfId="46590"/>
    <cellStyle name="표준 8 2 3 2 3 2 2 3 4" xfId="31626"/>
    <cellStyle name="표준 8 2 3 2 3 2 2 4" xfId="16638"/>
    <cellStyle name="표준 8 2 3 2 3 2 2 4 2" xfId="39105"/>
    <cellStyle name="표준 8 2 3 2 3 2 2 5" xfId="24122"/>
    <cellStyle name="표준 8 2 3 2 3 2 2 5 2" xfId="46587"/>
    <cellStyle name="표준 8 2 3 2 3 2 2 6" xfId="31623"/>
    <cellStyle name="표준 8 2 3 2 3 2 3" xfId="9159"/>
    <cellStyle name="표준 8 2 3 2 3 2 3 2" xfId="9160"/>
    <cellStyle name="표준 8 2 3 2 3 2 3 2 2" xfId="16643"/>
    <cellStyle name="표준 8 2 3 2 3 2 3 2 2 2" xfId="39110"/>
    <cellStyle name="표준 8 2 3 2 3 2 3 2 3" xfId="24127"/>
    <cellStyle name="표준 8 2 3 2 3 2 3 2 3 2" xfId="46592"/>
    <cellStyle name="표준 8 2 3 2 3 2 3 2 4" xfId="31628"/>
    <cellStyle name="표준 8 2 3 2 3 2 3 3" xfId="16642"/>
    <cellStyle name="표준 8 2 3 2 3 2 3 3 2" xfId="39109"/>
    <cellStyle name="표준 8 2 3 2 3 2 3 4" xfId="24126"/>
    <cellStyle name="표준 8 2 3 2 3 2 3 4 2" xfId="46591"/>
    <cellStyle name="표준 8 2 3 2 3 2 3 5" xfId="31627"/>
    <cellStyle name="표준 8 2 3 2 3 2 4" xfId="9161"/>
    <cellStyle name="표준 8 2 3 2 3 2 4 2" xfId="16644"/>
    <cellStyle name="표준 8 2 3 2 3 2 4 2 2" xfId="39111"/>
    <cellStyle name="표준 8 2 3 2 3 2 4 3" xfId="24128"/>
    <cellStyle name="표준 8 2 3 2 3 2 4 3 2" xfId="46593"/>
    <cellStyle name="표준 8 2 3 2 3 2 4 4" xfId="31629"/>
    <cellStyle name="표준 8 2 3 2 3 2 5" xfId="16637"/>
    <cellStyle name="표준 8 2 3 2 3 2 5 2" xfId="39104"/>
    <cellStyle name="표준 8 2 3 2 3 2 6" xfId="24121"/>
    <cellStyle name="표준 8 2 3 2 3 2 6 2" xfId="46586"/>
    <cellStyle name="표준 8 2 3 2 3 2 7" xfId="31622"/>
    <cellStyle name="표준 8 2 3 2 3 3" xfId="9162"/>
    <cellStyle name="표준 8 2 3 2 3 3 2" xfId="9163"/>
    <cellStyle name="표준 8 2 3 2 3 3 2 2" xfId="9164"/>
    <cellStyle name="표준 8 2 3 2 3 3 2 2 2" xfId="16647"/>
    <cellStyle name="표준 8 2 3 2 3 3 2 2 2 2" xfId="39114"/>
    <cellStyle name="표준 8 2 3 2 3 3 2 2 3" xfId="24131"/>
    <cellStyle name="표준 8 2 3 2 3 3 2 2 3 2" xfId="46596"/>
    <cellStyle name="표준 8 2 3 2 3 3 2 2 4" xfId="31632"/>
    <cellStyle name="표준 8 2 3 2 3 3 2 3" xfId="16646"/>
    <cellStyle name="표준 8 2 3 2 3 3 2 3 2" xfId="39113"/>
    <cellStyle name="표준 8 2 3 2 3 3 2 4" xfId="24130"/>
    <cellStyle name="표준 8 2 3 2 3 3 2 4 2" xfId="46595"/>
    <cellStyle name="표준 8 2 3 2 3 3 2 5" xfId="31631"/>
    <cellStyle name="표준 8 2 3 2 3 3 3" xfId="9165"/>
    <cellStyle name="표준 8 2 3 2 3 3 3 2" xfId="16648"/>
    <cellStyle name="표준 8 2 3 2 3 3 3 2 2" xfId="39115"/>
    <cellStyle name="표준 8 2 3 2 3 3 3 3" xfId="24132"/>
    <cellStyle name="표준 8 2 3 2 3 3 3 3 2" xfId="46597"/>
    <cellStyle name="표준 8 2 3 2 3 3 3 4" xfId="31633"/>
    <cellStyle name="표준 8 2 3 2 3 3 4" xfId="16645"/>
    <cellStyle name="표준 8 2 3 2 3 3 4 2" xfId="39112"/>
    <cellStyle name="표준 8 2 3 2 3 3 5" xfId="24129"/>
    <cellStyle name="표준 8 2 3 2 3 3 5 2" xfId="46594"/>
    <cellStyle name="표준 8 2 3 2 3 3 6" xfId="31630"/>
    <cellStyle name="표준 8 2 3 2 3 4" xfId="9166"/>
    <cellStyle name="표준 8 2 3 2 3 4 2" xfId="9167"/>
    <cellStyle name="표준 8 2 3 2 3 4 2 2" xfId="16650"/>
    <cellStyle name="표준 8 2 3 2 3 4 2 2 2" xfId="39117"/>
    <cellStyle name="표준 8 2 3 2 3 4 2 3" xfId="24134"/>
    <cellStyle name="표준 8 2 3 2 3 4 2 3 2" xfId="46599"/>
    <cellStyle name="표준 8 2 3 2 3 4 2 4" xfId="31635"/>
    <cellStyle name="표준 8 2 3 2 3 4 3" xfId="16649"/>
    <cellStyle name="표준 8 2 3 2 3 4 3 2" xfId="39116"/>
    <cellStyle name="표준 8 2 3 2 3 4 4" xfId="24133"/>
    <cellStyle name="표준 8 2 3 2 3 4 4 2" xfId="46598"/>
    <cellStyle name="표준 8 2 3 2 3 4 5" xfId="31634"/>
    <cellStyle name="표준 8 2 3 2 3 5" xfId="9168"/>
    <cellStyle name="표준 8 2 3 2 3 5 2" xfId="16651"/>
    <cellStyle name="표준 8 2 3 2 3 5 2 2" xfId="39118"/>
    <cellStyle name="표준 8 2 3 2 3 5 3" xfId="24135"/>
    <cellStyle name="표준 8 2 3 2 3 5 3 2" xfId="46600"/>
    <cellStyle name="표준 8 2 3 2 3 5 4" xfId="31636"/>
    <cellStyle name="표준 8 2 3 2 3 6" xfId="16636"/>
    <cellStyle name="표준 8 2 3 2 3 6 2" xfId="39103"/>
    <cellStyle name="표준 8 2 3 2 3 7" xfId="24120"/>
    <cellStyle name="표준 8 2 3 2 3 7 2" xfId="46585"/>
    <cellStyle name="표준 8 2 3 2 3 8" xfId="31621"/>
    <cellStyle name="표준 8 2 3 2 4" xfId="9169"/>
    <cellStyle name="표준 8 2 3 2 4 2" xfId="9170"/>
    <cellStyle name="표준 8 2 3 2 4 2 2" xfId="9171"/>
    <cellStyle name="표준 8 2 3 2 4 2 2 2" xfId="9172"/>
    <cellStyle name="표준 8 2 3 2 4 2 2 2 2" xfId="9173"/>
    <cellStyle name="표준 8 2 3 2 4 2 2 2 2 2" xfId="16656"/>
    <cellStyle name="표준 8 2 3 2 4 2 2 2 2 2 2" xfId="39123"/>
    <cellStyle name="표준 8 2 3 2 4 2 2 2 2 3" xfId="24140"/>
    <cellStyle name="표준 8 2 3 2 4 2 2 2 2 3 2" xfId="46605"/>
    <cellStyle name="표준 8 2 3 2 4 2 2 2 2 4" xfId="31641"/>
    <cellStyle name="표준 8 2 3 2 4 2 2 2 3" xfId="16655"/>
    <cellStyle name="표준 8 2 3 2 4 2 2 2 3 2" xfId="39122"/>
    <cellStyle name="표준 8 2 3 2 4 2 2 2 4" xfId="24139"/>
    <cellStyle name="표준 8 2 3 2 4 2 2 2 4 2" xfId="46604"/>
    <cellStyle name="표준 8 2 3 2 4 2 2 2 5" xfId="31640"/>
    <cellStyle name="표준 8 2 3 2 4 2 2 3" xfId="9174"/>
    <cellStyle name="표준 8 2 3 2 4 2 2 3 2" xfId="16657"/>
    <cellStyle name="표준 8 2 3 2 4 2 2 3 2 2" xfId="39124"/>
    <cellStyle name="표준 8 2 3 2 4 2 2 3 3" xfId="24141"/>
    <cellStyle name="표준 8 2 3 2 4 2 2 3 3 2" xfId="46606"/>
    <cellStyle name="표준 8 2 3 2 4 2 2 3 4" xfId="31642"/>
    <cellStyle name="표준 8 2 3 2 4 2 2 4" xfId="16654"/>
    <cellStyle name="표준 8 2 3 2 4 2 2 4 2" xfId="39121"/>
    <cellStyle name="표준 8 2 3 2 4 2 2 5" xfId="24138"/>
    <cellStyle name="표준 8 2 3 2 4 2 2 5 2" xfId="46603"/>
    <cellStyle name="표준 8 2 3 2 4 2 2 6" xfId="31639"/>
    <cellStyle name="표준 8 2 3 2 4 2 3" xfId="9175"/>
    <cellStyle name="표준 8 2 3 2 4 2 3 2" xfId="9176"/>
    <cellStyle name="표준 8 2 3 2 4 2 3 2 2" xfId="16659"/>
    <cellStyle name="표준 8 2 3 2 4 2 3 2 2 2" xfId="39126"/>
    <cellStyle name="표준 8 2 3 2 4 2 3 2 3" xfId="24143"/>
    <cellStyle name="표준 8 2 3 2 4 2 3 2 3 2" xfId="46608"/>
    <cellStyle name="표준 8 2 3 2 4 2 3 2 4" xfId="31644"/>
    <cellStyle name="표준 8 2 3 2 4 2 3 3" xfId="16658"/>
    <cellStyle name="표준 8 2 3 2 4 2 3 3 2" xfId="39125"/>
    <cellStyle name="표준 8 2 3 2 4 2 3 4" xfId="24142"/>
    <cellStyle name="표준 8 2 3 2 4 2 3 4 2" xfId="46607"/>
    <cellStyle name="표준 8 2 3 2 4 2 3 5" xfId="31643"/>
    <cellStyle name="표준 8 2 3 2 4 2 4" xfId="9177"/>
    <cellStyle name="표준 8 2 3 2 4 2 4 2" xfId="16660"/>
    <cellStyle name="표준 8 2 3 2 4 2 4 2 2" xfId="39127"/>
    <cellStyle name="표준 8 2 3 2 4 2 4 3" xfId="24144"/>
    <cellStyle name="표준 8 2 3 2 4 2 4 3 2" xfId="46609"/>
    <cellStyle name="표준 8 2 3 2 4 2 4 4" xfId="31645"/>
    <cellStyle name="표준 8 2 3 2 4 2 5" xfId="16653"/>
    <cellStyle name="표준 8 2 3 2 4 2 5 2" xfId="39120"/>
    <cellStyle name="표준 8 2 3 2 4 2 6" xfId="24137"/>
    <cellStyle name="표준 8 2 3 2 4 2 6 2" xfId="46602"/>
    <cellStyle name="표준 8 2 3 2 4 2 7" xfId="31638"/>
    <cellStyle name="표준 8 2 3 2 4 3" xfId="9178"/>
    <cellStyle name="표준 8 2 3 2 4 3 2" xfId="9179"/>
    <cellStyle name="표준 8 2 3 2 4 3 2 2" xfId="9180"/>
    <cellStyle name="표준 8 2 3 2 4 3 2 2 2" xfId="16663"/>
    <cellStyle name="표준 8 2 3 2 4 3 2 2 2 2" xfId="39130"/>
    <cellStyle name="표준 8 2 3 2 4 3 2 2 3" xfId="24147"/>
    <cellStyle name="표준 8 2 3 2 4 3 2 2 3 2" xfId="46612"/>
    <cellStyle name="표준 8 2 3 2 4 3 2 2 4" xfId="31648"/>
    <cellStyle name="표준 8 2 3 2 4 3 2 3" xfId="16662"/>
    <cellStyle name="표준 8 2 3 2 4 3 2 3 2" xfId="39129"/>
    <cellStyle name="표준 8 2 3 2 4 3 2 4" xfId="24146"/>
    <cellStyle name="표준 8 2 3 2 4 3 2 4 2" xfId="46611"/>
    <cellStyle name="표준 8 2 3 2 4 3 2 5" xfId="31647"/>
    <cellStyle name="표준 8 2 3 2 4 3 3" xfId="9181"/>
    <cellStyle name="표준 8 2 3 2 4 3 3 2" xfId="16664"/>
    <cellStyle name="표준 8 2 3 2 4 3 3 2 2" xfId="39131"/>
    <cellStyle name="표준 8 2 3 2 4 3 3 3" xfId="24148"/>
    <cellStyle name="표준 8 2 3 2 4 3 3 3 2" xfId="46613"/>
    <cellStyle name="표준 8 2 3 2 4 3 3 4" xfId="31649"/>
    <cellStyle name="표준 8 2 3 2 4 3 4" xfId="16661"/>
    <cellStyle name="표준 8 2 3 2 4 3 4 2" xfId="39128"/>
    <cellStyle name="표준 8 2 3 2 4 3 5" xfId="24145"/>
    <cellStyle name="표준 8 2 3 2 4 3 5 2" xfId="46610"/>
    <cellStyle name="표준 8 2 3 2 4 3 6" xfId="31646"/>
    <cellStyle name="표준 8 2 3 2 4 4" xfId="9182"/>
    <cellStyle name="표준 8 2 3 2 4 4 2" xfId="9183"/>
    <cellStyle name="표준 8 2 3 2 4 4 2 2" xfId="16666"/>
    <cellStyle name="표준 8 2 3 2 4 4 2 2 2" xfId="39133"/>
    <cellStyle name="표준 8 2 3 2 4 4 2 3" xfId="24150"/>
    <cellStyle name="표준 8 2 3 2 4 4 2 3 2" xfId="46615"/>
    <cellStyle name="표준 8 2 3 2 4 4 2 4" xfId="31651"/>
    <cellStyle name="표준 8 2 3 2 4 4 3" xfId="16665"/>
    <cellStyle name="표준 8 2 3 2 4 4 3 2" xfId="39132"/>
    <cellStyle name="표준 8 2 3 2 4 4 4" xfId="24149"/>
    <cellStyle name="표준 8 2 3 2 4 4 4 2" xfId="46614"/>
    <cellStyle name="표준 8 2 3 2 4 4 5" xfId="31650"/>
    <cellStyle name="표준 8 2 3 2 4 5" xfId="9184"/>
    <cellStyle name="표준 8 2 3 2 4 5 2" xfId="16667"/>
    <cellStyle name="표준 8 2 3 2 4 5 2 2" xfId="39134"/>
    <cellStyle name="표준 8 2 3 2 4 5 3" xfId="24151"/>
    <cellStyle name="표준 8 2 3 2 4 5 3 2" xfId="46616"/>
    <cellStyle name="표준 8 2 3 2 4 5 4" xfId="31652"/>
    <cellStyle name="표준 8 2 3 2 4 6" xfId="16652"/>
    <cellStyle name="표준 8 2 3 2 4 6 2" xfId="39119"/>
    <cellStyle name="표준 8 2 3 2 4 7" xfId="24136"/>
    <cellStyle name="표준 8 2 3 2 4 7 2" xfId="46601"/>
    <cellStyle name="표준 8 2 3 2 4 8" xfId="31637"/>
    <cellStyle name="표준 8 2 3 2 5" xfId="9185"/>
    <cellStyle name="표준 8 2 3 2 5 2" xfId="9186"/>
    <cellStyle name="표준 8 2 3 2 5 2 2" xfId="9187"/>
    <cellStyle name="표준 8 2 3 2 5 2 2 2" xfId="9188"/>
    <cellStyle name="표준 8 2 3 2 5 2 2 2 2" xfId="16671"/>
    <cellStyle name="표준 8 2 3 2 5 2 2 2 2 2" xfId="39138"/>
    <cellStyle name="표준 8 2 3 2 5 2 2 2 3" xfId="24155"/>
    <cellStyle name="표준 8 2 3 2 5 2 2 2 3 2" xfId="46620"/>
    <cellStyle name="표준 8 2 3 2 5 2 2 2 4" xfId="31656"/>
    <cellStyle name="표준 8 2 3 2 5 2 2 3" xfId="16670"/>
    <cellStyle name="표준 8 2 3 2 5 2 2 3 2" xfId="39137"/>
    <cellStyle name="표준 8 2 3 2 5 2 2 4" xfId="24154"/>
    <cellStyle name="표준 8 2 3 2 5 2 2 4 2" xfId="46619"/>
    <cellStyle name="표준 8 2 3 2 5 2 2 5" xfId="31655"/>
    <cellStyle name="표준 8 2 3 2 5 2 3" xfId="9189"/>
    <cellStyle name="표준 8 2 3 2 5 2 3 2" xfId="16672"/>
    <cellStyle name="표준 8 2 3 2 5 2 3 2 2" xfId="39139"/>
    <cellStyle name="표준 8 2 3 2 5 2 3 3" xfId="24156"/>
    <cellStyle name="표준 8 2 3 2 5 2 3 3 2" xfId="46621"/>
    <cellStyle name="표준 8 2 3 2 5 2 3 4" xfId="31657"/>
    <cellStyle name="표준 8 2 3 2 5 2 4" xfId="16669"/>
    <cellStyle name="표준 8 2 3 2 5 2 4 2" xfId="39136"/>
    <cellStyle name="표준 8 2 3 2 5 2 5" xfId="24153"/>
    <cellStyle name="표준 8 2 3 2 5 2 5 2" xfId="46618"/>
    <cellStyle name="표준 8 2 3 2 5 2 6" xfId="31654"/>
    <cellStyle name="표준 8 2 3 2 5 3" xfId="9190"/>
    <cellStyle name="표준 8 2 3 2 5 3 2" xfId="9191"/>
    <cellStyle name="표준 8 2 3 2 5 3 2 2" xfId="16674"/>
    <cellStyle name="표준 8 2 3 2 5 3 2 2 2" xfId="39141"/>
    <cellStyle name="표준 8 2 3 2 5 3 2 3" xfId="24158"/>
    <cellStyle name="표준 8 2 3 2 5 3 2 3 2" xfId="46623"/>
    <cellStyle name="표준 8 2 3 2 5 3 2 4" xfId="31659"/>
    <cellStyle name="표준 8 2 3 2 5 3 3" xfId="16673"/>
    <cellStyle name="표준 8 2 3 2 5 3 3 2" xfId="39140"/>
    <cellStyle name="표준 8 2 3 2 5 3 4" xfId="24157"/>
    <cellStyle name="표준 8 2 3 2 5 3 4 2" xfId="46622"/>
    <cellStyle name="표준 8 2 3 2 5 3 5" xfId="31658"/>
    <cellStyle name="표준 8 2 3 2 5 4" xfId="9192"/>
    <cellStyle name="표준 8 2 3 2 5 4 2" xfId="16675"/>
    <cellStyle name="표준 8 2 3 2 5 4 2 2" xfId="39142"/>
    <cellStyle name="표준 8 2 3 2 5 4 3" xfId="24159"/>
    <cellStyle name="표준 8 2 3 2 5 4 3 2" xfId="46624"/>
    <cellStyle name="표준 8 2 3 2 5 4 4" xfId="31660"/>
    <cellStyle name="표준 8 2 3 2 5 5" xfId="16668"/>
    <cellStyle name="표준 8 2 3 2 5 5 2" xfId="39135"/>
    <cellStyle name="표준 8 2 3 2 5 6" xfId="24152"/>
    <cellStyle name="표준 8 2 3 2 5 6 2" xfId="46617"/>
    <cellStyle name="표준 8 2 3 2 5 7" xfId="31653"/>
    <cellStyle name="표준 8 2 3 2 6" xfId="9193"/>
    <cellStyle name="표준 8 2 3 2 6 2" xfId="9194"/>
    <cellStyle name="표준 8 2 3 2 6 2 2" xfId="9195"/>
    <cellStyle name="표준 8 2 3 2 6 2 2 2" xfId="16678"/>
    <cellStyle name="표준 8 2 3 2 6 2 2 2 2" xfId="39145"/>
    <cellStyle name="표준 8 2 3 2 6 2 2 3" xfId="24162"/>
    <cellStyle name="표준 8 2 3 2 6 2 2 3 2" xfId="46627"/>
    <cellStyle name="표준 8 2 3 2 6 2 2 4" xfId="31663"/>
    <cellStyle name="표준 8 2 3 2 6 2 3" xfId="16677"/>
    <cellStyle name="표준 8 2 3 2 6 2 3 2" xfId="39144"/>
    <cellStyle name="표준 8 2 3 2 6 2 4" xfId="24161"/>
    <cellStyle name="표준 8 2 3 2 6 2 4 2" xfId="46626"/>
    <cellStyle name="표준 8 2 3 2 6 2 5" xfId="31662"/>
    <cellStyle name="표준 8 2 3 2 6 3" xfId="9196"/>
    <cellStyle name="표준 8 2 3 2 6 3 2" xfId="16679"/>
    <cellStyle name="표준 8 2 3 2 6 3 2 2" xfId="39146"/>
    <cellStyle name="표준 8 2 3 2 6 3 3" xfId="24163"/>
    <cellStyle name="표준 8 2 3 2 6 3 3 2" xfId="46628"/>
    <cellStyle name="표준 8 2 3 2 6 3 4" xfId="31664"/>
    <cellStyle name="표준 8 2 3 2 6 4" xfId="16676"/>
    <cellStyle name="표준 8 2 3 2 6 4 2" xfId="39143"/>
    <cellStyle name="표준 8 2 3 2 6 5" xfId="24160"/>
    <cellStyle name="표준 8 2 3 2 6 5 2" xfId="46625"/>
    <cellStyle name="표준 8 2 3 2 6 6" xfId="31661"/>
    <cellStyle name="표준 8 2 3 2 7" xfId="9197"/>
    <cellStyle name="표준 8 2 3 2 7 2" xfId="9198"/>
    <cellStyle name="표준 8 2 3 2 7 2 2" xfId="9199"/>
    <cellStyle name="표준 8 2 3 2 7 2 2 2" xfId="16682"/>
    <cellStyle name="표준 8 2 3 2 7 2 2 2 2" xfId="39149"/>
    <cellStyle name="표준 8 2 3 2 7 2 2 3" xfId="24166"/>
    <cellStyle name="표준 8 2 3 2 7 2 2 3 2" xfId="46631"/>
    <cellStyle name="표준 8 2 3 2 7 2 2 4" xfId="31667"/>
    <cellStyle name="표준 8 2 3 2 7 2 3" xfId="16681"/>
    <cellStyle name="표준 8 2 3 2 7 2 3 2" xfId="39148"/>
    <cellStyle name="표준 8 2 3 2 7 2 4" xfId="24165"/>
    <cellStyle name="표준 8 2 3 2 7 2 4 2" xfId="46630"/>
    <cellStyle name="표준 8 2 3 2 7 2 5" xfId="31666"/>
    <cellStyle name="표준 8 2 3 2 7 3" xfId="9200"/>
    <cellStyle name="표준 8 2 3 2 7 3 2" xfId="16683"/>
    <cellStyle name="표준 8 2 3 2 7 3 2 2" xfId="39150"/>
    <cellStyle name="표준 8 2 3 2 7 3 3" xfId="24167"/>
    <cellStyle name="표준 8 2 3 2 7 3 3 2" xfId="46632"/>
    <cellStyle name="표준 8 2 3 2 7 3 4" xfId="31668"/>
    <cellStyle name="표준 8 2 3 2 7 4" xfId="16680"/>
    <cellStyle name="표준 8 2 3 2 7 4 2" xfId="39147"/>
    <cellStyle name="표준 8 2 3 2 7 5" xfId="24164"/>
    <cellStyle name="표준 8 2 3 2 7 5 2" xfId="46629"/>
    <cellStyle name="표준 8 2 3 2 7 6" xfId="31665"/>
    <cellStyle name="표준 8 2 3 2 8" xfId="9201"/>
    <cellStyle name="표준 8 2 3 2 8 2" xfId="9202"/>
    <cellStyle name="표준 8 2 3 2 8 2 2" xfId="16685"/>
    <cellStyle name="표준 8 2 3 2 8 2 2 2" xfId="39152"/>
    <cellStyle name="표준 8 2 3 2 8 2 3" xfId="24169"/>
    <cellStyle name="표준 8 2 3 2 8 2 3 2" xfId="46634"/>
    <cellStyle name="표준 8 2 3 2 8 2 4" xfId="31670"/>
    <cellStyle name="표준 8 2 3 2 8 3" xfId="16684"/>
    <cellStyle name="표준 8 2 3 2 8 3 2" xfId="39151"/>
    <cellStyle name="표준 8 2 3 2 8 4" xfId="24168"/>
    <cellStyle name="표준 8 2 3 2 8 4 2" xfId="46633"/>
    <cellStyle name="표준 8 2 3 2 8 5" xfId="31669"/>
    <cellStyle name="표준 8 2 3 2 9" xfId="9203"/>
    <cellStyle name="표준 8 2 3 2 9 2" xfId="16686"/>
    <cellStyle name="표준 8 2 3 2 9 2 2" xfId="39153"/>
    <cellStyle name="표준 8 2 3 2 9 3" xfId="24170"/>
    <cellStyle name="표준 8 2 3 2 9 3 2" xfId="46635"/>
    <cellStyle name="표준 8 2 3 2 9 4" xfId="31671"/>
    <cellStyle name="표준 8 2 3 3" xfId="9204"/>
    <cellStyle name="표준 8 2 3 3 10" xfId="31672"/>
    <cellStyle name="표준 8 2 3 3 2" xfId="9205"/>
    <cellStyle name="표준 8 2 3 3 2 2" xfId="9206"/>
    <cellStyle name="표준 8 2 3 3 2 2 2" xfId="9207"/>
    <cellStyle name="표준 8 2 3 3 2 2 2 2" xfId="9208"/>
    <cellStyle name="표준 8 2 3 3 2 2 2 2 2" xfId="9209"/>
    <cellStyle name="표준 8 2 3 3 2 2 2 2 2 2" xfId="16692"/>
    <cellStyle name="표준 8 2 3 3 2 2 2 2 2 2 2" xfId="39159"/>
    <cellStyle name="표준 8 2 3 3 2 2 2 2 2 3" xfId="24176"/>
    <cellStyle name="표준 8 2 3 3 2 2 2 2 2 3 2" xfId="46641"/>
    <cellStyle name="표준 8 2 3 3 2 2 2 2 2 4" xfId="31677"/>
    <cellStyle name="표준 8 2 3 3 2 2 2 2 3" xfId="16691"/>
    <cellStyle name="표준 8 2 3 3 2 2 2 2 3 2" xfId="39158"/>
    <cellStyle name="표준 8 2 3 3 2 2 2 2 4" xfId="24175"/>
    <cellStyle name="표준 8 2 3 3 2 2 2 2 4 2" xfId="46640"/>
    <cellStyle name="표준 8 2 3 3 2 2 2 2 5" xfId="31676"/>
    <cellStyle name="표준 8 2 3 3 2 2 2 3" xfId="9210"/>
    <cellStyle name="표준 8 2 3 3 2 2 2 3 2" xfId="16693"/>
    <cellStyle name="표준 8 2 3 3 2 2 2 3 2 2" xfId="39160"/>
    <cellStyle name="표준 8 2 3 3 2 2 2 3 3" xfId="24177"/>
    <cellStyle name="표준 8 2 3 3 2 2 2 3 3 2" xfId="46642"/>
    <cellStyle name="표준 8 2 3 3 2 2 2 3 4" xfId="31678"/>
    <cellStyle name="표준 8 2 3 3 2 2 2 4" xfId="16690"/>
    <cellStyle name="표준 8 2 3 3 2 2 2 4 2" xfId="39157"/>
    <cellStyle name="표준 8 2 3 3 2 2 2 5" xfId="24174"/>
    <cellStyle name="표준 8 2 3 3 2 2 2 5 2" xfId="46639"/>
    <cellStyle name="표준 8 2 3 3 2 2 2 6" xfId="31675"/>
    <cellStyle name="표준 8 2 3 3 2 2 3" xfId="9211"/>
    <cellStyle name="표준 8 2 3 3 2 2 3 2" xfId="9212"/>
    <cellStyle name="표준 8 2 3 3 2 2 3 2 2" xfId="16695"/>
    <cellStyle name="표준 8 2 3 3 2 2 3 2 2 2" xfId="39162"/>
    <cellStyle name="표준 8 2 3 3 2 2 3 2 3" xfId="24179"/>
    <cellStyle name="표준 8 2 3 3 2 2 3 2 3 2" xfId="46644"/>
    <cellStyle name="표준 8 2 3 3 2 2 3 2 4" xfId="31680"/>
    <cellStyle name="표준 8 2 3 3 2 2 3 3" xfId="16694"/>
    <cellStyle name="표준 8 2 3 3 2 2 3 3 2" xfId="39161"/>
    <cellStyle name="표준 8 2 3 3 2 2 3 4" xfId="24178"/>
    <cellStyle name="표준 8 2 3 3 2 2 3 4 2" xfId="46643"/>
    <cellStyle name="표준 8 2 3 3 2 2 3 5" xfId="31679"/>
    <cellStyle name="표준 8 2 3 3 2 2 4" xfId="9213"/>
    <cellStyle name="표준 8 2 3 3 2 2 4 2" xfId="16696"/>
    <cellStyle name="표준 8 2 3 3 2 2 4 2 2" xfId="39163"/>
    <cellStyle name="표준 8 2 3 3 2 2 4 3" xfId="24180"/>
    <cellStyle name="표준 8 2 3 3 2 2 4 3 2" xfId="46645"/>
    <cellStyle name="표준 8 2 3 3 2 2 4 4" xfId="31681"/>
    <cellStyle name="표준 8 2 3 3 2 2 5" xfId="16689"/>
    <cellStyle name="표준 8 2 3 3 2 2 5 2" xfId="39156"/>
    <cellStyle name="표준 8 2 3 3 2 2 6" xfId="24173"/>
    <cellStyle name="표준 8 2 3 3 2 2 6 2" xfId="46638"/>
    <cellStyle name="표준 8 2 3 3 2 2 7" xfId="31674"/>
    <cellStyle name="표준 8 2 3 3 2 3" xfId="9214"/>
    <cellStyle name="표준 8 2 3 3 2 3 2" xfId="9215"/>
    <cellStyle name="표준 8 2 3 3 2 3 2 2" xfId="9216"/>
    <cellStyle name="표준 8 2 3 3 2 3 2 2 2" xfId="16699"/>
    <cellStyle name="표준 8 2 3 3 2 3 2 2 2 2" xfId="39166"/>
    <cellStyle name="표준 8 2 3 3 2 3 2 2 3" xfId="24183"/>
    <cellStyle name="표준 8 2 3 3 2 3 2 2 3 2" xfId="46648"/>
    <cellStyle name="표준 8 2 3 3 2 3 2 2 4" xfId="31684"/>
    <cellStyle name="표준 8 2 3 3 2 3 2 3" xfId="16698"/>
    <cellStyle name="표준 8 2 3 3 2 3 2 3 2" xfId="39165"/>
    <cellStyle name="표준 8 2 3 3 2 3 2 4" xfId="24182"/>
    <cellStyle name="표준 8 2 3 3 2 3 2 4 2" xfId="46647"/>
    <cellStyle name="표준 8 2 3 3 2 3 2 5" xfId="31683"/>
    <cellStyle name="표준 8 2 3 3 2 3 3" xfId="9217"/>
    <cellStyle name="표준 8 2 3 3 2 3 3 2" xfId="16700"/>
    <cellStyle name="표준 8 2 3 3 2 3 3 2 2" xfId="39167"/>
    <cellStyle name="표준 8 2 3 3 2 3 3 3" xfId="24184"/>
    <cellStyle name="표준 8 2 3 3 2 3 3 3 2" xfId="46649"/>
    <cellStyle name="표준 8 2 3 3 2 3 3 4" xfId="31685"/>
    <cellStyle name="표준 8 2 3 3 2 3 4" xfId="16697"/>
    <cellStyle name="표준 8 2 3 3 2 3 4 2" xfId="39164"/>
    <cellStyle name="표준 8 2 3 3 2 3 5" xfId="24181"/>
    <cellStyle name="표준 8 2 3 3 2 3 5 2" xfId="46646"/>
    <cellStyle name="표준 8 2 3 3 2 3 6" xfId="31682"/>
    <cellStyle name="표준 8 2 3 3 2 4" xfId="9218"/>
    <cellStyle name="표준 8 2 3 3 2 4 2" xfId="9219"/>
    <cellStyle name="표준 8 2 3 3 2 4 2 2" xfId="16702"/>
    <cellStyle name="표준 8 2 3 3 2 4 2 2 2" xfId="39169"/>
    <cellStyle name="표준 8 2 3 3 2 4 2 3" xfId="24186"/>
    <cellStyle name="표준 8 2 3 3 2 4 2 3 2" xfId="46651"/>
    <cellStyle name="표준 8 2 3 3 2 4 2 4" xfId="31687"/>
    <cellStyle name="표준 8 2 3 3 2 4 3" xfId="16701"/>
    <cellStyle name="표준 8 2 3 3 2 4 3 2" xfId="39168"/>
    <cellStyle name="표준 8 2 3 3 2 4 4" xfId="24185"/>
    <cellStyle name="표준 8 2 3 3 2 4 4 2" xfId="46650"/>
    <cellStyle name="표준 8 2 3 3 2 4 5" xfId="31686"/>
    <cellStyle name="표준 8 2 3 3 2 5" xfId="9220"/>
    <cellStyle name="표준 8 2 3 3 2 5 2" xfId="16703"/>
    <cellStyle name="표준 8 2 3 3 2 5 2 2" xfId="39170"/>
    <cellStyle name="표준 8 2 3 3 2 5 3" xfId="24187"/>
    <cellStyle name="표준 8 2 3 3 2 5 3 2" xfId="46652"/>
    <cellStyle name="표준 8 2 3 3 2 5 4" xfId="31688"/>
    <cellStyle name="표준 8 2 3 3 2 6" xfId="16688"/>
    <cellStyle name="표준 8 2 3 3 2 6 2" xfId="39155"/>
    <cellStyle name="표준 8 2 3 3 2 7" xfId="24172"/>
    <cellStyle name="표준 8 2 3 3 2 7 2" xfId="46637"/>
    <cellStyle name="표준 8 2 3 3 2 8" xfId="31673"/>
    <cellStyle name="표준 8 2 3 3 3" xfId="9221"/>
    <cellStyle name="표준 8 2 3 3 3 2" xfId="9222"/>
    <cellStyle name="표준 8 2 3 3 3 2 2" xfId="9223"/>
    <cellStyle name="표준 8 2 3 3 3 2 2 2" xfId="9224"/>
    <cellStyle name="표준 8 2 3 3 3 2 2 2 2" xfId="9225"/>
    <cellStyle name="표준 8 2 3 3 3 2 2 2 2 2" xfId="16708"/>
    <cellStyle name="표준 8 2 3 3 3 2 2 2 2 2 2" xfId="39175"/>
    <cellStyle name="표준 8 2 3 3 3 2 2 2 2 3" xfId="24192"/>
    <cellStyle name="표준 8 2 3 3 3 2 2 2 2 3 2" xfId="46657"/>
    <cellStyle name="표준 8 2 3 3 3 2 2 2 2 4" xfId="31693"/>
    <cellStyle name="표준 8 2 3 3 3 2 2 2 3" xfId="16707"/>
    <cellStyle name="표준 8 2 3 3 3 2 2 2 3 2" xfId="39174"/>
    <cellStyle name="표준 8 2 3 3 3 2 2 2 4" xfId="24191"/>
    <cellStyle name="표준 8 2 3 3 3 2 2 2 4 2" xfId="46656"/>
    <cellStyle name="표준 8 2 3 3 3 2 2 2 5" xfId="31692"/>
    <cellStyle name="표준 8 2 3 3 3 2 2 3" xfId="9226"/>
    <cellStyle name="표준 8 2 3 3 3 2 2 3 2" xfId="16709"/>
    <cellStyle name="표준 8 2 3 3 3 2 2 3 2 2" xfId="39176"/>
    <cellStyle name="표준 8 2 3 3 3 2 2 3 3" xfId="24193"/>
    <cellStyle name="표준 8 2 3 3 3 2 2 3 3 2" xfId="46658"/>
    <cellStyle name="표준 8 2 3 3 3 2 2 3 4" xfId="31694"/>
    <cellStyle name="표준 8 2 3 3 3 2 2 4" xfId="16706"/>
    <cellStyle name="표준 8 2 3 3 3 2 2 4 2" xfId="39173"/>
    <cellStyle name="표준 8 2 3 3 3 2 2 5" xfId="24190"/>
    <cellStyle name="표준 8 2 3 3 3 2 2 5 2" xfId="46655"/>
    <cellStyle name="표준 8 2 3 3 3 2 2 6" xfId="31691"/>
    <cellStyle name="표준 8 2 3 3 3 2 3" xfId="9227"/>
    <cellStyle name="표준 8 2 3 3 3 2 3 2" xfId="9228"/>
    <cellStyle name="표준 8 2 3 3 3 2 3 2 2" xfId="16711"/>
    <cellStyle name="표준 8 2 3 3 3 2 3 2 2 2" xfId="39178"/>
    <cellStyle name="표준 8 2 3 3 3 2 3 2 3" xfId="24195"/>
    <cellStyle name="표준 8 2 3 3 3 2 3 2 3 2" xfId="46660"/>
    <cellStyle name="표준 8 2 3 3 3 2 3 2 4" xfId="31696"/>
    <cellStyle name="표준 8 2 3 3 3 2 3 3" xfId="16710"/>
    <cellStyle name="표준 8 2 3 3 3 2 3 3 2" xfId="39177"/>
    <cellStyle name="표준 8 2 3 3 3 2 3 4" xfId="24194"/>
    <cellStyle name="표준 8 2 3 3 3 2 3 4 2" xfId="46659"/>
    <cellStyle name="표준 8 2 3 3 3 2 3 5" xfId="31695"/>
    <cellStyle name="표준 8 2 3 3 3 2 4" xfId="9229"/>
    <cellStyle name="표준 8 2 3 3 3 2 4 2" xfId="16712"/>
    <cellStyle name="표준 8 2 3 3 3 2 4 2 2" xfId="39179"/>
    <cellStyle name="표준 8 2 3 3 3 2 4 3" xfId="24196"/>
    <cellStyle name="표준 8 2 3 3 3 2 4 3 2" xfId="46661"/>
    <cellStyle name="표준 8 2 3 3 3 2 4 4" xfId="31697"/>
    <cellStyle name="표준 8 2 3 3 3 2 5" xfId="16705"/>
    <cellStyle name="표준 8 2 3 3 3 2 5 2" xfId="39172"/>
    <cellStyle name="표준 8 2 3 3 3 2 6" xfId="24189"/>
    <cellStyle name="표준 8 2 3 3 3 2 6 2" xfId="46654"/>
    <cellStyle name="표준 8 2 3 3 3 2 7" xfId="31690"/>
    <cellStyle name="표준 8 2 3 3 3 3" xfId="9230"/>
    <cellStyle name="표준 8 2 3 3 3 3 2" xfId="9231"/>
    <cellStyle name="표준 8 2 3 3 3 3 2 2" xfId="9232"/>
    <cellStyle name="표준 8 2 3 3 3 3 2 2 2" xfId="16715"/>
    <cellStyle name="표준 8 2 3 3 3 3 2 2 2 2" xfId="39182"/>
    <cellStyle name="표준 8 2 3 3 3 3 2 2 3" xfId="24199"/>
    <cellStyle name="표준 8 2 3 3 3 3 2 2 3 2" xfId="46664"/>
    <cellStyle name="표준 8 2 3 3 3 3 2 2 4" xfId="31700"/>
    <cellStyle name="표준 8 2 3 3 3 3 2 3" xfId="16714"/>
    <cellStyle name="표준 8 2 3 3 3 3 2 3 2" xfId="39181"/>
    <cellStyle name="표준 8 2 3 3 3 3 2 4" xfId="24198"/>
    <cellStyle name="표준 8 2 3 3 3 3 2 4 2" xfId="46663"/>
    <cellStyle name="표준 8 2 3 3 3 3 2 5" xfId="31699"/>
    <cellStyle name="표준 8 2 3 3 3 3 3" xfId="9233"/>
    <cellStyle name="표준 8 2 3 3 3 3 3 2" xfId="16716"/>
    <cellStyle name="표준 8 2 3 3 3 3 3 2 2" xfId="39183"/>
    <cellStyle name="표준 8 2 3 3 3 3 3 3" xfId="24200"/>
    <cellStyle name="표준 8 2 3 3 3 3 3 3 2" xfId="46665"/>
    <cellStyle name="표준 8 2 3 3 3 3 3 4" xfId="31701"/>
    <cellStyle name="표준 8 2 3 3 3 3 4" xfId="16713"/>
    <cellStyle name="표준 8 2 3 3 3 3 4 2" xfId="39180"/>
    <cellStyle name="표준 8 2 3 3 3 3 5" xfId="24197"/>
    <cellStyle name="표준 8 2 3 3 3 3 5 2" xfId="46662"/>
    <cellStyle name="표준 8 2 3 3 3 3 6" xfId="31698"/>
    <cellStyle name="표준 8 2 3 3 3 4" xfId="9234"/>
    <cellStyle name="표준 8 2 3 3 3 4 2" xfId="9235"/>
    <cellStyle name="표준 8 2 3 3 3 4 2 2" xfId="16718"/>
    <cellStyle name="표준 8 2 3 3 3 4 2 2 2" xfId="39185"/>
    <cellStyle name="표준 8 2 3 3 3 4 2 3" xfId="24202"/>
    <cellStyle name="표준 8 2 3 3 3 4 2 3 2" xfId="46667"/>
    <cellStyle name="표준 8 2 3 3 3 4 2 4" xfId="31703"/>
    <cellStyle name="표준 8 2 3 3 3 4 3" xfId="16717"/>
    <cellStyle name="표준 8 2 3 3 3 4 3 2" xfId="39184"/>
    <cellStyle name="표준 8 2 3 3 3 4 4" xfId="24201"/>
    <cellStyle name="표준 8 2 3 3 3 4 4 2" xfId="46666"/>
    <cellStyle name="표준 8 2 3 3 3 4 5" xfId="31702"/>
    <cellStyle name="표준 8 2 3 3 3 5" xfId="9236"/>
    <cellStyle name="표준 8 2 3 3 3 5 2" xfId="16719"/>
    <cellStyle name="표준 8 2 3 3 3 5 2 2" xfId="39186"/>
    <cellStyle name="표준 8 2 3 3 3 5 3" xfId="24203"/>
    <cellStyle name="표준 8 2 3 3 3 5 3 2" xfId="46668"/>
    <cellStyle name="표준 8 2 3 3 3 5 4" xfId="31704"/>
    <cellStyle name="표준 8 2 3 3 3 6" xfId="16704"/>
    <cellStyle name="표준 8 2 3 3 3 6 2" xfId="39171"/>
    <cellStyle name="표준 8 2 3 3 3 7" xfId="24188"/>
    <cellStyle name="표준 8 2 3 3 3 7 2" xfId="46653"/>
    <cellStyle name="표준 8 2 3 3 3 8" xfId="31689"/>
    <cellStyle name="표준 8 2 3 3 4" xfId="9237"/>
    <cellStyle name="표준 8 2 3 3 4 2" xfId="9238"/>
    <cellStyle name="표준 8 2 3 3 4 2 2" xfId="9239"/>
    <cellStyle name="표준 8 2 3 3 4 2 2 2" xfId="9240"/>
    <cellStyle name="표준 8 2 3 3 4 2 2 2 2" xfId="16723"/>
    <cellStyle name="표준 8 2 3 3 4 2 2 2 2 2" xfId="39190"/>
    <cellStyle name="표준 8 2 3 3 4 2 2 2 3" xfId="24207"/>
    <cellStyle name="표준 8 2 3 3 4 2 2 2 3 2" xfId="46672"/>
    <cellStyle name="표준 8 2 3 3 4 2 2 2 4" xfId="31708"/>
    <cellStyle name="표준 8 2 3 3 4 2 2 3" xfId="16722"/>
    <cellStyle name="표준 8 2 3 3 4 2 2 3 2" xfId="39189"/>
    <cellStyle name="표준 8 2 3 3 4 2 2 4" xfId="24206"/>
    <cellStyle name="표준 8 2 3 3 4 2 2 4 2" xfId="46671"/>
    <cellStyle name="표준 8 2 3 3 4 2 2 5" xfId="31707"/>
    <cellStyle name="표준 8 2 3 3 4 2 3" xfId="9241"/>
    <cellStyle name="표준 8 2 3 3 4 2 3 2" xfId="16724"/>
    <cellStyle name="표준 8 2 3 3 4 2 3 2 2" xfId="39191"/>
    <cellStyle name="표준 8 2 3 3 4 2 3 3" xfId="24208"/>
    <cellStyle name="표준 8 2 3 3 4 2 3 3 2" xfId="46673"/>
    <cellStyle name="표준 8 2 3 3 4 2 3 4" xfId="31709"/>
    <cellStyle name="표준 8 2 3 3 4 2 4" xfId="16721"/>
    <cellStyle name="표준 8 2 3 3 4 2 4 2" xfId="39188"/>
    <cellStyle name="표준 8 2 3 3 4 2 5" xfId="24205"/>
    <cellStyle name="표준 8 2 3 3 4 2 5 2" xfId="46670"/>
    <cellStyle name="표준 8 2 3 3 4 2 6" xfId="31706"/>
    <cellStyle name="표준 8 2 3 3 4 3" xfId="9242"/>
    <cellStyle name="표준 8 2 3 3 4 3 2" xfId="9243"/>
    <cellStyle name="표준 8 2 3 3 4 3 2 2" xfId="16726"/>
    <cellStyle name="표준 8 2 3 3 4 3 2 2 2" xfId="39193"/>
    <cellStyle name="표준 8 2 3 3 4 3 2 3" xfId="24210"/>
    <cellStyle name="표준 8 2 3 3 4 3 2 3 2" xfId="46675"/>
    <cellStyle name="표준 8 2 3 3 4 3 2 4" xfId="31711"/>
    <cellStyle name="표준 8 2 3 3 4 3 3" xfId="16725"/>
    <cellStyle name="표준 8 2 3 3 4 3 3 2" xfId="39192"/>
    <cellStyle name="표준 8 2 3 3 4 3 4" xfId="24209"/>
    <cellStyle name="표준 8 2 3 3 4 3 4 2" xfId="46674"/>
    <cellStyle name="표준 8 2 3 3 4 3 5" xfId="31710"/>
    <cellStyle name="표준 8 2 3 3 4 4" xfId="9244"/>
    <cellStyle name="표준 8 2 3 3 4 4 2" xfId="16727"/>
    <cellStyle name="표준 8 2 3 3 4 4 2 2" xfId="39194"/>
    <cellStyle name="표준 8 2 3 3 4 4 3" xfId="24211"/>
    <cellStyle name="표준 8 2 3 3 4 4 3 2" xfId="46676"/>
    <cellStyle name="표준 8 2 3 3 4 4 4" xfId="31712"/>
    <cellStyle name="표준 8 2 3 3 4 5" xfId="16720"/>
    <cellStyle name="표준 8 2 3 3 4 5 2" xfId="39187"/>
    <cellStyle name="표준 8 2 3 3 4 6" xfId="24204"/>
    <cellStyle name="표준 8 2 3 3 4 6 2" xfId="46669"/>
    <cellStyle name="표준 8 2 3 3 4 7" xfId="31705"/>
    <cellStyle name="표준 8 2 3 3 5" xfId="9245"/>
    <cellStyle name="표준 8 2 3 3 5 2" xfId="9246"/>
    <cellStyle name="표준 8 2 3 3 5 2 2" xfId="9247"/>
    <cellStyle name="표준 8 2 3 3 5 2 2 2" xfId="16730"/>
    <cellStyle name="표준 8 2 3 3 5 2 2 2 2" xfId="39197"/>
    <cellStyle name="표준 8 2 3 3 5 2 2 3" xfId="24214"/>
    <cellStyle name="표준 8 2 3 3 5 2 2 3 2" xfId="46679"/>
    <cellStyle name="표준 8 2 3 3 5 2 2 4" xfId="31715"/>
    <cellStyle name="표준 8 2 3 3 5 2 3" xfId="16729"/>
    <cellStyle name="표준 8 2 3 3 5 2 3 2" xfId="39196"/>
    <cellStyle name="표준 8 2 3 3 5 2 4" xfId="24213"/>
    <cellStyle name="표준 8 2 3 3 5 2 4 2" xfId="46678"/>
    <cellStyle name="표준 8 2 3 3 5 2 5" xfId="31714"/>
    <cellStyle name="표준 8 2 3 3 5 3" xfId="9248"/>
    <cellStyle name="표준 8 2 3 3 5 3 2" xfId="16731"/>
    <cellStyle name="표준 8 2 3 3 5 3 2 2" xfId="39198"/>
    <cellStyle name="표준 8 2 3 3 5 3 3" xfId="24215"/>
    <cellStyle name="표준 8 2 3 3 5 3 3 2" xfId="46680"/>
    <cellStyle name="표준 8 2 3 3 5 3 4" xfId="31716"/>
    <cellStyle name="표준 8 2 3 3 5 4" xfId="16728"/>
    <cellStyle name="표준 8 2 3 3 5 4 2" xfId="39195"/>
    <cellStyle name="표준 8 2 3 3 5 5" xfId="24212"/>
    <cellStyle name="표준 8 2 3 3 5 5 2" xfId="46677"/>
    <cellStyle name="표준 8 2 3 3 5 6" xfId="31713"/>
    <cellStyle name="표준 8 2 3 3 6" xfId="9249"/>
    <cellStyle name="표준 8 2 3 3 6 2" xfId="9250"/>
    <cellStyle name="표준 8 2 3 3 6 2 2" xfId="16733"/>
    <cellStyle name="표준 8 2 3 3 6 2 2 2" xfId="39200"/>
    <cellStyle name="표준 8 2 3 3 6 2 3" xfId="24217"/>
    <cellStyle name="표준 8 2 3 3 6 2 3 2" xfId="46682"/>
    <cellStyle name="표준 8 2 3 3 6 2 4" xfId="31718"/>
    <cellStyle name="표준 8 2 3 3 6 3" xfId="16732"/>
    <cellStyle name="표준 8 2 3 3 6 3 2" xfId="39199"/>
    <cellStyle name="표준 8 2 3 3 6 4" xfId="24216"/>
    <cellStyle name="표준 8 2 3 3 6 4 2" xfId="46681"/>
    <cellStyle name="표준 8 2 3 3 6 5" xfId="31717"/>
    <cellStyle name="표준 8 2 3 3 7" xfId="9251"/>
    <cellStyle name="표준 8 2 3 3 7 2" xfId="16734"/>
    <cellStyle name="표준 8 2 3 3 7 2 2" xfId="39201"/>
    <cellStyle name="표준 8 2 3 3 7 3" xfId="24218"/>
    <cellStyle name="표준 8 2 3 3 7 3 2" xfId="46683"/>
    <cellStyle name="표준 8 2 3 3 7 4" xfId="31719"/>
    <cellStyle name="표준 8 2 3 3 8" xfId="16687"/>
    <cellStyle name="표준 8 2 3 3 8 2" xfId="39154"/>
    <cellStyle name="표준 8 2 3 3 9" xfId="24171"/>
    <cellStyle name="표준 8 2 3 3 9 2" xfId="46636"/>
    <cellStyle name="표준 8 2 3 4" xfId="9252"/>
    <cellStyle name="표준 8 2 3 4 2" xfId="9253"/>
    <cellStyle name="표준 8 2 3 4 2 2" xfId="9254"/>
    <cellStyle name="표준 8 2 3 4 2 2 2" xfId="9255"/>
    <cellStyle name="표준 8 2 3 4 2 2 2 2" xfId="9256"/>
    <cellStyle name="표준 8 2 3 4 2 2 2 2 2" xfId="16739"/>
    <cellStyle name="표준 8 2 3 4 2 2 2 2 2 2" xfId="39206"/>
    <cellStyle name="표준 8 2 3 4 2 2 2 2 3" xfId="24223"/>
    <cellStyle name="표준 8 2 3 4 2 2 2 2 3 2" xfId="46688"/>
    <cellStyle name="표준 8 2 3 4 2 2 2 2 4" xfId="31724"/>
    <cellStyle name="표준 8 2 3 4 2 2 2 3" xfId="16738"/>
    <cellStyle name="표준 8 2 3 4 2 2 2 3 2" xfId="39205"/>
    <cellStyle name="표준 8 2 3 4 2 2 2 4" xfId="24222"/>
    <cellStyle name="표준 8 2 3 4 2 2 2 4 2" xfId="46687"/>
    <cellStyle name="표준 8 2 3 4 2 2 2 5" xfId="31723"/>
    <cellStyle name="표준 8 2 3 4 2 2 3" xfId="9257"/>
    <cellStyle name="표준 8 2 3 4 2 2 3 2" xfId="16740"/>
    <cellStyle name="표준 8 2 3 4 2 2 3 2 2" xfId="39207"/>
    <cellStyle name="표준 8 2 3 4 2 2 3 3" xfId="24224"/>
    <cellStyle name="표준 8 2 3 4 2 2 3 3 2" xfId="46689"/>
    <cellStyle name="표준 8 2 3 4 2 2 3 4" xfId="31725"/>
    <cellStyle name="표준 8 2 3 4 2 2 4" xfId="16737"/>
    <cellStyle name="표준 8 2 3 4 2 2 4 2" xfId="39204"/>
    <cellStyle name="표준 8 2 3 4 2 2 5" xfId="24221"/>
    <cellStyle name="표준 8 2 3 4 2 2 5 2" xfId="46686"/>
    <cellStyle name="표준 8 2 3 4 2 2 6" xfId="31722"/>
    <cellStyle name="표준 8 2 3 4 2 3" xfId="9258"/>
    <cellStyle name="표준 8 2 3 4 2 3 2" xfId="9259"/>
    <cellStyle name="표준 8 2 3 4 2 3 2 2" xfId="16742"/>
    <cellStyle name="표준 8 2 3 4 2 3 2 2 2" xfId="39209"/>
    <cellStyle name="표준 8 2 3 4 2 3 2 3" xfId="24226"/>
    <cellStyle name="표준 8 2 3 4 2 3 2 3 2" xfId="46691"/>
    <cellStyle name="표준 8 2 3 4 2 3 2 4" xfId="31727"/>
    <cellStyle name="표준 8 2 3 4 2 3 3" xfId="16741"/>
    <cellStyle name="표준 8 2 3 4 2 3 3 2" xfId="39208"/>
    <cellStyle name="표준 8 2 3 4 2 3 4" xfId="24225"/>
    <cellStyle name="표준 8 2 3 4 2 3 4 2" xfId="46690"/>
    <cellStyle name="표준 8 2 3 4 2 3 5" xfId="31726"/>
    <cellStyle name="표준 8 2 3 4 2 4" xfId="9260"/>
    <cellStyle name="표준 8 2 3 4 2 4 2" xfId="16743"/>
    <cellStyle name="표준 8 2 3 4 2 4 2 2" xfId="39210"/>
    <cellStyle name="표준 8 2 3 4 2 4 3" xfId="24227"/>
    <cellStyle name="표준 8 2 3 4 2 4 3 2" xfId="46692"/>
    <cellStyle name="표준 8 2 3 4 2 4 4" xfId="31728"/>
    <cellStyle name="표준 8 2 3 4 2 5" xfId="16736"/>
    <cellStyle name="표준 8 2 3 4 2 5 2" xfId="39203"/>
    <cellStyle name="표준 8 2 3 4 2 6" xfId="24220"/>
    <cellStyle name="표준 8 2 3 4 2 6 2" xfId="46685"/>
    <cellStyle name="표준 8 2 3 4 2 7" xfId="31721"/>
    <cellStyle name="표준 8 2 3 4 3" xfId="9261"/>
    <cellStyle name="표준 8 2 3 4 3 2" xfId="9262"/>
    <cellStyle name="표준 8 2 3 4 3 2 2" xfId="9263"/>
    <cellStyle name="표준 8 2 3 4 3 2 2 2" xfId="16746"/>
    <cellStyle name="표준 8 2 3 4 3 2 2 2 2" xfId="39213"/>
    <cellStyle name="표준 8 2 3 4 3 2 2 3" xfId="24230"/>
    <cellStyle name="표준 8 2 3 4 3 2 2 3 2" xfId="46695"/>
    <cellStyle name="표준 8 2 3 4 3 2 2 4" xfId="31731"/>
    <cellStyle name="표준 8 2 3 4 3 2 3" xfId="16745"/>
    <cellStyle name="표준 8 2 3 4 3 2 3 2" xfId="39212"/>
    <cellStyle name="표준 8 2 3 4 3 2 4" xfId="24229"/>
    <cellStyle name="표준 8 2 3 4 3 2 4 2" xfId="46694"/>
    <cellStyle name="표준 8 2 3 4 3 2 5" xfId="31730"/>
    <cellStyle name="표준 8 2 3 4 3 3" xfId="9264"/>
    <cellStyle name="표준 8 2 3 4 3 3 2" xfId="16747"/>
    <cellStyle name="표준 8 2 3 4 3 3 2 2" xfId="39214"/>
    <cellStyle name="표준 8 2 3 4 3 3 3" xfId="24231"/>
    <cellStyle name="표준 8 2 3 4 3 3 3 2" xfId="46696"/>
    <cellStyle name="표준 8 2 3 4 3 3 4" xfId="31732"/>
    <cellStyle name="표준 8 2 3 4 3 4" xfId="16744"/>
    <cellStyle name="표준 8 2 3 4 3 4 2" xfId="39211"/>
    <cellStyle name="표준 8 2 3 4 3 5" xfId="24228"/>
    <cellStyle name="표준 8 2 3 4 3 5 2" xfId="46693"/>
    <cellStyle name="표준 8 2 3 4 3 6" xfId="31729"/>
    <cellStyle name="표준 8 2 3 4 4" xfId="9265"/>
    <cellStyle name="표준 8 2 3 4 4 2" xfId="9266"/>
    <cellStyle name="표준 8 2 3 4 4 2 2" xfId="16749"/>
    <cellStyle name="표준 8 2 3 4 4 2 2 2" xfId="39216"/>
    <cellStyle name="표준 8 2 3 4 4 2 3" xfId="24233"/>
    <cellStyle name="표준 8 2 3 4 4 2 3 2" xfId="46698"/>
    <cellStyle name="표준 8 2 3 4 4 2 4" xfId="31734"/>
    <cellStyle name="표준 8 2 3 4 4 3" xfId="16748"/>
    <cellStyle name="표준 8 2 3 4 4 3 2" xfId="39215"/>
    <cellStyle name="표준 8 2 3 4 4 4" xfId="24232"/>
    <cellStyle name="표준 8 2 3 4 4 4 2" xfId="46697"/>
    <cellStyle name="표준 8 2 3 4 4 5" xfId="31733"/>
    <cellStyle name="표준 8 2 3 4 5" xfId="9267"/>
    <cellStyle name="표준 8 2 3 4 5 2" xfId="16750"/>
    <cellStyle name="표준 8 2 3 4 5 2 2" xfId="39217"/>
    <cellStyle name="표준 8 2 3 4 5 3" xfId="24234"/>
    <cellStyle name="표준 8 2 3 4 5 3 2" xfId="46699"/>
    <cellStyle name="표준 8 2 3 4 5 4" xfId="31735"/>
    <cellStyle name="표준 8 2 3 4 6" xfId="16735"/>
    <cellStyle name="표준 8 2 3 4 6 2" xfId="39202"/>
    <cellStyle name="표준 8 2 3 4 7" xfId="24219"/>
    <cellStyle name="표준 8 2 3 4 7 2" xfId="46684"/>
    <cellStyle name="표준 8 2 3 4 8" xfId="31720"/>
    <cellStyle name="표준 8 2 3 5" xfId="9268"/>
    <cellStyle name="표준 8 2 3 5 2" xfId="9269"/>
    <cellStyle name="표준 8 2 3 5 2 2" xfId="9270"/>
    <cellStyle name="표준 8 2 3 5 2 2 2" xfId="9271"/>
    <cellStyle name="표준 8 2 3 5 2 2 2 2" xfId="9272"/>
    <cellStyle name="표준 8 2 3 5 2 2 2 2 2" xfId="16755"/>
    <cellStyle name="표준 8 2 3 5 2 2 2 2 2 2" xfId="39222"/>
    <cellStyle name="표준 8 2 3 5 2 2 2 2 3" xfId="24239"/>
    <cellStyle name="표준 8 2 3 5 2 2 2 2 3 2" xfId="46704"/>
    <cellStyle name="표준 8 2 3 5 2 2 2 2 4" xfId="31740"/>
    <cellStyle name="표준 8 2 3 5 2 2 2 3" xfId="16754"/>
    <cellStyle name="표준 8 2 3 5 2 2 2 3 2" xfId="39221"/>
    <cellStyle name="표준 8 2 3 5 2 2 2 4" xfId="24238"/>
    <cellStyle name="표준 8 2 3 5 2 2 2 4 2" xfId="46703"/>
    <cellStyle name="표준 8 2 3 5 2 2 2 5" xfId="31739"/>
    <cellStyle name="표준 8 2 3 5 2 2 3" xfId="9273"/>
    <cellStyle name="표준 8 2 3 5 2 2 3 2" xfId="16756"/>
    <cellStyle name="표준 8 2 3 5 2 2 3 2 2" xfId="39223"/>
    <cellStyle name="표준 8 2 3 5 2 2 3 3" xfId="24240"/>
    <cellStyle name="표준 8 2 3 5 2 2 3 3 2" xfId="46705"/>
    <cellStyle name="표준 8 2 3 5 2 2 3 4" xfId="31741"/>
    <cellStyle name="표준 8 2 3 5 2 2 4" xfId="16753"/>
    <cellStyle name="표준 8 2 3 5 2 2 4 2" xfId="39220"/>
    <cellStyle name="표준 8 2 3 5 2 2 5" xfId="24237"/>
    <cellStyle name="표준 8 2 3 5 2 2 5 2" xfId="46702"/>
    <cellStyle name="표준 8 2 3 5 2 2 6" xfId="31738"/>
    <cellStyle name="표준 8 2 3 5 2 3" xfId="9274"/>
    <cellStyle name="표준 8 2 3 5 2 3 2" xfId="9275"/>
    <cellStyle name="표준 8 2 3 5 2 3 2 2" xfId="16758"/>
    <cellStyle name="표준 8 2 3 5 2 3 2 2 2" xfId="39225"/>
    <cellStyle name="표준 8 2 3 5 2 3 2 3" xfId="24242"/>
    <cellStyle name="표준 8 2 3 5 2 3 2 3 2" xfId="46707"/>
    <cellStyle name="표준 8 2 3 5 2 3 2 4" xfId="31743"/>
    <cellStyle name="표준 8 2 3 5 2 3 3" xfId="16757"/>
    <cellStyle name="표준 8 2 3 5 2 3 3 2" xfId="39224"/>
    <cellStyle name="표준 8 2 3 5 2 3 4" xfId="24241"/>
    <cellStyle name="표준 8 2 3 5 2 3 4 2" xfId="46706"/>
    <cellStyle name="표준 8 2 3 5 2 3 5" xfId="31742"/>
    <cellStyle name="표준 8 2 3 5 2 4" xfId="9276"/>
    <cellStyle name="표준 8 2 3 5 2 4 2" xfId="16759"/>
    <cellStyle name="표준 8 2 3 5 2 4 2 2" xfId="39226"/>
    <cellStyle name="표준 8 2 3 5 2 4 3" xfId="24243"/>
    <cellStyle name="표준 8 2 3 5 2 4 3 2" xfId="46708"/>
    <cellStyle name="표준 8 2 3 5 2 4 4" xfId="31744"/>
    <cellStyle name="표준 8 2 3 5 2 5" xfId="16752"/>
    <cellStyle name="표준 8 2 3 5 2 5 2" xfId="39219"/>
    <cellStyle name="표준 8 2 3 5 2 6" xfId="24236"/>
    <cellStyle name="표준 8 2 3 5 2 6 2" xfId="46701"/>
    <cellStyle name="표준 8 2 3 5 2 7" xfId="31737"/>
    <cellStyle name="표준 8 2 3 5 3" xfId="9277"/>
    <cellStyle name="표준 8 2 3 5 3 2" xfId="9278"/>
    <cellStyle name="표준 8 2 3 5 3 2 2" xfId="9279"/>
    <cellStyle name="표준 8 2 3 5 3 2 2 2" xfId="16762"/>
    <cellStyle name="표준 8 2 3 5 3 2 2 2 2" xfId="39229"/>
    <cellStyle name="표준 8 2 3 5 3 2 2 3" xfId="24246"/>
    <cellStyle name="표준 8 2 3 5 3 2 2 3 2" xfId="46711"/>
    <cellStyle name="표준 8 2 3 5 3 2 2 4" xfId="31747"/>
    <cellStyle name="표준 8 2 3 5 3 2 3" xfId="16761"/>
    <cellStyle name="표준 8 2 3 5 3 2 3 2" xfId="39228"/>
    <cellStyle name="표준 8 2 3 5 3 2 4" xfId="24245"/>
    <cellStyle name="표준 8 2 3 5 3 2 4 2" xfId="46710"/>
    <cellStyle name="표준 8 2 3 5 3 2 5" xfId="31746"/>
    <cellStyle name="표준 8 2 3 5 3 3" xfId="9280"/>
    <cellStyle name="표준 8 2 3 5 3 3 2" xfId="16763"/>
    <cellStyle name="표준 8 2 3 5 3 3 2 2" xfId="39230"/>
    <cellStyle name="표준 8 2 3 5 3 3 3" xfId="24247"/>
    <cellStyle name="표준 8 2 3 5 3 3 3 2" xfId="46712"/>
    <cellStyle name="표준 8 2 3 5 3 3 4" xfId="31748"/>
    <cellStyle name="표준 8 2 3 5 3 4" xfId="16760"/>
    <cellStyle name="표준 8 2 3 5 3 4 2" xfId="39227"/>
    <cellStyle name="표준 8 2 3 5 3 5" xfId="24244"/>
    <cellStyle name="표준 8 2 3 5 3 5 2" xfId="46709"/>
    <cellStyle name="표준 8 2 3 5 3 6" xfId="31745"/>
    <cellStyle name="표준 8 2 3 5 4" xfId="9281"/>
    <cellStyle name="표준 8 2 3 5 4 2" xfId="9282"/>
    <cellStyle name="표준 8 2 3 5 4 2 2" xfId="16765"/>
    <cellStyle name="표준 8 2 3 5 4 2 2 2" xfId="39232"/>
    <cellStyle name="표준 8 2 3 5 4 2 3" xfId="24249"/>
    <cellStyle name="표준 8 2 3 5 4 2 3 2" xfId="46714"/>
    <cellStyle name="표준 8 2 3 5 4 2 4" xfId="31750"/>
    <cellStyle name="표준 8 2 3 5 4 3" xfId="16764"/>
    <cellStyle name="표준 8 2 3 5 4 3 2" xfId="39231"/>
    <cellStyle name="표준 8 2 3 5 4 4" xfId="24248"/>
    <cellStyle name="표준 8 2 3 5 4 4 2" xfId="46713"/>
    <cellStyle name="표준 8 2 3 5 4 5" xfId="31749"/>
    <cellStyle name="표준 8 2 3 5 5" xfId="9283"/>
    <cellStyle name="표준 8 2 3 5 5 2" xfId="16766"/>
    <cellStyle name="표준 8 2 3 5 5 2 2" xfId="39233"/>
    <cellStyle name="표준 8 2 3 5 5 3" xfId="24250"/>
    <cellStyle name="표준 8 2 3 5 5 3 2" xfId="46715"/>
    <cellStyle name="표준 8 2 3 5 5 4" xfId="31751"/>
    <cellStyle name="표준 8 2 3 5 6" xfId="16751"/>
    <cellStyle name="표준 8 2 3 5 6 2" xfId="39218"/>
    <cellStyle name="표준 8 2 3 5 7" xfId="24235"/>
    <cellStyle name="표준 8 2 3 5 7 2" xfId="46700"/>
    <cellStyle name="표준 8 2 3 5 8" xfId="31736"/>
    <cellStyle name="표준 8 2 3 6" xfId="9284"/>
    <cellStyle name="표준 8 2 3 6 2" xfId="9285"/>
    <cellStyle name="표준 8 2 3 6 2 2" xfId="9286"/>
    <cellStyle name="표준 8 2 3 6 2 2 2" xfId="9287"/>
    <cellStyle name="표준 8 2 3 6 2 2 2 2" xfId="16770"/>
    <cellStyle name="표준 8 2 3 6 2 2 2 2 2" xfId="39237"/>
    <cellStyle name="표준 8 2 3 6 2 2 2 3" xfId="24254"/>
    <cellStyle name="표준 8 2 3 6 2 2 2 3 2" xfId="46719"/>
    <cellStyle name="표준 8 2 3 6 2 2 2 4" xfId="31755"/>
    <cellStyle name="표준 8 2 3 6 2 2 3" xfId="16769"/>
    <cellStyle name="표준 8 2 3 6 2 2 3 2" xfId="39236"/>
    <cellStyle name="표준 8 2 3 6 2 2 4" xfId="24253"/>
    <cellStyle name="표준 8 2 3 6 2 2 4 2" xfId="46718"/>
    <cellStyle name="표준 8 2 3 6 2 2 5" xfId="31754"/>
    <cellStyle name="표준 8 2 3 6 2 3" xfId="9288"/>
    <cellStyle name="표준 8 2 3 6 2 3 2" xfId="16771"/>
    <cellStyle name="표준 8 2 3 6 2 3 2 2" xfId="39238"/>
    <cellStyle name="표준 8 2 3 6 2 3 3" xfId="24255"/>
    <cellStyle name="표준 8 2 3 6 2 3 3 2" xfId="46720"/>
    <cellStyle name="표준 8 2 3 6 2 3 4" xfId="31756"/>
    <cellStyle name="표준 8 2 3 6 2 4" xfId="16768"/>
    <cellStyle name="표준 8 2 3 6 2 4 2" xfId="39235"/>
    <cellStyle name="표준 8 2 3 6 2 5" xfId="24252"/>
    <cellStyle name="표준 8 2 3 6 2 5 2" xfId="46717"/>
    <cellStyle name="표준 8 2 3 6 2 6" xfId="31753"/>
    <cellStyle name="표준 8 2 3 6 3" xfId="9289"/>
    <cellStyle name="표준 8 2 3 6 3 2" xfId="9290"/>
    <cellStyle name="표준 8 2 3 6 3 2 2" xfId="16773"/>
    <cellStyle name="표준 8 2 3 6 3 2 2 2" xfId="39240"/>
    <cellStyle name="표준 8 2 3 6 3 2 3" xfId="24257"/>
    <cellStyle name="표준 8 2 3 6 3 2 3 2" xfId="46722"/>
    <cellStyle name="표준 8 2 3 6 3 2 4" xfId="31758"/>
    <cellStyle name="표준 8 2 3 6 3 3" xfId="16772"/>
    <cellStyle name="표준 8 2 3 6 3 3 2" xfId="39239"/>
    <cellStyle name="표준 8 2 3 6 3 4" xfId="24256"/>
    <cellStyle name="표준 8 2 3 6 3 4 2" xfId="46721"/>
    <cellStyle name="표준 8 2 3 6 3 5" xfId="31757"/>
    <cellStyle name="표준 8 2 3 6 4" xfId="9291"/>
    <cellStyle name="표준 8 2 3 6 4 2" xfId="16774"/>
    <cellStyle name="표준 8 2 3 6 4 2 2" xfId="39241"/>
    <cellStyle name="표준 8 2 3 6 4 3" xfId="24258"/>
    <cellStyle name="표준 8 2 3 6 4 3 2" xfId="46723"/>
    <cellStyle name="표준 8 2 3 6 4 4" xfId="31759"/>
    <cellStyle name="표준 8 2 3 6 5" xfId="16767"/>
    <cellStyle name="표준 8 2 3 6 5 2" xfId="39234"/>
    <cellStyle name="표준 8 2 3 6 6" xfId="24251"/>
    <cellStyle name="표준 8 2 3 6 6 2" xfId="46716"/>
    <cellStyle name="표준 8 2 3 6 7" xfId="31752"/>
    <cellStyle name="표준 8 2 3 7" xfId="9292"/>
    <cellStyle name="표준 8 2 3 7 2" xfId="9293"/>
    <cellStyle name="표준 8 2 3 7 2 2" xfId="9294"/>
    <cellStyle name="표준 8 2 3 7 2 2 2" xfId="9295"/>
    <cellStyle name="표준 8 2 3 7 2 2 2 2" xfId="16778"/>
    <cellStyle name="표준 8 2 3 7 2 2 2 2 2" xfId="39245"/>
    <cellStyle name="표준 8 2 3 7 2 2 2 3" xfId="24262"/>
    <cellStyle name="표준 8 2 3 7 2 2 2 3 2" xfId="46727"/>
    <cellStyle name="표준 8 2 3 7 2 2 2 4" xfId="31763"/>
    <cellStyle name="표준 8 2 3 7 2 2 3" xfId="16777"/>
    <cellStyle name="표준 8 2 3 7 2 2 3 2" xfId="39244"/>
    <cellStyle name="표준 8 2 3 7 2 2 4" xfId="24261"/>
    <cellStyle name="표준 8 2 3 7 2 2 4 2" xfId="46726"/>
    <cellStyle name="표준 8 2 3 7 2 2 5" xfId="31762"/>
    <cellStyle name="표준 8 2 3 7 2 3" xfId="9296"/>
    <cellStyle name="표준 8 2 3 7 2 3 2" xfId="16779"/>
    <cellStyle name="표준 8 2 3 7 2 3 2 2" xfId="39246"/>
    <cellStyle name="표준 8 2 3 7 2 3 3" xfId="24263"/>
    <cellStyle name="표준 8 2 3 7 2 3 3 2" xfId="46728"/>
    <cellStyle name="표준 8 2 3 7 2 3 4" xfId="31764"/>
    <cellStyle name="표준 8 2 3 7 2 4" xfId="16776"/>
    <cellStyle name="표준 8 2 3 7 2 4 2" xfId="39243"/>
    <cellStyle name="표준 8 2 3 7 2 5" xfId="24260"/>
    <cellStyle name="표준 8 2 3 7 2 5 2" xfId="46725"/>
    <cellStyle name="표준 8 2 3 7 2 6" xfId="31761"/>
    <cellStyle name="표준 8 2 3 7 3" xfId="9297"/>
    <cellStyle name="표준 8 2 3 7 3 2" xfId="9298"/>
    <cellStyle name="표준 8 2 3 7 3 2 2" xfId="16781"/>
    <cellStyle name="표준 8 2 3 7 3 2 2 2" xfId="39248"/>
    <cellStyle name="표준 8 2 3 7 3 2 3" xfId="24265"/>
    <cellStyle name="표준 8 2 3 7 3 2 3 2" xfId="46730"/>
    <cellStyle name="표준 8 2 3 7 3 2 4" xfId="31766"/>
    <cellStyle name="표준 8 2 3 7 3 3" xfId="16780"/>
    <cellStyle name="표준 8 2 3 7 3 3 2" xfId="39247"/>
    <cellStyle name="표준 8 2 3 7 3 4" xfId="24264"/>
    <cellStyle name="표준 8 2 3 7 3 4 2" xfId="46729"/>
    <cellStyle name="표준 8 2 3 7 3 5" xfId="31765"/>
    <cellStyle name="표준 8 2 3 7 4" xfId="9299"/>
    <cellStyle name="표준 8 2 3 7 4 2" xfId="16782"/>
    <cellStyle name="표준 8 2 3 7 4 2 2" xfId="39249"/>
    <cellStyle name="표준 8 2 3 7 4 3" xfId="24266"/>
    <cellStyle name="표준 8 2 3 7 4 3 2" xfId="46731"/>
    <cellStyle name="표준 8 2 3 7 4 4" xfId="31767"/>
    <cellStyle name="표준 8 2 3 7 5" xfId="16775"/>
    <cellStyle name="표준 8 2 3 7 5 2" xfId="39242"/>
    <cellStyle name="표준 8 2 3 7 6" xfId="24259"/>
    <cellStyle name="표준 8 2 3 7 6 2" xfId="46724"/>
    <cellStyle name="표준 8 2 3 7 7" xfId="31760"/>
    <cellStyle name="표준 8 2 3 8" xfId="9300"/>
    <cellStyle name="표준 8 2 3 8 2" xfId="9301"/>
    <cellStyle name="표준 8 2 3 8 2 2" xfId="9302"/>
    <cellStyle name="표준 8 2 3 8 2 2 2" xfId="9303"/>
    <cellStyle name="표준 8 2 3 8 2 2 2 2" xfId="16786"/>
    <cellStyle name="표준 8 2 3 8 2 2 2 2 2" xfId="39253"/>
    <cellStyle name="표준 8 2 3 8 2 2 2 3" xfId="24270"/>
    <cellStyle name="표준 8 2 3 8 2 2 2 3 2" xfId="46735"/>
    <cellStyle name="표준 8 2 3 8 2 2 2 4" xfId="31771"/>
    <cellStyle name="표준 8 2 3 8 2 2 3" xfId="16785"/>
    <cellStyle name="표준 8 2 3 8 2 2 3 2" xfId="39252"/>
    <cellStyle name="표준 8 2 3 8 2 2 4" xfId="24269"/>
    <cellStyle name="표준 8 2 3 8 2 2 4 2" xfId="46734"/>
    <cellStyle name="표준 8 2 3 8 2 2 5" xfId="31770"/>
    <cellStyle name="표준 8 2 3 8 2 3" xfId="9304"/>
    <cellStyle name="표준 8 2 3 8 2 3 2" xfId="16787"/>
    <cellStyle name="표준 8 2 3 8 2 3 2 2" xfId="39254"/>
    <cellStyle name="표준 8 2 3 8 2 3 3" xfId="24271"/>
    <cellStyle name="표준 8 2 3 8 2 3 3 2" xfId="46736"/>
    <cellStyle name="표준 8 2 3 8 2 3 4" xfId="31772"/>
    <cellStyle name="표준 8 2 3 8 2 4" xfId="16784"/>
    <cellStyle name="표준 8 2 3 8 2 4 2" xfId="39251"/>
    <cellStyle name="표준 8 2 3 8 2 5" xfId="24268"/>
    <cellStyle name="표준 8 2 3 8 2 5 2" xfId="46733"/>
    <cellStyle name="표준 8 2 3 8 2 6" xfId="31769"/>
    <cellStyle name="표준 8 2 3 8 3" xfId="9305"/>
    <cellStyle name="표준 8 2 3 8 3 2" xfId="9306"/>
    <cellStyle name="표준 8 2 3 8 3 2 2" xfId="16789"/>
    <cellStyle name="표준 8 2 3 8 3 2 2 2" xfId="39256"/>
    <cellStyle name="표준 8 2 3 8 3 2 3" xfId="24273"/>
    <cellStyle name="표준 8 2 3 8 3 2 3 2" xfId="46738"/>
    <cellStyle name="표준 8 2 3 8 3 2 4" xfId="31774"/>
    <cellStyle name="표준 8 2 3 8 3 3" xfId="16788"/>
    <cellStyle name="표준 8 2 3 8 3 3 2" xfId="39255"/>
    <cellStyle name="표준 8 2 3 8 3 4" xfId="24272"/>
    <cellStyle name="표준 8 2 3 8 3 4 2" xfId="46737"/>
    <cellStyle name="표준 8 2 3 8 3 5" xfId="31773"/>
    <cellStyle name="표준 8 2 3 8 4" xfId="9307"/>
    <cellStyle name="표준 8 2 3 8 4 2" xfId="16790"/>
    <cellStyle name="표준 8 2 3 8 4 2 2" xfId="39257"/>
    <cellStyle name="표준 8 2 3 8 4 3" xfId="24274"/>
    <cellStyle name="표준 8 2 3 8 4 3 2" xfId="46739"/>
    <cellStyle name="표준 8 2 3 8 4 4" xfId="31775"/>
    <cellStyle name="표준 8 2 3 8 5" xfId="16783"/>
    <cellStyle name="표준 8 2 3 8 5 2" xfId="39250"/>
    <cellStyle name="표준 8 2 3 8 6" xfId="24267"/>
    <cellStyle name="표준 8 2 3 8 6 2" xfId="46732"/>
    <cellStyle name="표준 8 2 3 8 7" xfId="31768"/>
    <cellStyle name="표준 8 2 3 9" xfId="9308"/>
    <cellStyle name="표준 8 2 3 9 2" xfId="9309"/>
    <cellStyle name="표준 8 2 3 9 2 2" xfId="9310"/>
    <cellStyle name="표준 8 2 3 9 2 2 2" xfId="16793"/>
    <cellStyle name="표준 8 2 3 9 2 2 2 2" xfId="39260"/>
    <cellStyle name="표준 8 2 3 9 2 2 3" xfId="24277"/>
    <cellStyle name="표준 8 2 3 9 2 2 3 2" xfId="46742"/>
    <cellStyle name="표준 8 2 3 9 2 2 4" xfId="31778"/>
    <cellStyle name="표준 8 2 3 9 2 3" xfId="16792"/>
    <cellStyle name="표준 8 2 3 9 2 3 2" xfId="39259"/>
    <cellStyle name="표준 8 2 3 9 2 4" xfId="24276"/>
    <cellStyle name="표준 8 2 3 9 2 4 2" xfId="46741"/>
    <cellStyle name="표준 8 2 3 9 2 5" xfId="31777"/>
    <cellStyle name="표준 8 2 3 9 3" xfId="9311"/>
    <cellStyle name="표준 8 2 3 9 3 2" xfId="16794"/>
    <cellStyle name="표준 8 2 3 9 3 2 2" xfId="39261"/>
    <cellStyle name="표준 8 2 3 9 3 3" xfId="24278"/>
    <cellStyle name="표준 8 2 3 9 3 3 2" xfId="46743"/>
    <cellStyle name="표준 8 2 3 9 3 4" xfId="31779"/>
    <cellStyle name="표준 8 2 3 9 4" xfId="16791"/>
    <cellStyle name="표준 8 2 3 9 4 2" xfId="39258"/>
    <cellStyle name="표준 8 2 3 9 5" xfId="24275"/>
    <cellStyle name="표준 8 2 3 9 5 2" xfId="46740"/>
    <cellStyle name="표준 8 2 3 9 6" xfId="31776"/>
    <cellStyle name="표준 8 2 4" xfId="9312"/>
    <cellStyle name="표준 8 2 4 10" xfId="16795"/>
    <cellStyle name="표준 8 2 4 10 2" xfId="39262"/>
    <cellStyle name="표준 8 2 4 11" xfId="24279"/>
    <cellStyle name="표준 8 2 4 11 2" xfId="46744"/>
    <cellStyle name="표준 8 2 4 12" xfId="31780"/>
    <cellStyle name="표준 8 2 4 2" xfId="9313"/>
    <cellStyle name="표준 8 2 4 2 10" xfId="31781"/>
    <cellStyle name="표준 8 2 4 2 2" xfId="9314"/>
    <cellStyle name="표준 8 2 4 2 2 2" xfId="9315"/>
    <cellStyle name="표준 8 2 4 2 2 2 2" xfId="9316"/>
    <cellStyle name="표준 8 2 4 2 2 2 2 2" xfId="9317"/>
    <cellStyle name="표준 8 2 4 2 2 2 2 2 2" xfId="9318"/>
    <cellStyle name="표준 8 2 4 2 2 2 2 2 2 2" xfId="16801"/>
    <cellStyle name="표준 8 2 4 2 2 2 2 2 2 2 2" xfId="39268"/>
    <cellStyle name="표준 8 2 4 2 2 2 2 2 2 3" xfId="24285"/>
    <cellStyle name="표준 8 2 4 2 2 2 2 2 2 3 2" xfId="46750"/>
    <cellStyle name="표준 8 2 4 2 2 2 2 2 2 4" xfId="31786"/>
    <cellStyle name="표준 8 2 4 2 2 2 2 2 3" xfId="16800"/>
    <cellStyle name="표준 8 2 4 2 2 2 2 2 3 2" xfId="39267"/>
    <cellStyle name="표준 8 2 4 2 2 2 2 2 4" xfId="24284"/>
    <cellStyle name="표준 8 2 4 2 2 2 2 2 4 2" xfId="46749"/>
    <cellStyle name="표준 8 2 4 2 2 2 2 2 5" xfId="31785"/>
    <cellStyle name="표준 8 2 4 2 2 2 2 3" xfId="9319"/>
    <cellStyle name="표준 8 2 4 2 2 2 2 3 2" xfId="16802"/>
    <cellStyle name="표준 8 2 4 2 2 2 2 3 2 2" xfId="39269"/>
    <cellStyle name="표준 8 2 4 2 2 2 2 3 3" xfId="24286"/>
    <cellStyle name="표준 8 2 4 2 2 2 2 3 3 2" xfId="46751"/>
    <cellStyle name="표준 8 2 4 2 2 2 2 3 4" xfId="31787"/>
    <cellStyle name="표준 8 2 4 2 2 2 2 4" xfId="16799"/>
    <cellStyle name="표준 8 2 4 2 2 2 2 4 2" xfId="39266"/>
    <cellStyle name="표준 8 2 4 2 2 2 2 5" xfId="24283"/>
    <cellStyle name="표준 8 2 4 2 2 2 2 5 2" xfId="46748"/>
    <cellStyle name="표준 8 2 4 2 2 2 2 6" xfId="31784"/>
    <cellStyle name="표준 8 2 4 2 2 2 3" xfId="9320"/>
    <cellStyle name="표준 8 2 4 2 2 2 3 2" xfId="9321"/>
    <cellStyle name="표준 8 2 4 2 2 2 3 2 2" xfId="16804"/>
    <cellStyle name="표준 8 2 4 2 2 2 3 2 2 2" xfId="39271"/>
    <cellStyle name="표준 8 2 4 2 2 2 3 2 3" xfId="24288"/>
    <cellStyle name="표준 8 2 4 2 2 2 3 2 3 2" xfId="46753"/>
    <cellStyle name="표준 8 2 4 2 2 2 3 2 4" xfId="31789"/>
    <cellStyle name="표준 8 2 4 2 2 2 3 3" xfId="16803"/>
    <cellStyle name="표준 8 2 4 2 2 2 3 3 2" xfId="39270"/>
    <cellStyle name="표준 8 2 4 2 2 2 3 4" xfId="24287"/>
    <cellStyle name="표준 8 2 4 2 2 2 3 4 2" xfId="46752"/>
    <cellStyle name="표준 8 2 4 2 2 2 3 5" xfId="31788"/>
    <cellStyle name="표준 8 2 4 2 2 2 4" xfId="9322"/>
    <cellStyle name="표준 8 2 4 2 2 2 4 2" xfId="16805"/>
    <cellStyle name="표준 8 2 4 2 2 2 4 2 2" xfId="39272"/>
    <cellStyle name="표준 8 2 4 2 2 2 4 3" xfId="24289"/>
    <cellStyle name="표준 8 2 4 2 2 2 4 3 2" xfId="46754"/>
    <cellStyle name="표준 8 2 4 2 2 2 4 4" xfId="31790"/>
    <cellStyle name="표준 8 2 4 2 2 2 5" xfId="16798"/>
    <cellStyle name="표준 8 2 4 2 2 2 5 2" xfId="39265"/>
    <cellStyle name="표준 8 2 4 2 2 2 6" xfId="24282"/>
    <cellStyle name="표준 8 2 4 2 2 2 6 2" xfId="46747"/>
    <cellStyle name="표준 8 2 4 2 2 2 7" xfId="31783"/>
    <cellStyle name="표준 8 2 4 2 2 3" xfId="9323"/>
    <cellStyle name="표준 8 2 4 2 2 3 2" xfId="9324"/>
    <cellStyle name="표준 8 2 4 2 2 3 2 2" xfId="9325"/>
    <cellStyle name="표준 8 2 4 2 2 3 2 2 2" xfId="16808"/>
    <cellStyle name="표준 8 2 4 2 2 3 2 2 2 2" xfId="39275"/>
    <cellStyle name="표준 8 2 4 2 2 3 2 2 3" xfId="24292"/>
    <cellStyle name="표준 8 2 4 2 2 3 2 2 3 2" xfId="46757"/>
    <cellStyle name="표준 8 2 4 2 2 3 2 2 4" xfId="31793"/>
    <cellStyle name="표준 8 2 4 2 2 3 2 3" xfId="16807"/>
    <cellStyle name="표준 8 2 4 2 2 3 2 3 2" xfId="39274"/>
    <cellStyle name="표준 8 2 4 2 2 3 2 4" xfId="24291"/>
    <cellStyle name="표준 8 2 4 2 2 3 2 4 2" xfId="46756"/>
    <cellStyle name="표준 8 2 4 2 2 3 2 5" xfId="31792"/>
    <cellStyle name="표준 8 2 4 2 2 3 3" xfId="9326"/>
    <cellStyle name="표준 8 2 4 2 2 3 3 2" xfId="16809"/>
    <cellStyle name="표준 8 2 4 2 2 3 3 2 2" xfId="39276"/>
    <cellStyle name="표준 8 2 4 2 2 3 3 3" xfId="24293"/>
    <cellStyle name="표준 8 2 4 2 2 3 3 3 2" xfId="46758"/>
    <cellStyle name="표준 8 2 4 2 2 3 3 4" xfId="31794"/>
    <cellStyle name="표준 8 2 4 2 2 3 4" xfId="16806"/>
    <cellStyle name="표준 8 2 4 2 2 3 4 2" xfId="39273"/>
    <cellStyle name="표준 8 2 4 2 2 3 5" xfId="24290"/>
    <cellStyle name="표준 8 2 4 2 2 3 5 2" xfId="46755"/>
    <cellStyle name="표준 8 2 4 2 2 3 6" xfId="31791"/>
    <cellStyle name="표준 8 2 4 2 2 4" xfId="9327"/>
    <cellStyle name="표준 8 2 4 2 2 4 2" xfId="9328"/>
    <cellStyle name="표준 8 2 4 2 2 4 2 2" xfId="16811"/>
    <cellStyle name="표준 8 2 4 2 2 4 2 2 2" xfId="39278"/>
    <cellStyle name="표준 8 2 4 2 2 4 2 3" xfId="24295"/>
    <cellStyle name="표준 8 2 4 2 2 4 2 3 2" xfId="46760"/>
    <cellStyle name="표준 8 2 4 2 2 4 2 4" xfId="31796"/>
    <cellStyle name="표준 8 2 4 2 2 4 3" xfId="16810"/>
    <cellStyle name="표준 8 2 4 2 2 4 3 2" xfId="39277"/>
    <cellStyle name="표준 8 2 4 2 2 4 4" xfId="24294"/>
    <cellStyle name="표준 8 2 4 2 2 4 4 2" xfId="46759"/>
    <cellStyle name="표준 8 2 4 2 2 4 5" xfId="31795"/>
    <cellStyle name="표준 8 2 4 2 2 5" xfId="9329"/>
    <cellStyle name="표준 8 2 4 2 2 5 2" xfId="16812"/>
    <cellStyle name="표준 8 2 4 2 2 5 2 2" xfId="39279"/>
    <cellStyle name="표준 8 2 4 2 2 5 3" xfId="24296"/>
    <cellStyle name="표준 8 2 4 2 2 5 3 2" xfId="46761"/>
    <cellStyle name="표준 8 2 4 2 2 5 4" xfId="31797"/>
    <cellStyle name="표준 8 2 4 2 2 6" xfId="16797"/>
    <cellStyle name="표준 8 2 4 2 2 6 2" xfId="39264"/>
    <cellStyle name="표준 8 2 4 2 2 7" xfId="24281"/>
    <cellStyle name="표준 8 2 4 2 2 7 2" xfId="46746"/>
    <cellStyle name="표준 8 2 4 2 2 8" xfId="31782"/>
    <cellStyle name="표준 8 2 4 2 3" xfId="9330"/>
    <cellStyle name="표준 8 2 4 2 3 2" xfId="9331"/>
    <cellStyle name="표준 8 2 4 2 3 2 2" xfId="9332"/>
    <cellStyle name="표준 8 2 4 2 3 2 2 2" xfId="9333"/>
    <cellStyle name="표준 8 2 4 2 3 2 2 2 2" xfId="9334"/>
    <cellStyle name="표준 8 2 4 2 3 2 2 2 2 2" xfId="16817"/>
    <cellStyle name="표준 8 2 4 2 3 2 2 2 2 2 2" xfId="39284"/>
    <cellStyle name="표준 8 2 4 2 3 2 2 2 2 3" xfId="24301"/>
    <cellStyle name="표준 8 2 4 2 3 2 2 2 2 3 2" xfId="46766"/>
    <cellStyle name="표준 8 2 4 2 3 2 2 2 2 4" xfId="31802"/>
    <cellStyle name="표준 8 2 4 2 3 2 2 2 3" xfId="16816"/>
    <cellStyle name="표준 8 2 4 2 3 2 2 2 3 2" xfId="39283"/>
    <cellStyle name="표준 8 2 4 2 3 2 2 2 4" xfId="24300"/>
    <cellStyle name="표준 8 2 4 2 3 2 2 2 4 2" xfId="46765"/>
    <cellStyle name="표준 8 2 4 2 3 2 2 2 5" xfId="31801"/>
    <cellStyle name="표준 8 2 4 2 3 2 2 3" xfId="9335"/>
    <cellStyle name="표준 8 2 4 2 3 2 2 3 2" xfId="16818"/>
    <cellStyle name="표준 8 2 4 2 3 2 2 3 2 2" xfId="39285"/>
    <cellStyle name="표준 8 2 4 2 3 2 2 3 3" xfId="24302"/>
    <cellStyle name="표준 8 2 4 2 3 2 2 3 3 2" xfId="46767"/>
    <cellStyle name="표준 8 2 4 2 3 2 2 3 4" xfId="31803"/>
    <cellStyle name="표준 8 2 4 2 3 2 2 4" xfId="16815"/>
    <cellStyle name="표준 8 2 4 2 3 2 2 4 2" xfId="39282"/>
    <cellStyle name="표준 8 2 4 2 3 2 2 5" xfId="24299"/>
    <cellStyle name="표준 8 2 4 2 3 2 2 5 2" xfId="46764"/>
    <cellStyle name="표준 8 2 4 2 3 2 2 6" xfId="31800"/>
    <cellStyle name="표준 8 2 4 2 3 2 3" xfId="9336"/>
    <cellStyle name="표준 8 2 4 2 3 2 3 2" xfId="9337"/>
    <cellStyle name="표준 8 2 4 2 3 2 3 2 2" xfId="16820"/>
    <cellStyle name="표준 8 2 4 2 3 2 3 2 2 2" xfId="39287"/>
    <cellStyle name="표준 8 2 4 2 3 2 3 2 3" xfId="24304"/>
    <cellStyle name="표준 8 2 4 2 3 2 3 2 3 2" xfId="46769"/>
    <cellStyle name="표준 8 2 4 2 3 2 3 2 4" xfId="31805"/>
    <cellStyle name="표준 8 2 4 2 3 2 3 3" xfId="16819"/>
    <cellStyle name="표준 8 2 4 2 3 2 3 3 2" xfId="39286"/>
    <cellStyle name="표준 8 2 4 2 3 2 3 4" xfId="24303"/>
    <cellStyle name="표준 8 2 4 2 3 2 3 4 2" xfId="46768"/>
    <cellStyle name="표준 8 2 4 2 3 2 3 5" xfId="31804"/>
    <cellStyle name="표준 8 2 4 2 3 2 4" xfId="9338"/>
    <cellStyle name="표준 8 2 4 2 3 2 4 2" xfId="16821"/>
    <cellStyle name="표준 8 2 4 2 3 2 4 2 2" xfId="39288"/>
    <cellStyle name="표준 8 2 4 2 3 2 4 3" xfId="24305"/>
    <cellStyle name="표준 8 2 4 2 3 2 4 3 2" xfId="46770"/>
    <cellStyle name="표준 8 2 4 2 3 2 4 4" xfId="31806"/>
    <cellStyle name="표준 8 2 4 2 3 2 5" xfId="16814"/>
    <cellStyle name="표준 8 2 4 2 3 2 5 2" xfId="39281"/>
    <cellStyle name="표준 8 2 4 2 3 2 6" xfId="24298"/>
    <cellStyle name="표준 8 2 4 2 3 2 6 2" xfId="46763"/>
    <cellStyle name="표준 8 2 4 2 3 2 7" xfId="31799"/>
    <cellStyle name="표준 8 2 4 2 3 3" xfId="9339"/>
    <cellStyle name="표준 8 2 4 2 3 3 2" xfId="9340"/>
    <cellStyle name="표준 8 2 4 2 3 3 2 2" xfId="9341"/>
    <cellStyle name="표준 8 2 4 2 3 3 2 2 2" xfId="16824"/>
    <cellStyle name="표준 8 2 4 2 3 3 2 2 2 2" xfId="39291"/>
    <cellStyle name="표준 8 2 4 2 3 3 2 2 3" xfId="24308"/>
    <cellStyle name="표준 8 2 4 2 3 3 2 2 3 2" xfId="46773"/>
    <cellStyle name="표준 8 2 4 2 3 3 2 2 4" xfId="31809"/>
    <cellStyle name="표준 8 2 4 2 3 3 2 3" xfId="16823"/>
    <cellStyle name="표준 8 2 4 2 3 3 2 3 2" xfId="39290"/>
    <cellStyle name="표준 8 2 4 2 3 3 2 4" xfId="24307"/>
    <cellStyle name="표준 8 2 4 2 3 3 2 4 2" xfId="46772"/>
    <cellStyle name="표준 8 2 4 2 3 3 2 5" xfId="31808"/>
    <cellStyle name="표준 8 2 4 2 3 3 3" xfId="9342"/>
    <cellStyle name="표준 8 2 4 2 3 3 3 2" xfId="16825"/>
    <cellStyle name="표준 8 2 4 2 3 3 3 2 2" xfId="39292"/>
    <cellStyle name="표준 8 2 4 2 3 3 3 3" xfId="24309"/>
    <cellStyle name="표준 8 2 4 2 3 3 3 3 2" xfId="46774"/>
    <cellStyle name="표준 8 2 4 2 3 3 3 4" xfId="31810"/>
    <cellStyle name="표준 8 2 4 2 3 3 4" xfId="16822"/>
    <cellStyle name="표준 8 2 4 2 3 3 4 2" xfId="39289"/>
    <cellStyle name="표준 8 2 4 2 3 3 5" xfId="24306"/>
    <cellStyle name="표준 8 2 4 2 3 3 5 2" xfId="46771"/>
    <cellStyle name="표준 8 2 4 2 3 3 6" xfId="31807"/>
    <cellStyle name="표준 8 2 4 2 3 4" xfId="9343"/>
    <cellStyle name="표준 8 2 4 2 3 4 2" xfId="9344"/>
    <cellStyle name="표준 8 2 4 2 3 4 2 2" xfId="16827"/>
    <cellStyle name="표준 8 2 4 2 3 4 2 2 2" xfId="39294"/>
    <cellStyle name="표준 8 2 4 2 3 4 2 3" xfId="24311"/>
    <cellStyle name="표준 8 2 4 2 3 4 2 3 2" xfId="46776"/>
    <cellStyle name="표준 8 2 4 2 3 4 2 4" xfId="31812"/>
    <cellStyle name="표준 8 2 4 2 3 4 3" xfId="16826"/>
    <cellStyle name="표준 8 2 4 2 3 4 3 2" xfId="39293"/>
    <cellStyle name="표준 8 2 4 2 3 4 4" xfId="24310"/>
    <cellStyle name="표준 8 2 4 2 3 4 4 2" xfId="46775"/>
    <cellStyle name="표준 8 2 4 2 3 4 5" xfId="31811"/>
    <cellStyle name="표준 8 2 4 2 3 5" xfId="9345"/>
    <cellStyle name="표준 8 2 4 2 3 5 2" xfId="16828"/>
    <cellStyle name="표준 8 2 4 2 3 5 2 2" xfId="39295"/>
    <cellStyle name="표준 8 2 4 2 3 5 3" xfId="24312"/>
    <cellStyle name="표준 8 2 4 2 3 5 3 2" xfId="46777"/>
    <cellStyle name="표준 8 2 4 2 3 5 4" xfId="31813"/>
    <cellStyle name="표준 8 2 4 2 3 6" xfId="16813"/>
    <cellStyle name="표준 8 2 4 2 3 6 2" xfId="39280"/>
    <cellStyle name="표준 8 2 4 2 3 7" xfId="24297"/>
    <cellStyle name="표준 8 2 4 2 3 7 2" xfId="46762"/>
    <cellStyle name="표준 8 2 4 2 3 8" xfId="31798"/>
    <cellStyle name="표준 8 2 4 2 4" xfId="9346"/>
    <cellStyle name="표준 8 2 4 2 4 2" xfId="9347"/>
    <cellStyle name="표준 8 2 4 2 4 2 2" xfId="9348"/>
    <cellStyle name="표준 8 2 4 2 4 2 2 2" xfId="9349"/>
    <cellStyle name="표준 8 2 4 2 4 2 2 2 2" xfId="16832"/>
    <cellStyle name="표준 8 2 4 2 4 2 2 2 2 2" xfId="39299"/>
    <cellStyle name="표준 8 2 4 2 4 2 2 2 3" xfId="24316"/>
    <cellStyle name="표준 8 2 4 2 4 2 2 2 3 2" xfId="46781"/>
    <cellStyle name="표준 8 2 4 2 4 2 2 2 4" xfId="31817"/>
    <cellStyle name="표준 8 2 4 2 4 2 2 3" xfId="16831"/>
    <cellStyle name="표준 8 2 4 2 4 2 2 3 2" xfId="39298"/>
    <cellStyle name="표준 8 2 4 2 4 2 2 4" xfId="24315"/>
    <cellStyle name="표준 8 2 4 2 4 2 2 4 2" xfId="46780"/>
    <cellStyle name="표준 8 2 4 2 4 2 2 5" xfId="31816"/>
    <cellStyle name="표준 8 2 4 2 4 2 3" xfId="9350"/>
    <cellStyle name="표준 8 2 4 2 4 2 3 2" xfId="16833"/>
    <cellStyle name="표준 8 2 4 2 4 2 3 2 2" xfId="39300"/>
    <cellStyle name="표준 8 2 4 2 4 2 3 3" xfId="24317"/>
    <cellStyle name="표준 8 2 4 2 4 2 3 3 2" xfId="46782"/>
    <cellStyle name="표준 8 2 4 2 4 2 3 4" xfId="31818"/>
    <cellStyle name="표준 8 2 4 2 4 2 4" xfId="16830"/>
    <cellStyle name="표준 8 2 4 2 4 2 4 2" xfId="39297"/>
    <cellStyle name="표준 8 2 4 2 4 2 5" xfId="24314"/>
    <cellStyle name="표준 8 2 4 2 4 2 5 2" xfId="46779"/>
    <cellStyle name="표준 8 2 4 2 4 2 6" xfId="31815"/>
    <cellStyle name="표준 8 2 4 2 4 3" xfId="9351"/>
    <cellStyle name="표준 8 2 4 2 4 3 2" xfId="9352"/>
    <cellStyle name="표준 8 2 4 2 4 3 2 2" xfId="16835"/>
    <cellStyle name="표준 8 2 4 2 4 3 2 2 2" xfId="39302"/>
    <cellStyle name="표준 8 2 4 2 4 3 2 3" xfId="24319"/>
    <cellStyle name="표준 8 2 4 2 4 3 2 3 2" xfId="46784"/>
    <cellStyle name="표준 8 2 4 2 4 3 2 4" xfId="31820"/>
    <cellStyle name="표준 8 2 4 2 4 3 3" xfId="16834"/>
    <cellStyle name="표준 8 2 4 2 4 3 3 2" xfId="39301"/>
    <cellStyle name="표준 8 2 4 2 4 3 4" xfId="24318"/>
    <cellStyle name="표준 8 2 4 2 4 3 4 2" xfId="46783"/>
    <cellStyle name="표준 8 2 4 2 4 3 5" xfId="31819"/>
    <cellStyle name="표준 8 2 4 2 4 4" xfId="9353"/>
    <cellStyle name="표준 8 2 4 2 4 4 2" xfId="16836"/>
    <cellStyle name="표준 8 2 4 2 4 4 2 2" xfId="39303"/>
    <cellStyle name="표준 8 2 4 2 4 4 3" xfId="24320"/>
    <cellStyle name="표준 8 2 4 2 4 4 3 2" xfId="46785"/>
    <cellStyle name="표준 8 2 4 2 4 4 4" xfId="31821"/>
    <cellStyle name="표준 8 2 4 2 4 5" xfId="16829"/>
    <cellStyle name="표준 8 2 4 2 4 5 2" xfId="39296"/>
    <cellStyle name="표준 8 2 4 2 4 6" xfId="24313"/>
    <cellStyle name="표준 8 2 4 2 4 6 2" xfId="46778"/>
    <cellStyle name="표준 8 2 4 2 4 7" xfId="31814"/>
    <cellStyle name="표준 8 2 4 2 5" xfId="9354"/>
    <cellStyle name="표준 8 2 4 2 5 2" xfId="9355"/>
    <cellStyle name="표준 8 2 4 2 5 2 2" xfId="9356"/>
    <cellStyle name="표준 8 2 4 2 5 2 2 2" xfId="16839"/>
    <cellStyle name="표준 8 2 4 2 5 2 2 2 2" xfId="39306"/>
    <cellStyle name="표준 8 2 4 2 5 2 2 3" xfId="24323"/>
    <cellStyle name="표준 8 2 4 2 5 2 2 3 2" xfId="46788"/>
    <cellStyle name="표준 8 2 4 2 5 2 2 4" xfId="31824"/>
    <cellStyle name="표준 8 2 4 2 5 2 3" xfId="16838"/>
    <cellStyle name="표준 8 2 4 2 5 2 3 2" xfId="39305"/>
    <cellStyle name="표준 8 2 4 2 5 2 4" xfId="24322"/>
    <cellStyle name="표준 8 2 4 2 5 2 4 2" xfId="46787"/>
    <cellStyle name="표준 8 2 4 2 5 2 5" xfId="31823"/>
    <cellStyle name="표준 8 2 4 2 5 3" xfId="9357"/>
    <cellStyle name="표준 8 2 4 2 5 3 2" xfId="16840"/>
    <cellStyle name="표준 8 2 4 2 5 3 2 2" xfId="39307"/>
    <cellStyle name="표준 8 2 4 2 5 3 3" xfId="24324"/>
    <cellStyle name="표준 8 2 4 2 5 3 3 2" xfId="46789"/>
    <cellStyle name="표준 8 2 4 2 5 3 4" xfId="31825"/>
    <cellStyle name="표준 8 2 4 2 5 4" xfId="16837"/>
    <cellStyle name="표준 8 2 4 2 5 4 2" xfId="39304"/>
    <cellStyle name="표준 8 2 4 2 5 5" xfId="24321"/>
    <cellStyle name="표준 8 2 4 2 5 5 2" xfId="46786"/>
    <cellStyle name="표준 8 2 4 2 5 6" xfId="31822"/>
    <cellStyle name="표준 8 2 4 2 6" xfId="9358"/>
    <cellStyle name="표준 8 2 4 2 6 2" xfId="9359"/>
    <cellStyle name="표준 8 2 4 2 6 2 2" xfId="16842"/>
    <cellStyle name="표준 8 2 4 2 6 2 2 2" xfId="39309"/>
    <cellStyle name="표준 8 2 4 2 6 2 3" xfId="24326"/>
    <cellStyle name="표준 8 2 4 2 6 2 3 2" xfId="46791"/>
    <cellStyle name="표준 8 2 4 2 6 2 4" xfId="31827"/>
    <cellStyle name="표준 8 2 4 2 6 3" xfId="16841"/>
    <cellStyle name="표준 8 2 4 2 6 3 2" xfId="39308"/>
    <cellStyle name="표준 8 2 4 2 6 4" xfId="24325"/>
    <cellStyle name="표준 8 2 4 2 6 4 2" xfId="46790"/>
    <cellStyle name="표준 8 2 4 2 6 5" xfId="31826"/>
    <cellStyle name="표준 8 2 4 2 7" xfId="9360"/>
    <cellStyle name="표준 8 2 4 2 7 2" xfId="16843"/>
    <cellStyle name="표준 8 2 4 2 7 2 2" xfId="39310"/>
    <cellStyle name="표준 8 2 4 2 7 3" xfId="24327"/>
    <cellStyle name="표준 8 2 4 2 7 3 2" xfId="46792"/>
    <cellStyle name="표준 8 2 4 2 7 4" xfId="31828"/>
    <cellStyle name="표준 8 2 4 2 8" xfId="16796"/>
    <cellStyle name="표준 8 2 4 2 8 2" xfId="39263"/>
    <cellStyle name="표준 8 2 4 2 9" xfId="24280"/>
    <cellStyle name="표준 8 2 4 2 9 2" xfId="46745"/>
    <cellStyle name="표준 8 2 4 3" xfId="9361"/>
    <cellStyle name="표준 8 2 4 3 2" xfId="9362"/>
    <cellStyle name="표준 8 2 4 3 2 2" xfId="9363"/>
    <cellStyle name="표준 8 2 4 3 2 2 2" xfId="9364"/>
    <cellStyle name="표준 8 2 4 3 2 2 2 2" xfId="9365"/>
    <cellStyle name="표준 8 2 4 3 2 2 2 2 2" xfId="16848"/>
    <cellStyle name="표준 8 2 4 3 2 2 2 2 2 2" xfId="39315"/>
    <cellStyle name="표준 8 2 4 3 2 2 2 2 3" xfId="24332"/>
    <cellStyle name="표준 8 2 4 3 2 2 2 2 3 2" xfId="46797"/>
    <cellStyle name="표준 8 2 4 3 2 2 2 2 4" xfId="31833"/>
    <cellStyle name="표준 8 2 4 3 2 2 2 3" xfId="16847"/>
    <cellStyle name="표준 8 2 4 3 2 2 2 3 2" xfId="39314"/>
    <cellStyle name="표준 8 2 4 3 2 2 2 4" xfId="24331"/>
    <cellStyle name="표준 8 2 4 3 2 2 2 4 2" xfId="46796"/>
    <cellStyle name="표준 8 2 4 3 2 2 2 5" xfId="31832"/>
    <cellStyle name="표준 8 2 4 3 2 2 3" xfId="9366"/>
    <cellStyle name="표준 8 2 4 3 2 2 3 2" xfId="16849"/>
    <cellStyle name="표준 8 2 4 3 2 2 3 2 2" xfId="39316"/>
    <cellStyle name="표준 8 2 4 3 2 2 3 3" xfId="24333"/>
    <cellStyle name="표준 8 2 4 3 2 2 3 3 2" xfId="46798"/>
    <cellStyle name="표준 8 2 4 3 2 2 3 4" xfId="31834"/>
    <cellStyle name="표준 8 2 4 3 2 2 4" xfId="16846"/>
    <cellStyle name="표준 8 2 4 3 2 2 4 2" xfId="39313"/>
    <cellStyle name="표준 8 2 4 3 2 2 5" xfId="24330"/>
    <cellStyle name="표준 8 2 4 3 2 2 5 2" xfId="46795"/>
    <cellStyle name="표준 8 2 4 3 2 2 6" xfId="31831"/>
    <cellStyle name="표준 8 2 4 3 2 3" xfId="9367"/>
    <cellStyle name="표준 8 2 4 3 2 3 2" xfId="9368"/>
    <cellStyle name="표준 8 2 4 3 2 3 2 2" xfId="16851"/>
    <cellStyle name="표준 8 2 4 3 2 3 2 2 2" xfId="39318"/>
    <cellStyle name="표준 8 2 4 3 2 3 2 3" xfId="24335"/>
    <cellStyle name="표준 8 2 4 3 2 3 2 3 2" xfId="46800"/>
    <cellStyle name="표준 8 2 4 3 2 3 2 4" xfId="31836"/>
    <cellStyle name="표준 8 2 4 3 2 3 3" xfId="16850"/>
    <cellStyle name="표준 8 2 4 3 2 3 3 2" xfId="39317"/>
    <cellStyle name="표준 8 2 4 3 2 3 4" xfId="24334"/>
    <cellStyle name="표준 8 2 4 3 2 3 4 2" xfId="46799"/>
    <cellStyle name="표준 8 2 4 3 2 3 5" xfId="31835"/>
    <cellStyle name="표준 8 2 4 3 2 4" xfId="9369"/>
    <cellStyle name="표준 8 2 4 3 2 4 2" xfId="16852"/>
    <cellStyle name="표준 8 2 4 3 2 4 2 2" xfId="39319"/>
    <cellStyle name="표준 8 2 4 3 2 4 3" xfId="24336"/>
    <cellStyle name="표준 8 2 4 3 2 4 3 2" xfId="46801"/>
    <cellStyle name="표준 8 2 4 3 2 4 4" xfId="31837"/>
    <cellStyle name="표준 8 2 4 3 2 5" xfId="16845"/>
    <cellStyle name="표준 8 2 4 3 2 5 2" xfId="39312"/>
    <cellStyle name="표준 8 2 4 3 2 6" xfId="24329"/>
    <cellStyle name="표준 8 2 4 3 2 6 2" xfId="46794"/>
    <cellStyle name="표준 8 2 4 3 2 7" xfId="31830"/>
    <cellStyle name="표준 8 2 4 3 3" xfId="9370"/>
    <cellStyle name="표준 8 2 4 3 3 2" xfId="9371"/>
    <cellStyle name="표준 8 2 4 3 3 2 2" xfId="9372"/>
    <cellStyle name="표준 8 2 4 3 3 2 2 2" xfId="16855"/>
    <cellStyle name="표준 8 2 4 3 3 2 2 2 2" xfId="39322"/>
    <cellStyle name="표준 8 2 4 3 3 2 2 3" xfId="24339"/>
    <cellStyle name="표준 8 2 4 3 3 2 2 3 2" xfId="46804"/>
    <cellStyle name="표준 8 2 4 3 3 2 2 4" xfId="31840"/>
    <cellStyle name="표준 8 2 4 3 3 2 3" xfId="16854"/>
    <cellStyle name="표준 8 2 4 3 3 2 3 2" xfId="39321"/>
    <cellStyle name="표준 8 2 4 3 3 2 4" xfId="24338"/>
    <cellStyle name="표준 8 2 4 3 3 2 4 2" xfId="46803"/>
    <cellStyle name="표준 8 2 4 3 3 2 5" xfId="31839"/>
    <cellStyle name="표준 8 2 4 3 3 3" xfId="9373"/>
    <cellStyle name="표준 8 2 4 3 3 3 2" xfId="16856"/>
    <cellStyle name="표준 8 2 4 3 3 3 2 2" xfId="39323"/>
    <cellStyle name="표준 8 2 4 3 3 3 3" xfId="24340"/>
    <cellStyle name="표준 8 2 4 3 3 3 3 2" xfId="46805"/>
    <cellStyle name="표준 8 2 4 3 3 3 4" xfId="31841"/>
    <cellStyle name="표준 8 2 4 3 3 4" xfId="16853"/>
    <cellStyle name="표준 8 2 4 3 3 4 2" xfId="39320"/>
    <cellStyle name="표준 8 2 4 3 3 5" xfId="24337"/>
    <cellStyle name="표준 8 2 4 3 3 5 2" xfId="46802"/>
    <cellStyle name="표준 8 2 4 3 3 6" xfId="31838"/>
    <cellStyle name="표준 8 2 4 3 4" xfId="9374"/>
    <cellStyle name="표준 8 2 4 3 4 2" xfId="9375"/>
    <cellStyle name="표준 8 2 4 3 4 2 2" xfId="16858"/>
    <cellStyle name="표준 8 2 4 3 4 2 2 2" xfId="39325"/>
    <cellStyle name="표준 8 2 4 3 4 2 3" xfId="24342"/>
    <cellStyle name="표준 8 2 4 3 4 2 3 2" xfId="46807"/>
    <cellStyle name="표준 8 2 4 3 4 2 4" xfId="31843"/>
    <cellStyle name="표준 8 2 4 3 4 3" xfId="16857"/>
    <cellStyle name="표준 8 2 4 3 4 3 2" xfId="39324"/>
    <cellStyle name="표준 8 2 4 3 4 4" xfId="24341"/>
    <cellStyle name="표준 8 2 4 3 4 4 2" xfId="46806"/>
    <cellStyle name="표준 8 2 4 3 4 5" xfId="31842"/>
    <cellStyle name="표준 8 2 4 3 5" xfId="9376"/>
    <cellStyle name="표준 8 2 4 3 5 2" xfId="16859"/>
    <cellStyle name="표준 8 2 4 3 5 2 2" xfId="39326"/>
    <cellStyle name="표준 8 2 4 3 5 3" xfId="24343"/>
    <cellStyle name="표준 8 2 4 3 5 3 2" xfId="46808"/>
    <cellStyle name="표준 8 2 4 3 5 4" xfId="31844"/>
    <cellStyle name="표준 8 2 4 3 6" xfId="16844"/>
    <cellStyle name="표준 8 2 4 3 6 2" xfId="39311"/>
    <cellStyle name="표준 8 2 4 3 7" xfId="24328"/>
    <cellStyle name="표준 8 2 4 3 7 2" xfId="46793"/>
    <cellStyle name="표준 8 2 4 3 8" xfId="31829"/>
    <cellStyle name="표준 8 2 4 4" xfId="9377"/>
    <cellStyle name="표준 8 2 4 4 2" xfId="9378"/>
    <cellStyle name="표준 8 2 4 4 2 2" xfId="9379"/>
    <cellStyle name="표준 8 2 4 4 2 2 2" xfId="9380"/>
    <cellStyle name="표준 8 2 4 4 2 2 2 2" xfId="9381"/>
    <cellStyle name="표준 8 2 4 4 2 2 2 2 2" xfId="16864"/>
    <cellStyle name="표준 8 2 4 4 2 2 2 2 2 2" xfId="39331"/>
    <cellStyle name="표준 8 2 4 4 2 2 2 2 3" xfId="24348"/>
    <cellStyle name="표준 8 2 4 4 2 2 2 2 3 2" xfId="46813"/>
    <cellStyle name="표준 8 2 4 4 2 2 2 2 4" xfId="31849"/>
    <cellStyle name="표준 8 2 4 4 2 2 2 3" xfId="16863"/>
    <cellStyle name="표준 8 2 4 4 2 2 2 3 2" xfId="39330"/>
    <cellStyle name="표준 8 2 4 4 2 2 2 4" xfId="24347"/>
    <cellStyle name="표준 8 2 4 4 2 2 2 4 2" xfId="46812"/>
    <cellStyle name="표준 8 2 4 4 2 2 2 5" xfId="31848"/>
    <cellStyle name="표준 8 2 4 4 2 2 3" xfId="9382"/>
    <cellStyle name="표준 8 2 4 4 2 2 3 2" xfId="16865"/>
    <cellStyle name="표준 8 2 4 4 2 2 3 2 2" xfId="39332"/>
    <cellStyle name="표준 8 2 4 4 2 2 3 3" xfId="24349"/>
    <cellStyle name="표준 8 2 4 4 2 2 3 3 2" xfId="46814"/>
    <cellStyle name="표준 8 2 4 4 2 2 3 4" xfId="31850"/>
    <cellStyle name="표준 8 2 4 4 2 2 4" xfId="16862"/>
    <cellStyle name="표준 8 2 4 4 2 2 4 2" xfId="39329"/>
    <cellStyle name="표준 8 2 4 4 2 2 5" xfId="24346"/>
    <cellStyle name="표준 8 2 4 4 2 2 5 2" xfId="46811"/>
    <cellStyle name="표준 8 2 4 4 2 2 6" xfId="31847"/>
    <cellStyle name="표준 8 2 4 4 2 3" xfId="9383"/>
    <cellStyle name="표준 8 2 4 4 2 3 2" xfId="9384"/>
    <cellStyle name="표준 8 2 4 4 2 3 2 2" xfId="16867"/>
    <cellStyle name="표준 8 2 4 4 2 3 2 2 2" xfId="39334"/>
    <cellStyle name="표준 8 2 4 4 2 3 2 3" xfId="24351"/>
    <cellStyle name="표준 8 2 4 4 2 3 2 3 2" xfId="46816"/>
    <cellStyle name="표준 8 2 4 4 2 3 2 4" xfId="31852"/>
    <cellStyle name="표준 8 2 4 4 2 3 3" xfId="16866"/>
    <cellStyle name="표준 8 2 4 4 2 3 3 2" xfId="39333"/>
    <cellStyle name="표준 8 2 4 4 2 3 4" xfId="24350"/>
    <cellStyle name="표준 8 2 4 4 2 3 4 2" xfId="46815"/>
    <cellStyle name="표준 8 2 4 4 2 3 5" xfId="31851"/>
    <cellStyle name="표준 8 2 4 4 2 4" xfId="9385"/>
    <cellStyle name="표준 8 2 4 4 2 4 2" xfId="16868"/>
    <cellStyle name="표준 8 2 4 4 2 4 2 2" xfId="39335"/>
    <cellStyle name="표준 8 2 4 4 2 4 3" xfId="24352"/>
    <cellStyle name="표준 8 2 4 4 2 4 3 2" xfId="46817"/>
    <cellStyle name="표준 8 2 4 4 2 4 4" xfId="31853"/>
    <cellStyle name="표준 8 2 4 4 2 5" xfId="16861"/>
    <cellStyle name="표준 8 2 4 4 2 5 2" xfId="39328"/>
    <cellStyle name="표준 8 2 4 4 2 6" xfId="24345"/>
    <cellStyle name="표준 8 2 4 4 2 6 2" xfId="46810"/>
    <cellStyle name="표준 8 2 4 4 2 7" xfId="31846"/>
    <cellStyle name="표준 8 2 4 4 3" xfId="9386"/>
    <cellStyle name="표준 8 2 4 4 3 2" xfId="9387"/>
    <cellStyle name="표준 8 2 4 4 3 2 2" xfId="9388"/>
    <cellStyle name="표준 8 2 4 4 3 2 2 2" xfId="16871"/>
    <cellStyle name="표준 8 2 4 4 3 2 2 2 2" xfId="39338"/>
    <cellStyle name="표준 8 2 4 4 3 2 2 3" xfId="24355"/>
    <cellStyle name="표준 8 2 4 4 3 2 2 3 2" xfId="46820"/>
    <cellStyle name="표준 8 2 4 4 3 2 2 4" xfId="31856"/>
    <cellStyle name="표준 8 2 4 4 3 2 3" xfId="16870"/>
    <cellStyle name="표준 8 2 4 4 3 2 3 2" xfId="39337"/>
    <cellStyle name="표준 8 2 4 4 3 2 4" xfId="24354"/>
    <cellStyle name="표준 8 2 4 4 3 2 4 2" xfId="46819"/>
    <cellStyle name="표준 8 2 4 4 3 2 5" xfId="31855"/>
    <cellStyle name="표준 8 2 4 4 3 3" xfId="9389"/>
    <cellStyle name="표준 8 2 4 4 3 3 2" xfId="16872"/>
    <cellStyle name="표준 8 2 4 4 3 3 2 2" xfId="39339"/>
    <cellStyle name="표준 8 2 4 4 3 3 3" xfId="24356"/>
    <cellStyle name="표준 8 2 4 4 3 3 3 2" xfId="46821"/>
    <cellStyle name="표준 8 2 4 4 3 3 4" xfId="31857"/>
    <cellStyle name="표준 8 2 4 4 3 4" xfId="16869"/>
    <cellStyle name="표준 8 2 4 4 3 4 2" xfId="39336"/>
    <cellStyle name="표준 8 2 4 4 3 5" xfId="24353"/>
    <cellStyle name="표준 8 2 4 4 3 5 2" xfId="46818"/>
    <cellStyle name="표준 8 2 4 4 3 6" xfId="31854"/>
    <cellStyle name="표준 8 2 4 4 4" xfId="9390"/>
    <cellStyle name="표준 8 2 4 4 4 2" xfId="9391"/>
    <cellStyle name="표준 8 2 4 4 4 2 2" xfId="16874"/>
    <cellStyle name="표준 8 2 4 4 4 2 2 2" xfId="39341"/>
    <cellStyle name="표준 8 2 4 4 4 2 3" xfId="24358"/>
    <cellStyle name="표준 8 2 4 4 4 2 3 2" xfId="46823"/>
    <cellStyle name="표준 8 2 4 4 4 2 4" xfId="31859"/>
    <cellStyle name="표준 8 2 4 4 4 3" xfId="16873"/>
    <cellStyle name="표준 8 2 4 4 4 3 2" xfId="39340"/>
    <cellStyle name="표준 8 2 4 4 4 4" xfId="24357"/>
    <cellStyle name="표준 8 2 4 4 4 4 2" xfId="46822"/>
    <cellStyle name="표준 8 2 4 4 4 5" xfId="31858"/>
    <cellStyle name="표준 8 2 4 4 5" xfId="9392"/>
    <cellStyle name="표준 8 2 4 4 5 2" xfId="16875"/>
    <cellStyle name="표준 8 2 4 4 5 2 2" xfId="39342"/>
    <cellStyle name="표준 8 2 4 4 5 3" xfId="24359"/>
    <cellStyle name="표준 8 2 4 4 5 3 2" xfId="46824"/>
    <cellStyle name="표준 8 2 4 4 5 4" xfId="31860"/>
    <cellStyle name="표준 8 2 4 4 6" xfId="16860"/>
    <cellStyle name="표준 8 2 4 4 6 2" xfId="39327"/>
    <cellStyle name="표준 8 2 4 4 7" xfId="24344"/>
    <cellStyle name="표준 8 2 4 4 7 2" xfId="46809"/>
    <cellStyle name="표준 8 2 4 4 8" xfId="31845"/>
    <cellStyle name="표준 8 2 4 5" xfId="9393"/>
    <cellStyle name="표준 8 2 4 5 2" xfId="9394"/>
    <cellStyle name="표준 8 2 4 5 2 2" xfId="9395"/>
    <cellStyle name="표준 8 2 4 5 2 2 2" xfId="9396"/>
    <cellStyle name="표준 8 2 4 5 2 2 2 2" xfId="16879"/>
    <cellStyle name="표준 8 2 4 5 2 2 2 2 2" xfId="39346"/>
    <cellStyle name="표준 8 2 4 5 2 2 2 3" xfId="24363"/>
    <cellStyle name="표준 8 2 4 5 2 2 2 3 2" xfId="46828"/>
    <cellStyle name="표준 8 2 4 5 2 2 2 4" xfId="31864"/>
    <cellStyle name="표준 8 2 4 5 2 2 3" xfId="16878"/>
    <cellStyle name="표준 8 2 4 5 2 2 3 2" xfId="39345"/>
    <cellStyle name="표준 8 2 4 5 2 2 4" xfId="24362"/>
    <cellStyle name="표준 8 2 4 5 2 2 4 2" xfId="46827"/>
    <cellStyle name="표준 8 2 4 5 2 2 5" xfId="31863"/>
    <cellStyle name="표준 8 2 4 5 2 3" xfId="9397"/>
    <cellStyle name="표준 8 2 4 5 2 3 2" xfId="16880"/>
    <cellStyle name="표준 8 2 4 5 2 3 2 2" xfId="39347"/>
    <cellStyle name="표준 8 2 4 5 2 3 3" xfId="24364"/>
    <cellStyle name="표준 8 2 4 5 2 3 3 2" xfId="46829"/>
    <cellStyle name="표준 8 2 4 5 2 3 4" xfId="31865"/>
    <cellStyle name="표준 8 2 4 5 2 4" xfId="16877"/>
    <cellStyle name="표준 8 2 4 5 2 4 2" xfId="39344"/>
    <cellStyle name="표준 8 2 4 5 2 5" xfId="24361"/>
    <cellStyle name="표준 8 2 4 5 2 5 2" xfId="46826"/>
    <cellStyle name="표준 8 2 4 5 2 6" xfId="31862"/>
    <cellStyle name="표준 8 2 4 5 3" xfId="9398"/>
    <cellStyle name="표준 8 2 4 5 3 2" xfId="9399"/>
    <cellStyle name="표준 8 2 4 5 3 2 2" xfId="16882"/>
    <cellStyle name="표준 8 2 4 5 3 2 2 2" xfId="39349"/>
    <cellStyle name="표준 8 2 4 5 3 2 3" xfId="24366"/>
    <cellStyle name="표준 8 2 4 5 3 2 3 2" xfId="46831"/>
    <cellStyle name="표준 8 2 4 5 3 2 4" xfId="31867"/>
    <cellStyle name="표준 8 2 4 5 3 3" xfId="16881"/>
    <cellStyle name="표준 8 2 4 5 3 3 2" xfId="39348"/>
    <cellStyle name="표준 8 2 4 5 3 4" xfId="24365"/>
    <cellStyle name="표준 8 2 4 5 3 4 2" xfId="46830"/>
    <cellStyle name="표준 8 2 4 5 3 5" xfId="31866"/>
    <cellStyle name="표준 8 2 4 5 4" xfId="9400"/>
    <cellStyle name="표준 8 2 4 5 4 2" xfId="16883"/>
    <cellStyle name="표준 8 2 4 5 4 2 2" xfId="39350"/>
    <cellStyle name="표준 8 2 4 5 4 3" xfId="24367"/>
    <cellStyle name="표준 8 2 4 5 4 3 2" xfId="46832"/>
    <cellStyle name="표준 8 2 4 5 4 4" xfId="31868"/>
    <cellStyle name="표준 8 2 4 5 5" xfId="16876"/>
    <cellStyle name="표준 8 2 4 5 5 2" xfId="39343"/>
    <cellStyle name="표준 8 2 4 5 6" xfId="24360"/>
    <cellStyle name="표준 8 2 4 5 6 2" xfId="46825"/>
    <cellStyle name="표준 8 2 4 5 7" xfId="31861"/>
    <cellStyle name="표준 8 2 4 6" xfId="9401"/>
    <cellStyle name="표준 8 2 4 6 2" xfId="9402"/>
    <cellStyle name="표준 8 2 4 6 2 2" xfId="9403"/>
    <cellStyle name="표준 8 2 4 6 2 2 2" xfId="16886"/>
    <cellStyle name="표준 8 2 4 6 2 2 2 2" xfId="39353"/>
    <cellStyle name="표준 8 2 4 6 2 2 3" xfId="24370"/>
    <cellStyle name="표준 8 2 4 6 2 2 3 2" xfId="46835"/>
    <cellStyle name="표준 8 2 4 6 2 2 4" xfId="31871"/>
    <cellStyle name="표준 8 2 4 6 2 3" xfId="16885"/>
    <cellStyle name="표준 8 2 4 6 2 3 2" xfId="39352"/>
    <cellStyle name="표준 8 2 4 6 2 4" xfId="24369"/>
    <cellStyle name="표준 8 2 4 6 2 4 2" xfId="46834"/>
    <cellStyle name="표준 8 2 4 6 2 5" xfId="31870"/>
    <cellStyle name="표준 8 2 4 6 3" xfId="9404"/>
    <cellStyle name="표준 8 2 4 6 3 2" xfId="16887"/>
    <cellStyle name="표준 8 2 4 6 3 2 2" xfId="39354"/>
    <cellStyle name="표준 8 2 4 6 3 3" xfId="24371"/>
    <cellStyle name="표준 8 2 4 6 3 3 2" xfId="46836"/>
    <cellStyle name="표준 8 2 4 6 3 4" xfId="31872"/>
    <cellStyle name="표준 8 2 4 6 4" xfId="16884"/>
    <cellStyle name="표준 8 2 4 6 4 2" xfId="39351"/>
    <cellStyle name="표준 8 2 4 6 5" xfId="24368"/>
    <cellStyle name="표준 8 2 4 6 5 2" xfId="46833"/>
    <cellStyle name="표준 8 2 4 6 6" xfId="31869"/>
    <cellStyle name="표준 8 2 4 7" xfId="9405"/>
    <cellStyle name="표준 8 2 4 7 2" xfId="9406"/>
    <cellStyle name="표준 8 2 4 7 2 2" xfId="9407"/>
    <cellStyle name="표준 8 2 4 7 2 2 2" xfId="16890"/>
    <cellStyle name="표준 8 2 4 7 2 2 2 2" xfId="39357"/>
    <cellStyle name="표준 8 2 4 7 2 2 3" xfId="24374"/>
    <cellStyle name="표준 8 2 4 7 2 2 3 2" xfId="46839"/>
    <cellStyle name="표준 8 2 4 7 2 2 4" xfId="31875"/>
    <cellStyle name="표준 8 2 4 7 2 3" xfId="16889"/>
    <cellStyle name="표준 8 2 4 7 2 3 2" xfId="39356"/>
    <cellStyle name="표준 8 2 4 7 2 4" xfId="24373"/>
    <cellStyle name="표준 8 2 4 7 2 4 2" xfId="46838"/>
    <cellStyle name="표준 8 2 4 7 2 5" xfId="31874"/>
    <cellStyle name="표준 8 2 4 7 3" xfId="9408"/>
    <cellStyle name="표준 8 2 4 7 3 2" xfId="16891"/>
    <cellStyle name="표준 8 2 4 7 3 2 2" xfId="39358"/>
    <cellStyle name="표준 8 2 4 7 3 3" xfId="24375"/>
    <cellStyle name="표준 8 2 4 7 3 3 2" xfId="46840"/>
    <cellStyle name="표준 8 2 4 7 3 4" xfId="31876"/>
    <cellStyle name="표준 8 2 4 7 4" xfId="16888"/>
    <cellStyle name="표준 8 2 4 7 4 2" xfId="39355"/>
    <cellStyle name="표준 8 2 4 7 5" xfId="24372"/>
    <cellStyle name="표준 8 2 4 7 5 2" xfId="46837"/>
    <cellStyle name="표준 8 2 4 7 6" xfId="31873"/>
    <cellStyle name="표준 8 2 4 8" xfId="9409"/>
    <cellStyle name="표준 8 2 4 8 2" xfId="9410"/>
    <cellStyle name="표준 8 2 4 8 2 2" xfId="16893"/>
    <cellStyle name="표준 8 2 4 8 2 2 2" xfId="39360"/>
    <cellStyle name="표준 8 2 4 8 2 3" xfId="24377"/>
    <cellStyle name="표준 8 2 4 8 2 3 2" xfId="46842"/>
    <cellStyle name="표준 8 2 4 8 2 4" xfId="31878"/>
    <cellStyle name="표준 8 2 4 8 3" xfId="16892"/>
    <cellStyle name="표준 8 2 4 8 3 2" xfId="39359"/>
    <cellStyle name="표준 8 2 4 8 4" xfId="24376"/>
    <cellStyle name="표준 8 2 4 8 4 2" xfId="46841"/>
    <cellStyle name="표준 8 2 4 8 5" xfId="31877"/>
    <cellStyle name="표준 8 2 4 9" xfId="9411"/>
    <cellStyle name="표준 8 2 4 9 2" xfId="16894"/>
    <cellStyle name="표준 8 2 4 9 2 2" xfId="39361"/>
    <cellStyle name="표준 8 2 4 9 3" xfId="24378"/>
    <cellStyle name="표준 8 2 4 9 3 2" xfId="46843"/>
    <cellStyle name="표준 8 2 4 9 4" xfId="31879"/>
    <cellStyle name="표준 8 2 5" xfId="9412"/>
    <cellStyle name="표준 8 2 5 10" xfId="24379"/>
    <cellStyle name="표준 8 2 5 10 2" xfId="46844"/>
    <cellStyle name="표준 8 2 5 11" xfId="31880"/>
    <cellStyle name="표준 8 2 5 2" xfId="9413"/>
    <cellStyle name="표준 8 2 5 2 10" xfId="31881"/>
    <cellStyle name="표준 8 2 5 2 2" xfId="9414"/>
    <cellStyle name="표준 8 2 5 2 2 2" xfId="9415"/>
    <cellStyle name="표준 8 2 5 2 2 2 2" xfId="9416"/>
    <cellStyle name="표준 8 2 5 2 2 2 2 2" xfId="9417"/>
    <cellStyle name="표준 8 2 5 2 2 2 2 2 2" xfId="9418"/>
    <cellStyle name="표준 8 2 5 2 2 2 2 2 2 2" xfId="16901"/>
    <cellStyle name="표준 8 2 5 2 2 2 2 2 2 2 2" xfId="39368"/>
    <cellStyle name="표준 8 2 5 2 2 2 2 2 2 3" xfId="24385"/>
    <cellStyle name="표준 8 2 5 2 2 2 2 2 2 3 2" xfId="46850"/>
    <cellStyle name="표준 8 2 5 2 2 2 2 2 2 4" xfId="31886"/>
    <cellStyle name="표준 8 2 5 2 2 2 2 2 3" xfId="16900"/>
    <cellStyle name="표준 8 2 5 2 2 2 2 2 3 2" xfId="39367"/>
    <cellStyle name="표준 8 2 5 2 2 2 2 2 4" xfId="24384"/>
    <cellStyle name="표준 8 2 5 2 2 2 2 2 4 2" xfId="46849"/>
    <cellStyle name="표준 8 2 5 2 2 2 2 2 5" xfId="31885"/>
    <cellStyle name="표준 8 2 5 2 2 2 2 3" xfId="9419"/>
    <cellStyle name="표준 8 2 5 2 2 2 2 3 2" xfId="16902"/>
    <cellStyle name="표준 8 2 5 2 2 2 2 3 2 2" xfId="39369"/>
    <cellStyle name="표준 8 2 5 2 2 2 2 3 3" xfId="24386"/>
    <cellStyle name="표준 8 2 5 2 2 2 2 3 3 2" xfId="46851"/>
    <cellStyle name="표준 8 2 5 2 2 2 2 3 4" xfId="31887"/>
    <cellStyle name="표준 8 2 5 2 2 2 2 4" xfId="16899"/>
    <cellStyle name="표준 8 2 5 2 2 2 2 4 2" xfId="39366"/>
    <cellStyle name="표준 8 2 5 2 2 2 2 5" xfId="24383"/>
    <cellStyle name="표준 8 2 5 2 2 2 2 5 2" xfId="46848"/>
    <cellStyle name="표준 8 2 5 2 2 2 2 6" xfId="31884"/>
    <cellStyle name="표준 8 2 5 2 2 2 3" xfId="9420"/>
    <cellStyle name="표준 8 2 5 2 2 2 3 2" xfId="9421"/>
    <cellStyle name="표준 8 2 5 2 2 2 3 2 2" xfId="16904"/>
    <cellStyle name="표준 8 2 5 2 2 2 3 2 2 2" xfId="39371"/>
    <cellStyle name="표준 8 2 5 2 2 2 3 2 3" xfId="24388"/>
    <cellStyle name="표준 8 2 5 2 2 2 3 2 3 2" xfId="46853"/>
    <cellStyle name="표준 8 2 5 2 2 2 3 2 4" xfId="31889"/>
    <cellStyle name="표준 8 2 5 2 2 2 3 3" xfId="16903"/>
    <cellStyle name="표준 8 2 5 2 2 2 3 3 2" xfId="39370"/>
    <cellStyle name="표준 8 2 5 2 2 2 3 4" xfId="24387"/>
    <cellStyle name="표준 8 2 5 2 2 2 3 4 2" xfId="46852"/>
    <cellStyle name="표준 8 2 5 2 2 2 3 5" xfId="31888"/>
    <cellStyle name="표준 8 2 5 2 2 2 4" xfId="9422"/>
    <cellStyle name="표준 8 2 5 2 2 2 4 2" xfId="16905"/>
    <cellStyle name="표준 8 2 5 2 2 2 4 2 2" xfId="39372"/>
    <cellStyle name="표준 8 2 5 2 2 2 4 3" xfId="24389"/>
    <cellStyle name="표준 8 2 5 2 2 2 4 3 2" xfId="46854"/>
    <cellStyle name="표준 8 2 5 2 2 2 4 4" xfId="31890"/>
    <cellStyle name="표준 8 2 5 2 2 2 5" xfId="16898"/>
    <cellStyle name="표준 8 2 5 2 2 2 5 2" xfId="39365"/>
    <cellStyle name="표준 8 2 5 2 2 2 6" xfId="24382"/>
    <cellStyle name="표준 8 2 5 2 2 2 6 2" xfId="46847"/>
    <cellStyle name="표준 8 2 5 2 2 2 7" xfId="31883"/>
    <cellStyle name="표준 8 2 5 2 2 3" xfId="9423"/>
    <cellStyle name="표준 8 2 5 2 2 3 2" xfId="9424"/>
    <cellStyle name="표준 8 2 5 2 2 3 2 2" xfId="9425"/>
    <cellStyle name="표준 8 2 5 2 2 3 2 2 2" xfId="16908"/>
    <cellStyle name="표준 8 2 5 2 2 3 2 2 2 2" xfId="39375"/>
    <cellStyle name="표준 8 2 5 2 2 3 2 2 3" xfId="24392"/>
    <cellStyle name="표준 8 2 5 2 2 3 2 2 3 2" xfId="46857"/>
    <cellStyle name="표준 8 2 5 2 2 3 2 2 4" xfId="31893"/>
    <cellStyle name="표준 8 2 5 2 2 3 2 3" xfId="16907"/>
    <cellStyle name="표준 8 2 5 2 2 3 2 3 2" xfId="39374"/>
    <cellStyle name="표준 8 2 5 2 2 3 2 4" xfId="24391"/>
    <cellStyle name="표준 8 2 5 2 2 3 2 4 2" xfId="46856"/>
    <cellStyle name="표준 8 2 5 2 2 3 2 5" xfId="31892"/>
    <cellStyle name="표준 8 2 5 2 2 3 3" xfId="9426"/>
    <cellStyle name="표준 8 2 5 2 2 3 3 2" xfId="16909"/>
    <cellStyle name="표준 8 2 5 2 2 3 3 2 2" xfId="39376"/>
    <cellStyle name="표준 8 2 5 2 2 3 3 3" xfId="24393"/>
    <cellStyle name="표준 8 2 5 2 2 3 3 3 2" xfId="46858"/>
    <cellStyle name="표준 8 2 5 2 2 3 3 4" xfId="31894"/>
    <cellStyle name="표준 8 2 5 2 2 3 4" xfId="16906"/>
    <cellStyle name="표준 8 2 5 2 2 3 4 2" xfId="39373"/>
    <cellStyle name="표준 8 2 5 2 2 3 5" xfId="24390"/>
    <cellStyle name="표준 8 2 5 2 2 3 5 2" xfId="46855"/>
    <cellStyle name="표준 8 2 5 2 2 3 6" xfId="31891"/>
    <cellStyle name="표준 8 2 5 2 2 4" xfId="9427"/>
    <cellStyle name="표준 8 2 5 2 2 4 2" xfId="9428"/>
    <cellStyle name="표준 8 2 5 2 2 4 2 2" xfId="16911"/>
    <cellStyle name="표준 8 2 5 2 2 4 2 2 2" xfId="39378"/>
    <cellStyle name="표준 8 2 5 2 2 4 2 3" xfId="24395"/>
    <cellStyle name="표준 8 2 5 2 2 4 2 3 2" xfId="46860"/>
    <cellStyle name="표준 8 2 5 2 2 4 2 4" xfId="31896"/>
    <cellStyle name="표준 8 2 5 2 2 4 3" xfId="16910"/>
    <cellStyle name="표준 8 2 5 2 2 4 3 2" xfId="39377"/>
    <cellStyle name="표준 8 2 5 2 2 4 4" xfId="24394"/>
    <cellStyle name="표준 8 2 5 2 2 4 4 2" xfId="46859"/>
    <cellStyle name="표준 8 2 5 2 2 4 5" xfId="31895"/>
    <cellStyle name="표준 8 2 5 2 2 5" xfId="9429"/>
    <cellStyle name="표준 8 2 5 2 2 5 2" xfId="16912"/>
    <cellStyle name="표준 8 2 5 2 2 5 2 2" xfId="39379"/>
    <cellStyle name="표준 8 2 5 2 2 5 3" xfId="24396"/>
    <cellStyle name="표준 8 2 5 2 2 5 3 2" xfId="46861"/>
    <cellStyle name="표준 8 2 5 2 2 5 4" xfId="31897"/>
    <cellStyle name="표준 8 2 5 2 2 6" xfId="16897"/>
    <cellStyle name="표준 8 2 5 2 2 6 2" xfId="39364"/>
    <cellStyle name="표준 8 2 5 2 2 7" xfId="24381"/>
    <cellStyle name="표준 8 2 5 2 2 7 2" xfId="46846"/>
    <cellStyle name="표준 8 2 5 2 2 8" xfId="31882"/>
    <cellStyle name="표준 8 2 5 2 3" xfId="9430"/>
    <cellStyle name="표준 8 2 5 2 3 2" xfId="9431"/>
    <cellStyle name="표준 8 2 5 2 3 2 2" xfId="9432"/>
    <cellStyle name="표준 8 2 5 2 3 2 2 2" xfId="9433"/>
    <cellStyle name="표준 8 2 5 2 3 2 2 2 2" xfId="9434"/>
    <cellStyle name="표준 8 2 5 2 3 2 2 2 2 2" xfId="16917"/>
    <cellStyle name="표준 8 2 5 2 3 2 2 2 2 2 2" xfId="39384"/>
    <cellStyle name="표준 8 2 5 2 3 2 2 2 2 3" xfId="24401"/>
    <cellStyle name="표준 8 2 5 2 3 2 2 2 2 3 2" xfId="46866"/>
    <cellStyle name="표준 8 2 5 2 3 2 2 2 2 4" xfId="31902"/>
    <cellStyle name="표준 8 2 5 2 3 2 2 2 3" xfId="16916"/>
    <cellStyle name="표준 8 2 5 2 3 2 2 2 3 2" xfId="39383"/>
    <cellStyle name="표준 8 2 5 2 3 2 2 2 4" xfId="24400"/>
    <cellStyle name="표준 8 2 5 2 3 2 2 2 4 2" xfId="46865"/>
    <cellStyle name="표준 8 2 5 2 3 2 2 2 5" xfId="31901"/>
    <cellStyle name="표준 8 2 5 2 3 2 2 3" xfId="9435"/>
    <cellStyle name="표준 8 2 5 2 3 2 2 3 2" xfId="16918"/>
    <cellStyle name="표준 8 2 5 2 3 2 2 3 2 2" xfId="39385"/>
    <cellStyle name="표준 8 2 5 2 3 2 2 3 3" xfId="24402"/>
    <cellStyle name="표준 8 2 5 2 3 2 2 3 3 2" xfId="46867"/>
    <cellStyle name="표준 8 2 5 2 3 2 2 3 4" xfId="31903"/>
    <cellStyle name="표준 8 2 5 2 3 2 2 4" xfId="16915"/>
    <cellStyle name="표준 8 2 5 2 3 2 2 4 2" xfId="39382"/>
    <cellStyle name="표준 8 2 5 2 3 2 2 5" xfId="24399"/>
    <cellStyle name="표준 8 2 5 2 3 2 2 5 2" xfId="46864"/>
    <cellStyle name="표준 8 2 5 2 3 2 2 6" xfId="31900"/>
    <cellStyle name="표준 8 2 5 2 3 2 3" xfId="9436"/>
    <cellStyle name="표준 8 2 5 2 3 2 3 2" xfId="9437"/>
    <cellStyle name="표준 8 2 5 2 3 2 3 2 2" xfId="16920"/>
    <cellStyle name="표준 8 2 5 2 3 2 3 2 2 2" xfId="39387"/>
    <cellStyle name="표준 8 2 5 2 3 2 3 2 3" xfId="24404"/>
    <cellStyle name="표준 8 2 5 2 3 2 3 2 3 2" xfId="46869"/>
    <cellStyle name="표준 8 2 5 2 3 2 3 2 4" xfId="31905"/>
    <cellStyle name="표준 8 2 5 2 3 2 3 3" xfId="16919"/>
    <cellStyle name="표준 8 2 5 2 3 2 3 3 2" xfId="39386"/>
    <cellStyle name="표준 8 2 5 2 3 2 3 4" xfId="24403"/>
    <cellStyle name="표준 8 2 5 2 3 2 3 4 2" xfId="46868"/>
    <cellStyle name="표준 8 2 5 2 3 2 3 5" xfId="31904"/>
    <cellStyle name="표준 8 2 5 2 3 2 4" xfId="9438"/>
    <cellStyle name="표준 8 2 5 2 3 2 4 2" xfId="16921"/>
    <cellStyle name="표준 8 2 5 2 3 2 4 2 2" xfId="39388"/>
    <cellStyle name="표준 8 2 5 2 3 2 4 3" xfId="24405"/>
    <cellStyle name="표준 8 2 5 2 3 2 4 3 2" xfId="46870"/>
    <cellStyle name="표준 8 2 5 2 3 2 4 4" xfId="31906"/>
    <cellStyle name="표준 8 2 5 2 3 2 5" xfId="16914"/>
    <cellStyle name="표준 8 2 5 2 3 2 5 2" xfId="39381"/>
    <cellStyle name="표준 8 2 5 2 3 2 6" xfId="24398"/>
    <cellStyle name="표준 8 2 5 2 3 2 6 2" xfId="46863"/>
    <cellStyle name="표준 8 2 5 2 3 2 7" xfId="31899"/>
    <cellStyle name="표준 8 2 5 2 3 3" xfId="9439"/>
    <cellStyle name="표준 8 2 5 2 3 3 2" xfId="9440"/>
    <cellStyle name="표준 8 2 5 2 3 3 2 2" xfId="9441"/>
    <cellStyle name="표준 8 2 5 2 3 3 2 2 2" xfId="16924"/>
    <cellStyle name="표준 8 2 5 2 3 3 2 2 2 2" xfId="39391"/>
    <cellStyle name="표준 8 2 5 2 3 3 2 2 3" xfId="24408"/>
    <cellStyle name="표준 8 2 5 2 3 3 2 2 3 2" xfId="46873"/>
    <cellStyle name="표준 8 2 5 2 3 3 2 2 4" xfId="31909"/>
    <cellStyle name="표준 8 2 5 2 3 3 2 3" xfId="16923"/>
    <cellStyle name="표준 8 2 5 2 3 3 2 3 2" xfId="39390"/>
    <cellStyle name="표준 8 2 5 2 3 3 2 4" xfId="24407"/>
    <cellStyle name="표준 8 2 5 2 3 3 2 4 2" xfId="46872"/>
    <cellStyle name="표준 8 2 5 2 3 3 2 5" xfId="31908"/>
    <cellStyle name="표준 8 2 5 2 3 3 3" xfId="9442"/>
    <cellStyle name="표준 8 2 5 2 3 3 3 2" xfId="16925"/>
    <cellStyle name="표준 8 2 5 2 3 3 3 2 2" xfId="39392"/>
    <cellStyle name="표준 8 2 5 2 3 3 3 3" xfId="24409"/>
    <cellStyle name="표준 8 2 5 2 3 3 3 3 2" xfId="46874"/>
    <cellStyle name="표준 8 2 5 2 3 3 3 4" xfId="31910"/>
    <cellStyle name="표준 8 2 5 2 3 3 4" xfId="16922"/>
    <cellStyle name="표준 8 2 5 2 3 3 4 2" xfId="39389"/>
    <cellStyle name="표준 8 2 5 2 3 3 5" xfId="24406"/>
    <cellStyle name="표준 8 2 5 2 3 3 5 2" xfId="46871"/>
    <cellStyle name="표준 8 2 5 2 3 3 6" xfId="31907"/>
    <cellStyle name="표준 8 2 5 2 3 4" xfId="9443"/>
    <cellStyle name="표준 8 2 5 2 3 4 2" xfId="9444"/>
    <cellStyle name="표준 8 2 5 2 3 4 2 2" xfId="16927"/>
    <cellStyle name="표준 8 2 5 2 3 4 2 2 2" xfId="39394"/>
    <cellStyle name="표준 8 2 5 2 3 4 2 3" xfId="24411"/>
    <cellStyle name="표준 8 2 5 2 3 4 2 3 2" xfId="46876"/>
    <cellStyle name="표준 8 2 5 2 3 4 2 4" xfId="31912"/>
    <cellStyle name="표준 8 2 5 2 3 4 3" xfId="16926"/>
    <cellStyle name="표준 8 2 5 2 3 4 3 2" xfId="39393"/>
    <cellStyle name="표준 8 2 5 2 3 4 4" xfId="24410"/>
    <cellStyle name="표준 8 2 5 2 3 4 4 2" xfId="46875"/>
    <cellStyle name="표준 8 2 5 2 3 4 5" xfId="31911"/>
    <cellStyle name="표준 8 2 5 2 3 5" xfId="9445"/>
    <cellStyle name="표준 8 2 5 2 3 5 2" xfId="16928"/>
    <cellStyle name="표준 8 2 5 2 3 5 2 2" xfId="39395"/>
    <cellStyle name="표준 8 2 5 2 3 5 3" xfId="24412"/>
    <cellStyle name="표준 8 2 5 2 3 5 3 2" xfId="46877"/>
    <cellStyle name="표준 8 2 5 2 3 5 4" xfId="31913"/>
    <cellStyle name="표준 8 2 5 2 3 6" xfId="16913"/>
    <cellStyle name="표준 8 2 5 2 3 6 2" xfId="39380"/>
    <cellStyle name="표준 8 2 5 2 3 7" xfId="24397"/>
    <cellStyle name="표준 8 2 5 2 3 7 2" xfId="46862"/>
    <cellStyle name="표준 8 2 5 2 3 8" xfId="31898"/>
    <cellStyle name="표준 8 2 5 2 4" xfId="9446"/>
    <cellStyle name="표준 8 2 5 2 4 2" xfId="9447"/>
    <cellStyle name="표준 8 2 5 2 4 2 2" xfId="9448"/>
    <cellStyle name="표준 8 2 5 2 4 2 2 2" xfId="9449"/>
    <cellStyle name="표준 8 2 5 2 4 2 2 2 2" xfId="16932"/>
    <cellStyle name="표준 8 2 5 2 4 2 2 2 2 2" xfId="39399"/>
    <cellStyle name="표준 8 2 5 2 4 2 2 2 3" xfId="24416"/>
    <cellStyle name="표준 8 2 5 2 4 2 2 2 3 2" xfId="46881"/>
    <cellStyle name="표준 8 2 5 2 4 2 2 2 4" xfId="31917"/>
    <cellStyle name="표준 8 2 5 2 4 2 2 3" xfId="16931"/>
    <cellStyle name="표준 8 2 5 2 4 2 2 3 2" xfId="39398"/>
    <cellStyle name="표준 8 2 5 2 4 2 2 4" xfId="24415"/>
    <cellStyle name="표준 8 2 5 2 4 2 2 4 2" xfId="46880"/>
    <cellStyle name="표준 8 2 5 2 4 2 2 5" xfId="31916"/>
    <cellStyle name="표준 8 2 5 2 4 2 3" xfId="9450"/>
    <cellStyle name="표준 8 2 5 2 4 2 3 2" xfId="16933"/>
    <cellStyle name="표준 8 2 5 2 4 2 3 2 2" xfId="39400"/>
    <cellStyle name="표준 8 2 5 2 4 2 3 3" xfId="24417"/>
    <cellStyle name="표준 8 2 5 2 4 2 3 3 2" xfId="46882"/>
    <cellStyle name="표준 8 2 5 2 4 2 3 4" xfId="31918"/>
    <cellStyle name="표준 8 2 5 2 4 2 4" xfId="16930"/>
    <cellStyle name="표준 8 2 5 2 4 2 4 2" xfId="39397"/>
    <cellStyle name="표준 8 2 5 2 4 2 5" xfId="24414"/>
    <cellStyle name="표준 8 2 5 2 4 2 5 2" xfId="46879"/>
    <cellStyle name="표준 8 2 5 2 4 2 6" xfId="31915"/>
    <cellStyle name="표준 8 2 5 2 4 3" xfId="9451"/>
    <cellStyle name="표준 8 2 5 2 4 3 2" xfId="9452"/>
    <cellStyle name="표준 8 2 5 2 4 3 2 2" xfId="16935"/>
    <cellStyle name="표준 8 2 5 2 4 3 2 2 2" xfId="39402"/>
    <cellStyle name="표준 8 2 5 2 4 3 2 3" xfId="24419"/>
    <cellStyle name="표준 8 2 5 2 4 3 2 3 2" xfId="46884"/>
    <cellStyle name="표준 8 2 5 2 4 3 2 4" xfId="31920"/>
    <cellStyle name="표준 8 2 5 2 4 3 3" xfId="16934"/>
    <cellStyle name="표준 8 2 5 2 4 3 3 2" xfId="39401"/>
    <cellStyle name="표준 8 2 5 2 4 3 4" xfId="24418"/>
    <cellStyle name="표준 8 2 5 2 4 3 4 2" xfId="46883"/>
    <cellStyle name="표준 8 2 5 2 4 3 5" xfId="31919"/>
    <cellStyle name="표준 8 2 5 2 4 4" xfId="9453"/>
    <cellStyle name="표준 8 2 5 2 4 4 2" xfId="16936"/>
    <cellStyle name="표준 8 2 5 2 4 4 2 2" xfId="39403"/>
    <cellStyle name="표준 8 2 5 2 4 4 3" xfId="24420"/>
    <cellStyle name="표준 8 2 5 2 4 4 3 2" xfId="46885"/>
    <cellStyle name="표준 8 2 5 2 4 4 4" xfId="31921"/>
    <cellStyle name="표준 8 2 5 2 4 5" xfId="16929"/>
    <cellStyle name="표준 8 2 5 2 4 5 2" xfId="39396"/>
    <cellStyle name="표준 8 2 5 2 4 6" xfId="24413"/>
    <cellStyle name="표준 8 2 5 2 4 6 2" xfId="46878"/>
    <cellStyle name="표준 8 2 5 2 4 7" xfId="31914"/>
    <cellStyle name="표준 8 2 5 2 5" xfId="9454"/>
    <cellStyle name="표준 8 2 5 2 5 2" xfId="9455"/>
    <cellStyle name="표준 8 2 5 2 5 2 2" xfId="9456"/>
    <cellStyle name="표준 8 2 5 2 5 2 2 2" xfId="16939"/>
    <cellStyle name="표준 8 2 5 2 5 2 2 2 2" xfId="39406"/>
    <cellStyle name="표준 8 2 5 2 5 2 2 3" xfId="24423"/>
    <cellStyle name="표준 8 2 5 2 5 2 2 3 2" xfId="46888"/>
    <cellStyle name="표준 8 2 5 2 5 2 2 4" xfId="31924"/>
    <cellStyle name="표준 8 2 5 2 5 2 3" xfId="16938"/>
    <cellStyle name="표준 8 2 5 2 5 2 3 2" xfId="39405"/>
    <cellStyle name="표준 8 2 5 2 5 2 4" xfId="24422"/>
    <cellStyle name="표준 8 2 5 2 5 2 4 2" xfId="46887"/>
    <cellStyle name="표준 8 2 5 2 5 2 5" xfId="31923"/>
    <cellStyle name="표준 8 2 5 2 5 3" xfId="9457"/>
    <cellStyle name="표준 8 2 5 2 5 3 2" xfId="16940"/>
    <cellStyle name="표준 8 2 5 2 5 3 2 2" xfId="39407"/>
    <cellStyle name="표준 8 2 5 2 5 3 3" xfId="24424"/>
    <cellStyle name="표준 8 2 5 2 5 3 3 2" xfId="46889"/>
    <cellStyle name="표준 8 2 5 2 5 3 4" xfId="31925"/>
    <cellStyle name="표준 8 2 5 2 5 4" xfId="16937"/>
    <cellStyle name="표준 8 2 5 2 5 4 2" xfId="39404"/>
    <cellStyle name="표준 8 2 5 2 5 5" xfId="24421"/>
    <cellStyle name="표준 8 2 5 2 5 5 2" xfId="46886"/>
    <cellStyle name="표준 8 2 5 2 5 6" xfId="31922"/>
    <cellStyle name="표준 8 2 5 2 6" xfId="9458"/>
    <cellStyle name="표준 8 2 5 2 6 2" xfId="9459"/>
    <cellStyle name="표준 8 2 5 2 6 2 2" xfId="16942"/>
    <cellStyle name="표준 8 2 5 2 6 2 2 2" xfId="39409"/>
    <cellStyle name="표준 8 2 5 2 6 2 3" xfId="24426"/>
    <cellStyle name="표준 8 2 5 2 6 2 3 2" xfId="46891"/>
    <cellStyle name="표준 8 2 5 2 6 2 4" xfId="31927"/>
    <cellStyle name="표준 8 2 5 2 6 3" xfId="16941"/>
    <cellStyle name="표준 8 2 5 2 6 3 2" xfId="39408"/>
    <cellStyle name="표준 8 2 5 2 6 4" xfId="24425"/>
    <cellStyle name="표준 8 2 5 2 6 4 2" xfId="46890"/>
    <cellStyle name="표준 8 2 5 2 6 5" xfId="31926"/>
    <cellStyle name="표준 8 2 5 2 7" xfId="9460"/>
    <cellStyle name="표준 8 2 5 2 7 2" xfId="16943"/>
    <cellStyle name="표준 8 2 5 2 7 2 2" xfId="39410"/>
    <cellStyle name="표준 8 2 5 2 7 3" xfId="24427"/>
    <cellStyle name="표준 8 2 5 2 7 3 2" xfId="46892"/>
    <cellStyle name="표준 8 2 5 2 7 4" xfId="31928"/>
    <cellStyle name="표준 8 2 5 2 8" xfId="16896"/>
    <cellStyle name="표준 8 2 5 2 8 2" xfId="39363"/>
    <cellStyle name="표준 8 2 5 2 9" xfId="24380"/>
    <cellStyle name="표준 8 2 5 2 9 2" xfId="46845"/>
    <cellStyle name="표준 8 2 5 3" xfId="9461"/>
    <cellStyle name="표준 8 2 5 3 2" xfId="9462"/>
    <cellStyle name="표준 8 2 5 3 2 2" xfId="9463"/>
    <cellStyle name="표준 8 2 5 3 2 2 2" xfId="9464"/>
    <cellStyle name="표준 8 2 5 3 2 2 2 2" xfId="9465"/>
    <cellStyle name="표준 8 2 5 3 2 2 2 2 2" xfId="16948"/>
    <cellStyle name="표준 8 2 5 3 2 2 2 2 2 2" xfId="39415"/>
    <cellStyle name="표준 8 2 5 3 2 2 2 2 3" xfId="24432"/>
    <cellStyle name="표준 8 2 5 3 2 2 2 2 3 2" xfId="46897"/>
    <cellStyle name="표준 8 2 5 3 2 2 2 2 4" xfId="31933"/>
    <cellStyle name="표준 8 2 5 3 2 2 2 3" xfId="16947"/>
    <cellStyle name="표준 8 2 5 3 2 2 2 3 2" xfId="39414"/>
    <cellStyle name="표준 8 2 5 3 2 2 2 4" xfId="24431"/>
    <cellStyle name="표준 8 2 5 3 2 2 2 4 2" xfId="46896"/>
    <cellStyle name="표준 8 2 5 3 2 2 2 5" xfId="31932"/>
    <cellStyle name="표준 8 2 5 3 2 2 3" xfId="9466"/>
    <cellStyle name="표준 8 2 5 3 2 2 3 2" xfId="16949"/>
    <cellStyle name="표준 8 2 5 3 2 2 3 2 2" xfId="39416"/>
    <cellStyle name="표준 8 2 5 3 2 2 3 3" xfId="24433"/>
    <cellStyle name="표준 8 2 5 3 2 2 3 3 2" xfId="46898"/>
    <cellStyle name="표준 8 2 5 3 2 2 3 4" xfId="31934"/>
    <cellStyle name="표준 8 2 5 3 2 2 4" xfId="16946"/>
    <cellStyle name="표준 8 2 5 3 2 2 4 2" xfId="39413"/>
    <cellStyle name="표준 8 2 5 3 2 2 5" xfId="24430"/>
    <cellStyle name="표준 8 2 5 3 2 2 5 2" xfId="46895"/>
    <cellStyle name="표준 8 2 5 3 2 2 6" xfId="31931"/>
    <cellStyle name="표준 8 2 5 3 2 3" xfId="9467"/>
    <cellStyle name="표준 8 2 5 3 2 3 2" xfId="9468"/>
    <cellStyle name="표준 8 2 5 3 2 3 2 2" xfId="16951"/>
    <cellStyle name="표준 8 2 5 3 2 3 2 2 2" xfId="39418"/>
    <cellStyle name="표준 8 2 5 3 2 3 2 3" xfId="24435"/>
    <cellStyle name="표준 8 2 5 3 2 3 2 3 2" xfId="46900"/>
    <cellStyle name="표준 8 2 5 3 2 3 2 4" xfId="31936"/>
    <cellStyle name="표준 8 2 5 3 2 3 3" xfId="16950"/>
    <cellStyle name="표준 8 2 5 3 2 3 3 2" xfId="39417"/>
    <cellStyle name="표준 8 2 5 3 2 3 4" xfId="24434"/>
    <cellStyle name="표준 8 2 5 3 2 3 4 2" xfId="46899"/>
    <cellStyle name="표준 8 2 5 3 2 3 5" xfId="31935"/>
    <cellStyle name="표준 8 2 5 3 2 4" xfId="9469"/>
    <cellStyle name="표준 8 2 5 3 2 4 2" xfId="16952"/>
    <cellStyle name="표준 8 2 5 3 2 4 2 2" xfId="39419"/>
    <cellStyle name="표준 8 2 5 3 2 4 3" xfId="24436"/>
    <cellStyle name="표준 8 2 5 3 2 4 3 2" xfId="46901"/>
    <cellStyle name="표준 8 2 5 3 2 4 4" xfId="31937"/>
    <cellStyle name="표준 8 2 5 3 2 5" xfId="16945"/>
    <cellStyle name="표준 8 2 5 3 2 5 2" xfId="39412"/>
    <cellStyle name="표준 8 2 5 3 2 6" xfId="24429"/>
    <cellStyle name="표준 8 2 5 3 2 6 2" xfId="46894"/>
    <cellStyle name="표준 8 2 5 3 2 7" xfId="31930"/>
    <cellStyle name="표준 8 2 5 3 3" xfId="9470"/>
    <cellStyle name="표준 8 2 5 3 3 2" xfId="9471"/>
    <cellStyle name="표준 8 2 5 3 3 2 2" xfId="9472"/>
    <cellStyle name="표준 8 2 5 3 3 2 2 2" xfId="16955"/>
    <cellStyle name="표준 8 2 5 3 3 2 2 2 2" xfId="39422"/>
    <cellStyle name="표준 8 2 5 3 3 2 2 3" xfId="24439"/>
    <cellStyle name="표준 8 2 5 3 3 2 2 3 2" xfId="46904"/>
    <cellStyle name="표준 8 2 5 3 3 2 2 4" xfId="31940"/>
    <cellStyle name="표준 8 2 5 3 3 2 3" xfId="16954"/>
    <cellStyle name="표준 8 2 5 3 3 2 3 2" xfId="39421"/>
    <cellStyle name="표준 8 2 5 3 3 2 4" xfId="24438"/>
    <cellStyle name="표준 8 2 5 3 3 2 4 2" xfId="46903"/>
    <cellStyle name="표준 8 2 5 3 3 2 5" xfId="31939"/>
    <cellStyle name="표준 8 2 5 3 3 3" xfId="9473"/>
    <cellStyle name="표준 8 2 5 3 3 3 2" xfId="16956"/>
    <cellStyle name="표준 8 2 5 3 3 3 2 2" xfId="39423"/>
    <cellStyle name="표준 8 2 5 3 3 3 3" xfId="24440"/>
    <cellStyle name="표준 8 2 5 3 3 3 3 2" xfId="46905"/>
    <cellStyle name="표준 8 2 5 3 3 3 4" xfId="31941"/>
    <cellStyle name="표준 8 2 5 3 3 4" xfId="16953"/>
    <cellStyle name="표준 8 2 5 3 3 4 2" xfId="39420"/>
    <cellStyle name="표준 8 2 5 3 3 5" xfId="24437"/>
    <cellStyle name="표준 8 2 5 3 3 5 2" xfId="46902"/>
    <cellStyle name="표준 8 2 5 3 3 6" xfId="31938"/>
    <cellStyle name="표준 8 2 5 3 4" xfId="9474"/>
    <cellStyle name="표준 8 2 5 3 4 2" xfId="9475"/>
    <cellStyle name="표준 8 2 5 3 4 2 2" xfId="16958"/>
    <cellStyle name="표준 8 2 5 3 4 2 2 2" xfId="39425"/>
    <cellStyle name="표준 8 2 5 3 4 2 3" xfId="24442"/>
    <cellStyle name="표준 8 2 5 3 4 2 3 2" xfId="46907"/>
    <cellStyle name="표준 8 2 5 3 4 2 4" xfId="31943"/>
    <cellStyle name="표준 8 2 5 3 4 3" xfId="16957"/>
    <cellStyle name="표준 8 2 5 3 4 3 2" xfId="39424"/>
    <cellStyle name="표준 8 2 5 3 4 4" xfId="24441"/>
    <cellStyle name="표준 8 2 5 3 4 4 2" xfId="46906"/>
    <cellStyle name="표준 8 2 5 3 4 5" xfId="31942"/>
    <cellStyle name="표준 8 2 5 3 5" xfId="9476"/>
    <cellStyle name="표준 8 2 5 3 5 2" xfId="16959"/>
    <cellStyle name="표준 8 2 5 3 5 2 2" xfId="39426"/>
    <cellStyle name="표준 8 2 5 3 5 3" xfId="24443"/>
    <cellStyle name="표준 8 2 5 3 5 3 2" xfId="46908"/>
    <cellStyle name="표준 8 2 5 3 5 4" xfId="31944"/>
    <cellStyle name="표준 8 2 5 3 6" xfId="16944"/>
    <cellStyle name="표준 8 2 5 3 6 2" xfId="39411"/>
    <cellStyle name="표준 8 2 5 3 7" xfId="24428"/>
    <cellStyle name="표준 8 2 5 3 7 2" xfId="46893"/>
    <cellStyle name="표준 8 2 5 3 8" xfId="31929"/>
    <cellStyle name="표준 8 2 5 4" xfId="9477"/>
    <cellStyle name="표준 8 2 5 4 2" xfId="9478"/>
    <cellStyle name="표준 8 2 5 4 2 2" xfId="9479"/>
    <cellStyle name="표준 8 2 5 4 2 2 2" xfId="9480"/>
    <cellStyle name="표준 8 2 5 4 2 2 2 2" xfId="9481"/>
    <cellStyle name="표준 8 2 5 4 2 2 2 2 2" xfId="16964"/>
    <cellStyle name="표준 8 2 5 4 2 2 2 2 2 2" xfId="39431"/>
    <cellStyle name="표준 8 2 5 4 2 2 2 2 3" xfId="24448"/>
    <cellStyle name="표준 8 2 5 4 2 2 2 2 3 2" xfId="46913"/>
    <cellStyle name="표준 8 2 5 4 2 2 2 2 4" xfId="31949"/>
    <cellStyle name="표준 8 2 5 4 2 2 2 3" xfId="16963"/>
    <cellStyle name="표준 8 2 5 4 2 2 2 3 2" xfId="39430"/>
    <cellStyle name="표준 8 2 5 4 2 2 2 4" xfId="24447"/>
    <cellStyle name="표준 8 2 5 4 2 2 2 4 2" xfId="46912"/>
    <cellStyle name="표준 8 2 5 4 2 2 2 5" xfId="31948"/>
    <cellStyle name="표준 8 2 5 4 2 2 3" xfId="9482"/>
    <cellStyle name="표준 8 2 5 4 2 2 3 2" xfId="16965"/>
    <cellStyle name="표준 8 2 5 4 2 2 3 2 2" xfId="39432"/>
    <cellStyle name="표준 8 2 5 4 2 2 3 3" xfId="24449"/>
    <cellStyle name="표준 8 2 5 4 2 2 3 3 2" xfId="46914"/>
    <cellStyle name="표준 8 2 5 4 2 2 3 4" xfId="31950"/>
    <cellStyle name="표준 8 2 5 4 2 2 4" xfId="16962"/>
    <cellStyle name="표준 8 2 5 4 2 2 4 2" xfId="39429"/>
    <cellStyle name="표준 8 2 5 4 2 2 5" xfId="24446"/>
    <cellStyle name="표준 8 2 5 4 2 2 5 2" xfId="46911"/>
    <cellStyle name="표준 8 2 5 4 2 2 6" xfId="31947"/>
    <cellStyle name="표준 8 2 5 4 2 3" xfId="9483"/>
    <cellStyle name="표준 8 2 5 4 2 3 2" xfId="9484"/>
    <cellStyle name="표준 8 2 5 4 2 3 2 2" xfId="16967"/>
    <cellStyle name="표준 8 2 5 4 2 3 2 2 2" xfId="39434"/>
    <cellStyle name="표준 8 2 5 4 2 3 2 3" xfId="24451"/>
    <cellStyle name="표준 8 2 5 4 2 3 2 3 2" xfId="46916"/>
    <cellStyle name="표준 8 2 5 4 2 3 2 4" xfId="31952"/>
    <cellStyle name="표준 8 2 5 4 2 3 3" xfId="16966"/>
    <cellStyle name="표준 8 2 5 4 2 3 3 2" xfId="39433"/>
    <cellStyle name="표준 8 2 5 4 2 3 4" xfId="24450"/>
    <cellStyle name="표준 8 2 5 4 2 3 4 2" xfId="46915"/>
    <cellStyle name="표준 8 2 5 4 2 3 5" xfId="31951"/>
    <cellStyle name="표준 8 2 5 4 2 4" xfId="9485"/>
    <cellStyle name="표준 8 2 5 4 2 4 2" xfId="16968"/>
    <cellStyle name="표준 8 2 5 4 2 4 2 2" xfId="39435"/>
    <cellStyle name="표준 8 2 5 4 2 4 3" xfId="24452"/>
    <cellStyle name="표준 8 2 5 4 2 4 3 2" xfId="46917"/>
    <cellStyle name="표준 8 2 5 4 2 4 4" xfId="31953"/>
    <cellStyle name="표준 8 2 5 4 2 5" xfId="16961"/>
    <cellStyle name="표준 8 2 5 4 2 5 2" xfId="39428"/>
    <cellStyle name="표준 8 2 5 4 2 6" xfId="24445"/>
    <cellStyle name="표준 8 2 5 4 2 6 2" xfId="46910"/>
    <cellStyle name="표준 8 2 5 4 2 7" xfId="31946"/>
    <cellStyle name="표준 8 2 5 4 3" xfId="9486"/>
    <cellStyle name="표준 8 2 5 4 3 2" xfId="9487"/>
    <cellStyle name="표준 8 2 5 4 3 2 2" xfId="9488"/>
    <cellStyle name="표준 8 2 5 4 3 2 2 2" xfId="16971"/>
    <cellStyle name="표준 8 2 5 4 3 2 2 2 2" xfId="39438"/>
    <cellStyle name="표준 8 2 5 4 3 2 2 3" xfId="24455"/>
    <cellStyle name="표준 8 2 5 4 3 2 2 3 2" xfId="46920"/>
    <cellStyle name="표준 8 2 5 4 3 2 2 4" xfId="31956"/>
    <cellStyle name="표준 8 2 5 4 3 2 3" xfId="16970"/>
    <cellStyle name="표준 8 2 5 4 3 2 3 2" xfId="39437"/>
    <cellStyle name="표준 8 2 5 4 3 2 4" xfId="24454"/>
    <cellStyle name="표준 8 2 5 4 3 2 4 2" xfId="46919"/>
    <cellStyle name="표준 8 2 5 4 3 2 5" xfId="31955"/>
    <cellStyle name="표준 8 2 5 4 3 3" xfId="9489"/>
    <cellStyle name="표준 8 2 5 4 3 3 2" xfId="16972"/>
    <cellStyle name="표준 8 2 5 4 3 3 2 2" xfId="39439"/>
    <cellStyle name="표준 8 2 5 4 3 3 3" xfId="24456"/>
    <cellStyle name="표준 8 2 5 4 3 3 3 2" xfId="46921"/>
    <cellStyle name="표준 8 2 5 4 3 3 4" xfId="31957"/>
    <cellStyle name="표준 8 2 5 4 3 4" xfId="16969"/>
    <cellStyle name="표준 8 2 5 4 3 4 2" xfId="39436"/>
    <cellStyle name="표준 8 2 5 4 3 5" xfId="24453"/>
    <cellStyle name="표준 8 2 5 4 3 5 2" xfId="46918"/>
    <cellStyle name="표준 8 2 5 4 3 6" xfId="31954"/>
    <cellStyle name="표준 8 2 5 4 4" xfId="9490"/>
    <cellStyle name="표준 8 2 5 4 4 2" xfId="9491"/>
    <cellStyle name="표준 8 2 5 4 4 2 2" xfId="16974"/>
    <cellStyle name="표준 8 2 5 4 4 2 2 2" xfId="39441"/>
    <cellStyle name="표준 8 2 5 4 4 2 3" xfId="24458"/>
    <cellStyle name="표준 8 2 5 4 4 2 3 2" xfId="46923"/>
    <cellStyle name="표준 8 2 5 4 4 2 4" xfId="31959"/>
    <cellStyle name="표준 8 2 5 4 4 3" xfId="16973"/>
    <cellStyle name="표준 8 2 5 4 4 3 2" xfId="39440"/>
    <cellStyle name="표준 8 2 5 4 4 4" xfId="24457"/>
    <cellStyle name="표준 8 2 5 4 4 4 2" xfId="46922"/>
    <cellStyle name="표준 8 2 5 4 4 5" xfId="31958"/>
    <cellStyle name="표준 8 2 5 4 5" xfId="9492"/>
    <cellStyle name="표준 8 2 5 4 5 2" xfId="16975"/>
    <cellStyle name="표준 8 2 5 4 5 2 2" xfId="39442"/>
    <cellStyle name="표준 8 2 5 4 5 3" xfId="24459"/>
    <cellStyle name="표준 8 2 5 4 5 3 2" xfId="46924"/>
    <cellStyle name="표준 8 2 5 4 5 4" xfId="31960"/>
    <cellStyle name="표준 8 2 5 4 6" xfId="16960"/>
    <cellStyle name="표준 8 2 5 4 6 2" xfId="39427"/>
    <cellStyle name="표준 8 2 5 4 7" xfId="24444"/>
    <cellStyle name="표준 8 2 5 4 7 2" xfId="46909"/>
    <cellStyle name="표준 8 2 5 4 8" xfId="31945"/>
    <cellStyle name="표준 8 2 5 5" xfId="9493"/>
    <cellStyle name="표준 8 2 5 5 2" xfId="9494"/>
    <cellStyle name="표준 8 2 5 5 2 2" xfId="9495"/>
    <cellStyle name="표준 8 2 5 5 2 2 2" xfId="9496"/>
    <cellStyle name="표준 8 2 5 5 2 2 2 2" xfId="16979"/>
    <cellStyle name="표준 8 2 5 5 2 2 2 2 2" xfId="39446"/>
    <cellStyle name="표준 8 2 5 5 2 2 2 3" xfId="24463"/>
    <cellStyle name="표준 8 2 5 5 2 2 2 3 2" xfId="46928"/>
    <cellStyle name="표준 8 2 5 5 2 2 2 4" xfId="31964"/>
    <cellStyle name="표준 8 2 5 5 2 2 3" xfId="16978"/>
    <cellStyle name="표준 8 2 5 5 2 2 3 2" xfId="39445"/>
    <cellStyle name="표준 8 2 5 5 2 2 4" xfId="24462"/>
    <cellStyle name="표준 8 2 5 5 2 2 4 2" xfId="46927"/>
    <cellStyle name="표준 8 2 5 5 2 2 5" xfId="31963"/>
    <cellStyle name="표준 8 2 5 5 2 3" xfId="9497"/>
    <cellStyle name="표준 8 2 5 5 2 3 2" xfId="16980"/>
    <cellStyle name="표준 8 2 5 5 2 3 2 2" xfId="39447"/>
    <cellStyle name="표준 8 2 5 5 2 3 3" xfId="24464"/>
    <cellStyle name="표준 8 2 5 5 2 3 3 2" xfId="46929"/>
    <cellStyle name="표준 8 2 5 5 2 3 4" xfId="31965"/>
    <cellStyle name="표준 8 2 5 5 2 4" xfId="16977"/>
    <cellStyle name="표준 8 2 5 5 2 4 2" xfId="39444"/>
    <cellStyle name="표준 8 2 5 5 2 5" xfId="24461"/>
    <cellStyle name="표준 8 2 5 5 2 5 2" xfId="46926"/>
    <cellStyle name="표준 8 2 5 5 2 6" xfId="31962"/>
    <cellStyle name="표준 8 2 5 5 3" xfId="9498"/>
    <cellStyle name="표준 8 2 5 5 3 2" xfId="9499"/>
    <cellStyle name="표준 8 2 5 5 3 2 2" xfId="16982"/>
    <cellStyle name="표준 8 2 5 5 3 2 2 2" xfId="39449"/>
    <cellStyle name="표준 8 2 5 5 3 2 3" xfId="24466"/>
    <cellStyle name="표준 8 2 5 5 3 2 3 2" xfId="46931"/>
    <cellStyle name="표준 8 2 5 5 3 2 4" xfId="31967"/>
    <cellStyle name="표준 8 2 5 5 3 3" xfId="16981"/>
    <cellStyle name="표준 8 2 5 5 3 3 2" xfId="39448"/>
    <cellStyle name="표준 8 2 5 5 3 4" xfId="24465"/>
    <cellStyle name="표준 8 2 5 5 3 4 2" xfId="46930"/>
    <cellStyle name="표준 8 2 5 5 3 5" xfId="31966"/>
    <cellStyle name="표준 8 2 5 5 4" xfId="9500"/>
    <cellStyle name="표준 8 2 5 5 4 2" xfId="16983"/>
    <cellStyle name="표준 8 2 5 5 4 2 2" xfId="39450"/>
    <cellStyle name="표준 8 2 5 5 4 3" xfId="24467"/>
    <cellStyle name="표준 8 2 5 5 4 3 2" xfId="46932"/>
    <cellStyle name="표준 8 2 5 5 4 4" xfId="31968"/>
    <cellStyle name="표준 8 2 5 5 5" xfId="16976"/>
    <cellStyle name="표준 8 2 5 5 5 2" xfId="39443"/>
    <cellStyle name="표준 8 2 5 5 6" xfId="24460"/>
    <cellStyle name="표준 8 2 5 5 6 2" xfId="46925"/>
    <cellStyle name="표준 8 2 5 5 7" xfId="31961"/>
    <cellStyle name="표준 8 2 5 6" xfId="9501"/>
    <cellStyle name="표준 8 2 5 6 2" xfId="9502"/>
    <cellStyle name="표준 8 2 5 6 2 2" xfId="9503"/>
    <cellStyle name="표준 8 2 5 6 2 2 2" xfId="16986"/>
    <cellStyle name="표준 8 2 5 6 2 2 2 2" xfId="39453"/>
    <cellStyle name="표준 8 2 5 6 2 2 3" xfId="24470"/>
    <cellStyle name="표준 8 2 5 6 2 2 3 2" xfId="46935"/>
    <cellStyle name="표준 8 2 5 6 2 2 4" xfId="31971"/>
    <cellStyle name="표준 8 2 5 6 2 3" xfId="16985"/>
    <cellStyle name="표준 8 2 5 6 2 3 2" xfId="39452"/>
    <cellStyle name="표준 8 2 5 6 2 4" xfId="24469"/>
    <cellStyle name="표준 8 2 5 6 2 4 2" xfId="46934"/>
    <cellStyle name="표준 8 2 5 6 2 5" xfId="31970"/>
    <cellStyle name="표준 8 2 5 6 3" xfId="9504"/>
    <cellStyle name="표준 8 2 5 6 3 2" xfId="16987"/>
    <cellStyle name="표준 8 2 5 6 3 2 2" xfId="39454"/>
    <cellStyle name="표준 8 2 5 6 3 3" xfId="24471"/>
    <cellStyle name="표준 8 2 5 6 3 3 2" xfId="46936"/>
    <cellStyle name="표준 8 2 5 6 3 4" xfId="31972"/>
    <cellStyle name="표준 8 2 5 6 4" xfId="16984"/>
    <cellStyle name="표준 8 2 5 6 4 2" xfId="39451"/>
    <cellStyle name="표준 8 2 5 6 5" xfId="24468"/>
    <cellStyle name="표준 8 2 5 6 5 2" xfId="46933"/>
    <cellStyle name="표준 8 2 5 6 6" xfId="31969"/>
    <cellStyle name="표준 8 2 5 7" xfId="9505"/>
    <cellStyle name="표준 8 2 5 7 2" xfId="9506"/>
    <cellStyle name="표준 8 2 5 7 2 2" xfId="16989"/>
    <cellStyle name="표준 8 2 5 7 2 2 2" xfId="39456"/>
    <cellStyle name="표준 8 2 5 7 2 3" xfId="24473"/>
    <cellStyle name="표준 8 2 5 7 2 3 2" xfId="46938"/>
    <cellStyle name="표준 8 2 5 7 2 4" xfId="31974"/>
    <cellStyle name="표준 8 2 5 7 3" xfId="16988"/>
    <cellStyle name="표준 8 2 5 7 3 2" xfId="39455"/>
    <cellStyle name="표준 8 2 5 7 4" xfId="24472"/>
    <cellStyle name="표준 8 2 5 7 4 2" xfId="46937"/>
    <cellStyle name="표준 8 2 5 7 5" xfId="31973"/>
    <cellStyle name="표준 8 2 5 8" xfId="9507"/>
    <cellStyle name="표준 8 2 5 8 2" xfId="16990"/>
    <cellStyle name="표준 8 2 5 8 2 2" xfId="39457"/>
    <cellStyle name="표준 8 2 5 8 3" xfId="24474"/>
    <cellStyle name="표준 8 2 5 8 3 2" xfId="46939"/>
    <cellStyle name="표준 8 2 5 8 4" xfId="31975"/>
    <cellStyle name="표준 8 2 5 9" xfId="16895"/>
    <cellStyle name="표준 8 2 5 9 2" xfId="39362"/>
    <cellStyle name="표준 8 2 6" xfId="9508"/>
    <cellStyle name="표준 8 2 6 10" xfId="31976"/>
    <cellStyle name="표준 8 2 6 2" xfId="9509"/>
    <cellStyle name="표준 8 2 6 2 2" xfId="9510"/>
    <cellStyle name="표준 8 2 6 2 2 2" xfId="9511"/>
    <cellStyle name="표준 8 2 6 2 2 2 2" xfId="9512"/>
    <cellStyle name="표준 8 2 6 2 2 2 2 2" xfId="9513"/>
    <cellStyle name="표준 8 2 6 2 2 2 2 2 2" xfId="16996"/>
    <cellStyle name="표준 8 2 6 2 2 2 2 2 2 2" xfId="39463"/>
    <cellStyle name="표준 8 2 6 2 2 2 2 2 3" xfId="24480"/>
    <cellStyle name="표준 8 2 6 2 2 2 2 2 3 2" xfId="46945"/>
    <cellStyle name="표준 8 2 6 2 2 2 2 2 4" xfId="31981"/>
    <cellStyle name="표준 8 2 6 2 2 2 2 3" xfId="16995"/>
    <cellStyle name="표준 8 2 6 2 2 2 2 3 2" xfId="39462"/>
    <cellStyle name="표준 8 2 6 2 2 2 2 4" xfId="24479"/>
    <cellStyle name="표준 8 2 6 2 2 2 2 4 2" xfId="46944"/>
    <cellStyle name="표준 8 2 6 2 2 2 2 5" xfId="31980"/>
    <cellStyle name="표준 8 2 6 2 2 2 3" xfId="9514"/>
    <cellStyle name="표준 8 2 6 2 2 2 3 2" xfId="16997"/>
    <cellStyle name="표준 8 2 6 2 2 2 3 2 2" xfId="39464"/>
    <cellStyle name="표준 8 2 6 2 2 2 3 3" xfId="24481"/>
    <cellStyle name="표준 8 2 6 2 2 2 3 3 2" xfId="46946"/>
    <cellStyle name="표준 8 2 6 2 2 2 3 4" xfId="31982"/>
    <cellStyle name="표준 8 2 6 2 2 2 4" xfId="16994"/>
    <cellStyle name="표준 8 2 6 2 2 2 4 2" xfId="39461"/>
    <cellStyle name="표준 8 2 6 2 2 2 5" xfId="24478"/>
    <cellStyle name="표준 8 2 6 2 2 2 5 2" xfId="46943"/>
    <cellStyle name="표준 8 2 6 2 2 2 6" xfId="31979"/>
    <cellStyle name="표준 8 2 6 2 2 3" xfId="9515"/>
    <cellStyle name="표준 8 2 6 2 2 3 2" xfId="9516"/>
    <cellStyle name="표준 8 2 6 2 2 3 2 2" xfId="16999"/>
    <cellStyle name="표준 8 2 6 2 2 3 2 2 2" xfId="39466"/>
    <cellStyle name="표준 8 2 6 2 2 3 2 3" xfId="24483"/>
    <cellStyle name="표준 8 2 6 2 2 3 2 3 2" xfId="46948"/>
    <cellStyle name="표준 8 2 6 2 2 3 2 4" xfId="31984"/>
    <cellStyle name="표준 8 2 6 2 2 3 3" xfId="16998"/>
    <cellStyle name="표준 8 2 6 2 2 3 3 2" xfId="39465"/>
    <cellStyle name="표준 8 2 6 2 2 3 4" xfId="24482"/>
    <cellStyle name="표준 8 2 6 2 2 3 4 2" xfId="46947"/>
    <cellStyle name="표준 8 2 6 2 2 3 5" xfId="31983"/>
    <cellStyle name="표준 8 2 6 2 2 4" xfId="9517"/>
    <cellStyle name="표준 8 2 6 2 2 4 2" xfId="17000"/>
    <cellStyle name="표준 8 2 6 2 2 4 2 2" xfId="39467"/>
    <cellStyle name="표준 8 2 6 2 2 4 3" xfId="24484"/>
    <cellStyle name="표준 8 2 6 2 2 4 3 2" xfId="46949"/>
    <cellStyle name="표준 8 2 6 2 2 4 4" xfId="31985"/>
    <cellStyle name="표준 8 2 6 2 2 5" xfId="16993"/>
    <cellStyle name="표준 8 2 6 2 2 5 2" xfId="39460"/>
    <cellStyle name="표준 8 2 6 2 2 6" xfId="24477"/>
    <cellStyle name="표준 8 2 6 2 2 6 2" xfId="46942"/>
    <cellStyle name="표준 8 2 6 2 2 7" xfId="31978"/>
    <cellStyle name="표준 8 2 6 2 3" xfId="9518"/>
    <cellStyle name="표준 8 2 6 2 3 2" xfId="9519"/>
    <cellStyle name="표준 8 2 6 2 3 2 2" xfId="9520"/>
    <cellStyle name="표준 8 2 6 2 3 2 2 2" xfId="17003"/>
    <cellStyle name="표준 8 2 6 2 3 2 2 2 2" xfId="39470"/>
    <cellStyle name="표준 8 2 6 2 3 2 2 3" xfId="24487"/>
    <cellStyle name="표준 8 2 6 2 3 2 2 3 2" xfId="46952"/>
    <cellStyle name="표준 8 2 6 2 3 2 2 4" xfId="31988"/>
    <cellStyle name="표준 8 2 6 2 3 2 3" xfId="17002"/>
    <cellStyle name="표준 8 2 6 2 3 2 3 2" xfId="39469"/>
    <cellStyle name="표준 8 2 6 2 3 2 4" xfId="24486"/>
    <cellStyle name="표준 8 2 6 2 3 2 4 2" xfId="46951"/>
    <cellStyle name="표준 8 2 6 2 3 2 5" xfId="31987"/>
    <cellStyle name="표준 8 2 6 2 3 3" xfId="9521"/>
    <cellStyle name="표준 8 2 6 2 3 3 2" xfId="17004"/>
    <cellStyle name="표준 8 2 6 2 3 3 2 2" xfId="39471"/>
    <cellStyle name="표준 8 2 6 2 3 3 3" xfId="24488"/>
    <cellStyle name="표준 8 2 6 2 3 3 3 2" xfId="46953"/>
    <cellStyle name="표준 8 2 6 2 3 3 4" xfId="31989"/>
    <cellStyle name="표준 8 2 6 2 3 4" xfId="17001"/>
    <cellStyle name="표준 8 2 6 2 3 4 2" xfId="39468"/>
    <cellStyle name="표준 8 2 6 2 3 5" xfId="24485"/>
    <cellStyle name="표준 8 2 6 2 3 5 2" xfId="46950"/>
    <cellStyle name="표준 8 2 6 2 3 6" xfId="31986"/>
    <cellStyle name="표준 8 2 6 2 4" xfId="9522"/>
    <cellStyle name="표준 8 2 6 2 4 2" xfId="9523"/>
    <cellStyle name="표준 8 2 6 2 4 2 2" xfId="17006"/>
    <cellStyle name="표준 8 2 6 2 4 2 2 2" xfId="39473"/>
    <cellStyle name="표준 8 2 6 2 4 2 3" xfId="24490"/>
    <cellStyle name="표준 8 2 6 2 4 2 3 2" xfId="46955"/>
    <cellStyle name="표준 8 2 6 2 4 2 4" xfId="31991"/>
    <cellStyle name="표준 8 2 6 2 4 3" xfId="17005"/>
    <cellStyle name="표준 8 2 6 2 4 3 2" xfId="39472"/>
    <cellStyle name="표준 8 2 6 2 4 4" xfId="24489"/>
    <cellStyle name="표준 8 2 6 2 4 4 2" xfId="46954"/>
    <cellStyle name="표준 8 2 6 2 4 5" xfId="31990"/>
    <cellStyle name="표준 8 2 6 2 5" xfId="9524"/>
    <cellStyle name="표준 8 2 6 2 5 2" xfId="17007"/>
    <cellStyle name="표준 8 2 6 2 5 2 2" xfId="39474"/>
    <cellStyle name="표준 8 2 6 2 5 3" xfId="24491"/>
    <cellStyle name="표준 8 2 6 2 5 3 2" xfId="46956"/>
    <cellStyle name="표준 8 2 6 2 5 4" xfId="31992"/>
    <cellStyle name="표준 8 2 6 2 6" xfId="16992"/>
    <cellStyle name="표준 8 2 6 2 6 2" xfId="39459"/>
    <cellStyle name="표준 8 2 6 2 7" xfId="24476"/>
    <cellStyle name="표준 8 2 6 2 7 2" xfId="46941"/>
    <cellStyle name="표준 8 2 6 2 8" xfId="31977"/>
    <cellStyle name="표준 8 2 6 3" xfId="9525"/>
    <cellStyle name="표준 8 2 6 3 2" xfId="9526"/>
    <cellStyle name="표준 8 2 6 3 2 2" xfId="9527"/>
    <cellStyle name="표준 8 2 6 3 2 2 2" xfId="9528"/>
    <cellStyle name="표준 8 2 6 3 2 2 2 2" xfId="9529"/>
    <cellStyle name="표준 8 2 6 3 2 2 2 2 2" xfId="17012"/>
    <cellStyle name="표준 8 2 6 3 2 2 2 2 2 2" xfId="39479"/>
    <cellStyle name="표준 8 2 6 3 2 2 2 2 3" xfId="24496"/>
    <cellStyle name="표준 8 2 6 3 2 2 2 2 3 2" xfId="46961"/>
    <cellStyle name="표준 8 2 6 3 2 2 2 2 4" xfId="31997"/>
    <cellStyle name="표준 8 2 6 3 2 2 2 3" xfId="17011"/>
    <cellStyle name="표준 8 2 6 3 2 2 2 3 2" xfId="39478"/>
    <cellStyle name="표준 8 2 6 3 2 2 2 4" xfId="24495"/>
    <cellStyle name="표준 8 2 6 3 2 2 2 4 2" xfId="46960"/>
    <cellStyle name="표준 8 2 6 3 2 2 2 5" xfId="31996"/>
    <cellStyle name="표준 8 2 6 3 2 2 3" xfId="9530"/>
    <cellStyle name="표준 8 2 6 3 2 2 3 2" xfId="17013"/>
    <cellStyle name="표준 8 2 6 3 2 2 3 2 2" xfId="39480"/>
    <cellStyle name="표준 8 2 6 3 2 2 3 3" xfId="24497"/>
    <cellStyle name="표준 8 2 6 3 2 2 3 3 2" xfId="46962"/>
    <cellStyle name="표준 8 2 6 3 2 2 3 4" xfId="31998"/>
    <cellStyle name="표준 8 2 6 3 2 2 4" xfId="17010"/>
    <cellStyle name="표준 8 2 6 3 2 2 4 2" xfId="39477"/>
    <cellStyle name="표준 8 2 6 3 2 2 5" xfId="24494"/>
    <cellStyle name="표준 8 2 6 3 2 2 5 2" xfId="46959"/>
    <cellStyle name="표준 8 2 6 3 2 2 6" xfId="31995"/>
    <cellStyle name="표준 8 2 6 3 2 3" xfId="9531"/>
    <cellStyle name="표준 8 2 6 3 2 3 2" xfId="9532"/>
    <cellStyle name="표준 8 2 6 3 2 3 2 2" xfId="17015"/>
    <cellStyle name="표준 8 2 6 3 2 3 2 2 2" xfId="39482"/>
    <cellStyle name="표준 8 2 6 3 2 3 2 3" xfId="24499"/>
    <cellStyle name="표준 8 2 6 3 2 3 2 3 2" xfId="46964"/>
    <cellStyle name="표준 8 2 6 3 2 3 2 4" xfId="32000"/>
    <cellStyle name="표준 8 2 6 3 2 3 3" xfId="17014"/>
    <cellStyle name="표준 8 2 6 3 2 3 3 2" xfId="39481"/>
    <cellStyle name="표준 8 2 6 3 2 3 4" xfId="24498"/>
    <cellStyle name="표준 8 2 6 3 2 3 4 2" xfId="46963"/>
    <cellStyle name="표준 8 2 6 3 2 3 5" xfId="31999"/>
    <cellStyle name="표준 8 2 6 3 2 4" xfId="9533"/>
    <cellStyle name="표준 8 2 6 3 2 4 2" xfId="17016"/>
    <cellStyle name="표준 8 2 6 3 2 4 2 2" xfId="39483"/>
    <cellStyle name="표준 8 2 6 3 2 4 3" xfId="24500"/>
    <cellStyle name="표준 8 2 6 3 2 4 3 2" xfId="46965"/>
    <cellStyle name="표준 8 2 6 3 2 4 4" xfId="32001"/>
    <cellStyle name="표준 8 2 6 3 2 5" xfId="17009"/>
    <cellStyle name="표준 8 2 6 3 2 5 2" xfId="39476"/>
    <cellStyle name="표준 8 2 6 3 2 6" xfId="24493"/>
    <cellStyle name="표준 8 2 6 3 2 6 2" xfId="46958"/>
    <cellStyle name="표준 8 2 6 3 2 7" xfId="31994"/>
    <cellStyle name="표준 8 2 6 3 3" xfId="9534"/>
    <cellStyle name="표준 8 2 6 3 3 2" xfId="9535"/>
    <cellStyle name="표준 8 2 6 3 3 2 2" xfId="9536"/>
    <cellStyle name="표준 8 2 6 3 3 2 2 2" xfId="17019"/>
    <cellStyle name="표준 8 2 6 3 3 2 2 2 2" xfId="39486"/>
    <cellStyle name="표준 8 2 6 3 3 2 2 3" xfId="24503"/>
    <cellStyle name="표준 8 2 6 3 3 2 2 3 2" xfId="46968"/>
    <cellStyle name="표준 8 2 6 3 3 2 2 4" xfId="32004"/>
    <cellStyle name="표준 8 2 6 3 3 2 3" xfId="17018"/>
    <cellStyle name="표준 8 2 6 3 3 2 3 2" xfId="39485"/>
    <cellStyle name="표준 8 2 6 3 3 2 4" xfId="24502"/>
    <cellStyle name="표준 8 2 6 3 3 2 4 2" xfId="46967"/>
    <cellStyle name="표준 8 2 6 3 3 2 5" xfId="32003"/>
    <cellStyle name="표준 8 2 6 3 3 3" xfId="9537"/>
    <cellStyle name="표준 8 2 6 3 3 3 2" xfId="17020"/>
    <cellStyle name="표준 8 2 6 3 3 3 2 2" xfId="39487"/>
    <cellStyle name="표준 8 2 6 3 3 3 3" xfId="24504"/>
    <cellStyle name="표준 8 2 6 3 3 3 3 2" xfId="46969"/>
    <cellStyle name="표준 8 2 6 3 3 3 4" xfId="32005"/>
    <cellStyle name="표준 8 2 6 3 3 4" xfId="17017"/>
    <cellStyle name="표준 8 2 6 3 3 4 2" xfId="39484"/>
    <cellStyle name="표준 8 2 6 3 3 5" xfId="24501"/>
    <cellStyle name="표준 8 2 6 3 3 5 2" xfId="46966"/>
    <cellStyle name="표준 8 2 6 3 3 6" xfId="32002"/>
    <cellStyle name="표준 8 2 6 3 4" xfId="9538"/>
    <cellStyle name="표준 8 2 6 3 4 2" xfId="9539"/>
    <cellStyle name="표준 8 2 6 3 4 2 2" xfId="17022"/>
    <cellStyle name="표준 8 2 6 3 4 2 2 2" xfId="39489"/>
    <cellStyle name="표준 8 2 6 3 4 2 3" xfId="24506"/>
    <cellStyle name="표준 8 2 6 3 4 2 3 2" xfId="46971"/>
    <cellStyle name="표준 8 2 6 3 4 2 4" xfId="32007"/>
    <cellStyle name="표준 8 2 6 3 4 3" xfId="17021"/>
    <cellStyle name="표준 8 2 6 3 4 3 2" xfId="39488"/>
    <cellStyle name="표준 8 2 6 3 4 4" xfId="24505"/>
    <cellStyle name="표준 8 2 6 3 4 4 2" xfId="46970"/>
    <cellStyle name="표준 8 2 6 3 4 5" xfId="32006"/>
    <cellStyle name="표준 8 2 6 3 5" xfId="9540"/>
    <cellStyle name="표준 8 2 6 3 5 2" xfId="17023"/>
    <cellStyle name="표준 8 2 6 3 5 2 2" xfId="39490"/>
    <cellStyle name="표준 8 2 6 3 5 3" xfId="24507"/>
    <cellStyle name="표준 8 2 6 3 5 3 2" xfId="46972"/>
    <cellStyle name="표준 8 2 6 3 5 4" xfId="32008"/>
    <cellStyle name="표준 8 2 6 3 6" xfId="17008"/>
    <cellStyle name="표준 8 2 6 3 6 2" xfId="39475"/>
    <cellStyle name="표준 8 2 6 3 7" xfId="24492"/>
    <cellStyle name="표준 8 2 6 3 7 2" xfId="46957"/>
    <cellStyle name="표준 8 2 6 3 8" xfId="31993"/>
    <cellStyle name="표준 8 2 6 4" xfId="9541"/>
    <cellStyle name="표준 8 2 6 4 2" xfId="9542"/>
    <cellStyle name="표준 8 2 6 4 2 2" xfId="9543"/>
    <cellStyle name="표준 8 2 6 4 2 2 2" xfId="9544"/>
    <cellStyle name="표준 8 2 6 4 2 2 2 2" xfId="17027"/>
    <cellStyle name="표준 8 2 6 4 2 2 2 2 2" xfId="39494"/>
    <cellStyle name="표준 8 2 6 4 2 2 2 3" xfId="24511"/>
    <cellStyle name="표준 8 2 6 4 2 2 2 3 2" xfId="46976"/>
    <cellStyle name="표준 8 2 6 4 2 2 2 4" xfId="32012"/>
    <cellStyle name="표준 8 2 6 4 2 2 3" xfId="17026"/>
    <cellStyle name="표준 8 2 6 4 2 2 3 2" xfId="39493"/>
    <cellStyle name="표준 8 2 6 4 2 2 4" xfId="24510"/>
    <cellStyle name="표준 8 2 6 4 2 2 4 2" xfId="46975"/>
    <cellStyle name="표준 8 2 6 4 2 2 5" xfId="32011"/>
    <cellStyle name="표준 8 2 6 4 2 3" xfId="9545"/>
    <cellStyle name="표준 8 2 6 4 2 3 2" xfId="17028"/>
    <cellStyle name="표준 8 2 6 4 2 3 2 2" xfId="39495"/>
    <cellStyle name="표준 8 2 6 4 2 3 3" xfId="24512"/>
    <cellStyle name="표준 8 2 6 4 2 3 3 2" xfId="46977"/>
    <cellStyle name="표준 8 2 6 4 2 3 4" xfId="32013"/>
    <cellStyle name="표준 8 2 6 4 2 4" xfId="17025"/>
    <cellStyle name="표준 8 2 6 4 2 4 2" xfId="39492"/>
    <cellStyle name="표준 8 2 6 4 2 5" xfId="24509"/>
    <cellStyle name="표준 8 2 6 4 2 5 2" xfId="46974"/>
    <cellStyle name="표준 8 2 6 4 2 6" xfId="32010"/>
    <cellStyle name="표준 8 2 6 4 3" xfId="9546"/>
    <cellStyle name="표준 8 2 6 4 3 2" xfId="9547"/>
    <cellStyle name="표준 8 2 6 4 3 2 2" xfId="17030"/>
    <cellStyle name="표준 8 2 6 4 3 2 2 2" xfId="39497"/>
    <cellStyle name="표준 8 2 6 4 3 2 3" xfId="24514"/>
    <cellStyle name="표준 8 2 6 4 3 2 3 2" xfId="46979"/>
    <cellStyle name="표준 8 2 6 4 3 2 4" xfId="32015"/>
    <cellStyle name="표준 8 2 6 4 3 3" xfId="17029"/>
    <cellStyle name="표준 8 2 6 4 3 3 2" xfId="39496"/>
    <cellStyle name="표준 8 2 6 4 3 4" xfId="24513"/>
    <cellStyle name="표준 8 2 6 4 3 4 2" xfId="46978"/>
    <cellStyle name="표준 8 2 6 4 3 5" xfId="32014"/>
    <cellStyle name="표준 8 2 6 4 4" xfId="9548"/>
    <cellStyle name="표준 8 2 6 4 4 2" xfId="17031"/>
    <cellStyle name="표준 8 2 6 4 4 2 2" xfId="39498"/>
    <cellStyle name="표준 8 2 6 4 4 3" xfId="24515"/>
    <cellStyle name="표준 8 2 6 4 4 3 2" xfId="46980"/>
    <cellStyle name="표준 8 2 6 4 4 4" xfId="32016"/>
    <cellStyle name="표준 8 2 6 4 5" xfId="17024"/>
    <cellStyle name="표준 8 2 6 4 5 2" xfId="39491"/>
    <cellStyle name="표준 8 2 6 4 6" xfId="24508"/>
    <cellStyle name="표준 8 2 6 4 6 2" xfId="46973"/>
    <cellStyle name="표준 8 2 6 4 7" xfId="32009"/>
    <cellStyle name="표준 8 2 6 5" xfId="9549"/>
    <cellStyle name="표준 8 2 6 5 2" xfId="9550"/>
    <cellStyle name="표준 8 2 6 5 2 2" xfId="9551"/>
    <cellStyle name="표준 8 2 6 5 2 2 2" xfId="17034"/>
    <cellStyle name="표준 8 2 6 5 2 2 2 2" xfId="39501"/>
    <cellStyle name="표준 8 2 6 5 2 2 3" xfId="24518"/>
    <cellStyle name="표준 8 2 6 5 2 2 3 2" xfId="46983"/>
    <cellStyle name="표준 8 2 6 5 2 2 4" xfId="32019"/>
    <cellStyle name="표준 8 2 6 5 2 3" xfId="17033"/>
    <cellStyle name="표준 8 2 6 5 2 3 2" xfId="39500"/>
    <cellStyle name="표준 8 2 6 5 2 4" xfId="24517"/>
    <cellStyle name="표준 8 2 6 5 2 4 2" xfId="46982"/>
    <cellStyle name="표준 8 2 6 5 2 5" xfId="32018"/>
    <cellStyle name="표준 8 2 6 5 3" xfId="9552"/>
    <cellStyle name="표준 8 2 6 5 3 2" xfId="17035"/>
    <cellStyle name="표준 8 2 6 5 3 2 2" xfId="39502"/>
    <cellStyle name="표준 8 2 6 5 3 3" xfId="24519"/>
    <cellStyle name="표준 8 2 6 5 3 3 2" xfId="46984"/>
    <cellStyle name="표준 8 2 6 5 3 4" xfId="32020"/>
    <cellStyle name="표준 8 2 6 5 4" xfId="17032"/>
    <cellStyle name="표준 8 2 6 5 4 2" xfId="39499"/>
    <cellStyle name="표준 8 2 6 5 5" xfId="24516"/>
    <cellStyle name="표준 8 2 6 5 5 2" xfId="46981"/>
    <cellStyle name="표준 8 2 6 5 6" xfId="32017"/>
    <cellStyle name="표준 8 2 6 6" xfId="9553"/>
    <cellStyle name="표준 8 2 6 6 2" xfId="9554"/>
    <cellStyle name="표준 8 2 6 6 2 2" xfId="17037"/>
    <cellStyle name="표준 8 2 6 6 2 2 2" xfId="39504"/>
    <cellStyle name="표준 8 2 6 6 2 3" xfId="24521"/>
    <cellStyle name="표준 8 2 6 6 2 3 2" xfId="46986"/>
    <cellStyle name="표준 8 2 6 6 2 4" xfId="32022"/>
    <cellStyle name="표준 8 2 6 6 3" xfId="17036"/>
    <cellStyle name="표준 8 2 6 6 3 2" xfId="39503"/>
    <cellStyle name="표준 8 2 6 6 4" xfId="24520"/>
    <cellStyle name="표준 8 2 6 6 4 2" xfId="46985"/>
    <cellStyle name="표준 8 2 6 6 5" xfId="32021"/>
    <cellStyle name="표준 8 2 6 7" xfId="9555"/>
    <cellStyle name="표준 8 2 6 7 2" xfId="17038"/>
    <cellStyle name="표준 8 2 6 7 2 2" xfId="39505"/>
    <cellStyle name="표준 8 2 6 7 3" xfId="24522"/>
    <cellStyle name="표준 8 2 6 7 3 2" xfId="46987"/>
    <cellStyle name="표준 8 2 6 7 4" xfId="32023"/>
    <cellStyle name="표준 8 2 6 8" xfId="16991"/>
    <cellStyle name="표준 8 2 6 8 2" xfId="39458"/>
    <cellStyle name="표준 8 2 6 9" xfId="24475"/>
    <cellStyle name="표준 8 2 6 9 2" xfId="46940"/>
    <cellStyle name="표준 8 2 7" xfId="9556"/>
    <cellStyle name="표준 8 2 7 2" xfId="9557"/>
    <cellStyle name="표준 8 2 7 2 2" xfId="9558"/>
    <cellStyle name="표준 8 2 7 2 2 2" xfId="9559"/>
    <cellStyle name="표준 8 2 7 2 2 2 2" xfId="9560"/>
    <cellStyle name="표준 8 2 7 2 2 2 2 2" xfId="17043"/>
    <cellStyle name="표준 8 2 7 2 2 2 2 2 2" xfId="39510"/>
    <cellStyle name="표준 8 2 7 2 2 2 2 3" xfId="24527"/>
    <cellStyle name="표준 8 2 7 2 2 2 2 3 2" xfId="46992"/>
    <cellStyle name="표준 8 2 7 2 2 2 2 4" xfId="32028"/>
    <cellStyle name="표준 8 2 7 2 2 2 3" xfId="17042"/>
    <cellStyle name="표준 8 2 7 2 2 2 3 2" xfId="39509"/>
    <cellStyle name="표준 8 2 7 2 2 2 4" xfId="24526"/>
    <cellStyle name="표준 8 2 7 2 2 2 4 2" xfId="46991"/>
    <cellStyle name="표준 8 2 7 2 2 2 5" xfId="32027"/>
    <cellStyle name="표준 8 2 7 2 2 3" xfId="9561"/>
    <cellStyle name="표준 8 2 7 2 2 3 2" xfId="17044"/>
    <cellStyle name="표준 8 2 7 2 2 3 2 2" xfId="39511"/>
    <cellStyle name="표준 8 2 7 2 2 3 3" xfId="24528"/>
    <cellStyle name="표준 8 2 7 2 2 3 3 2" xfId="46993"/>
    <cellStyle name="표준 8 2 7 2 2 3 4" xfId="32029"/>
    <cellStyle name="표준 8 2 7 2 2 4" xfId="17041"/>
    <cellStyle name="표준 8 2 7 2 2 4 2" xfId="39508"/>
    <cellStyle name="표준 8 2 7 2 2 5" xfId="24525"/>
    <cellStyle name="표준 8 2 7 2 2 5 2" xfId="46990"/>
    <cellStyle name="표준 8 2 7 2 2 6" xfId="32026"/>
    <cellStyle name="표준 8 2 7 2 3" xfId="9562"/>
    <cellStyle name="표준 8 2 7 2 3 2" xfId="9563"/>
    <cellStyle name="표준 8 2 7 2 3 2 2" xfId="17046"/>
    <cellStyle name="표준 8 2 7 2 3 2 2 2" xfId="39513"/>
    <cellStyle name="표준 8 2 7 2 3 2 3" xfId="24530"/>
    <cellStyle name="표준 8 2 7 2 3 2 3 2" xfId="46995"/>
    <cellStyle name="표준 8 2 7 2 3 2 4" xfId="32031"/>
    <cellStyle name="표준 8 2 7 2 3 3" xfId="17045"/>
    <cellStyle name="표준 8 2 7 2 3 3 2" xfId="39512"/>
    <cellStyle name="표준 8 2 7 2 3 4" xfId="24529"/>
    <cellStyle name="표준 8 2 7 2 3 4 2" xfId="46994"/>
    <cellStyle name="표준 8 2 7 2 3 5" xfId="32030"/>
    <cellStyle name="표준 8 2 7 2 4" xfId="9564"/>
    <cellStyle name="표준 8 2 7 2 4 2" xfId="17047"/>
    <cellStyle name="표준 8 2 7 2 4 2 2" xfId="39514"/>
    <cellStyle name="표준 8 2 7 2 4 3" xfId="24531"/>
    <cellStyle name="표준 8 2 7 2 4 3 2" xfId="46996"/>
    <cellStyle name="표준 8 2 7 2 4 4" xfId="32032"/>
    <cellStyle name="표준 8 2 7 2 5" xfId="17040"/>
    <cellStyle name="표준 8 2 7 2 5 2" xfId="39507"/>
    <cellStyle name="표준 8 2 7 2 6" xfId="24524"/>
    <cellStyle name="표준 8 2 7 2 6 2" xfId="46989"/>
    <cellStyle name="표준 8 2 7 2 7" xfId="32025"/>
    <cellStyle name="표준 8 2 7 3" xfId="9565"/>
    <cellStyle name="표준 8 2 7 3 2" xfId="9566"/>
    <cellStyle name="표준 8 2 7 3 2 2" xfId="9567"/>
    <cellStyle name="표준 8 2 7 3 2 2 2" xfId="17050"/>
    <cellStyle name="표준 8 2 7 3 2 2 2 2" xfId="39517"/>
    <cellStyle name="표준 8 2 7 3 2 2 3" xfId="24534"/>
    <cellStyle name="표준 8 2 7 3 2 2 3 2" xfId="46999"/>
    <cellStyle name="표준 8 2 7 3 2 2 4" xfId="32035"/>
    <cellStyle name="표준 8 2 7 3 2 3" xfId="17049"/>
    <cellStyle name="표준 8 2 7 3 2 3 2" xfId="39516"/>
    <cellStyle name="표준 8 2 7 3 2 4" xfId="24533"/>
    <cellStyle name="표준 8 2 7 3 2 4 2" xfId="46998"/>
    <cellStyle name="표준 8 2 7 3 2 5" xfId="32034"/>
    <cellStyle name="표준 8 2 7 3 3" xfId="9568"/>
    <cellStyle name="표준 8 2 7 3 3 2" xfId="17051"/>
    <cellStyle name="표준 8 2 7 3 3 2 2" xfId="39518"/>
    <cellStyle name="표준 8 2 7 3 3 3" xfId="24535"/>
    <cellStyle name="표준 8 2 7 3 3 3 2" xfId="47000"/>
    <cellStyle name="표준 8 2 7 3 3 4" xfId="32036"/>
    <cellStyle name="표준 8 2 7 3 4" xfId="17048"/>
    <cellStyle name="표준 8 2 7 3 4 2" xfId="39515"/>
    <cellStyle name="표준 8 2 7 3 5" xfId="24532"/>
    <cellStyle name="표준 8 2 7 3 5 2" xfId="46997"/>
    <cellStyle name="표준 8 2 7 3 6" xfId="32033"/>
    <cellStyle name="표준 8 2 7 4" xfId="9569"/>
    <cellStyle name="표준 8 2 7 4 2" xfId="9570"/>
    <cellStyle name="표준 8 2 7 4 2 2" xfId="17053"/>
    <cellStyle name="표준 8 2 7 4 2 2 2" xfId="39520"/>
    <cellStyle name="표준 8 2 7 4 2 3" xfId="24537"/>
    <cellStyle name="표준 8 2 7 4 2 3 2" xfId="47002"/>
    <cellStyle name="표준 8 2 7 4 2 4" xfId="32038"/>
    <cellStyle name="표준 8 2 7 4 3" xfId="17052"/>
    <cellStyle name="표준 8 2 7 4 3 2" xfId="39519"/>
    <cellStyle name="표준 8 2 7 4 4" xfId="24536"/>
    <cellStyle name="표준 8 2 7 4 4 2" xfId="47001"/>
    <cellStyle name="표준 8 2 7 4 5" xfId="32037"/>
    <cellStyle name="표준 8 2 7 5" xfId="9571"/>
    <cellStyle name="표준 8 2 7 5 2" xfId="17054"/>
    <cellStyle name="표준 8 2 7 5 2 2" xfId="39521"/>
    <cellStyle name="표준 8 2 7 5 3" xfId="24538"/>
    <cellStyle name="표준 8 2 7 5 3 2" xfId="47003"/>
    <cellStyle name="표준 8 2 7 5 4" xfId="32039"/>
    <cellStyle name="표준 8 2 7 6" xfId="17039"/>
    <cellStyle name="표준 8 2 7 6 2" xfId="39506"/>
    <cellStyle name="표준 8 2 7 7" xfId="24523"/>
    <cellStyle name="표준 8 2 7 7 2" xfId="46988"/>
    <cellStyle name="표준 8 2 7 8" xfId="32024"/>
    <cellStyle name="표준 8 2 8" xfId="9572"/>
    <cellStyle name="표준 8 2 8 2" xfId="9573"/>
    <cellStyle name="표준 8 2 8 2 2" xfId="9574"/>
    <cellStyle name="표준 8 2 8 2 2 2" xfId="9575"/>
    <cellStyle name="표준 8 2 8 2 2 2 2" xfId="9576"/>
    <cellStyle name="표준 8 2 8 2 2 2 2 2" xfId="17059"/>
    <cellStyle name="표준 8 2 8 2 2 2 2 2 2" xfId="39526"/>
    <cellStyle name="표준 8 2 8 2 2 2 2 3" xfId="24543"/>
    <cellStyle name="표준 8 2 8 2 2 2 2 3 2" xfId="47008"/>
    <cellStyle name="표준 8 2 8 2 2 2 2 4" xfId="32044"/>
    <cellStyle name="표준 8 2 8 2 2 2 3" xfId="17058"/>
    <cellStyle name="표준 8 2 8 2 2 2 3 2" xfId="39525"/>
    <cellStyle name="표준 8 2 8 2 2 2 4" xfId="24542"/>
    <cellStyle name="표준 8 2 8 2 2 2 4 2" xfId="47007"/>
    <cellStyle name="표준 8 2 8 2 2 2 5" xfId="32043"/>
    <cellStyle name="표준 8 2 8 2 2 3" xfId="9577"/>
    <cellStyle name="표준 8 2 8 2 2 3 2" xfId="17060"/>
    <cellStyle name="표준 8 2 8 2 2 3 2 2" xfId="39527"/>
    <cellStyle name="표준 8 2 8 2 2 3 3" xfId="24544"/>
    <cellStyle name="표준 8 2 8 2 2 3 3 2" xfId="47009"/>
    <cellStyle name="표준 8 2 8 2 2 3 4" xfId="32045"/>
    <cellStyle name="표준 8 2 8 2 2 4" xfId="17057"/>
    <cellStyle name="표준 8 2 8 2 2 4 2" xfId="39524"/>
    <cellStyle name="표준 8 2 8 2 2 5" xfId="24541"/>
    <cellStyle name="표준 8 2 8 2 2 5 2" xfId="47006"/>
    <cellStyle name="표준 8 2 8 2 2 6" xfId="32042"/>
    <cellStyle name="표준 8 2 8 2 3" xfId="9578"/>
    <cellStyle name="표준 8 2 8 2 3 2" xfId="9579"/>
    <cellStyle name="표준 8 2 8 2 3 2 2" xfId="17062"/>
    <cellStyle name="표준 8 2 8 2 3 2 2 2" xfId="39529"/>
    <cellStyle name="표준 8 2 8 2 3 2 3" xfId="24546"/>
    <cellStyle name="표준 8 2 8 2 3 2 3 2" xfId="47011"/>
    <cellStyle name="표준 8 2 8 2 3 2 4" xfId="32047"/>
    <cellStyle name="표준 8 2 8 2 3 3" xfId="17061"/>
    <cellStyle name="표준 8 2 8 2 3 3 2" xfId="39528"/>
    <cellStyle name="표준 8 2 8 2 3 4" xfId="24545"/>
    <cellStyle name="표준 8 2 8 2 3 4 2" xfId="47010"/>
    <cellStyle name="표준 8 2 8 2 3 5" xfId="32046"/>
    <cellStyle name="표준 8 2 8 2 4" xfId="9580"/>
    <cellStyle name="표준 8 2 8 2 4 2" xfId="17063"/>
    <cellStyle name="표준 8 2 8 2 4 2 2" xfId="39530"/>
    <cellStyle name="표준 8 2 8 2 4 3" xfId="24547"/>
    <cellStyle name="표준 8 2 8 2 4 3 2" xfId="47012"/>
    <cellStyle name="표준 8 2 8 2 4 4" xfId="32048"/>
    <cellStyle name="표준 8 2 8 2 5" xfId="17056"/>
    <cellStyle name="표준 8 2 8 2 5 2" xfId="39523"/>
    <cellStyle name="표준 8 2 8 2 6" xfId="24540"/>
    <cellStyle name="표준 8 2 8 2 6 2" xfId="47005"/>
    <cellStyle name="표준 8 2 8 2 7" xfId="32041"/>
    <cellStyle name="표준 8 2 8 3" xfId="9581"/>
    <cellStyle name="표준 8 2 8 3 2" xfId="9582"/>
    <cellStyle name="표준 8 2 8 3 2 2" xfId="9583"/>
    <cellStyle name="표준 8 2 8 3 2 2 2" xfId="17066"/>
    <cellStyle name="표준 8 2 8 3 2 2 2 2" xfId="39533"/>
    <cellStyle name="표준 8 2 8 3 2 2 3" xfId="24550"/>
    <cellStyle name="표준 8 2 8 3 2 2 3 2" xfId="47015"/>
    <cellStyle name="표준 8 2 8 3 2 2 4" xfId="32051"/>
    <cellStyle name="표준 8 2 8 3 2 3" xfId="17065"/>
    <cellStyle name="표준 8 2 8 3 2 3 2" xfId="39532"/>
    <cellStyle name="표준 8 2 8 3 2 4" xfId="24549"/>
    <cellStyle name="표준 8 2 8 3 2 4 2" xfId="47014"/>
    <cellStyle name="표준 8 2 8 3 2 5" xfId="32050"/>
    <cellStyle name="표준 8 2 8 3 3" xfId="9584"/>
    <cellStyle name="표준 8 2 8 3 3 2" xfId="17067"/>
    <cellStyle name="표준 8 2 8 3 3 2 2" xfId="39534"/>
    <cellStyle name="표준 8 2 8 3 3 3" xfId="24551"/>
    <cellStyle name="표준 8 2 8 3 3 3 2" xfId="47016"/>
    <cellStyle name="표준 8 2 8 3 3 4" xfId="32052"/>
    <cellStyle name="표준 8 2 8 3 4" xfId="17064"/>
    <cellStyle name="표준 8 2 8 3 4 2" xfId="39531"/>
    <cellStyle name="표준 8 2 8 3 5" xfId="24548"/>
    <cellStyle name="표준 8 2 8 3 5 2" xfId="47013"/>
    <cellStyle name="표준 8 2 8 3 6" xfId="32049"/>
    <cellStyle name="표준 8 2 8 4" xfId="9585"/>
    <cellStyle name="표준 8 2 8 4 2" xfId="9586"/>
    <cellStyle name="표준 8 2 8 4 2 2" xfId="17069"/>
    <cellStyle name="표준 8 2 8 4 2 2 2" xfId="39536"/>
    <cellStyle name="표준 8 2 8 4 2 3" xfId="24553"/>
    <cellStyle name="표준 8 2 8 4 2 3 2" xfId="47018"/>
    <cellStyle name="표준 8 2 8 4 2 4" xfId="32054"/>
    <cellStyle name="표준 8 2 8 4 3" xfId="17068"/>
    <cellStyle name="표준 8 2 8 4 3 2" xfId="39535"/>
    <cellStyle name="표준 8 2 8 4 4" xfId="24552"/>
    <cellStyle name="표준 8 2 8 4 4 2" xfId="47017"/>
    <cellStyle name="표준 8 2 8 4 5" xfId="32053"/>
    <cellStyle name="표준 8 2 8 5" xfId="9587"/>
    <cellStyle name="표준 8 2 8 5 2" xfId="17070"/>
    <cellStyle name="표준 8 2 8 5 2 2" xfId="39537"/>
    <cellStyle name="표준 8 2 8 5 3" xfId="24554"/>
    <cellStyle name="표준 8 2 8 5 3 2" xfId="47019"/>
    <cellStyle name="표준 8 2 8 5 4" xfId="32055"/>
    <cellStyle name="표준 8 2 8 6" xfId="17055"/>
    <cellStyle name="표준 8 2 8 6 2" xfId="39522"/>
    <cellStyle name="표준 8 2 8 7" xfId="24539"/>
    <cellStyle name="표준 8 2 8 7 2" xfId="47004"/>
    <cellStyle name="표준 8 2 8 8" xfId="32040"/>
    <cellStyle name="표준 8 2 9" xfId="9588"/>
    <cellStyle name="표준 8 2 9 2" xfId="9589"/>
    <cellStyle name="표준 8 2 9 2 2" xfId="9590"/>
    <cellStyle name="표준 8 2 9 2 2 2" xfId="9591"/>
    <cellStyle name="표준 8 2 9 2 2 2 2" xfId="17074"/>
    <cellStyle name="표준 8 2 9 2 2 2 2 2" xfId="39541"/>
    <cellStyle name="표준 8 2 9 2 2 2 3" xfId="24558"/>
    <cellStyle name="표준 8 2 9 2 2 2 3 2" xfId="47023"/>
    <cellStyle name="표준 8 2 9 2 2 2 4" xfId="32059"/>
    <cellStyle name="표준 8 2 9 2 2 3" xfId="17073"/>
    <cellStyle name="표준 8 2 9 2 2 3 2" xfId="39540"/>
    <cellStyle name="표준 8 2 9 2 2 4" xfId="24557"/>
    <cellStyle name="표준 8 2 9 2 2 4 2" xfId="47022"/>
    <cellStyle name="표준 8 2 9 2 2 5" xfId="32058"/>
    <cellStyle name="표준 8 2 9 2 3" xfId="9592"/>
    <cellStyle name="표준 8 2 9 2 3 2" xfId="17075"/>
    <cellStyle name="표준 8 2 9 2 3 2 2" xfId="39542"/>
    <cellStyle name="표준 8 2 9 2 3 3" xfId="24559"/>
    <cellStyle name="표준 8 2 9 2 3 3 2" xfId="47024"/>
    <cellStyle name="표준 8 2 9 2 3 4" xfId="32060"/>
    <cellStyle name="표준 8 2 9 2 4" xfId="17072"/>
    <cellStyle name="표준 8 2 9 2 4 2" xfId="39539"/>
    <cellStyle name="표준 8 2 9 2 5" xfId="24556"/>
    <cellStyle name="표준 8 2 9 2 5 2" xfId="47021"/>
    <cellStyle name="표준 8 2 9 2 6" xfId="32057"/>
    <cellStyle name="표준 8 2 9 3" xfId="9593"/>
    <cellStyle name="표준 8 2 9 3 2" xfId="9594"/>
    <cellStyle name="표준 8 2 9 3 2 2" xfId="17077"/>
    <cellStyle name="표준 8 2 9 3 2 2 2" xfId="39544"/>
    <cellStyle name="표준 8 2 9 3 2 3" xfId="24561"/>
    <cellStyle name="표준 8 2 9 3 2 3 2" xfId="47026"/>
    <cellStyle name="표준 8 2 9 3 2 4" xfId="32062"/>
    <cellStyle name="표준 8 2 9 3 3" xfId="17076"/>
    <cellStyle name="표준 8 2 9 3 3 2" xfId="39543"/>
    <cellStyle name="표준 8 2 9 3 4" xfId="24560"/>
    <cellStyle name="표준 8 2 9 3 4 2" xfId="47025"/>
    <cellStyle name="표준 8 2 9 3 5" xfId="32061"/>
    <cellStyle name="표준 8 2 9 4" xfId="9595"/>
    <cellStyle name="표준 8 2 9 4 2" xfId="17078"/>
    <cellStyle name="표준 8 2 9 4 2 2" xfId="39545"/>
    <cellStyle name="표준 8 2 9 4 3" xfId="24562"/>
    <cellStyle name="표준 8 2 9 4 3 2" xfId="47027"/>
    <cellStyle name="표준 8 2 9 4 4" xfId="32063"/>
    <cellStyle name="표준 8 2 9 5" xfId="17071"/>
    <cellStyle name="표준 8 2 9 5 2" xfId="39538"/>
    <cellStyle name="표준 8 2 9 6" xfId="24555"/>
    <cellStyle name="표준 8 2 9 6 2" xfId="47020"/>
    <cellStyle name="표준 8 2 9 7" xfId="32056"/>
    <cellStyle name="표준 9" xfId="9596"/>
    <cellStyle name="표준_0312자금집행" xfId="12"/>
    <cellStyle name="하이퍼링크" xfId="24570" builtinId="8"/>
  </cellStyles>
  <dxfs count="2">
    <dxf>
      <numFmt numFmtId="33" formatCode="_-* #,##0_-;\-* #,##0_-;_-* &quot;-&quot;_-;_-@_-"/>
    </dxf>
    <dxf>
      <fill>
        <patternFill>
          <bgColor indexed="43"/>
        </patternFill>
      </fill>
    </dxf>
  </dxfs>
  <tableStyles count="0" defaultTableStyle="TableStyleMedium9" defaultPivotStyle="PivotStyleLight16"/>
  <colors>
    <mruColors>
      <color rgb="FFCCFFCC"/>
      <color rgb="FFFFFF66"/>
      <color rgb="FFFFFF99"/>
      <color rgb="FFFFCCFF"/>
      <color rgb="FF66FFFF"/>
      <color rgb="FFFFFFCC"/>
      <color rgb="FF99FF66"/>
      <color rgb="FF66FF99"/>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6</xdr:col>
      <xdr:colOff>150383</xdr:colOff>
      <xdr:row>5</xdr:row>
      <xdr:rowOff>5109770</xdr:rowOff>
    </xdr:from>
    <xdr:to>
      <xdr:col>7</xdr:col>
      <xdr:colOff>447840</xdr:colOff>
      <xdr:row>7</xdr:row>
      <xdr:rowOff>21991</xdr:rowOff>
    </xdr:to>
    <xdr:pic>
      <xdr:nvPicPr>
        <xdr:cNvPr id="3" name="그림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65233" y="6700445"/>
          <a:ext cx="983257" cy="10653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Registered User" refreshedDate="43150.836605324075" createdVersion="4" refreshedVersion="4" minRefreshableVersion="3" recordCount="23">
  <cacheSource type="worksheet">
    <worksheetSource ref="AA11:AA13" sheet="3,4 어음수표 및 주요 업무사항"/>
  </cacheSource>
  <cacheFields count="5">
    <cacheField name="구 분" numFmtId="0">
      <sharedItems count="4">
        <s v="기타"/>
        <s v="환급금"/>
        <s v="매출"/>
        <s v="이자수익"/>
      </sharedItems>
    </cacheField>
    <cacheField name="입 금 일" numFmtId="14">
      <sharedItems containsSemiMixedTypes="0" containsNonDate="0" containsDate="1" containsString="0" minDate="2018-01-02T00:00:00" maxDate="2018-02-01T00:00:00"/>
    </cacheField>
    <cacheField name="상 호" numFmtId="0">
      <sharedItems/>
    </cacheField>
    <cacheField name="적요" numFmtId="0">
      <sharedItems/>
    </cacheField>
    <cacheField name="입 금 액" numFmtId="41">
      <sharedItems containsSemiMixedTypes="0" containsString="0" containsNumber="1" containsInteger="1" minValue="1280" maxValue="142263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23">
  <r>
    <x v="0"/>
    <d v="2018-01-02T00:00:00"/>
    <s v="오명숙"/>
    <s v="급여환급(과오납분 환급)"/>
    <n v="1167235"/>
  </r>
  <r>
    <x v="0"/>
    <d v="2018-01-02T00:00:00"/>
    <s v="㈜한국플렉스"/>
    <s v="외상매출금"/>
    <n v="664400"/>
  </r>
  <r>
    <x v="1"/>
    <d v="2018-01-02T00:00:00"/>
    <s v="현대해상화재"/>
    <s v="보험해지환급금"/>
    <n v="7814810"/>
  </r>
  <r>
    <x v="1"/>
    <d v="2018-01-02T00:00:00"/>
    <s v="현대해상화재"/>
    <s v="보험료 정산환급금"/>
    <n v="56940"/>
  </r>
  <r>
    <x v="0"/>
    <d v="2018-01-03T00:00:00"/>
    <s v="현대해상화재"/>
    <s v="약관대출"/>
    <n v="1800000"/>
  </r>
  <r>
    <x v="2"/>
    <d v="2018-01-05T00:00:00"/>
    <s v="영풍전자㈜"/>
    <s v="외상매출금"/>
    <n v="103827740"/>
  </r>
  <r>
    <x v="2"/>
    <d v="2018-01-10T00:00:00"/>
    <s v="XINGKE ELECTRO"/>
    <s v="외상매출금"/>
    <n v="9106623"/>
  </r>
  <r>
    <x v="2"/>
    <d v="2018-01-11T00:00:00"/>
    <s v="SINCO"/>
    <s v="외상매출금"/>
    <n v="8100728"/>
  </r>
  <r>
    <x v="2"/>
    <d v="2018-01-15T00:00:00"/>
    <s v="(주)아이센스"/>
    <s v="외상매출금"/>
    <n v="12958000"/>
  </r>
  <r>
    <x v="0"/>
    <d v="2018-01-15T00:00:00"/>
    <s v="NH체크카드"/>
    <s v="체크카드 할인대금"/>
    <n v="1280"/>
  </r>
  <r>
    <x v="2"/>
    <d v="2018-01-16T00:00:00"/>
    <s v="㈜우리일렉"/>
    <s v="외상매출금"/>
    <n v="4095300"/>
  </r>
  <r>
    <x v="0"/>
    <d v="2018-01-22T00:00:00"/>
    <s v="상록구청"/>
    <s v="과오납분 환급"/>
    <n v="10880"/>
  </r>
  <r>
    <x v="3"/>
    <d v="2018-01-22T00:00:00"/>
    <s v="기업은행"/>
    <s v="이자수익금"/>
    <n v="3165"/>
  </r>
  <r>
    <x v="2"/>
    <d v="2018-01-23T00:00:00"/>
    <s v="RDS테크"/>
    <s v="외상매출금"/>
    <n v="462000"/>
  </r>
  <r>
    <x v="2"/>
    <d v="2018-01-24T00:00:00"/>
    <s v="RDS테크"/>
    <s v="외상매출금"/>
    <n v="462000"/>
  </r>
  <r>
    <x v="2"/>
    <d v="2018-01-25T00:00:00"/>
    <s v="㈜오토스윙"/>
    <s v="외상매출금"/>
    <n v="1925000"/>
  </r>
  <r>
    <x v="2"/>
    <d v="2018-01-30T00:00:00"/>
    <s v="㈜원진산업"/>
    <s v="외상매출금"/>
    <n v="257400"/>
  </r>
  <r>
    <x v="2"/>
    <d v="2018-01-31T00:00:00"/>
    <s v="주식회사유테크"/>
    <s v="외상매출금"/>
    <n v="8470000"/>
  </r>
  <r>
    <x v="2"/>
    <d v="2018-01-31T00:00:00"/>
    <s v="㈜파트론"/>
    <s v="외상매출금"/>
    <n v="12672000"/>
  </r>
  <r>
    <x v="2"/>
    <d v="2018-01-31T00:00:00"/>
    <s v="㈜썬텔"/>
    <s v="외상매출금"/>
    <n v="142263000"/>
  </r>
  <r>
    <x v="2"/>
    <d v="2018-01-31T00:00:00"/>
    <s v="크루셜텍㈜"/>
    <s v="외상매출금"/>
    <n v="24640000"/>
  </r>
  <r>
    <x v="2"/>
    <d v="2018-01-31T00:00:00"/>
    <s v="㈜티에이치티"/>
    <s v="외상매출금"/>
    <n v="34197480"/>
  </r>
  <r>
    <x v="2"/>
    <d v="2018-01-31T00:00:00"/>
    <s v="SINCO"/>
    <s v="외상매출금"/>
    <n v="3443319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피벗 테이블2" cacheId="0" applyNumberFormats="0" applyBorderFormats="0" applyFontFormats="0" applyPatternFormats="0" applyAlignmentFormats="0" applyWidthHeightFormats="1" dataCaption="값" updatedVersion="4" minRefreshableVersion="3" useAutoFormatting="1" itemPrintTitles="1" createdVersion="4" indent="0" outline="1" outlineData="1" multipleFieldFilters="0">
  <location ref="N52:O57" firstHeaderRow="1" firstDataRow="1" firstDataCol="1"/>
  <pivotFields count="5">
    <pivotField axis="axisRow" showAll="0">
      <items count="5">
        <item x="0"/>
        <item x="2"/>
        <item x="1"/>
        <item x="3"/>
        <item t="default"/>
      </items>
    </pivotField>
    <pivotField numFmtId="14" showAll="0"/>
    <pivotField showAll="0"/>
    <pivotField showAll="0"/>
    <pivotField dataField="1" numFmtId="41" showAll="0"/>
  </pivotFields>
  <rowFields count="1">
    <field x="0"/>
  </rowFields>
  <rowItems count="5">
    <i>
      <x/>
    </i>
    <i>
      <x v="1"/>
    </i>
    <i>
      <x v="2"/>
    </i>
    <i>
      <x v="3"/>
    </i>
    <i t="grand">
      <x/>
    </i>
  </rowItems>
  <colItems count="1">
    <i/>
  </colItems>
  <dataFields count="1">
    <dataField name="합계 : 입 금 액" fld="4" baseField="0" baseItem="0" numFmtId="41"/>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sheetPr>
  <dimension ref="A1:AO13"/>
  <sheetViews>
    <sheetView zoomScaleSheetLayoutView="85" workbookViewId="0">
      <selection activeCell="M6" sqref="M6"/>
    </sheetView>
  </sheetViews>
  <sheetFormatPr defaultRowHeight="16.5"/>
  <cols>
    <col min="1" max="1" width="3.625" customWidth="1"/>
    <col min="2" max="2" width="15.5" style="1" customWidth="1"/>
    <col min="3" max="3" width="10.375" style="1" customWidth="1"/>
    <col min="4" max="4" width="12.25" style="1" customWidth="1"/>
    <col min="5" max="5" width="10.375" style="1" customWidth="1"/>
    <col min="6" max="9" width="9" style="1" customWidth="1"/>
    <col min="10" max="10" width="3.625" style="77" customWidth="1"/>
    <col min="11" max="12" width="9" style="77"/>
    <col min="13" max="13" width="11.625" style="77" customWidth="1"/>
    <col min="14" max="41" width="9" style="77"/>
  </cols>
  <sheetData>
    <row r="1" spans="1:14" ht="17.25" thickBot="1">
      <c r="A1" s="517"/>
      <c r="B1" s="518"/>
      <c r="C1" s="518"/>
      <c r="D1" s="518"/>
      <c r="E1" s="518"/>
      <c r="F1" s="518"/>
      <c r="G1" s="518"/>
      <c r="H1" s="822"/>
      <c r="I1" s="822"/>
      <c r="J1" s="519"/>
    </row>
    <row r="2" spans="1:14" ht="27" customHeight="1" thickBot="1">
      <c r="A2" s="520"/>
      <c r="B2" s="825" t="s">
        <v>1128</v>
      </c>
      <c r="C2" s="826"/>
      <c r="D2" s="827"/>
      <c r="E2" s="521"/>
      <c r="F2" s="522"/>
      <c r="G2" s="522"/>
      <c r="H2" s="823" t="s">
        <v>0</v>
      </c>
      <c r="I2" s="824"/>
      <c r="J2" s="523"/>
    </row>
    <row r="3" spans="1:14" ht="27" customHeight="1">
      <c r="A3" s="520"/>
      <c r="B3" s="828" t="s">
        <v>1194</v>
      </c>
      <c r="C3" s="829"/>
      <c r="D3" s="830"/>
      <c r="E3" s="521"/>
      <c r="F3" s="522"/>
      <c r="G3" s="522"/>
      <c r="H3" s="818"/>
      <c r="I3" s="818"/>
      <c r="J3" s="523"/>
    </row>
    <row r="4" spans="1:14" ht="27" customHeight="1">
      <c r="A4" s="520"/>
      <c r="B4" s="828" t="s">
        <v>1195</v>
      </c>
      <c r="C4" s="829"/>
      <c r="D4" s="830"/>
      <c r="E4" s="521"/>
      <c r="F4" s="522"/>
      <c r="G4" s="522"/>
      <c r="H4" s="818"/>
      <c r="I4" s="818"/>
      <c r="J4" s="523"/>
    </row>
    <row r="5" spans="1:14" ht="27" customHeight="1">
      <c r="A5" s="520"/>
      <c r="B5" s="831" t="s">
        <v>1196</v>
      </c>
      <c r="C5" s="832"/>
      <c r="D5" s="833"/>
      <c r="E5" s="521"/>
      <c r="F5" s="522"/>
      <c r="G5" s="522"/>
      <c r="H5" s="524"/>
      <c r="I5" s="524"/>
      <c r="J5" s="523"/>
    </row>
    <row r="6" spans="1:14" ht="409.5" customHeight="1">
      <c r="A6" s="520"/>
      <c r="B6" s="819" t="s">
        <v>1197</v>
      </c>
      <c r="C6" s="819"/>
      <c r="D6" s="819"/>
      <c r="E6" s="819"/>
      <c r="F6" s="820"/>
      <c r="G6" s="820"/>
      <c r="H6" s="820"/>
      <c r="I6" s="820"/>
      <c r="J6" s="523"/>
    </row>
    <row r="7" spans="1:14" ht="75" customHeight="1">
      <c r="A7" s="520"/>
      <c r="B7" s="525"/>
      <c r="C7" s="525"/>
      <c r="D7" s="525"/>
      <c r="E7" s="525"/>
      <c r="F7" s="526"/>
      <c r="G7" s="526"/>
      <c r="H7" s="526"/>
      <c r="I7" s="526"/>
      <c r="J7" s="523"/>
      <c r="M7"/>
      <c r="N7"/>
    </row>
    <row r="8" spans="1:14" ht="75" customHeight="1">
      <c r="A8" s="520"/>
      <c r="B8" s="525"/>
      <c r="C8" s="525"/>
      <c r="D8" s="525"/>
      <c r="E8" s="525"/>
      <c r="F8" s="526"/>
      <c r="G8" s="526"/>
      <c r="H8" s="526"/>
      <c r="I8" s="526"/>
      <c r="J8" s="523"/>
      <c r="M8"/>
      <c r="N8"/>
    </row>
    <row r="9" spans="1:14" ht="25.5" customHeight="1">
      <c r="A9" s="520"/>
      <c r="B9" s="821" t="s">
        <v>1393</v>
      </c>
      <c r="C9" s="821"/>
      <c r="D9" s="821"/>
      <c r="E9" s="821"/>
      <c r="F9" s="821"/>
      <c r="G9" s="821"/>
      <c r="H9" s="821"/>
      <c r="I9" s="821"/>
      <c r="J9" s="523"/>
    </row>
    <row r="10" spans="1:14" ht="83.25" customHeight="1">
      <c r="A10" s="520"/>
      <c r="B10" s="821"/>
      <c r="C10" s="821"/>
      <c r="D10" s="821"/>
      <c r="E10" s="821"/>
      <c r="F10" s="821"/>
      <c r="G10" s="821"/>
      <c r="H10" s="821"/>
      <c r="I10" s="821"/>
      <c r="J10" s="523"/>
    </row>
    <row r="11" spans="1:14">
      <c r="A11" s="527"/>
      <c r="B11" s="528"/>
      <c r="C11" s="528"/>
      <c r="D11" s="528"/>
      <c r="E11" s="528"/>
      <c r="F11" s="528"/>
      <c r="G11" s="528"/>
      <c r="H11" s="528"/>
      <c r="I11" s="528"/>
      <c r="J11" s="529"/>
    </row>
    <row r="12" spans="1:14" ht="22.5" customHeight="1"/>
    <row r="13" spans="1:14" ht="45" customHeight="1"/>
  </sheetData>
  <mergeCells count="10">
    <mergeCell ref="H4:I4"/>
    <mergeCell ref="B6:I6"/>
    <mergeCell ref="B9:I10"/>
    <mergeCell ref="H1:I1"/>
    <mergeCell ref="H2:I2"/>
    <mergeCell ref="H3:I3"/>
    <mergeCell ref="B2:D2"/>
    <mergeCell ref="B3:D3"/>
    <mergeCell ref="B4:D4"/>
    <mergeCell ref="B5:D5"/>
  </mergeCells>
  <phoneticPr fontId="11" type="noConversion"/>
  <printOptions horizontalCentered="1" verticalCentered="1"/>
  <pageMargins left="0.59055118110236227" right="0.59055118110236227" top="0.74803149606299213" bottom="0.55118110236220474" header="0.31496062992125984" footer="0.31496062992125984"/>
  <pageSetup paperSize="9" scale="86"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pageSetUpPr fitToPage="1"/>
  </sheetPr>
  <dimension ref="A1:B27"/>
  <sheetViews>
    <sheetView topLeftCell="A10" zoomScaleSheetLayoutView="100" workbookViewId="0">
      <selection activeCell="C6" sqref="C6:D6"/>
    </sheetView>
  </sheetViews>
  <sheetFormatPr defaultColWidth="9" defaultRowHeight="13.5"/>
  <cols>
    <col min="1" max="1" width="78" style="5" customWidth="1"/>
    <col min="2" max="2" width="9" style="112"/>
    <col min="3" max="16384" width="9" style="1"/>
  </cols>
  <sheetData>
    <row r="1" spans="1:2" ht="27.75" customHeight="1">
      <c r="A1" s="280" t="s">
        <v>1</v>
      </c>
      <c r="B1" s="285">
        <v>1</v>
      </c>
    </row>
    <row r="2" spans="1:2" ht="27.75" customHeight="1">
      <c r="A2" s="280" t="s">
        <v>2</v>
      </c>
      <c r="B2" s="285"/>
    </row>
    <row r="3" spans="1:2" ht="27.75" customHeight="1">
      <c r="A3" s="281" t="s">
        <v>3</v>
      </c>
      <c r="B3" s="285">
        <v>2</v>
      </c>
    </row>
    <row r="4" spans="1:2" ht="27.75" customHeight="1">
      <c r="A4" s="281" t="s">
        <v>4</v>
      </c>
      <c r="B4" s="285">
        <v>3</v>
      </c>
    </row>
    <row r="5" spans="1:2" ht="27.75" customHeight="1">
      <c r="A5" s="280" t="s">
        <v>163</v>
      </c>
      <c r="B5" s="285"/>
    </row>
    <row r="6" spans="1:2" ht="27.75" customHeight="1">
      <c r="A6" s="281" t="s">
        <v>5</v>
      </c>
      <c r="B6" s="285">
        <v>4</v>
      </c>
    </row>
    <row r="7" spans="1:2" ht="27.75" customHeight="1">
      <c r="A7" s="281" t="s">
        <v>6</v>
      </c>
      <c r="B7" s="285">
        <v>4</v>
      </c>
    </row>
    <row r="8" spans="1:2" ht="27.75" customHeight="1">
      <c r="A8" s="281" t="s">
        <v>7</v>
      </c>
      <c r="B8" s="285">
        <v>4</v>
      </c>
    </row>
    <row r="9" spans="1:2" s="3" customFormat="1" ht="27.75" customHeight="1">
      <c r="A9" s="282" t="s">
        <v>8</v>
      </c>
      <c r="B9" s="286"/>
    </row>
    <row r="10" spans="1:2" s="3" customFormat="1" ht="27.75" customHeight="1">
      <c r="A10" s="283" t="s">
        <v>355</v>
      </c>
      <c r="B10" s="286" t="s">
        <v>517</v>
      </c>
    </row>
    <row r="11" spans="1:2" s="3" customFormat="1" ht="27.75" customHeight="1">
      <c r="A11" s="283" t="s">
        <v>9</v>
      </c>
      <c r="B11" s="286">
        <v>5</v>
      </c>
    </row>
    <row r="12" spans="1:2" s="3" customFormat="1" ht="27.75" customHeight="1">
      <c r="A12" s="283" t="s">
        <v>10</v>
      </c>
      <c r="B12" s="286">
        <v>5</v>
      </c>
    </row>
    <row r="13" spans="1:2" ht="27.75" customHeight="1">
      <c r="A13" s="280" t="s">
        <v>120</v>
      </c>
      <c r="B13" s="285"/>
    </row>
    <row r="14" spans="1:2" ht="27.75" customHeight="1">
      <c r="A14" s="281" t="s">
        <v>11</v>
      </c>
      <c r="B14" s="285">
        <v>6</v>
      </c>
    </row>
    <row r="15" spans="1:2" ht="27.75" customHeight="1">
      <c r="A15" s="281" t="s">
        <v>12</v>
      </c>
      <c r="B15" s="285">
        <v>6</v>
      </c>
    </row>
    <row r="16" spans="1:2" ht="27.75" customHeight="1">
      <c r="A16" s="281" t="s">
        <v>13</v>
      </c>
      <c r="B16" s="285">
        <v>6</v>
      </c>
    </row>
    <row r="17" spans="1:2" ht="27.75" customHeight="1">
      <c r="A17" s="280" t="s">
        <v>14</v>
      </c>
      <c r="B17" s="285"/>
    </row>
    <row r="18" spans="1:2" s="3" customFormat="1" ht="27.75" customHeight="1">
      <c r="A18" s="283" t="s">
        <v>164</v>
      </c>
      <c r="B18" s="286">
        <v>7</v>
      </c>
    </row>
    <row r="19" spans="1:2" s="3" customFormat="1" ht="27.75" customHeight="1">
      <c r="A19" s="283" t="s">
        <v>15</v>
      </c>
      <c r="B19" s="286">
        <v>7</v>
      </c>
    </row>
    <row r="20" spans="1:2" s="3" customFormat="1" ht="27.75" customHeight="1">
      <c r="A20" s="283" t="s">
        <v>16</v>
      </c>
      <c r="B20" s="286">
        <v>7</v>
      </c>
    </row>
    <row r="21" spans="1:2" s="3" customFormat="1" ht="27.75" customHeight="1">
      <c r="A21" s="283" t="s">
        <v>317</v>
      </c>
      <c r="B21" s="286">
        <v>7</v>
      </c>
    </row>
    <row r="22" spans="1:2" s="3" customFormat="1" ht="27.75" customHeight="1">
      <c r="A22" s="283" t="s">
        <v>318</v>
      </c>
      <c r="B22" s="286" t="s">
        <v>518</v>
      </c>
    </row>
    <row r="23" spans="1:2" ht="27.75" customHeight="1">
      <c r="A23" s="280" t="s">
        <v>347</v>
      </c>
      <c r="B23" s="285">
        <v>15</v>
      </c>
    </row>
    <row r="24" spans="1:2" ht="27.75" customHeight="1">
      <c r="A24" s="280" t="s">
        <v>348</v>
      </c>
      <c r="B24" s="285">
        <v>16</v>
      </c>
    </row>
    <row r="25" spans="1:2" ht="27.75" customHeight="1">
      <c r="A25" s="280" t="s">
        <v>349</v>
      </c>
      <c r="B25" s="285"/>
    </row>
    <row r="26" spans="1:2" ht="27.75" customHeight="1">
      <c r="A26" s="284" t="s">
        <v>1198</v>
      </c>
      <c r="B26" s="285"/>
    </row>
    <row r="27" spans="1:2" ht="30" customHeight="1">
      <c r="A27" s="4"/>
    </row>
  </sheetData>
  <phoneticPr fontId="11" type="noConversion"/>
  <printOptions horizontalCentered="1"/>
  <pageMargins left="0.51181102362204722" right="0.51181102362204722" top="1.1023622047244095" bottom="0.55118110236220474" header="0.78740157480314965" footer="0.31496062992125984"/>
  <pageSetup paperSize="9" scale="97" orientation="portrait" r:id="rId1"/>
  <headerFooter scaleWithDoc="0" alignWithMargins="0">
    <oddHeader>&amp;C&amp;"돋움,굵게"&amp;18&amp;A</oddHead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50"/>
    <pageSetUpPr fitToPage="1"/>
  </sheetPr>
  <dimension ref="A1:AX54"/>
  <sheetViews>
    <sheetView topLeftCell="B16" zoomScaleSheetLayoutView="100" workbookViewId="0">
      <selection activeCell="B4" sqref="B4:H7"/>
    </sheetView>
  </sheetViews>
  <sheetFormatPr defaultColWidth="9" defaultRowHeight="13.5"/>
  <cols>
    <col min="1" max="1" width="8.375" style="67" hidden="1" customWidth="1"/>
    <col min="2" max="2" width="5.5" style="67" customWidth="1"/>
    <col min="3" max="3" width="12.875" style="67" customWidth="1"/>
    <col min="4" max="4" width="18.25" style="67" customWidth="1"/>
    <col min="5" max="6" width="15.75" style="67" customWidth="1"/>
    <col min="7" max="7" width="8.625" style="67" customWidth="1"/>
    <col min="8" max="8" width="8.5" style="67" customWidth="1"/>
    <col min="9" max="9" width="17.125" style="67" customWidth="1"/>
    <col min="10" max="10" width="16.375" style="67" customWidth="1"/>
    <col min="11" max="11" width="15.875" style="138" customWidth="1"/>
    <col min="12" max="12" width="8.25" style="67" customWidth="1"/>
    <col min="13" max="13" width="8.5" style="67" customWidth="1"/>
    <col min="14" max="14" width="5.625" style="67" customWidth="1"/>
    <col min="15" max="15" width="7.375" style="67" customWidth="1"/>
    <col min="16" max="16" width="13" style="67" customWidth="1"/>
    <col min="17" max="17" width="22.875" style="67" customWidth="1"/>
    <col min="18" max="18" width="23.875" style="67" customWidth="1"/>
    <col min="19" max="19" width="5.625" style="67" customWidth="1"/>
    <col min="20" max="20" width="10.375" style="67" customWidth="1"/>
    <col min="21" max="21" width="17.5" style="67" customWidth="1"/>
    <col min="22" max="22" width="9" style="67" customWidth="1"/>
    <col min="23" max="23" width="15.5" style="67" hidden="1" customWidth="1"/>
    <col min="24" max="30" width="11.875" style="67" hidden="1" customWidth="1"/>
    <col min="31" max="47" width="11.875" style="6" hidden="1" customWidth="1"/>
    <col min="48" max="50" width="9" style="6" hidden="1" customWidth="1"/>
    <col min="51" max="211" width="9" style="6" customWidth="1"/>
    <col min="212" max="212" width="0" style="6" hidden="1" customWidth="1"/>
    <col min="213" max="213" width="6.125" style="6" customWidth="1"/>
    <col min="214" max="16384" width="9" style="6"/>
  </cols>
  <sheetData>
    <row r="1" spans="2:47" ht="31.5" customHeight="1">
      <c r="B1" s="869" t="s">
        <v>162</v>
      </c>
      <c r="C1" s="869"/>
      <c r="D1" s="869"/>
      <c r="E1" s="869"/>
      <c r="F1" s="869"/>
      <c r="G1" s="869"/>
      <c r="H1" s="869"/>
      <c r="I1" s="869"/>
      <c r="J1" s="869"/>
      <c r="K1" s="869"/>
      <c r="L1" s="869"/>
      <c r="M1" s="869"/>
      <c r="W1" s="887" t="s">
        <v>322</v>
      </c>
      <c r="X1" s="887"/>
      <c r="Y1" s="887"/>
      <c r="Z1" s="887"/>
      <c r="AA1" s="887"/>
      <c r="AB1" s="143"/>
      <c r="AC1" s="143"/>
      <c r="AD1" s="143"/>
      <c r="AE1" s="143"/>
      <c r="AF1" s="143"/>
      <c r="AG1" s="143"/>
      <c r="AH1" s="143"/>
      <c r="AI1" s="67"/>
      <c r="AJ1" s="143"/>
      <c r="AK1" s="143"/>
      <c r="AL1" s="67"/>
      <c r="AM1" s="143"/>
      <c r="AN1" s="143"/>
      <c r="AO1" s="67"/>
      <c r="AP1" s="143"/>
      <c r="AQ1" s="143"/>
      <c r="AR1" s="67"/>
      <c r="AS1" s="143"/>
      <c r="AT1" s="143"/>
      <c r="AU1" s="67"/>
    </row>
    <row r="2" spans="2:47" ht="31.5" customHeight="1">
      <c r="B2" s="140" t="s">
        <v>1199</v>
      </c>
      <c r="C2" s="144"/>
      <c r="D2" s="144"/>
      <c r="E2" s="144"/>
      <c r="F2" s="144"/>
      <c r="G2" s="144"/>
      <c r="H2" s="144"/>
      <c r="I2" s="144"/>
      <c r="J2" s="144"/>
      <c r="K2" s="144"/>
      <c r="L2" s="144"/>
      <c r="M2" s="144"/>
      <c r="W2" s="888" t="s">
        <v>323</v>
      </c>
      <c r="X2" s="889" t="s">
        <v>324</v>
      </c>
      <c r="Y2" s="890" t="s">
        <v>325</v>
      </c>
      <c r="Z2" s="892" t="s">
        <v>326</v>
      </c>
      <c r="AA2" s="836" t="s">
        <v>470</v>
      </c>
      <c r="AB2" s="837"/>
      <c r="AC2" s="838"/>
      <c r="AD2" s="836" t="s">
        <v>469</v>
      </c>
      <c r="AE2" s="837"/>
      <c r="AF2" s="838"/>
      <c r="AG2" s="836" t="s">
        <v>471</v>
      </c>
      <c r="AH2" s="837"/>
      <c r="AI2" s="838"/>
      <c r="AJ2" s="834" t="s">
        <v>472</v>
      </c>
      <c r="AK2" s="834"/>
      <c r="AL2" s="834"/>
      <c r="AM2" s="834" t="s">
        <v>473</v>
      </c>
      <c r="AN2" s="834"/>
      <c r="AO2" s="834"/>
      <c r="AP2" s="834" t="s">
        <v>474</v>
      </c>
      <c r="AQ2" s="834"/>
      <c r="AR2" s="834"/>
      <c r="AS2" s="834" t="s">
        <v>475</v>
      </c>
      <c r="AT2" s="834"/>
      <c r="AU2" s="834"/>
    </row>
    <row r="3" spans="2:47" ht="21" customHeight="1" thickBot="1">
      <c r="F3" s="145"/>
      <c r="L3" s="146"/>
      <c r="M3" s="147" t="s">
        <v>17</v>
      </c>
      <c r="W3" s="888"/>
      <c r="X3" s="888"/>
      <c r="Y3" s="891"/>
      <c r="Z3" s="893"/>
      <c r="AA3" s="598" t="s">
        <v>327</v>
      </c>
      <c r="AB3" s="598" t="s">
        <v>328</v>
      </c>
      <c r="AC3" s="598" t="s">
        <v>329</v>
      </c>
      <c r="AD3" s="598" t="s">
        <v>327</v>
      </c>
      <c r="AE3" s="598" t="s">
        <v>328</v>
      </c>
      <c r="AF3" s="598" t="s">
        <v>329</v>
      </c>
      <c r="AG3" s="598" t="s">
        <v>327</v>
      </c>
      <c r="AH3" s="598" t="s">
        <v>328</v>
      </c>
      <c r="AI3" s="603" t="s">
        <v>329</v>
      </c>
      <c r="AJ3" s="598" t="s">
        <v>327</v>
      </c>
      <c r="AK3" s="598" t="s">
        <v>328</v>
      </c>
      <c r="AL3" s="603" t="s">
        <v>329</v>
      </c>
      <c r="AM3" s="598" t="s">
        <v>327</v>
      </c>
      <c r="AN3" s="598" t="s">
        <v>328</v>
      </c>
      <c r="AO3" s="603" t="s">
        <v>329</v>
      </c>
      <c r="AP3" s="598" t="s">
        <v>327</v>
      </c>
      <c r="AQ3" s="598" t="s">
        <v>328</v>
      </c>
      <c r="AR3" s="603" t="s">
        <v>329</v>
      </c>
      <c r="AS3" s="598" t="s">
        <v>327</v>
      </c>
      <c r="AT3" s="598" t="s">
        <v>328</v>
      </c>
      <c r="AU3" s="603" t="s">
        <v>329</v>
      </c>
    </row>
    <row r="4" spans="2:47" ht="20.100000000000001" customHeight="1">
      <c r="B4" s="870" t="s">
        <v>18</v>
      </c>
      <c r="C4" s="871"/>
      <c r="D4" s="876" t="s">
        <v>19</v>
      </c>
      <c r="E4" s="877"/>
      <c r="F4" s="877"/>
      <c r="G4" s="877"/>
      <c r="H4" s="878"/>
      <c r="I4" s="870" t="s">
        <v>20</v>
      </c>
      <c r="J4" s="871"/>
      <c r="K4" s="871"/>
      <c r="L4" s="871"/>
      <c r="M4" s="882"/>
      <c r="P4" s="228"/>
      <c r="Q4" s="246" t="s">
        <v>232</v>
      </c>
      <c r="R4" s="247" t="s">
        <v>562</v>
      </c>
      <c r="W4" s="348" t="s">
        <v>369</v>
      </c>
      <c r="X4" s="598">
        <f>AA4+AD4+AG4+AJ4+AM4+AP4+AS4</f>
        <v>212656140</v>
      </c>
      <c r="Y4" s="599">
        <f>AA4+AB4+AD4+AE4+AG4+AH4+AJ4+AK4+AM4+AN4+AP4+AQ4+AS4+AT4</f>
        <v>233987005</v>
      </c>
      <c r="Z4" s="600">
        <f>AC4+AF4+AI4+AL4+AO4+AR4+AU4</f>
        <v>235319933</v>
      </c>
      <c r="AA4" s="601"/>
      <c r="AB4" s="601"/>
      <c r="AC4" s="601"/>
      <c r="AD4" s="601">
        <v>0</v>
      </c>
      <c r="AE4" s="601">
        <v>0</v>
      </c>
      <c r="AF4" s="601">
        <v>0</v>
      </c>
      <c r="AG4" s="601">
        <v>0</v>
      </c>
      <c r="AH4" s="601">
        <v>0</v>
      </c>
      <c r="AI4" s="601">
        <v>0</v>
      </c>
      <c r="AJ4" s="601">
        <v>113493220</v>
      </c>
      <c r="AK4" s="601">
        <v>12700000</v>
      </c>
      <c r="AL4" s="601">
        <v>171512171</v>
      </c>
      <c r="AM4" s="601">
        <v>8079000</v>
      </c>
      <c r="AN4" s="601"/>
      <c r="AO4" s="601">
        <v>20011690</v>
      </c>
      <c r="AP4" s="601"/>
      <c r="AQ4" s="601"/>
      <c r="AR4" s="601">
        <v>20</v>
      </c>
      <c r="AS4" s="601">
        <v>91083920</v>
      </c>
      <c r="AT4" s="601">
        <v>8630865</v>
      </c>
      <c r="AU4" s="601">
        <v>43796052</v>
      </c>
    </row>
    <row r="5" spans="2:47" ht="20.100000000000001" customHeight="1">
      <c r="B5" s="872"/>
      <c r="C5" s="873"/>
      <c r="D5" s="45" t="s">
        <v>1200</v>
      </c>
      <c r="E5" s="879" t="s">
        <v>1200</v>
      </c>
      <c r="F5" s="879"/>
      <c r="G5" s="879" t="s">
        <v>21</v>
      </c>
      <c r="H5" s="880"/>
      <c r="I5" s="45" t="s">
        <v>1200</v>
      </c>
      <c r="J5" s="879" t="s">
        <v>1200</v>
      </c>
      <c r="K5" s="879"/>
      <c r="L5" s="883" t="s">
        <v>21</v>
      </c>
      <c r="M5" s="884"/>
      <c r="P5" s="228"/>
      <c r="Q5" s="246"/>
      <c r="R5" s="247" t="s">
        <v>233</v>
      </c>
      <c r="T5" s="228" t="s">
        <v>276</v>
      </c>
      <c r="U5" s="550">
        <f>R17</f>
        <v>9277573</v>
      </c>
      <c r="W5" s="348" t="s">
        <v>370</v>
      </c>
      <c r="X5" s="598">
        <f t="shared" ref="X5:X23" si="0">AA5+AD5+AG5+AJ5+AM5+AP5+AS5</f>
        <v>169118080</v>
      </c>
      <c r="Y5" s="599">
        <f t="shared" ref="Y5:Y23" si="1">AA5+AB5+AD5+AE5+AG5+AH5+AJ5+AK5+AM5+AN5+AP5+AQ5+AS5+AT5</f>
        <v>175519881</v>
      </c>
      <c r="Z5" s="600">
        <f t="shared" ref="Z5:Z23" si="2">AC5+AF5+AI5+AL5+AO5+AR5+AU5</f>
        <v>173814024</v>
      </c>
      <c r="AA5" s="601"/>
      <c r="AB5" s="601"/>
      <c r="AC5" s="601"/>
      <c r="AD5" s="601">
        <v>0</v>
      </c>
      <c r="AE5" s="601">
        <v>0</v>
      </c>
      <c r="AF5" s="601">
        <v>0</v>
      </c>
      <c r="AG5" s="601">
        <v>0</v>
      </c>
      <c r="AH5" s="601">
        <v>0</v>
      </c>
      <c r="AI5" s="601">
        <v>0</v>
      </c>
      <c r="AJ5" s="601">
        <v>154789950</v>
      </c>
      <c r="AK5" s="601">
        <v>6250000</v>
      </c>
      <c r="AL5" s="601">
        <v>152286333</v>
      </c>
      <c r="AM5" s="601"/>
      <c r="AN5" s="601"/>
      <c r="AO5" s="601">
        <v>11957760</v>
      </c>
      <c r="AP5" s="601"/>
      <c r="AQ5" s="601"/>
      <c r="AR5" s="601"/>
      <c r="AS5" s="601">
        <v>14328130</v>
      </c>
      <c r="AT5" s="601">
        <v>151801</v>
      </c>
      <c r="AU5" s="601">
        <v>9569931</v>
      </c>
    </row>
    <row r="6" spans="2:47" ht="20.100000000000001" customHeight="1">
      <c r="B6" s="872"/>
      <c r="C6" s="873"/>
      <c r="D6" s="864" t="s">
        <v>22</v>
      </c>
      <c r="E6" s="860" t="s">
        <v>23</v>
      </c>
      <c r="F6" s="862" t="s">
        <v>22</v>
      </c>
      <c r="G6" s="862" t="s">
        <v>24</v>
      </c>
      <c r="H6" s="863" t="s">
        <v>25</v>
      </c>
      <c r="I6" s="864" t="s">
        <v>22</v>
      </c>
      <c r="J6" s="868" t="s">
        <v>23</v>
      </c>
      <c r="K6" s="849" t="s">
        <v>22</v>
      </c>
      <c r="L6" s="851" t="s">
        <v>26</v>
      </c>
      <c r="M6" s="885" t="s">
        <v>25</v>
      </c>
      <c r="P6" s="228"/>
      <c r="Q6" s="246" t="s">
        <v>234</v>
      </c>
      <c r="R6" s="551">
        <v>1663917476</v>
      </c>
      <c r="T6" s="228"/>
      <c r="U6" s="228"/>
      <c r="W6" s="348" t="s">
        <v>371</v>
      </c>
      <c r="X6" s="598">
        <f t="shared" si="0"/>
        <v>155754465</v>
      </c>
      <c r="Y6" s="599">
        <f t="shared" si="1"/>
        <v>160280554</v>
      </c>
      <c r="Z6" s="600">
        <f t="shared" si="2"/>
        <v>156842865</v>
      </c>
      <c r="AA6" s="601"/>
      <c r="AB6" s="601"/>
      <c r="AC6" s="601"/>
      <c r="AD6" s="601">
        <v>0</v>
      </c>
      <c r="AE6" s="601">
        <v>0</v>
      </c>
      <c r="AF6" s="601">
        <v>0</v>
      </c>
      <c r="AG6" s="601">
        <v>0</v>
      </c>
      <c r="AH6" s="601">
        <v>0</v>
      </c>
      <c r="AI6" s="601">
        <v>0</v>
      </c>
      <c r="AJ6" s="601">
        <v>92432965</v>
      </c>
      <c r="AK6" s="601">
        <v>4000000</v>
      </c>
      <c r="AL6" s="601">
        <v>137225664</v>
      </c>
      <c r="AM6" s="601"/>
      <c r="AN6" s="601">
        <v>73</v>
      </c>
      <c r="AO6" s="601">
        <v>11427700</v>
      </c>
      <c r="AP6" s="601"/>
      <c r="AQ6" s="601">
        <v>15</v>
      </c>
      <c r="AR6" s="601">
        <v>32000</v>
      </c>
      <c r="AS6" s="601">
        <v>63321500</v>
      </c>
      <c r="AT6" s="601">
        <v>526001</v>
      </c>
      <c r="AU6" s="601">
        <v>8157501</v>
      </c>
    </row>
    <row r="7" spans="2:47" ht="20.100000000000001" customHeight="1" thickBot="1">
      <c r="B7" s="874"/>
      <c r="C7" s="875"/>
      <c r="D7" s="881"/>
      <c r="E7" s="861"/>
      <c r="F7" s="850"/>
      <c r="G7" s="850"/>
      <c r="H7" s="852"/>
      <c r="I7" s="865"/>
      <c r="J7" s="861"/>
      <c r="K7" s="850"/>
      <c r="L7" s="852"/>
      <c r="M7" s="886"/>
      <c r="P7" s="228"/>
      <c r="Q7" s="246" t="s">
        <v>235</v>
      </c>
      <c r="R7" s="555">
        <v>1520618605</v>
      </c>
      <c r="T7" s="228" t="s">
        <v>271</v>
      </c>
      <c r="U7" s="552">
        <f>R6+R21+R27+R28+R20+R29</f>
        <v>1685272347</v>
      </c>
      <c r="W7" s="348" t="s">
        <v>372</v>
      </c>
      <c r="X7" s="598">
        <f t="shared" si="0"/>
        <v>189600180</v>
      </c>
      <c r="Y7" s="599">
        <f t="shared" si="1"/>
        <v>200650180</v>
      </c>
      <c r="Z7" s="600">
        <f t="shared" si="2"/>
        <v>206048154</v>
      </c>
      <c r="AA7" s="601"/>
      <c r="AB7" s="601"/>
      <c r="AC7" s="601"/>
      <c r="AD7" s="601">
        <v>0</v>
      </c>
      <c r="AE7" s="601">
        <v>0</v>
      </c>
      <c r="AF7" s="601">
        <v>0</v>
      </c>
      <c r="AG7" s="601">
        <v>0</v>
      </c>
      <c r="AH7" s="601">
        <v>0</v>
      </c>
      <c r="AI7" s="601">
        <v>0</v>
      </c>
      <c r="AJ7" s="601">
        <v>84019170</v>
      </c>
      <c r="AK7" s="601">
        <v>11050000</v>
      </c>
      <c r="AL7" s="601">
        <v>192912204</v>
      </c>
      <c r="AM7" s="601">
        <v>8600000</v>
      </c>
      <c r="AN7" s="601"/>
      <c r="AO7" s="601">
        <v>1000900</v>
      </c>
      <c r="AP7" s="601"/>
      <c r="AQ7" s="601"/>
      <c r="AR7" s="601">
        <v>40</v>
      </c>
      <c r="AS7" s="601">
        <v>96981010</v>
      </c>
      <c r="AT7" s="601"/>
      <c r="AU7" s="601">
        <v>12135010</v>
      </c>
    </row>
    <row r="8" spans="2:47" ht="20.100000000000001" customHeight="1">
      <c r="B8" s="729">
        <v>1</v>
      </c>
      <c r="C8" s="724" t="s">
        <v>27</v>
      </c>
      <c r="D8" s="380">
        <v>66443325</v>
      </c>
      <c r="E8" s="381">
        <v>30198320</v>
      </c>
      <c r="F8" s="443">
        <v>30198320</v>
      </c>
      <c r="G8" s="382">
        <f>F8/D8</f>
        <v>0.45449742317983033</v>
      </c>
      <c r="H8" s="382">
        <f t="shared" ref="H8:H23" si="3">F8/E8</f>
        <v>1</v>
      </c>
      <c r="I8" s="380">
        <v>98132972.727272719</v>
      </c>
      <c r="J8" s="381">
        <v>30198320</v>
      </c>
      <c r="K8" s="381">
        <v>23611690</v>
      </c>
      <c r="L8" s="384">
        <f t="shared" ref="L8:L22" si="4">K8/I8</f>
        <v>0.24060913823145536</v>
      </c>
      <c r="M8" s="383">
        <f t="shared" ref="M8:M25" si="5">K8/J8</f>
        <v>0.78188753546554912</v>
      </c>
      <c r="P8" s="228"/>
      <c r="Q8" s="246" t="s">
        <v>229</v>
      </c>
      <c r="R8" s="700">
        <f>R7/R6</f>
        <v>0.91387861894179656</v>
      </c>
      <c r="T8" s="228"/>
      <c r="U8" s="228"/>
      <c r="W8" s="348" t="s">
        <v>373</v>
      </c>
      <c r="X8" s="598">
        <f t="shared" si="0"/>
        <v>217581573</v>
      </c>
      <c r="Y8" s="599">
        <f t="shared" si="1"/>
        <v>220779143</v>
      </c>
      <c r="Z8" s="600">
        <f t="shared" si="2"/>
        <v>219618797</v>
      </c>
      <c r="AA8" s="601"/>
      <c r="AB8" s="601"/>
      <c r="AC8" s="601"/>
      <c r="AD8" s="601">
        <v>0</v>
      </c>
      <c r="AE8" s="601">
        <v>0</v>
      </c>
      <c r="AF8" s="601">
        <v>0</v>
      </c>
      <c r="AG8" s="601">
        <v>0</v>
      </c>
      <c r="AH8" s="601">
        <v>0</v>
      </c>
      <c r="AI8" s="601">
        <v>0</v>
      </c>
      <c r="AJ8" s="601">
        <v>185583498</v>
      </c>
      <c r="AK8" s="601">
        <v>3189490</v>
      </c>
      <c r="AL8" s="601">
        <v>201368542</v>
      </c>
      <c r="AM8" s="601">
        <v>1123250</v>
      </c>
      <c r="AN8" s="601"/>
      <c r="AO8" s="601">
        <v>11949350</v>
      </c>
      <c r="AP8" s="601"/>
      <c r="AQ8" s="601"/>
      <c r="AR8" s="601"/>
      <c r="AS8" s="601">
        <v>30874825</v>
      </c>
      <c r="AT8" s="601">
        <v>8080</v>
      </c>
      <c r="AU8" s="601">
        <v>6300905</v>
      </c>
    </row>
    <row r="9" spans="2:47" ht="20.100000000000001" customHeight="1">
      <c r="B9" s="729"/>
      <c r="C9" s="725" t="s">
        <v>29</v>
      </c>
      <c r="D9" s="385">
        <v>100904816</v>
      </c>
      <c r="E9" s="386">
        <f>ROUND($R$6/11,0)</f>
        <v>151265225</v>
      </c>
      <c r="F9" s="444">
        <v>36754325</v>
      </c>
      <c r="G9" s="387">
        <f t="shared" ref="G9:G22" si="6">F9/D9</f>
        <v>0.36424748051668815</v>
      </c>
      <c r="H9" s="387">
        <f t="shared" si="3"/>
        <v>0.2429793430710859</v>
      </c>
      <c r="I9" s="385">
        <v>79494567.272727266</v>
      </c>
      <c r="J9" s="386">
        <f>ROUND($R$6/11,0)</f>
        <v>151265225</v>
      </c>
      <c r="K9" s="386">
        <v>68530206</v>
      </c>
      <c r="L9" s="383">
        <f t="shared" si="4"/>
        <v>0.86207408067131042</v>
      </c>
      <c r="M9" s="383">
        <f t="shared" si="5"/>
        <v>0.4530466668727065</v>
      </c>
      <c r="P9" s="228"/>
      <c r="Q9" s="246" t="s">
        <v>236</v>
      </c>
      <c r="R9" s="248">
        <f>R6-R7</f>
        <v>143298871</v>
      </c>
      <c r="T9" s="228" t="s">
        <v>272</v>
      </c>
      <c r="U9" s="554">
        <f>R7+R11-R22-R23-R24-R26</f>
        <v>1645616988</v>
      </c>
      <c r="W9" s="348" t="s">
        <v>374</v>
      </c>
      <c r="X9" s="598">
        <f t="shared" si="0"/>
        <v>150155557</v>
      </c>
      <c r="Y9" s="599">
        <f t="shared" si="1"/>
        <v>179060713</v>
      </c>
      <c r="Z9" s="600">
        <f t="shared" si="2"/>
        <v>165947203</v>
      </c>
      <c r="AA9" s="601">
        <v>84648000</v>
      </c>
      <c r="AB9" s="601">
        <v>181</v>
      </c>
      <c r="AC9" s="601">
        <v>83907590</v>
      </c>
      <c r="AD9" s="601">
        <v>0</v>
      </c>
      <c r="AE9" s="601">
        <v>0</v>
      </c>
      <c r="AF9" s="601">
        <v>0</v>
      </c>
      <c r="AG9" s="601">
        <v>0</v>
      </c>
      <c r="AH9" s="601">
        <v>0</v>
      </c>
      <c r="AI9" s="601">
        <v>0</v>
      </c>
      <c r="AJ9" s="601">
        <v>31110607</v>
      </c>
      <c r="AK9" s="601">
        <v>28702464</v>
      </c>
      <c r="AL9" s="601">
        <v>50301039</v>
      </c>
      <c r="AM9" s="601"/>
      <c r="AN9" s="601">
        <v>3</v>
      </c>
      <c r="AO9" s="601">
        <v>900</v>
      </c>
      <c r="AP9" s="601"/>
      <c r="AQ9" s="601">
        <v>8</v>
      </c>
      <c r="AR9" s="601"/>
      <c r="AS9" s="601">
        <v>34396950</v>
      </c>
      <c r="AT9" s="601">
        <v>202500</v>
      </c>
      <c r="AU9" s="601">
        <v>31737674</v>
      </c>
    </row>
    <row r="10" spans="2:47" ht="20.100000000000001" customHeight="1">
      <c r="B10" s="729" t="s">
        <v>28</v>
      </c>
      <c r="C10" s="726" t="s">
        <v>30</v>
      </c>
      <c r="D10" s="388">
        <v>139997112</v>
      </c>
      <c r="E10" s="389">
        <f>ROUND($R$6/11,0)</f>
        <v>151265225</v>
      </c>
      <c r="F10" s="445">
        <v>132265225</v>
      </c>
      <c r="G10" s="390">
        <f t="shared" si="6"/>
        <v>0.94477109642090329</v>
      </c>
      <c r="H10" s="390">
        <f t="shared" si="3"/>
        <v>0.8743928090544274</v>
      </c>
      <c r="I10" s="388">
        <v>71367272.727272719</v>
      </c>
      <c r="J10" s="389">
        <f>ROUND($R$6/11,0)</f>
        <v>151265225</v>
      </c>
      <c r="K10" s="389">
        <v>113474428</v>
      </c>
      <c r="L10" s="391">
        <f t="shared" si="4"/>
        <v>1.5900065066748192</v>
      </c>
      <c r="M10" s="383">
        <f t="shared" si="5"/>
        <v>0.75016863922292776</v>
      </c>
      <c r="P10" s="228"/>
      <c r="Q10" s="246" t="s">
        <v>230</v>
      </c>
      <c r="R10" s="700">
        <f>R9/R6</f>
        <v>8.6121381058203397E-2</v>
      </c>
      <c r="T10" s="563" t="s">
        <v>565</v>
      </c>
      <c r="U10" s="554">
        <v>0</v>
      </c>
      <c r="W10" s="348" t="s">
        <v>375</v>
      </c>
      <c r="X10" s="598">
        <f t="shared" si="0"/>
        <v>258797709</v>
      </c>
      <c r="Y10" s="599">
        <f t="shared" si="1"/>
        <v>296290686</v>
      </c>
      <c r="Z10" s="600">
        <f t="shared" si="2"/>
        <v>304701635</v>
      </c>
      <c r="AA10" s="601">
        <v>249721570</v>
      </c>
      <c r="AB10" s="601">
        <v>37492710</v>
      </c>
      <c r="AC10" s="601">
        <v>304701615</v>
      </c>
      <c r="AD10" s="601">
        <v>0</v>
      </c>
      <c r="AE10" s="601">
        <v>0</v>
      </c>
      <c r="AF10" s="601">
        <v>0</v>
      </c>
      <c r="AG10" s="601">
        <v>0</v>
      </c>
      <c r="AH10" s="601">
        <v>0</v>
      </c>
      <c r="AI10" s="601">
        <v>0</v>
      </c>
      <c r="AJ10" s="601">
        <v>6183500</v>
      </c>
      <c r="AK10" s="601">
        <v>0</v>
      </c>
      <c r="AL10" s="601">
        <v>0</v>
      </c>
      <c r="AM10" s="601">
        <v>1116139</v>
      </c>
      <c r="AN10" s="601"/>
      <c r="AO10" s="601"/>
      <c r="AP10" s="601"/>
      <c r="AQ10" s="601"/>
      <c r="AR10" s="601">
        <v>20</v>
      </c>
      <c r="AS10" s="601">
        <v>1776500</v>
      </c>
      <c r="AT10" s="601">
        <v>267</v>
      </c>
      <c r="AU10" s="601">
        <v>0</v>
      </c>
    </row>
    <row r="11" spans="2:47" ht="39.950000000000003" customHeight="1" thickBot="1">
      <c r="B11" s="729" t="s">
        <v>31</v>
      </c>
      <c r="C11" s="727" t="s">
        <v>32</v>
      </c>
      <c r="D11" s="506">
        <f>SUM(D8:D10)</f>
        <v>307345253</v>
      </c>
      <c r="E11" s="459">
        <f>SUM(E8:E10)</f>
        <v>332728770</v>
      </c>
      <c r="F11" s="507">
        <f>SUM(F8:F10)</f>
        <v>199217870</v>
      </c>
      <c r="G11" s="393">
        <f t="shared" si="6"/>
        <v>0.64818918807247694</v>
      </c>
      <c r="H11" s="393">
        <f t="shared" si="3"/>
        <v>0.59873953791251655</v>
      </c>
      <c r="I11" s="508">
        <f>SUM(I8:I10)</f>
        <v>248994812.72727272</v>
      </c>
      <c r="J11" s="459">
        <f>SUM(J8:J10)</f>
        <v>332728770</v>
      </c>
      <c r="K11" s="507">
        <f>SUM(K8:K10)</f>
        <v>205616324</v>
      </c>
      <c r="L11" s="395">
        <f>K11/I11</f>
        <v>0.82578557259027818</v>
      </c>
      <c r="M11" s="394">
        <f t="shared" si="5"/>
        <v>0.61796977760594618</v>
      </c>
      <c r="P11" s="228"/>
      <c r="Q11" s="246" t="s">
        <v>237</v>
      </c>
      <c r="R11" s="556">
        <v>124998383</v>
      </c>
      <c r="T11" s="228" t="s">
        <v>274</v>
      </c>
      <c r="U11" s="559">
        <f>R47</f>
        <v>1380200</v>
      </c>
      <c r="W11" s="348" t="s">
        <v>376</v>
      </c>
      <c r="X11" s="598">
        <f t="shared" si="0"/>
        <v>142179480</v>
      </c>
      <c r="Y11" s="599">
        <f t="shared" si="1"/>
        <v>142179764</v>
      </c>
      <c r="Z11" s="600">
        <f t="shared" si="2"/>
        <v>147284049</v>
      </c>
      <c r="AA11" s="601">
        <v>141677600</v>
      </c>
      <c r="AB11" s="601"/>
      <c r="AC11" s="601">
        <v>124125469</v>
      </c>
      <c r="AD11" s="601">
        <v>0</v>
      </c>
      <c r="AE11" s="601">
        <v>0</v>
      </c>
      <c r="AF11" s="601">
        <v>0</v>
      </c>
      <c r="AG11" s="601">
        <v>0</v>
      </c>
      <c r="AH11" s="601">
        <v>0</v>
      </c>
      <c r="AI11" s="601">
        <v>0</v>
      </c>
      <c r="AJ11" s="601">
        <v>0</v>
      </c>
      <c r="AK11" s="601">
        <v>0</v>
      </c>
      <c r="AL11" s="601">
        <v>18258236</v>
      </c>
      <c r="AM11" s="601"/>
      <c r="AN11" s="601"/>
      <c r="AO11" s="601"/>
      <c r="AP11" s="601"/>
      <c r="AQ11" s="601"/>
      <c r="AR11" s="601"/>
      <c r="AS11" s="601">
        <v>501880</v>
      </c>
      <c r="AT11" s="601">
        <v>284</v>
      </c>
      <c r="AU11" s="601">
        <v>4900344</v>
      </c>
    </row>
    <row r="12" spans="2:47" ht="20.100000000000001" customHeight="1">
      <c r="B12" s="730">
        <v>2</v>
      </c>
      <c r="C12" s="724" t="s">
        <v>33</v>
      </c>
      <c r="D12" s="385">
        <v>53143810</v>
      </c>
      <c r="E12" s="381">
        <f>ROUND($R$6/11,0)</f>
        <v>151265225</v>
      </c>
      <c r="F12" s="381">
        <v>114485701</v>
      </c>
      <c r="G12" s="387">
        <f t="shared" si="6"/>
        <v>2.1542621991159461</v>
      </c>
      <c r="H12" s="387">
        <f t="shared" si="3"/>
        <v>0.75685406873919636</v>
      </c>
      <c r="I12" s="396">
        <v>129554840.90909089</v>
      </c>
      <c r="J12" s="381">
        <f>ROUND($R$6/11,0)</f>
        <v>151265225</v>
      </c>
      <c r="K12" s="386">
        <v>206221820</v>
      </c>
      <c r="L12" s="383">
        <f t="shared" si="4"/>
        <v>1.5917723996489379</v>
      </c>
      <c r="M12" s="383">
        <f t="shared" si="5"/>
        <v>1.3633128169412367</v>
      </c>
      <c r="P12" s="228"/>
      <c r="Q12" s="246" t="s">
        <v>231</v>
      </c>
      <c r="R12" s="700">
        <f>R11/R6</f>
        <v>7.51229461814968E-2</v>
      </c>
      <c r="T12" s="228"/>
      <c r="U12" s="158"/>
      <c r="W12" s="348" t="s">
        <v>377</v>
      </c>
      <c r="X12" s="598">
        <f t="shared" si="0"/>
        <v>136663444</v>
      </c>
      <c r="Y12" s="599">
        <f t="shared" si="1"/>
        <v>145904005</v>
      </c>
      <c r="Z12" s="600">
        <f t="shared" si="2"/>
        <v>146829836</v>
      </c>
      <c r="AA12" s="601">
        <v>129054564</v>
      </c>
      <c r="AB12" s="601">
        <v>9240452</v>
      </c>
      <c r="AC12" s="601">
        <v>142365266</v>
      </c>
      <c r="AD12" s="601">
        <v>0</v>
      </c>
      <c r="AE12" s="601">
        <v>0</v>
      </c>
      <c r="AF12" s="601">
        <v>0</v>
      </c>
      <c r="AG12" s="601">
        <v>0</v>
      </c>
      <c r="AH12" s="601">
        <v>0</v>
      </c>
      <c r="AI12" s="601">
        <v>0</v>
      </c>
      <c r="AJ12" s="601">
        <v>1848880</v>
      </c>
      <c r="AK12" s="601">
        <v>0</v>
      </c>
      <c r="AL12" s="601">
        <v>1751500</v>
      </c>
      <c r="AM12" s="601"/>
      <c r="AN12" s="601">
        <v>1</v>
      </c>
      <c r="AO12" s="601"/>
      <c r="AP12" s="601"/>
      <c r="AQ12" s="601">
        <v>8</v>
      </c>
      <c r="AR12" s="601"/>
      <c r="AS12" s="601">
        <v>5760000</v>
      </c>
      <c r="AT12" s="601">
        <v>100</v>
      </c>
      <c r="AU12" s="601">
        <v>2713070</v>
      </c>
    </row>
    <row r="13" spans="2:47" ht="20.100000000000001" customHeight="1">
      <c r="B13" s="729" t="s">
        <v>28</v>
      </c>
      <c r="C13" s="725" t="s">
        <v>34</v>
      </c>
      <c r="D13" s="385">
        <v>82379091</v>
      </c>
      <c r="E13" s="386">
        <f>ROUND($R$6/11,0)</f>
        <v>151265225</v>
      </c>
      <c r="F13" s="386"/>
      <c r="G13" s="387">
        <f t="shared" si="6"/>
        <v>0</v>
      </c>
      <c r="H13" s="387">
        <f t="shared" si="3"/>
        <v>0</v>
      </c>
      <c r="I13" s="397">
        <v>93603228.181818172</v>
      </c>
      <c r="J13" s="386">
        <f>ROUND($R$6/11,0)</f>
        <v>151265225</v>
      </c>
      <c r="K13" s="398"/>
      <c r="L13" s="383">
        <f t="shared" si="4"/>
        <v>0</v>
      </c>
      <c r="M13" s="383">
        <f t="shared" si="5"/>
        <v>0</v>
      </c>
      <c r="P13" s="228"/>
      <c r="Q13" s="246" t="s">
        <v>238</v>
      </c>
      <c r="R13" s="249">
        <f>R9-R11</f>
        <v>18300488</v>
      </c>
      <c r="T13" s="228" t="s">
        <v>278</v>
      </c>
      <c r="U13" s="250">
        <f>U5+U7-U9-U11-U10</f>
        <v>47552732</v>
      </c>
      <c r="W13" s="348" t="s">
        <v>378</v>
      </c>
      <c r="X13" s="598">
        <f t="shared" si="0"/>
        <v>228469584</v>
      </c>
      <c r="Y13" s="599">
        <f t="shared" si="1"/>
        <v>241284464</v>
      </c>
      <c r="Z13" s="600">
        <f t="shared" si="2"/>
        <v>237237850</v>
      </c>
      <c r="AA13" s="601">
        <v>180580584</v>
      </c>
      <c r="AB13" s="601">
        <v>2746605</v>
      </c>
      <c r="AC13" s="601">
        <v>179848191</v>
      </c>
      <c r="AD13" s="601">
        <v>0</v>
      </c>
      <c r="AE13" s="601">
        <v>0</v>
      </c>
      <c r="AF13" s="601">
        <v>0</v>
      </c>
      <c r="AG13" s="601">
        <v>0</v>
      </c>
      <c r="AH13" s="601">
        <v>0</v>
      </c>
      <c r="AI13" s="601">
        <v>0</v>
      </c>
      <c r="AJ13" s="601">
        <v>43176000</v>
      </c>
      <c r="AK13" s="601">
        <v>9300000</v>
      </c>
      <c r="AL13" s="601">
        <v>52402880</v>
      </c>
      <c r="AM13" s="601"/>
      <c r="AN13" s="601"/>
      <c r="AO13" s="601">
        <v>2352840</v>
      </c>
      <c r="AP13" s="601"/>
      <c r="AQ13" s="601"/>
      <c r="AR13" s="601">
        <v>30500</v>
      </c>
      <c r="AS13" s="601">
        <v>4713000</v>
      </c>
      <c r="AT13" s="601">
        <v>768275</v>
      </c>
      <c r="AU13" s="601">
        <v>2603439</v>
      </c>
    </row>
    <row r="14" spans="2:47" ht="24" customHeight="1">
      <c r="B14" s="729">
        <v>4</v>
      </c>
      <c r="C14" s="726" t="s">
        <v>35</v>
      </c>
      <c r="D14" s="388">
        <v>136754019</v>
      </c>
      <c r="E14" s="389">
        <f>ROUND($R$6/11,0)</f>
        <v>151265225</v>
      </c>
      <c r="F14" s="389"/>
      <c r="G14" s="387">
        <f t="shared" si="6"/>
        <v>0</v>
      </c>
      <c r="H14" s="387">
        <f t="shared" si="3"/>
        <v>0</v>
      </c>
      <c r="I14" s="388">
        <v>101482867.27272727</v>
      </c>
      <c r="J14" s="389">
        <f>ROUND($R$6/11,0)</f>
        <v>151265225</v>
      </c>
      <c r="K14" s="389"/>
      <c r="L14" s="383">
        <f t="shared" si="4"/>
        <v>0</v>
      </c>
      <c r="M14" s="383">
        <f t="shared" si="5"/>
        <v>0</v>
      </c>
      <c r="T14" s="701" t="s">
        <v>416</v>
      </c>
      <c r="U14" s="702">
        <f>U13-R48</f>
        <v>0</v>
      </c>
      <c r="W14" s="348" t="s">
        <v>379</v>
      </c>
      <c r="X14" s="598">
        <f t="shared" si="0"/>
        <v>116123770</v>
      </c>
      <c r="Y14" s="599">
        <f t="shared" si="1"/>
        <v>161928512</v>
      </c>
      <c r="Z14" s="600">
        <f t="shared" si="2"/>
        <v>150001372</v>
      </c>
      <c r="AA14" s="601">
        <v>107998520</v>
      </c>
      <c r="AB14" s="601">
        <v>45804740</v>
      </c>
      <c r="AC14" s="601">
        <v>142380924</v>
      </c>
      <c r="AD14" s="601">
        <v>0</v>
      </c>
      <c r="AE14" s="601">
        <v>0</v>
      </c>
      <c r="AF14" s="601">
        <v>0</v>
      </c>
      <c r="AG14" s="601">
        <v>0</v>
      </c>
      <c r="AH14" s="601">
        <v>0</v>
      </c>
      <c r="AI14" s="601">
        <v>0</v>
      </c>
      <c r="AJ14" s="601">
        <v>4700000</v>
      </c>
      <c r="AK14" s="601"/>
      <c r="AL14" s="601">
        <v>4700000</v>
      </c>
      <c r="AM14" s="601"/>
      <c r="AN14" s="601"/>
      <c r="AO14" s="601">
        <v>2185276</v>
      </c>
      <c r="AP14" s="601"/>
      <c r="AQ14" s="601"/>
      <c r="AR14" s="601">
        <v>20</v>
      </c>
      <c r="AS14" s="601">
        <v>3425250</v>
      </c>
      <c r="AT14" s="601">
        <v>2</v>
      </c>
      <c r="AU14" s="601">
        <v>735152</v>
      </c>
    </row>
    <row r="15" spans="2:47" ht="39.950000000000003" customHeight="1" thickBot="1">
      <c r="B15" s="731" t="s">
        <v>31</v>
      </c>
      <c r="C15" s="728" t="s">
        <v>32</v>
      </c>
      <c r="D15" s="508">
        <f>SUM(D12:D14)</f>
        <v>272276920</v>
      </c>
      <c r="E15" s="392">
        <f>SUM(E12:E14)</f>
        <v>453795675</v>
      </c>
      <c r="F15" s="507">
        <f>SUM(F12:F14)</f>
        <v>114485701</v>
      </c>
      <c r="G15" s="399">
        <f>F15/D15</f>
        <v>0.42047523161346179</v>
      </c>
      <c r="H15" s="399">
        <f t="shared" si="3"/>
        <v>0.2522846895797321</v>
      </c>
      <c r="I15" s="508">
        <f>SUM(I12:I14)</f>
        <v>324640936.36363631</v>
      </c>
      <c r="J15" s="392">
        <f>SUM(J12:J14)</f>
        <v>453795675</v>
      </c>
      <c r="K15" s="507">
        <f>SUM(K12:K14)</f>
        <v>206221820</v>
      </c>
      <c r="L15" s="394">
        <f>K15/I15</f>
        <v>0.63523048667222648</v>
      </c>
      <c r="M15" s="394">
        <f t="shared" si="5"/>
        <v>0.45443760564707897</v>
      </c>
      <c r="P15" s="835" t="s">
        <v>232</v>
      </c>
      <c r="Q15" s="835"/>
      <c r="R15" s="229" t="s">
        <v>563</v>
      </c>
      <c r="W15" s="348" t="s">
        <v>380</v>
      </c>
      <c r="X15" s="598">
        <f t="shared" si="0"/>
        <v>169189420</v>
      </c>
      <c r="Y15" s="599">
        <f t="shared" si="1"/>
        <v>172844655</v>
      </c>
      <c r="Z15" s="600">
        <f t="shared" si="2"/>
        <v>185346552</v>
      </c>
      <c r="AA15" s="601">
        <v>168474220</v>
      </c>
      <c r="AB15" s="601">
        <v>2539276</v>
      </c>
      <c r="AC15" s="601">
        <v>183515419</v>
      </c>
      <c r="AD15" s="601">
        <v>0</v>
      </c>
      <c r="AE15" s="601">
        <v>0</v>
      </c>
      <c r="AF15" s="601">
        <v>0</v>
      </c>
      <c r="AG15" s="601">
        <v>0</v>
      </c>
      <c r="AH15" s="601">
        <v>0</v>
      </c>
      <c r="AI15" s="602">
        <v>0</v>
      </c>
      <c r="AJ15" s="601"/>
      <c r="AK15" s="601">
        <v>1113118</v>
      </c>
      <c r="AL15" s="602">
        <v>1113118</v>
      </c>
      <c r="AM15" s="601">
        <v>331500</v>
      </c>
      <c r="AN15" s="601">
        <v>15</v>
      </c>
      <c r="AO15" s="602">
        <v>330515</v>
      </c>
      <c r="AP15" s="601"/>
      <c r="AQ15" s="601">
        <v>2</v>
      </c>
      <c r="AR15" s="602"/>
      <c r="AS15" s="601">
        <v>383700</v>
      </c>
      <c r="AT15" s="601">
        <v>2824</v>
      </c>
      <c r="AU15" s="602">
        <v>387500</v>
      </c>
    </row>
    <row r="16" spans="2:47" ht="21" customHeight="1">
      <c r="B16" s="730">
        <v>3</v>
      </c>
      <c r="C16" s="724" t="s">
        <v>36</v>
      </c>
      <c r="D16" s="380">
        <v>115637750</v>
      </c>
      <c r="E16" s="381">
        <f>ROUND($R$6/11,0)</f>
        <v>151265225</v>
      </c>
      <c r="F16" s="381"/>
      <c r="G16" s="387">
        <f t="shared" si="6"/>
        <v>0</v>
      </c>
      <c r="H16" s="387">
        <f t="shared" si="3"/>
        <v>0</v>
      </c>
      <c r="I16" s="380">
        <v>134079081.81818181</v>
      </c>
      <c r="J16" s="381">
        <f>ROUND($R$6/11,0)</f>
        <v>151265225</v>
      </c>
      <c r="K16" s="386"/>
      <c r="L16" s="383">
        <f t="shared" si="4"/>
        <v>0</v>
      </c>
      <c r="M16" s="383">
        <f t="shared" si="5"/>
        <v>0</v>
      </c>
      <c r="O16" s="67" t="b">
        <f>K16='2-2.자금수지 실적 명세표'!C12</f>
        <v>0</v>
      </c>
      <c r="P16" s="835"/>
      <c r="Q16" s="835"/>
      <c r="R16" s="230" t="s">
        <v>564</v>
      </c>
      <c r="W16" s="348" t="s">
        <v>381</v>
      </c>
      <c r="X16" s="598">
        <f t="shared" si="0"/>
        <v>107946270</v>
      </c>
      <c r="Y16" s="599">
        <f t="shared" si="1"/>
        <v>112806596</v>
      </c>
      <c r="Z16" s="600">
        <f t="shared" si="2"/>
        <v>112766959</v>
      </c>
      <c r="AA16" s="601">
        <v>104438620</v>
      </c>
      <c r="AB16" s="601">
        <v>4860326</v>
      </c>
      <c r="AC16" s="601">
        <v>109262089</v>
      </c>
      <c r="AD16" s="601"/>
      <c r="AE16" s="601"/>
      <c r="AF16" s="601"/>
      <c r="AG16" s="601">
        <v>0</v>
      </c>
      <c r="AH16" s="601">
        <v>0</v>
      </c>
      <c r="AI16" s="602">
        <v>0</v>
      </c>
      <c r="AJ16" s="601">
        <v>64350</v>
      </c>
      <c r="AK16" s="601"/>
      <c r="AL16" s="602">
        <v>64350</v>
      </c>
      <c r="AM16" s="601"/>
      <c r="AN16" s="601"/>
      <c r="AO16" s="602"/>
      <c r="AP16" s="601"/>
      <c r="AQ16" s="601"/>
      <c r="AR16" s="602">
        <v>20</v>
      </c>
      <c r="AS16" s="601">
        <v>3443300</v>
      </c>
      <c r="AT16" s="601"/>
      <c r="AU16" s="602">
        <v>3440500</v>
      </c>
    </row>
    <row r="17" spans="1:47" ht="20.100000000000001" customHeight="1">
      <c r="B17" s="729" t="s">
        <v>28</v>
      </c>
      <c r="C17" s="725" t="s">
        <v>37</v>
      </c>
      <c r="D17" s="400">
        <v>179684041</v>
      </c>
      <c r="E17" s="386">
        <f>ROUND($R$6/11,0)</f>
        <v>151265225</v>
      </c>
      <c r="F17" s="386"/>
      <c r="G17" s="387">
        <f t="shared" si="6"/>
        <v>0</v>
      </c>
      <c r="H17" s="387">
        <f t="shared" si="3"/>
        <v>0</v>
      </c>
      <c r="I17" s="385">
        <v>146359368.18181816</v>
      </c>
      <c r="J17" s="386">
        <f>ROUND($R$6/11,0)</f>
        <v>151265225</v>
      </c>
      <c r="K17" s="386"/>
      <c r="L17" s="383">
        <f t="shared" si="4"/>
        <v>0</v>
      </c>
      <c r="M17" s="383">
        <f t="shared" si="5"/>
        <v>0</v>
      </c>
      <c r="P17" s="839" t="s">
        <v>239</v>
      </c>
      <c r="Q17" s="245" t="s">
        <v>240</v>
      </c>
      <c r="R17" s="549">
        <v>9277573</v>
      </c>
      <c r="W17" s="348" t="s">
        <v>382</v>
      </c>
      <c r="X17" s="598">
        <f t="shared" si="0"/>
        <v>87444024</v>
      </c>
      <c r="Y17" s="599">
        <f t="shared" si="1"/>
        <v>103428474</v>
      </c>
      <c r="Z17" s="600">
        <f t="shared" si="2"/>
        <v>76629038</v>
      </c>
      <c r="AA17" s="601">
        <v>65241824</v>
      </c>
      <c r="AB17" s="601">
        <v>15982682</v>
      </c>
      <c r="AC17" s="601">
        <v>58236738</v>
      </c>
      <c r="AD17" s="601">
        <v>18982200</v>
      </c>
      <c r="AE17" s="601">
        <v>1000</v>
      </c>
      <c r="AF17" s="601">
        <v>18392300</v>
      </c>
      <c r="AG17" s="601">
        <v>0</v>
      </c>
      <c r="AH17" s="601">
        <v>0</v>
      </c>
      <c r="AI17" s="602">
        <v>0</v>
      </c>
      <c r="AJ17" s="601">
        <v>3000000</v>
      </c>
      <c r="AK17" s="601">
        <v>760</v>
      </c>
      <c r="AL17" s="602"/>
      <c r="AM17" s="601"/>
      <c r="AN17" s="601"/>
      <c r="AO17" s="602"/>
      <c r="AP17" s="601"/>
      <c r="AQ17" s="601"/>
      <c r="AR17" s="602"/>
      <c r="AS17" s="601">
        <v>220000</v>
      </c>
      <c r="AT17" s="601">
        <v>8</v>
      </c>
      <c r="AU17" s="602"/>
    </row>
    <row r="18" spans="1:47" ht="20.100000000000001" customHeight="1">
      <c r="B18" s="729">
        <v>4</v>
      </c>
      <c r="C18" s="726" t="s">
        <v>38</v>
      </c>
      <c r="D18" s="388">
        <v>61319455</v>
      </c>
      <c r="E18" s="389">
        <f>ROUND($R$6/11,0)</f>
        <v>151265225</v>
      </c>
      <c r="F18" s="389"/>
      <c r="G18" s="387">
        <f t="shared" si="6"/>
        <v>0</v>
      </c>
      <c r="H18" s="387">
        <f t="shared" si="3"/>
        <v>0</v>
      </c>
      <c r="I18" s="388">
        <v>137028272.72727272</v>
      </c>
      <c r="J18" s="389">
        <f>ROUND($R$6/11,0)</f>
        <v>151265225</v>
      </c>
      <c r="K18" s="389"/>
      <c r="L18" s="383">
        <f t="shared" si="4"/>
        <v>0</v>
      </c>
      <c r="M18" s="383">
        <f t="shared" si="5"/>
        <v>0</v>
      </c>
      <c r="P18" s="840"/>
      <c r="Q18" s="544" t="s">
        <v>248</v>
      </c>
      <c r="R18" s="545">
        <f>SUM(R19:R24)</f>
        <v>39655359</v>
      </c>
      <c r="W18" s="348" t="s">
        <v>383</v>
      </c>
      <c r="X18" s="598">
        <f t="shared" si="0"/>
        <v>78504000</v>
      </c>
      <c r="Y18" s="599">
        <f t="shared" si="1"/>
        <v>81321890</v>
      </c>
      <c r="Z18" s="600">
        <f t="shared" si="2"/>
        <v>102518320</v>
      </c>
      <c r="AA18" s="601">
        <v>8167500</v>
      </c>
      <c r="AB18" s="601">
        <v>531</v>
      </c>
      <c r="AC18" s="601">
        <f>25751333+4730000</f>
        <v>30481333</v>
      </c>
      <c r="AD18" s="601">
        <v>68686500</v>
      </c>
      <c r="AE18" s="601">
        <v>2817342</v>
      </c>
      <c r="AF18" s="601">
        <v>72036987</v>
      </c>
      <c r="AG18" s="601">
        <v>0</v>
      </c>
      <c r="AH18" s="601">
        <v>0</v>
      </c>
      <c r="AI18" s="602">
        <v>0</v>
      </c>
      <c r="AJ18" s="601">
        <v>220000</v>
      </c>
      <c r="AK18" s="601"/>
      <c r="AL18" s="602"/>
      <c r="AM18" s="601"/>
      <c r="AN18" s="601"/>
      <c r="AO18" s="602"/>
      <c r="AP18" s="601"/>
      <c r="AQ18" s="601"/>
      <c r="AR18" s="602"/>
      <c r="AS18" s="601">
        <v>1430000</v>
      </c>
      <c r="AT18" s="601">
        <v>17</v>
      </c>
      <c r="AU18" s="602"/>
    </row>
    <row r="19" spans="1:47" ht="39.950000000000003" customHeight="1" thickBot="1">
      <c r="B19" s="731" t="s">
        <v>31</v>
      </c>
      <c r="C19" s="728" t="s">
        <v>32</v>
      </c>
      <c r="D19" s="508">
        <f>SUM(D16:D18)</f>
        <v>356641246</v>
      </c>
      <c r="E19" s="392">
        <f>SUM(E16:E18)</f>
        <v>453795675</v>
      </c>
      <c r="F19" s="507">
        <f>SUM(F16:F18)</f>
        <v>0</v>
      </c>
      <c r="G19" s="399">
        <f>F19/D19</f>
        <v>0</v>
      </c>
      <c r="H19" s="399">
        <f t="shared" si="3"/>
        <v>0</v>
      </c>
      <c r="I19" s="508">
        <f>SUM(I16:I18)</f>
        <v>417466722.72727275</v>
      </c>
      <c r="J19" s="392">
        <f>SUM(J16:J18)</f>
        <v>453795675</v>
      </c>
      <c r="K19" s="509">
        <f>SUM(K16:K18)</f>
        <v>0</v>
      </c>
      <c r="L19" s="394">
        <f>K19/I19</f>
        <v>0</v>
      </c>
      <c r="M19" s="394">
        <f t="shared" si="5"/>
        <v>0</v>
      </c>
      <c r="P19" s="840"/>
      <c r="Q19" s="232" t="s">
        <v>249</v>
      </c>
      <c r="R19" s="546">
        <f>R13</f>
        <v>18300488</v>
      </c>
      <c r="W19" s="348" t="s">
        <v>384</v>
      </c>
      <c r="X19" s="598">
        <f t="shared" si="0"/>
        <v>142510325</v>
      </c>
      <c r="Y19" s="599">
        <f t="shared" si="1"/>
        <v>146591569</v>
      </c>
      <c r="Z19" s="600">
        <f t="shared" si="2"/>
        <v>142987856</v>
      </c>
      <c r="AA19" s="601">
        <v>2227500</v>
      </c>
      <c r="AB19" s="601"/>
      <c r="AC19" s="601"/>
      <c r="AD19" s="601">
        <v>139632825</v>
      </c>
      <c r="AE19" s="601">
        <v>4080000</v>
      </c>
      <c r="AF19" s="601">
        <v>142987856</v>
      </c>
      <c r="AG19" s="601">
        <v>0</v>
      </c>
      <c r="AH19" s="607">
        <v>1121</v>
      </c>
      <c r="AI19" s="601"/>
      <c r="AJ19" s="601"/>
      <c r="AK19" s="601"/>
      <c r="AL19" s="602"/>
      <c r="AM19" s="601"/>
      <c r="AN19" s="601"/>
      <c r="AO19" s="602"/>
      <c r="AP19" s="601"/>
      <c r="AQ19" s="601"/>
      <c r="AR19" s="602"/>
      <c r="AS19" s="601">
        <v>650000</v>
      </c>
      <c r="AT19" s="601">
        <v>123</v>
      </c>
      <c r="AU19" s="602"/>
    </row>
    <row r="20" spans="1:47" ht="20.100000000000001" customHeight="1">
      <c r="B20" s="730">
        <v>4</v>
      </c>
      <c r="C20" s="724" t="s">
        <v>39</v>
      </c>
      <c r="D20" s="380">
        <v>85080036</v>
      </c>
      <c r="E20" s="381">
        <f>ROUND($R$6/11,0)</f>
        <v>151265225</v>
      </c>
      <c r="F20" s="381"/>
      <c r="G20" s="387">
        <f t="shared" si="6"/>
        <v>0</v>
      </c>
      <c r="H20" s="387">
        <f t="shared" si="3"/>
        <v>0</v>
      </c>
      <c r="I20" s="380">
        <v>50082230.909090906</v>
      </c>
      <c r="J20" s="381">
        <f>ROUND($R$6/11,0)</f>
        <v>151265225</v>
      </c>
      <c r="K20" s="401"/>
      <c r="L20" s="383">
        <f t="shared" si="4"/>
        <v>0</v>
      </c>
      <c r="M20" s="383">
        <f t="shared" si="5"/>
        <v>0</v>
      </c>
      <c r="P20" s="840"/>
      <c r="Q20" s="232" t="s">
        <v>488</v>
      </c>
      <c r="R20" s="553">
        <v>19469131</v>
      </c>
      <c r="W20" s="348" t="s">
        <v>385</v>
      </c>
      <c r="X20" s="598">
        <f t="shared" si="0"/>
        <v>102963551</v>
      </c>
      <c r="Y20" s="599">
        <f t="shared" si="1"/>
        <v>107693726</v>
      </c>
      <c r="Z20" s="600">
        <f t="shared" si="2"/>
        <v>105294314</v>
      </c>
      <c r="AA20" s="601">
        <v>2707375</v>
      </c>
      <c r="AB20" s="601"/>
      <c r="AC20" s="601"/>
      <c r="AD20" s="601">
        <v>99900876</v>
      </c>
      <c r="AE20" s="601">
        <v>4730000</v>
      </c>
      <c r="AF20" s="601">
        <v>105294314</v>
      </c>
      <c r="AG20" s="601">
        <v>0</v>
      </c>
      <c r="AH20" s="601">
        <v>0</v>
      </c>
      <c r="AI20" s="602">
        <v>0</v>
      </c>
      <c r="AJ20" s="601"/>
      <c r="AK20" s="601"/>
      <c r="AL20" s="602"/>
      <c r="AM20" s="601"/>
      <c r="AN20" s="601"/>
      <c r="AO20" s="602"/>
      <c r="AP20" s="601"/>
      <c r="AQ20" s="601"/>
      <c r="AR20" s="602"/>
      <c r="AS20" s="601">
        <v>355300</v>
      </c>
      <c r="AT20" s="601">
        <v>175</v>
      </c>
      <c r="AU20" s="602"/>
    </row>
    <row r="21" spans="1:47" ht="20.100000000000001" customHeight="1">
      <c r="B21" s="729" t="s">
        <v>28</v>
      </c>
      <c r="C21" s="725" t="s">
        <v>40</v>
      </c>
      <c r="D21" s="385">
        <v>27560500</v>
      </c>
      <c r="E21" s="386">
        <f>ROUND($R$6/11,0)</f>
        <v>151265225</v>
      </c>
      <c r="F21" s="386"/>
      <c r="G21" s="387">
        <f t="shared" si="6"/>
        <v>0</v>
      </c>
      <c r="H21" s="387">
        <f t="shared" si="3"/>
        <v>0</v>
      </c>
      <c r="I21" s="385">
        <v>82218820</v>
      </c>
      <c r="J21" s="386">
        <f>ROUND($R$6/11,0)</f>
        <v>151265225</v>
      </c>
      <c r="K21" s="402"/>
      <c r="L21" s="383">
        <f t="shared" si="4"/>
        <v>0</v>
      </c>
      <c r="M21" s="383">
        <f t="shared" si="5"/>
        <v>0</v>
      </c>
      <c r="P21" s="840"/>
      <c r="Q21" s="232" t="s">
        <v>250</v>
      </c>
      <c r="R21" s="553">
        <v>1885740</v>
      </c>
      <c r="W21" s="348" t="s">
        <v>386</v>
      </c>
      <c r="X21" s="598">
        <f t="shared" si="0"/>
        <v>111631154</v>
      </c>
      <c r="Y21" s="599">
        <f t="shared" si="1"/>
        <v>118471113</v>
      </c>
      <c r="Z21" s="600">
        <f t="shared" si="2"/>
        <v>113849547</v>
      </c>
      <c r="AA21" s="601">
        <v>2792349</v>
      </c>
      <c r="AB21" s="601">
        <v>910</v>
      </c>
      <c r="AC21" s="601"/>
      <c r="AD21" s="601">
        <v>107122805</v>
      </c>
      <c r="AE21" s="601">
        <v>6838795</v>
      </c>
      <c r="AF21" s="601">
        <v>113849547</v>
      </c>
      <c r="AG21" s="601">
        <v>0</v>
      </c>
      <c r="AH21" s="601">
        <v>0</v>
      </c>
      <c r="AI21" s="602">
        <v>0</v>
      </c>
      <c r="AJ21" s="601"/>
      <c r="AK21" s="601"/>
      <c r="AL21" s="602"/>
      <c r="AM21" s="601"/>
      <c r="AN21" s="601"/>
      <c r="AO21" s="602"/>
      <c r="AP21" s="601"/>
      <c r="AQ21" s="601"/>
      <c r="AR21" s="602"/>
      <c r="AS21" s="601">
        <v>1716000</v>
      </c>
      <c r="AT21" s="601">
        <v>254</v>
      </c>
      <c r="AU21" s="602"/>
    </row>
    <row r="22" spans="1:47" ht="20.100000000000001" customHeight="1">
      <c r="B22" s="729">
        <v>4</v>
      </c>
      <c r="C22" s="726" t="s">
        <v>41</v>
      </c>
      <c r="D22" s="388">
        <v>87960273</v>
      </c>
      <c r="E22" s="389">
        <f>ROUND($R$6/11,0)</f>
        <v>151265225</v>
      </c>
      <c r="F22" s="389"/>
      <c r="G22" s="387">
        <f t="shared" si="6"/>
        <v>0</v>
      </c>
      <c r="H22" s="387">
        <f t="shared" si="3"/>
        <v>0</v>
      </c>
      <c r="I22" s="388">
        <v>41873111.818181813</v>
      </c>
      <c r="J22" s="389">
        <f>ROUND($R$6/11,0)</f>
        <v>151265225</v>
      </c>
      <c r="K22" s="403"/>
      <c r="L22" s="383">
        <f t="shared" si="4"/>
        <v>0</v>
      </c>
      <c r="M22" s="383">
        <f t="shared" si="5"/>
        <v>0</v>
      </c>
      <c r="P22" s="840"/>
      <c r="Q22" s="232" t="s">
        <v>251</v>
      </c>
      <c r="R22" s="557">
        <v>0</v>
      </c>
      <c r="W22" s="348" t="s">
        <v>463</v>
      </c>
      <c r="X22" s="598">
        <f t="shared" si="0"/>
        <v>147486990</v>
      </c>
      <c r="Y22" s="599">
        <f t="shared" si="1"/>
        <v>162388387</v>
      </c>
      <c r="Z22" s="600">
        <f t="shared" si="2"/>
        <v>156747511</v>
      </c>
      <c r="AA22" s="601">
        <v>907500</v>
      </c>
      <c r="AB22" s="601"/>
      <c r="AC22" s="601"/>
      <c r="AD22" s="601">
        <v>146579490</v>
      </c>
      <c r="AE22" s="601">
        <v>9820000</v>
      </c>
      <c r="AF22" s="601">
        <v>151667211</v>
      </c>
      <c r="AG22" s="601">
        <v>0</v>
      </c>
      <c r="AH22" s="601">
        <v>5081100</v>
      </c>
      <c r="AI22" s="602">
        <v>5080300</v>
      </c>
      <c r="AJ22" s="601"/>
      <c r="AK22" s="601"/>
      <c r="AL22" s="602"/>
      <c r="AM22" s="601"/>
      <c r="AN22" s="601"/>
      <c r="AO22" s="602"/>
      <c r="AP22" s="601"/>
      <c r="AQ22" s="601"/>
      <c r="AR22" s="602"/>
      <c r="AS22" s="601"/>
      <c r="AT22" s="601">
        <v>297</v>
      </c>
      <c r="AU22" s="602"/>
    </row>
    <row r="23" spans="1:47" ht="39.950000000000003" customHeight="1" thickBot="1">
      <c r="B23" s="731" t="s">
        <v>31</v>
      </c>
      <c r="C23" s="728" t="s">
        <v>32</v>
      </c>
      <c r="D23" s="506">
        <f>SUM(D20:D22)</f>
        <v>200600809</v>
      </c>
      <c r="E23" s="392">
        <f>SUM(E20:E22)</f>
        <v>453795675</v>
      </c>
      <c r="F23" s="392">
        <f>SUM(F20:F22)</f>
        <v>0</v>
      </c>
      <c r="G23" s="399">
        <f>F23/D23</f>
        <v>0</v>
      </c>
      <c r="H23" s="399">
        <f t="shared" si="3"/>
        <v>0</v>
      </c>
      <c r="I23" s="506">
        <f>SUM(I20:I22)</f>
        <v>174174162.72727272</v>
      </c>
      <c r="J23" s="392">
        <f>SUM(J20:J22)</f>
        <v>453795675</v>
      </c>
      <c r="K23" s="507">
        <f>SUM(K20:K22)</f>
        <v>0</v>
      </c>
      <c r="L23" s="394">
        <f>K23/I23</f>
        <v>0</v>
      </c>
      <c r="M23" s="394">
        <f t="shared" si="5"/>
        <v>0</v>
      </c>
      <c r="P23" s="840"/>
      <c r="Q23" s="232" t="s">
        <v>252</v>
      </c>
      <c r="R23" s="546"/>
      <c r="W23" s="348" t="s">
        <v>464</v>
      </c>
      <c r="X23" s="598">
        <f t="shared" si="0"/>
        <v>160995305</v>
      </c>
      <c r="Y23" s="599">
        <f t="shared" si="1"/>
        <v>160995640</v>
      </c>
      <c r="Z23" s="600">
        <f t="shared" si="2"/>
        <v>133604291</v>
      </c>
      <c r="AA23" s="601"/>
      <c r="AB23" s="601"/>
      <c r="AC23" s="601"/>
      <c r="AD23" s="601">
        <v>160995305</v>
      </c>
      <c r="AE23" s="601"/>
      <c r="AF23" s="601">
        <v>133604291</v>
      </c>
      <c r="AG23" s="601">
        <v>0</v>
      </c>
      <c r="AH23" s="601">
        <v>0</v>
      </c>
      <c r="AI23" s="602">
        <v>0</v>
      </c>
      <c r="AJ23" s="601"/>
      <c r="AK23" s="601"/>
      <c r="AL23" s="602"/>
      <c r="AM23" s="601"/>
      <c r="AN23" s="601"/>
      <c r="AO23" s="602"/>
      <c r="AP23" s="601"/>
      <c r="AQ23" s="601"/>
      <c r="AR23" s="602"/>
      <c r="AS23" s="601"/>
      <c r="AT23" s="601">
        <v>335</v>
      </c>
      <c r="AU23" s="602"/>
    </row>
    <row r="24" spans="1:47" ht="39.950000000000003" customHeight="1" thickBot="1">
      <c r="B24" s="866" t="s">
        <v>303</v>
      </c>
      <c r="C24" s="867"/>
      <c r="D24" s="812">
        <f>D11+D12</f>
        <v>360489063</v>
      </c>
      <c r="E24" s="813">
        <f>E11+E12</f>
        <v>483993995</v>
      </c>
      <c r="F24" s="813">
        <f>F11+F15+F19+F23</f>
        <v>313703571</v>
      </c>
      <c r="G24" s="814">
        <f>F24/D24</f>
        <v>0.87021661181437837</v>
      </c>
      <c r="H24" s="815">
        <f>F24/E24</f>
        <v>0.64815591565345765</v>
      </c>
      <c r="I24" s="812">
        <f>I11+I12</f>
        <v>378549653.63636363</v>
      </c>
      <c r="J24" s="813">
        <f>J11+J12</f>
        <v>483993995</v>
      </c>
      <c r="K24" s="813">
        <f>K11+K15+K19+K23</f>
        <v>411838144</v>
      </c>
      <c r="L24" s="816">
        <f>K24/I24</f>
        <v>1.087936919354874</v>
      </c>
      <c r="M24" s="815">
        <f t="shared" si="5"/>
        <v>0.85091581353194268</v>
      </c>
      <c r="P24" s="840"/>
      <c r="Q24" s="232" t="s">
        <v>413</v>
      </c>
      <c r="R24" s="557">
        <v>0</v>
      </c>
      <c r="W24" s="348" t="s">
        <v>465</v>
      </c>
      <c r="X24" s="598">
        <f>AA24+AD24+AG24+AJ24+AM24+AP24+AS24</f>
        <v>0</v>
      </c>
      <c r="Y24" s="599">
        <f>AA24+AB24+AD24+AE24+AG24+AH24+AJ24+AK24+AM24+AN24+AP24+AQ24+AS24+AT24</f>
        <v>0</v>
      </c>
      <c r="Z24" s="600">
        <f>AC24+AF24+AI24+AL24+AO24+AR24+AU24</f>
        <v>0</v>
      </c>
      <c r="AA24" s="601"/>
      <c r="AB24" s="601"/>
      <c r="AC24" s="601"/>
      <c r="AD24" s="601"/>
      <c r="AE24" s="601"/>
      <c r="AF24" s="601"/>
      <c r="AG24" s="601"/>
      <c r="AH24" s="601"/>
      <c r="AI24" s="602"/>
      <c r="AJ24" s="601"/>
      <c r="AK24" s="601"/>
      <c r="AL24" s="602"/>
      <c r="AM24" s="601"/>
      <c r="AN24" s="601"/>
      <c r="AO24" s="602"/>
      <c r="AP24" s="601"/>
      <c r="AQ24" s="601"/>
      <c r="AR24" s="602"/>
      <c r="AS24" s="601"/>
      <c r="AT24" s="601"/>
      <c r="AU24" s="602"/>
    </row>
    <row r="25" spans="1:47" ht="39.950000000000003" customHeight="1" thickBot="1">
      <c r="B25" s="853" t="s">
        <v>42</v>
      </c>
      <c r="C25" s="854"/>
      <c r="D25" s="404">
        <f>SUM(D23,D19,D15,D11)</f>
        <v>1136864228</v>
      </c>
      <c r="E25" s="405">
        <f>SUM(E23,E19,E15,E11)</f>
        <v>1694115795</v>
      </c>
      <c r="F25" s="405">
        <f>SUM(F23,F19,F15,F11)</f>
        <v>313703571</v>
      </c>
      <c r="G25" s="406">
        <f>F25/D25</f>
        <v>0.27593758627789283</v>
      </c>
      <c r="H25" s="407">
        <f>F25/E25</f>
        <v>0.18517244920675566</v>
      </c>
      <c r="I25" s="404">
        <f>SUM(I23,I19,I15,I11)</f>
        <v>1165276634.5454545</v>
      </c>
      <c r="J25" s="405">
        <f>SUM(J23,J19,J15,J11)</f>
        <v>1694115795</v>
      </c>
      <c r="K25" s="405">
        <f>SUM(K23,K19,K15,K11)</f>
        <v>411838144</v>
      </c>
      <c r="L25" s="407">
        <f t="shared" ref="L25" si="7">K25/I25</f>
        <v>0.35342521405713062</v>
      </c>
      <c r="M25" s="407">
        <f t="shared" si="5"/>
        <v>0.2430991702075477</v>
      </c>
      <c r="P25" s="840"/>
      <c r="Q25" s="231" t="s">
        <v>253</v>
      </c>
      <c r="R25" s="545">
        <f>SUM(R26:R29)</f>
        <v>0</v>
      </c>
      <c r="W25" s="348" t="s">
        <v>466</v>
      </c>
      <c r="X25" s="598">
        <f t="shared" ref="X25:X27" si="8">AA25+AD25+AG25+AJ25+AM25+AP25+AS25</f>
        <v>0</v>
      </c>
      <c r="Y25" s="599">
        <f t="shared" ref="Y25:Y27" si="9">AA25+AB25+AD25+AE25+AG25+AH25+AJ25+AK25+AM25+AN25+AP25+AQ25+AS25+AT25</f>
        <v>0</v>
      </c>
      <c r="Z25" s="600">
        <f t="shared" ref="Z25:Z27" si="10">AC25+AF25+AI25+AL25+AO25+AR25+AU25</f>
        <v>0</v>
      </c>
      <c r="AA25" s="601"/>
      <c r="AB25" s="601"/>
      <c r="AC25" s="601"/>
      <c r="AD25" s="601"/>
      <c r="AE25" s="601"/>
      <c r="AF25" s="601">
        <v>0</v>
      </c>
      <c r="AG25" s="601">
        <v>0</v>
      </c>
      <c r="AH25" s="601">
        <v>0</v>
      </c>
      <c r="AI25" s="602">
        <v>0</v>
      </c>
      <c r="AJ25" s="601"/>
      <c r="AK25" s="601"/>
      <c r="AL25" s="602"/>
      <c r="AM25" s="601"/>
      <c r="AN25" s="601"/>
      <c r="AO25" s="602"/>
      <c r="AP25" s="601"/>
      <c r="AQ25" s="601"/>
      <c r="AR25" s="602"/>
      <c r="AS25" s="601"/>
      <c r="AT25" s="601"/>
      <c r="AU25" s="602"/>
    </row>
    <row r="26" spans="1:47" ht="19.5" customHeight="1">
      <c r="B26" s="288"/>
      <c r="C26" s="288"/>
      <c r="D26" s="289"/>
      <c r="E26" s="289"/>
      <c r="F26" s="289"/>
      <c r="G26" s="290"/>
      <c r="H26" s="290"/>
      <c r="I26" s="289"/>
      <c r="J26" s="289"/>
      <c r="K26" s="289"/>
      <c r="L26" s="290"/>
      <c r="M26" s="290"/>
      <c r="P26" s="840"/>
      <c r="Q26" s="548" t="s">
        <v>414</v>
      </c>
      <c r="R26" s="558">
        <v>0</v>
      </c>
      <c r="W26" s="348" t="s">
        <v>467</v>
      </c>
      <c r="X26" s="598">
        <f t="shared" si="8"/>
        <v>0</v>
      </c>
      <c r="Y26" s="599">
        <f t="shared" si="9"/>
        <v>0</v>
      </c>
      <c r="Z26" s="600">
        <f t="shared" si="10"/>
        <v>0</v>
      </c>
      <c r="AA26" s="601"/>
      <c r="AB26" s="601"/>
      <c r="AC26" s="601"/>
      <c r="AD26" s="601"/>
      <c r="AE26" s="601"/>
      <c r="AF26" s="601">
        <v>0</v>
      </c>
      <c r="AG26" s="601">
        <v>0</v>
      </c>
      <c r="AH26" s="601">
        <v>0</v>
      </c>
      <c r="AI26" s="602">
        <v>0</v>
      </c>
      <c r="AJ26" s="601"/>
      <c r="AK26" s="601"/>
      <c r="AL26" s="602"/>
      <c r="AM26" s="601"/>
      <c r="AN26" s="601"/>
      <c r="AO26" s="602"/>
      <c r="AP26" s="601"/>
      <c r="AQ26" s="601"/>
      <c r="AR26" s="602"/>
      <c r="AS26" s="601"/>
      <c r="AT26" s="601"/>
      <c r="AU26" s="602"/>
    </row>
    <row r="27" spans="1:47" ht="81.599999999999994" customHeight="1">
      <c r="B27" s="855" t="s">
        <v>305</v>
      </c>
      <c r="C27" s="856"/>
      <c r="D27" s="856"/>
      <c r="E27" s="856"/>
      <c r="F27" s="856"/>
      <c r="G27" s="856"/>
      <c r="H27" s="856"/>
      <c r="I27" s="856"/>
      <c r="J27" s="856"/>
      <c r="K27" s="856"/>
      <c r="L27" s="856"/>
      <c r="M27" s="857"/>
      <c r="P27" s="840"/>
      <c r="Q27" s="232" t="s">
        <v>254</v>
      </c>
      <c r="R27" s="553">
        <v>0</v>
      </c>
      <c r="W27" s="348" t="s">
        <v>468</v>
      </c>
      <c r="X27" s="598">
        <f t="shared" si="8"/>
        <v>0</v>
      </c>
      <c r="Y27" s="599">
        <f t="shared" si="9"/>
        <v>0</v>
      </c>
      <c r="Z27" s="600">
        <f t="shared" si="10"/>
        <v>0</v>
      </c>
      <c r="AA27" s="601"/>
      <c r="AB27" s="601"/>
      <c r="AC27" s="601"/>
      <c r="AD27" s="601"/>
      <c r="AE27" s="601"/>
      <c r="AF27" s="601">
        <v>0</v>
      </c>
      <c r="AG27" s="601">
        <v>0</v>
      </c>
      <c r="AH27" s="601"/>
      <c r="AI27" s="602">
        <v>0</v>
      </c>
      <c r="AJ27" s="601"/>
      <c r="AK27" s="601"/>
      <c r="AL27" s="602"/>
      <c r="AM27" s="601"/>
      <c r="AN27" s="601"/>
      <c r="AO27" s="602"/>
      <c r="AP27" s="601"/>
      <c r="AQ27" s="601"/>
      <c r="AR27" s="602"/>
      <c r="AS27" s="601"/>
      <c r="AT27" s="601"/>
      <c r="AU27" s="602"/>
    </row>
    <row r="28" spans="1:47" s="7" customFormat="1" ht="19.5" customHeight="1">
      <c r="A28" s="130"/>
      <c r="B28" s="858"/>
      <c r="C28" s="858"/>
      <c r="D28" s="859"/>
      <c r="E28" s="859"/>
      <c r="F28" s="859"/>
      <c r="G28" s="859"/>
      <c r="H28" s="859"/>
      <c r="I28" s="859"/>
      <c r="J28" s="859"/>
      <c r="K28" s="859"/>
      <c r="L28" s="859"/>
      <c r="M28" s="859"/>
      <c r="N28" s="130"/>
      <c r="O28" s="130"/>
      <c r="P28" s="840"/>
      <c r="Q28" s="232" t="s">
        <v>415</v>
      </c>
      <c r="R28" s="553">
        <v>0</v>
      </c>
      <c r="S28" s="130"/>
      <c r="T28" s="130"/>
      <c r="U28" s="130"/>
      <c r="V28" s="130"/>
      <c r="W28" s="422" t="s">
        <v>476</v>
      </c>
      <c r="X28" s="604">
        <f>SUM(X4:X27)</f>
        <v>3085771021</v>
      </c>
      <c r="Y28" s="604">
        <f t="shared" ref="Y28:AN28" si="11">SUM(Y4:Y27)</f>
        <v>3324406957</v>
      </c>
      <c r="Z28" s="604">
        <f t="shared" si="11"/>
        <v>3273390106</v>
      </c>
      <c r="AA28" s="604">
        <f t="shared" si="11"/>
        <v>1248637726</v>
      </c>
      <c r="AB28" s="604">
        <f t="shared" si="11"/>
        <v>118668413</v>
      </c>
      <c r="AC28" s="604">
        <f t="shared" si="11"/>
        <v>1358824634</v>
      </c>
      <c r="AD28" s="604">
        <f t="shared" si="11"/>
        <v>741900001</v>
      </c>
      <c r="AE28" s="604">
        <f t="shared" si="11"/>
        <v>28287137</v>
      </c>
      <c r="AF28" s="604">
        <f t="shared" si="11"/>
        <v>737832506</v>
      </c>
      <c r="AG28" s="604">
        <f t="shared" si="11"/>
        <v>0</v>
      </c>
      <c r="AH28" s="604">
        <f t="shared" si="11"/>
        <v>5082221</v>
      </c>
      <c r="AI28" s="604">
        <f t="shared" si="11"/>
        <v>5080300</v>
      </c>
      <c r="AJ28" s="604">
        <f t="shared" si="11"/>
        <v>720622140</v>
      </c>
      <c r="AK28" s="604">
        <f t="shared" si="11"/>
        <v>76305832</v>
      </c>
      <c r="AL28" s="604">
        <f t="shared" si="11"/>
        <v>983896037</v>
      </c>
      <c r="AM28" s="604">
        <f t="shared" si="11"/>
        <v>19249889</v>
      </c>
      <c r="AN28" s="604">
        <f t="shared" si="11"/>
        <v>92</v>
      </c>
      <c r="AO28" s="604">
        <f t="shared" ref="AO28" si="12">SUM(AO4:AO27)</f>
        <v>61216931</v>
      </c>
      <c r="AP28" s="604">
        <f t="shared" ref="AP28" si="13">SUM(AP4:AP27)</f>
        <v>0</v>
      </c>
      <c r="AQ28" s="604">
        <f t="shared" ref="AQ28" si="14">SUM(AQ4:AQ27)</f>
        <v>33</v>
      </c>
      <c r="AR28" s="604">
        <f t="shared" ref="AR28" si="15">SUM(AR4:AR27)</f>
        <v>62620</v>
      </c>
      <c r="AS28" s="604">
        <f t="shared" ref="AS28" si="16">SUM(AS4:AS27)</f>
        <v>355361265</v>
      </c>
      <c r="AT28" s="604">
        <f t="shared" ref="AT28" si="17">SUM(AT4:AT27)</f>
        <v>10292208</v>
      </c>
      <c r="AU28" s="604">
        <f t="shared" ref="AU28" si="18">SUM(AU4:AU27)</f>
        <v>126477078</v>
      </c>
    </row>
    <row r="29" spans="1:47" s="7" customFormat="1" ht="23.25" customHeight="1">
      <c r="A29" s="130"/>
      <c r="B29" s="148"/>
      <c r="C29" s="847"/>
      <c r="D29" s="847"/>
      <c r="E29" s="149"/>
      <c r="F29" s="150"/>
      <c r="G29" s="149"/>
      <c r="H29" s="149"/>
      <c r="I29" s="149"/>
      <c r="J29" s="149"/>
      <c r="K29" s="149"/>
      <c r="L29" s="149"/>
      <c r="M29" s="151"/>
      <c r="N29" s="130"/>
      <c r="O29" s="130"/>
      <c r="P29" s="840"/>
      <c r="Q29" s="232" t="s">
        <v>255</v>
      </c>
      <c r="R29" s="553">
        <v>0</v>
      </c>
      <c r="S29" s="130"/>
      <c r="T29" s="130"/>
      <c r="U29" s="130"/>
      <c r="V29" s="130"/>
      <c r="W29" s="130"/>
      <c r="X29" s="130"/>
      <c r="Y29" s="130"/>
      <c r="Z29" s="130"/>
      <c r="AA29" s="130"/>
      <c r="AB29" s="130"/>
    </row>
    <row r="30" spans="1:47" s="7" customFormat="1" ht="23.25" customHeight="1">
      <c r="A30" s="130"/>
      <c r="B30" s="148"/>
      <c r="C30" s="847"/>
      <c r="D30" s="847"/>
      <c r="E30" s="149"/>
      <c r="F30" s="150"/>
      <c r="G30" s="149"/>
      <c r="H30" s="149"/>
      <c r="I30" s="149"/>
      <c r="J30" s="149"/>
      <c r="K30" s="149"/>
      <c r="L30" s="149"/>
      <c r="M30" s="151"/>
      <c r="N30" s="130"/>
      <c r="O30" s="130"/>
      <c r="P30" s="840"/>
      <c r="Q30" s="233" t="s">
        <v>256</v>
      </c>
      <c r="R30" s="547">
        <v>0</v>
      </c>
      <c r="S30" s="130"/>
      <c r="T30" s="130"/>
      <c r="U30" s="130"/>
      <c r="V30" s="130"/>
      <c r="W30" s="130"/>
      <c r="X30" s="130"/>
      <c r="Y30" s="130"/>
      <c r="Z30" s="130"/>
      <c r="AA30" s="130"/>
      <c r="AB30" s="130"/>
    </row>
    <row r="31" spans="1:47" s="7" customFormat="1" ht="17.25" customHeight="1">
      <c r="A31" s="130"/>
      <c r="B31" s="148"/>
      <c r="C31" s="848"/>
      <c r="D31" s="848"/>
      <c r="E31" s="149"/>
      <c r="F31" s="152"/>
      <c r="G31" s="149"/>
      <c r="H31" s="149"/>
      <c r="I31" s="149"/>
      <c r="J31" s="149"/>
      <c r="K31" s="149"/>
      <c r="L31" s="149"/>
      <c r="M31" s="151"/>
      <c r="N31" s="130"/>
      <c r="O31" s="130"/>
      <c r="P31" s="841" t="s">
        <v>241</v>
      </c>
      <c r="Q31" s="842"/>
      <c r="R31" s="234">
        <f>R17+R18+R25+R30</f>
        <v>48932932</v>
      </c>
      <c r="S31" s="130"/>
      <c r="T31" s="130"/>
      <c r="U31" s="130"/>
      <c r="V31" s="130"/>
      <c r="W31" s="130"/>
      <c r="X31" s="130"/>
      <c r="Y31" s="130"/>
      <c r="Z31" s="130"/>
      <c r="AA31" s="130"/>
      <c r="AB31" s="130"/>
    </row>
    <row r="32" spans="1:47" s="7" customFormat="1" ht="17.25" customHeight="1">
      <c r="A32" s="130"/>
      <c r="B32" s="148"/>
      <c r="C32" s="153"/>
      <c r="D32" s="153"/>
      <c r="E32" s="149"/>
      <c r="F32" s="152"/>
      <c r="G32" s="149"/>
      <c r="H32" s="149"/>
      <c r="I32" s="149"/>
      <c r="J32" s="149"/>
      <c r="K32" s="149"/>
      <c r="L32" s="149"/>
      <c r="M32" s="151"/>
      <c r="N32" s="130"/>
      <c r="O32" s="130"/>
      <c r="P32" s="843" t="s">
        <v>242</v>
      </c>
      <c r="Q32" s="235" t="s">
        <v>243</v>
      </c>
      <c r="R32" s="236">
        <f>SUM(R33:R35)</f>
        <v>0</v>
      </c>
      <c r="S32" s="130"/>
      <c r="T32" s="130"/>
      <c r="U32" s="130"/>
      <c r="V32" s="130"/>
      <c r="W32" s="130"/>
      <c r="X32" s="130"/>
      <c r="Y32" s="130"/>
      <c r="Z32" s="130"/>
      <c r="AA32" s="130"/>
      <c r="AB32" s="130"/>
    </row>
    <row r="33" spans="1:30" s="7" customFormat="1" ht="17.25" customHeight="1">
      <c r="A33" s="130"/>
      <c r="B33" s="148"/>
      <c r="C33" s="148"/>
      <c r="D33" s="154"/>
      <c r="E33" s="155"/>
      <c r="F33" s="156"/>
      <c r="G33" s="157"/>
      <c r="H33" s="157"/>
      <c r="I33" s="154"/>
      <c r="J33" s="155"/>
      <c r="K33" s="154"/>
      <c r="L33" s="157"/>
      <c r="M33" s="151"/>
      <c r="N33" s="130"/>
      <c r="O33" s="130"/>
      <c r="P33" s="844"/>
      <c r="Q33" s="238" t="s">
        <v>244</v>
      </c>
      <c r="R33" s="237"/>
      <c r="S33" s="130"/>
      <c r="T33" s="130"/>
      <c r="U33" s="130"/>
      <c r="V33" s="130"/>
      <c r="W33" s="130"/>
      <c r="X33" s="130"/>
      <c r="Y33" s="130"/>
      <c r="Z33" s="130"/>
      <c r="AA33" s="130"/>
      <c r="AB33" s="130"/>
    </row>
    <row r="34" spans="1:30" s="7" customFormat="1" ht="17.25" customHeight="1">
      <c r="A34" s="130"/>
      <c r="B34" s="148"/>
      <c r="C34" s="148"/>
      <c r="D34" s="154"/>
      <c r="E34" s="155"/>
      <c r="F34" s="156"/>
      <c r="G34" s="157"/>
      <c r="H34" s="157"/>
      <c r="I34" s="154"/>
      <c r="J34" s="155"/>
      <c r="K34" s="154"/>
      <c r="L34" s="157"/>
      <c r="M34" s="151"/>
      <c r="N34" s="130"/>
      <c r="O34" s="130"/>
      <c r="P34" s="844"/>
      <c r="Q34" s="238" t="s">
        <v>245</v>
      </c>
      <c r="R34" s="237">
        <v>0</v>
      </c>
      <c r="S34" s="130"/>
      <c r="T34" s="130"/>
      <c r="U34" s="130"/>
      <c r="V34" s="130"/>
      <c r="W34" s="130"/>
      <c r="X34" s="130"/>
      <c r="Y34" s="130"/>
      <c r="Z34" s="130"/>
      <c r="AA34" s="130"/>
      <c r="AB34" s="130"/>
    </row>
    <row r="35" spans="1:30" ht="17.25" customHeight="1">
      <c r="P35" s="844"/>
      <c r="Q35" s="238" t="s">
        <v>246</v>
      </c>
      <c r="R35" s="237">
        <v>0</v>
      </c>
      <c r="AC35" s="6"/>
      <c r="AD35" s="6"/>
    </row>
    <row r="36" spans="1:30" ht="17.25" customHeight="1">
      <c r="P36" s="844"/>
      <c r="Q36" s="239" t="s">
        <v>247</v>
      </c>
      <c r="R36" s="240">
        <f>SUM(R37:R43)</f>
        <v>0</v>
      </c>
      <c r="AC36" s="6"/>
      <c r="AD36" s="6"/>
    </row>
    <row r="37" spans="1:30" ht="17.25" customHeight="1">
      <c r="P37" s="844"/>
      <c r="Q37" s="241" t="s">
        <v>257</v>
      </c>
      <c r="R37" s="242"/>
      <c r="AC37" s="6"/>
      <c r="AD37" s="6"/>
    </row>
    <row r="38" spans="1:30" ht="17.25" customHeight="1">
      <c r="P38" s="844"/>
      <c r="Q38" s="241" t="s">
        <v>258</v>
      </c>
      <c r="R38" s="242"/>
      <c r="AC38" s="6"/>
      <c r="AD38" s="6"/>
    </row>
    <row r="39" spans="1:30" ht="17.25" customHeight="1">
      <c r="P39" s="844"/>
      <c r="Q39" s="241" t="s">
        <v>259</v>
      </c>
      <c r="R39" s="242"/>
      <c r="AC39" s="6"/>
      <c r="AD39" s="6"/>
    </row>
    <row r="40" spans="1:30" ht="17.25" customHeight="1">
      <c r="P40" s="844"/>
      <c r="Q40" s="241" t="s">
        <v>260</v>
      </c>
      <c r="R40" s="242"/>
      <c r="AC40" s="6"/>
      <c r="AD40" s="6"/>
    </row>
    <row r="41" spans="1:30" ht="17.25" customHeight="1">
      <c r="P41" s="844"/>
      <c r="Q41" s="241" t="s">
        <v>261</v>
      </c>
      <c r="R41" s="242">
        <v>0</v>
      </c>
      <c r="AC41" s="6"/>
      <c r="AD41" s="6"/>
    </row>
    <row r="42" spans="1:30" ht="17.25" customHeight="1">
      <c r="P42" s="844"/>
      <c r="Q42" s="241" t="s">
        <v>262</v>
      </c>
      <c r="R42" s="242"/>
      <c r="AC42" s="6"/>
      <c r="AD42" s="6"/>
    </row>
    <row r="43" spans="1:30" ht="17.25" customHeight="1">
      <c r="P43" s="844"/>
      <c r="Q43" s="241" t="s">
        <v>263</v>
      </c>
      <c r="R43" s="242"/>
      <c r="AC43" s="6"/>
      <c r="AD43" s="6"/>
    </row>
    <row r="44" spans="1:30" ht="17.25" customHeight="1">
      <c r="P44" s="844"/>
      <c r="Q44" s="239" t="s">
        <v>264</v>
      </c>
      <c r="R44" s="240">
        <v>1380200</v>
      </c>
      <c r="AC44" s="6"/>
      <c r="AD44" s="6"/>
    </row>
    <row r="45" spans="1:30" ht="17.25" customHeight="1">
      <c r="P45" s="844"/>
      <c r="Q45" s="239" t="s">
        <v>265</v>
      </c>
      <c r="R45" s="240">
        <f>R46</f>
        <v>0</v>
      </c>
      <c r="AC45" s="6"/>
      <c r="AD45" s="6"/>
    </row>
    <row r="46" spans="1:30" ht="17.25" customHeight="1">
      <c r="P46" s="844"/>
      <c r="Q46" s="243" t="s">
        <v>266</v>
      </c>
      <c r="R46" s="237">
        <v>0</v>
      </c>
      <c r="AC46" s="6"/>
      <c r="AD46" s="6"/>
    </row>
    <row r="47" spans="1:30" ht="17.25" customHeight="1">
      <c r="P47" s="845" t="s">
        <v>267</v>
      </c>
      <c r="Q47" s="845" t="s">
        <v>268</v>
      </c>
      <c r="R47" s="560">
        <f>R32+R36+R44+R45</f>
        <v>1380200</v>
      </c>
      <c r="AC47" s="6"/>
      <c r="AD47" s="6"/>
    </row>
    <row r="48" spans="1:30" ht="17.25" customHeight="1">
      <c r="P48" s="846" t="s">
        <v>269</v>
      </c>
      <c r="Q48" s="846"/>
      <c r="R48" s="244">
        <f>R31-R47</f>
        <v>47552732</v>
      </c>
      <c r="AC48" s="6"/>
      <c r="AD48" s="6"/>
    </row>
    <row r="49" spans="3:30" ht="17.25" customHeight="1">
      <c r="P49" s="835"/>
      <c r="Q49" s="835"/>
      <c r="R49" s="229"/>
      <c r="AC49" s="6"/>
      <c r="AD49" s="6"/>
    </row>
    <row r="53" spans="3:30">
      <c r="C53" s="130"/>
      <c r="D53" s="130"/>
      <c r="E53" s="130"/>
      <c r="F53" s="130"/>
      <c r="G53" s="130"/>
      <c r="H53" s="130"/>
      <c r="I53" s="130"/>
      <c r="J53" s="130"/>
      <c r="K53" s="130"/>
      <c r="L53" s="130"/>
      <c r="M53" s="130"/>
      <c r="N53" s="130"/>
    </row>
    <row r="54" spans="3:30">
      <c r="C54" s="130"/>
      <c r="D54" s="130"/>
      <c r="E54" s="130"/>
      <c r="F54" s="130"/>
      <c r="G54" s="130"/>
      <c r="H54" s="130"/>
      <c r="I54" s="130"/>
      <c r="J54" s="130"/>
      <c r="K54" s="130"/>
      <c r="L54" s="130"/>
      <c r="M54" s="130"/>
      <c r="N54" s="130"/>
    </row>
  </sheetData>
  <mergeCells count="45">
    <mergeCell ref="W1:AA1"/>
    <mergeCell ref="W2:W3"/>
    <mergeCell ref="X2:X3"/>
    <mergeCell ref="Y2:Y3"/>
    <mergeCell ref="Z2:Z3"/>
    <mergeCell ref="AA2:AC2"/>
    <mergeCell ref="B1:M1"/>
    <mergeCell ref="B4:C7"/>
    <mergeCell ref="D4:H4"/>
    <mergeCell ref="E5:F5"/>
    <mergeCell ref="G5:H5"/>
    <mergeCell ref="J5:K5"/>
    <mergeCell ref="D6:D7"/>
    <mergeCell ref="I4:M4"/>
    <mergeCell ref="L5:M5"/>
    <mergeCell ref="M6:M7"/>
    <mergeCell ref="C29:D29"/>
    <mergeCell ref="C30:D30"/>
    <mergeCell ref="C31:D31"/>
    <mergeCell ref="K6:K7"/>
    <mergeCell ref="L6:L7"/>
    <mergeCell ref="B25:C25"/>
    <mergeCell ref="B27:M27"/>
    <mergeCell ref="B28:C28"/>
    <mergeCell ref="D28:M28"/>
    <mergeCell ref="E6:E7"/>
    <mergeCell ref="F6:F7"/>
    <mergeCell ref="G6:G7"/>
    <mergeCell ref="H6:H7"/>
    <mergeCell ref="I6:I7"/>
    <mergeCell ref="B24:C24"/>
    <mergeCell ref="J6:J7"/>
    <mergeCell ref="AS2:AU2"/>
    <mergeCell ref="P15:Q16"/>
    <mergeCell ref="AD2:AF2"/>
    <mergeCell ref="AG2:AI2"/>
    <mergeCell ref="P49:Q49"/>
    <mergeCell ref="P17:P30"/>
    <mergeCell ref="P31:Q31"/>
    <mergeCell ref="P32:P46"/>
    <mergeCell ref="P47:Q47"/>
    <mergeCell ref="P48:Q48"/>
    <mergeCell ref="AM2:AO2"/>
    <mergeCell ref="AP2:AR2"/>
    <mergeCell ref="AJ2:AL2"/>
  </mergeCells>
  <phoneticPr fontId="73" type="noConversion"/>
  <conditionalFormatting sqref="R10 R12">
    <cfRule type="cellIs" dxfId="1" priority="1" stopIfTrue="1" operator="lessThan">
      <formula>0</formula>
    </cfRule>
  </conditionalFormatting>
  <printOptions horizontalCentered="1"/>
  <pageMargins left="0.39370078740157483" right="0.39370078740157483" top="0.98425196850393704" bottom="0.51181102362204722" header="0.15748031496062992" footer="0.27559055118110237"/>
  <pageSetup paperSize="9" scale="58" fitToHeight="0" orientation="portrait" useFirstPageNumber="1" r:id="rId1"/>
  <headerFooter scaleWithDoc="0" alignWithMargins="0">
    <oddFooter>&amp;C&amp;P</oddFooter>
  </headerFooter>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499984740745262"/>
    <pageSetUpPr fitToPage="1"/>
  </sheetPr>
  <dimension ref="A1:AN54"/>
  <sheetViews>
    <sheetView topLeftCell="B1" zoomScaleSheetLayoutView="100" workbookViewId="0">
      <selection activeCell="H24" sqref="H24"/>
    </sheetView>
  </sheetViews>
  <sheetFormatPr defaultColWidth="9" defaultRowHeight="14.25"/>
  <cols>
    <col min="1" max="1" width="6" style="67" customWidth="1"/>
    <col min="2" max="2" width="6.75" style="67" customWidth="1"/>
    <col min="3" max="8" width="19.625" style="67" customWidth="1"/>
    <col min="9" max="9" width="11.625" style="67" customWidth="1"/>
    <col min="10" max="10" width="18.25" style="67" customWidth="1"/>
    <col min="11" max="11" width="12.625" style="67" customWidth="1"/>
    <col min="12" max="12" width="10.625" style="67" customWidth="1"/>
    <col min="13" max="13" width="15.625" style="67" customWidth="1"/>
    <col min="14" max="14" width="18.5" style="67" customWidth="1"/>
    <col min="15" max="15" width="17.25" style="67" customWidth="1"/>
    <col min="16" max="16" width="16.625" style="67" customWidth="1"/>
    <col min="17" max="25" width="9" style="67" customWidth="1"/>
    <col min="26" max="40" width="9" style="67"/>
    <col min="41" max="238" width="9" style="8"/>
    <col min="239" max="239" width="6.125" style="8" customWidth="1"/>
    <col min="240" max="240" width="6.75" style="8" customWidth="1"/>
    <col min="241" max="16384" width="9" style="8"/>
  </cols>
  <sheetData>
    <row r="1" spans="1:40" ht="31.5" customHeight="1">
      <c r="A1" s="139" t="s">
        <v>159</v>
      </c>
    </row>
    <row r="2" spans="1:40" ht="28.5" customHeight="1">
      <c r="A2" s="131" t="s">
        <v>160</v>
      </c>
    </row>
    <row r="3" spans="1:40" ht="28.5" customHeight="1">
      <c r="A3" s="140" t="str">
        <f>'1. 매출실적과 입금실적(전체)'!B2</f>
        <v>(20**. 04. 01. ~ 20**. 04. 30.)</v>
      </c>
      <c r="O3" s="565" t="s">
        <v>419</v>
      </c>
      <c r="P3" s="562" t="s">
        <v>418</v>
      </c>
    </row>
    <row r="4" spans="1:40" ht="21" customHeight="1" thickBot="1">
      <c r="I4" s="894" t="s">
        <v>161</v>
      </c>
      <c r="J4" s="894"/>
      <c r="M4" s="228" t="s">
        <v>275</v>
      </c>
      <c r="N4" s="250">
        <f>'1. 매출실적과 입금실적(전체)'!U5</f>
        <v>9277573</v>
      </c>
      <c r="O4" s="143"/>
    </row>
    <row r="5" spans="1:40" ht="30" customHeight="1">
      <c r="A5" s="895" t="s">
        <v>43</v>
      </c>
      <c r="B5" s="896"/>
      <c r="C5" s="897" t="s">
        <v>44</v>
      </c>
      <c r="D5" s="898"/>
      <c r="E5" s="896"/>
      <c r="F5" s="897" t="s">
        <v>45</v>
      </c>
      <c r="G5" s="898"/>
      <c r="H5" s="896"/>
      <c r="I5" s="899" t="s">
        <v>46</v>
      </c>
      <c r="J5" s="901" t="s">
        <v>47</v>
      </c>
      <c r="M5" s="228" t="s">
        <v>270</v>
      </c>
      <c r="N5" s="250">
        <f>'1. 매출실적과 입금실적(전체)'!U7</f>
        <v>1685272347</v>
      </c>
      <c r="O5" s="143">
        <v>0</v>
      </c>
      <c r="P5" s="143">
        <f>N5-O5</f>
        <v>1685272347</v>
      </c>
    </row>
    <row r="6" spans="1:40" ht="30" customHeight="1">
      <c r="A6" s="9" t="s">
        <v>48</v>
      </c>
      <c r="B6" s="10" t="s">
        <v>49</v>
      </c>
      <c r="C6" s="10" t="s">
        <v>50</v>
      </c>
      <c r="D6" s="10" t="s">
        <v>51</v>
      </c>
      <c r="E6" s="11" t="s">
        <v>52</v>
      </c>
      <c r="F6" s="10" t="s">
        <v>50</v>
      </c>
      <c r="G6" s="10" t="s">
        <v>51</v>
      </c>
      <c r="H6" s="11" t="s">
        <v>52</v>
      </c>
      <c r="I6" s="900"/>
      <c r="J6" s="902"/>
      <c r="M6" s="564" t="s">
        <v>417</v>
      </c>
      <c r="N6" s="250">
        <f>'1. 매출실적과 입금실적(전체)'!U9+'1. 매출실적과 입금실적(전체)'!U10</f>
        <v>1645616988</v>
      </c>
      <c r="O6" s="143">
        <v>0</v>
      </c>
      <c r="P6" s="141">
        <f>N6-O6</f>
        <v>1645616988</v>
      </c>
    </row>
    <row r="7" spans="1:40" ht="30" customHeight="1">
      <c r="A7" s="905" t="s">
        <v>53</v>
      </c>
      <c r="B7" s="906"/>
      <c r="C7" s="446"/>
      <c r="D7" s="446"/>
      <c r="E7" s="447">
        <v>24095570</v>
      </c>
      <c r="F7" s="324"/>
      <c r="G7" s="324"/>
      <c r="H7" s="375">
        <v>24095570</v>
      </c>
      <c r="I7" s="703">
        <f>H7/E7</f>
        <v>1</v>
      </c>
      <c r="J7" s="740"/>
      <c r="M7" s="228" t="s">
        <v>273</v>
      </c>
      <c r="N7" s="250">
        <f>'1. 매출실적과 입금실적(전체)'!U11</f>
        <v>1380200</v>
      </c>
      <c r="O7" s="143">
        <v>0</v>
      </c>
      <c r="P7" s="141">
        <f>N7-O7</f>
        <v>1380200</v>
      </c>
    </row>
    <row r="8" spans="1:40" ht="30" customHeight="1">
      <c r="A8" s="12">
        <v>1</v>
      </c>
      <c r="B8" s="13">
        <v>1</v>
      </c>
      <c r="C8" s="561">
        <v>23652690</v>
      </c>
      <c r="D8" s="449">
        <v>43136587</v>
      </c>
      <c r="E8" s="448">
        <f>E7+C8-D8</f>
        <v>4611673</v>
      </c>
      <c r="F8" s="505">
        <v>23652690</v>
      </c>
      <c r="G8" s="505">
        <v>43136587</v>
      </c>
      <c r="H8" s="375">
        <f>H7+F8-G8</f>
        <v>4611673</v>
      </c>
      <c r="I8" s="704">
        <f>H8/E8</f>
        <v>1</v>
      </c>
      <c r="J8" s="740"/>
      <c r="M8" s="158" t="s">
        <v>277</v>
      </c>
      <c r="N8" s="250">
        <f>'1. 매출실적과 입금실적(전체)'!U13</f>
        <v>47552732</v>
      </c>
      <c r="O8" s="143"/>
    </row>
    <row r="9" spans="1:40" ht="30" customHeight="1">
      <c r="A9" s="14" t="s">
        <v>54</v>
      </c>
      <c r="B9" s="13">
        <v>2</v>
      </c>
      <c r="C9" s="561">
        <f>ROUND($P$5/11,0)</f>
        <v>153206577</v>
      </c>
      <c r="D9" s="449">
        <f>ROUND(($N$6+$P$7)/11,0)</f>
        <v>149727017</v>
      </c>
      <c r="E9" s="448">
        <f t="shared" ref="E9:E10" si="0">E8+C9-D9</f>
        <v>8091233</v>
      </c>
      <c r="F9" s="505">
        <v>72950038</v>
      </c>
      <c r="G9" s="505">
        <v>25144841</v>
      </c>
      <c r="H9" s="375">
        <f>H8+F9-G9</f>
        <v>52416870</v>
      </c>
      <c r="I9" s="704">
        <f t="shared" ref="I9:I10" si="1">H9/E9</f>
        <v>6.4782302029863681</v>
      </c>
      <c r="J9" s="740"/>
      <c r="M9" s="161"/>
      <c r="N9" s="161"/>
    </row>
    <row r="10" spans="1:40" ht="30" customHeight="1" thickBot="1">
      <c r="A10" s="256">
        <v>4</v>
      </c>
      <c r="B10" s="257">
        <v>3</v>
      </c>
      <c r="C10" s="561">
        <f>ROUND($P$5/11,0)</f>
        <v>153206577</v>
      </c>
      <c r="D10" s="449">
        <f>ROUND(($N$6+$P$7)/11,0)</f>
        <v>149727017</v>
      </c>
      <c r="E10" s="448">
        <f t="shared" si="0"/>
        <v>11570793</v>
      </c>
      <c r="F10" s="505">
        <v>113955896</v>
      </c>
      <c r="G10" s="505">
        <v>129363277</v>
      </c>
      <c r="H10" s="375">
        <f>H9+F10-G10</f>
        <v>37009489</v>
      </c>
      <c r="I10" s="704">
        <f t="shared" si="1"/>
        <v>3.1985265832687526</v>
      </c>
      <c r="J10" s="740"/>
      <c r="M10" s="162"/>
      <c r="N10" s="162"/>
      <c r="O10" s="160"/>
    </row>
    <row r="11" spans="1:40" ht="30" customHeight="1" thickBot="1">
      <c r="A11" s="263" t="s">
        <v>48</v>
      </c>
      <c r="B11" s="264" t="s">
        <v>55</v>
      </c>
      <c r="C11" s="450">
        <f>SUM(C8:C10)</f>
        <v>330065844</v>
      </c>
      <c r="D11" s="450">
        <f>SUM(D8:D10)</f>
        <v>342590621</v>
      </c>
      <c r="E11" s="451">
        <f>C11-D11</f>
        <v>-12524777</v>
      </c>
      <c r="F11" s="371">
        <f>SUM(F8:F10)</f>
        <v>210558624</v>
      </c>
      <c r="G11" s="371">
        <f>SUM(G8:G10)</f>
        <v>197644705</v>
      </c>
      <c r="H11" s="372">
        <f>H7+F11-G11</f>
        <v>37009489</v>
      </c>
      <c r="I11" s="265"/>
      <c r="J11" s="266"/>
      <c r="M11" s="163"/>
      <c r="N11" s="163"/>
      <c r="O11" s="161"/>
      <c r="P11" s="141"/>
    </row>
    <row r="12" spans="1:40" ht="30" customHeight="1">
      <c r="A12" s="259">
        <v>2</v>
      </c>
      <c r="B12" s="260">
        <v>4</v>
      </c>
      <c r="C12" s="561">
        <f>ROUND($P$5/11,0)</f>
        <v>153206577</v>
      </c>
      <c r="D12" s="449">
        <f>ROUND(($N$6+$P$7)/11,0)</f>
        <v>149727017</v>
      </c>
      <c r="E12" s="368">
        <f>E10+C12-D12</f>
        <v>15050353</v>
      </c>
      <c r="F12" s="367">
        <v>213985911</v>
      </c>
      <c r="G12" s="367">
        <v>90248573</v>
      </c>
      <c r="H12" s="368">
        <f>SUM(H10+F12-G12)</f>
        <v>160746827</v>
      </c>
      <c r="I12" s="452">
        <f>H12/E12</f>
        <v>10.68060177724735</v>
      </c>
      <c r="J12" s="740"/>
      <c r="M12" s="160"/>
      <c r="N12" s="160"/>
      <c r="O12" s="161"/>
    </row>
    <row r="13" spans="1:40" ht="30" customHeight="1">
      <c r="A13" s="16" t="s">
        <v>54</v>
      </c>
      <c r="B13" s="17">
        <v>5</v>
      </c>
      <c r="C13" s="561">
        <f>ROUND($P$5/11,0)</f>
        <v>153206577</v>
      </c>
      <c r="D13" s="449">
        <f>ROUND(($N$6+$P$7)/11,0)</f>
        <v>149727017</v>
      </c>
      <c r="E13" s="368">
        <f>E12+C13-D13</f>
        <v>18529913</v>
      </c>
      <c r="F13" s="367"/>
      <c r="G13" s="367"/>
      <c r="H13" s="368">
        <f>SUM(H12+F13-G13)</f>
        <v>160746827</v>
      </c>
      <c r="I13" s="453">
        <f>H13/E13</f>
        <v>8.6749909187377181</v>
      </c>
      <c r="J13" s="15"/>
      <c r="O13" s="161"/>
    </row>
    <row r="14" spans="1:40" s="18" customFormat="1" ht="30" customHeight="1" thickBot="1">
      <c r="A14" s="256">
        <v>4</v>
      </c>
      <c r="B14" s="257">
        <v>6</v>
      </c>
      <c r="C14" s="561">
        <f>ROUND($P$5/11,0)</f>
        <v>153206577</v>
      </c>
      <c r="D14" s="449">
        <f>ROUND(($N$6+$P$7)/11,0)</f>
        <v>149727017</v>
      </c>
      <c r="E14" s="368">
        <f>E13+C14-D14</f>
        <v>22009473</v>
      </c>
      <c r="F14" s="367"/>
      <c r="G14" s="367"/>
      <c r="H14" s="368">
        <f>SUM(H13+F14-G14)</f>
        <v>160746827</v>
      </c>
      <c r="I14" s="454">
        <f>H14/E14</f>
        <v>7.3035291213015414</v>
      </c>
      <c r="J14" s="258"/>
      <c r="K14" s="142"/>
      <c r="L14" s="142"/>
      <c r="M14" s="158" t="s">
        <v>165</v>
      </c>
      <c r="N14" s="158" t="s">
        <v>165</v>
      </c>
      <c r="O14" s="162"/>
      <c r="P14" s="142"/>
      <c r="Q14" s="142"/>
      <c r="R14" s="142"/>
      <c r="S14" s="142"/>
      <c r="T14" s="142"/>
      <c r="U14" s="142"/>
      <c r="V14" s="142"/>
      <c r="W14" s="142"/>
      <c r="X14" s="142"/>
      <c r="Y14" s="142"/>
      <c r="Z14" s="142"/>
      <c r="AA14" s="142"/>
      <c r="AB14" s="142"/>
      <c r="AC14" s="142"/>
      <c r="AD14" s="142"/>
      <c r="AE14" s="142"/>
      <c r="AF14" s="142"/>
      <c r="AG14" s="142"/>
      <c r="AH14" s="142"/>
      <c r="AI14" s="142"/>
      <c r="AJ14" s="142"/>
      <c r="AK14" s="142"/>
      <c r="AL14" s="142"/>
      <c r="AM14" s="142"/>
      <c r="AN14" s="142"/>
    </row>
    <row r="15" spans="1:40" s="20" customFormat="1" ht="30" customHeight="1" thickBot="1">
      <c r="A15" s="263" t="s">
        <v>48</v>
      </c>
      <c r="B15" s="264" t="s">
        <v>55</v>
      </c>
      <c r="C15" s="450">
        <f>SUM(C12:C14)</f>
        <v>459619731</v>
      </c>
      <c r="D15" s="450">
        <f>SUM(D12:D14)</f>
        <v>449181051</v>
      </c>
      <c r="E15" s="451">
        <f>C15-D15</f>
        <v>10438680</v>
      </c>
      <c r="F15" s="371">
        <f t="shared" ref="F15:G15" si="2">SUM(F12:F14)</f>
        <v>213985911</v>
      </c>
      <c r="G15" s="371">
        <f t="shared" si="2"/>
        <v>90248573</v>
      </c>
      <c r="H15" s="372">
        <f>H11+F15-G15</f>
        <v>160746827</v>
      </c>
      <c r="I15" s="455"/>
      <c r="J15" s="267"/>
      <c r="K15" s="321"/>
      <c r="L15" s="130"/>
      <c r="M15" s="306">
        <v>112970066</v>
      </c>
      <c r="N15" s="306">
        <v>74009724</v>
      </c>
      <c r="O15" s="322"/>
      <c r="P15" s="130"/>
      <c r="Q15" s="130"/>
      <c r="R15" s="130"/>
      <c r="S15" s="130"/>
      <c r="T15" s="130"/>
      <c r="U15" s="130"/>
      <c r="V15" s="130"/>
      <c r="W15" s="130"/>
      <c r="X15" s="130"/>
      <c r="Y15" s="130"/>
      <c r="Z15" s="130"/>
      <c r="AA15" s="130"/>
      <c r="AB15" s="130"/>
      <c r="AC15" s="130"/>
      <c r="AD15" s="130"/>
      <c r="AE15" s="130"/>
      <c r="AF15" s="130"/>
      <c r="AG15" s="130"/>
      <c r="AH15" s="130"/>
      <c r="AI15" s="130"/>
      <c r="AJ15" s="130"/>
      <c r="AK15" s="130"/>
      <c r="AL15" s="130"/>
      <c r="AM15" s="130"/>
      <c r="AN15" s="130"/>
    </row>
    <row r="16" spans="1:40" ht="30" customHeight="1">
      <c r="A16" s="259">
        <v>3</v>
      </c>
      <c r="B16" s="260">
        <v>7</v>
      </c>
      <c r="C16" s="561">
        <f>ROUND($P$5/11,0)</f>
        <v>153206577</v>
      </c>
      <c r="D16" s="449">
        <f>ROUND(($N$6+$P$7)/11,0)</f>
        <v>149727017</v>
      </c>
      <c r="E16" s="368">
        <f>E14+C16-D16</f>
        <v>25489033</v>
      </c>
      <c r="F16" s="373"/>
      <c r="G16" s="373"/>
      <c r="H16" s="368">
        <f>H14+F16-G16</f>
        <v>160746827</v>
      </c>
      <c r="I16" s="452">
        <f>H16/E16</f>
        <v>6.3065094309383962</v>
      </c>
      <c r="J16" s="261"/>
      <c r="M16" s="158"/>
      <c r="N16" s="158"/>
      <c r="O16" s="160"/>
    </row>
    <row r="17" spans="1:15" ht="30" customHeight="1">
      <c r="A17" s="14" t="s">
        <v>54</v>
      </c>
      <c r="B17" s="13">
        <v>8</v>
      </c>
      <c r="C17" s="561">
        <f>ROUND($P$5/11,0)</f>
        <v>153206577</v>
      </c>
      <c r="D17" s="449">
        <f>ROUND(($N$6+$P$7)/11,0)</f>
        <v>149727017</v>
      </c>
      <c r="E17" s="368">
        <f>E16+C17-D17</f>
        <v>28968593</v>
      </c>
      <c r="F17" s="373"/>
      <c r="G17" s="373"/>
      <c r="H17" s="368">
        <f>H16+F17-G17</f>
        <v>160746827</v>
      </c>
      <c r="I17" s="453">
        <f>H17/E17</f>
        <v>5.5490036053873935</v>
      </c>
      <c r="J17" s="19"/>
      <c r="K17" s="279"/>
      <c r="M17" s="158">
        <v>112970066</v>
      </c>
      <c r="N17" s="158">
        <v>74009724</v>
      </c>
    </row>
    <row r="18" spans="1:15" ht="30" customHeight="1" thickBot="1">
      <c r="A18" s="256">
        <v>4</v>
      </c>
      <c r="B18" s="257">
        <v>9</v>
      </c>
      <c r="C18" s="561">
        <f>ROUND($P$5/11,0)</f>
        <v>153206577</v>
      </c>
      <c r="D18" s="449">
        <f>ROUND(($N$6+$P$7)/11,0)</f>
        <v>149727017</v>
      </c>
      <c r="E18" s="368">
        <f>E17+C18-D18</f>
        <v>32448153</v>
      </c>
      <c r="F18" s="374"/>
      <c r="G18" s="374"/>
      <c r="H18" s="370">
        <f>H17+F18-G18</f>
        <v>160746827</v>
      </c>
      <c r="I18" s="454">
        <f>H18/E18</f>
        <v>4.9539592284343579</v>
      </c>
      <c r="J18" s="19"/>
      <c r="K18" s="279"/>
      <c r="L18" s="67" t="b">
        <f>H18='2-2.자금수지 실적 명세표'!C55</f>
        <v>1</v>
      </c>
      <c r="O18" s="158">
        <v>141278594</v>
      </c>
    </row>
    <row r="19" spans="1:15" ht="30" customHeight="1" thickBot="1">
      <c r="A19" s="263" t="s">
        <v>48</v>
      </c>
      <c r="B19" s="264" t="s">
        <v>55</v>
      </c>
      <c r="C19" s="450">
        <f>SUM(C16:C18)</f>
        <v>459619731</v>
      </c>
      <c r="D19" s="450">
        <f>SUM(D16:D18)</f>
        <v>449181051</v>
      </c>
      <c r="E19" s="451">
        <f>C19-D19</f>
        <v>10438680</v>
      </c>
      <c r="F19" s="371">
        <f t="shared" ref="F19:G19" si="3">SUM(F16:F18)</f>
        <v>0</v>
      </c>
      <c r="G19" s="371">
        <f t="shared" si="3"/>
        <v>0</v>
      </c>
      <c r="H19" s="372">
        <f>H15+F19-G19</f>
        <v>160746827</v>
      </c>
      <c r="I19" s="455"/>
      <c r="J19" s="268"/>
      <c r="K19" s="141">
        <f>H17-24843371</f>
        <v>135903456</v>
      </c>
      <c r="L19" s="67" t="b">
        <f>H16='8.시재현황'!D18</f>
        <v>0</v>
      </c>
      <c r="O19" s="158">
        <v>180238936</v>
      </c>
    </row>
    <row r="20" spans="1:15" ht="30" customHeight="1">
      <c r="A20" s="259">
        <v>4</v>
      </c>
      <c r="B20" s="260">
        <v>10</v>
      </c>
      <c r="C20" s="561">
        <f>ROUND($P$5/11,0)</f>
        <v>153206577</v>
      </c>
      <c r="D20" s="449">
        <f>ROUND(($N$6+$P$7)/11,0)</f>
        <v>149727017</v>
      </c>
      <c r="E20" s="368">
        <f>E18+C20-D20</f>
        <v>35927713</v>
      </c>
      <c r="F20" s="374"/>
      <c r="G20" s="374"/>
      <c r="H20" s="375">
        <f>H18+F20-G20</f>
        <v>160746827</v>
      </c>
      <c r="I20" s="452">
        <f>H20/E20</f>
        <v>4.4741736553061422</v>
      </c>
      <c r="J20" s="262"/>
      <c r="K20" s="141"/>
      <c r="O20" s="158"/>
    </row>
    <row r="21" spans="1:15" ht="30" customHeight="1">
      <c r="A21" s="14" t="s">
        <v>54</v>
      </c>
      <c r="B21" s="13">
        <v>11</v>
      </c>
      <c r="C21" s="561">
        <f>ROUND($P$5/11,0)</f>
        <v>153206577</v>
      </c>
      <c r="D21" s="449">
        <f>ROUND(($N$6+$P$7)/11,0)</f>
        <v>149727017</v>
      </c>
      <c r="E21" s="448">
        <f>E20+C21-D21</f>
        <v>39407273</v>
      </c>
      <c r="F21" s="369"/>
      <c r="G21" s="369"/>
      <c r="H21" s="375">
        <f>H20+F21-G21</f>
        <v>160746827</v>
      </c>
      <c r="I21" s="452">
        <f>H21/E21</f>
        <v>4.0791157256682036</v>
      </c>
      <c r="J21" s="19"/>
      <c r="K21" s="141"/>
      <c r="O21" s="158">
        <v>38960342</v>
      </c>
    </row>
    <row r="22" spans="1:15" ht="30" customHeight="1" thickBot="1">
      <c r="A22" s="256">
        <v>4</v>
      </c>
      <c r="B22" s="257">
        <v>12</v>
      </c>
      <c r="C22" s="561">
        <f>ROUND($P$5/11,0)</f>
        <v>153206577</v>
      </c>
      <c r="D22" s="449">
        <f>ROUND(($N$6+$P$7)/11,0)</f>
        <v>149727017</v>
      </c>
      <c r="E22" s="449">
        <f>E21+C22-D22</f>
        <v>42886833</v>
      </c>
      <c r="F22" s="376"/>
      <c r="G22" s="376"/>
      <c r="H22" s="375">
        <f>H21+F22-G22</f>
        <v>160746827</v>
      </c>
      <c r="I22" s="452">
        <f>H22/E22</f>
        <v>3.7481626820054537</v>
      </c>
      <c r="J22" s="136"/>
      <c r="K22" s="343" t="b">
        <f>H22='8.시재현황'!D18</f>
        <v>0</v>
      </c>
      <c r="L22" s="141"/>
      <c r="M22" s="141" t="e">
        <f>H8-#REF!</f>
        <v>#REF!</v>
      </c>
    </row>
    <row r="23" spans="1:15" ht="30" customHeight="1" thickBot="1">
      <c r="A23" s="263" t="s">
        <v>48</v>
      </c>
      <c r="B23" s="264" t="s">
        <v>55</v>
      </c>
      <c r="C23" s="450">
        <f>SUM(C20:C22)</f>
        <v>459619731</v>
      </c>
      <c r="D23" s="450">
        <f>SUM(D20:D22)</f>
        <v>449181051</v>
      </c>
      <c r="E23" s="567">
        <f>C23-D23</f>
        <v>10438680</v>
      </c>
      <c r="F23" s="450">
        <f>SUM(F20:F22)</f>
        <v>0</v>
      </c>
      <c r="G23" s="450">
        <f>SUM(G20:G22)</f>
        <v>0</v>
      </c>
      <c r="H23" s="372">
        <f>H19+F23-G23</f>
        <v>160746827</v>
      </c>
      <c r="I23" s="455"/>
      <c r="J23" s="267"/>
      <c r="M23" s="141" t="e">
        <f>'8.시재현황'!D9+'8.시재현황'!#REF!</f>
        <v>#REF!</v>
      </c>
    </row>
    <row r="24" spans="1:15" ht="30" customHeight="1" thickBot="1">
      <c r="A24" s="903" t="s">
        <v>304</v>
      </c>
      <c r="B24" s="904"/>
      <c r="C24" s="377">
        <f>C11+C12</f>
        <v>483272421</v>
      </c>
      <c r="D24" s="377">
        <f>D11+D12</f>
        <v>492317638</v>
      </c>
      <c r="E24" s="458">
        <f>E7+C24-D24</f>
        <v>15050353</v>
      </c>
      <c r="F24" s="377">
        <f>F11+F15+F19+F23</f>
        <v>424544535</v>
      </c>
      <c r="G24" s="377">
        <f>G11+G15+G19+G23</f>
        <v>287893278</v>
      </c>
      <c r="H24" s="377">
        <f>H7+F24-G24</f>
        <v>160746827</v>
      </c>
      <c r="I24" s="456">
        <f>H24/E24</f>
        <v>10.68060177724735</v>
      </c>
      <c r="J24" s="323"/>
      <c r="M24" s="141"/>
      <c r="N24" s="141"/>
    </row>
    <row r="25" spans="1:15" ht="30" customHeight="1" thickBot="1">
      <c r="A25" s="907" t="s">
        <v>56</v>
      </c>
      <c r="B25" s="908"/>
      <c r="C25" s="378">
        <f>C11+C15+C19+C23</f>
        <v>1708925037</v>
      </c>
      <c r="D25" s="378">
        <f>D11+D15+D19+D23</f>
        <v>1690133774</v>
      </c>
      <c r="E25" s="378">
        <f>E7+C25-D25</f>
        <v>42886833</v>
      </c>
      <c r="F25" s="378">
        <f>F11+F15+F19+F23</f>
        <v>424544535</v>
      </c>
      <c r="G25" s="378">
        <f>G11+G15+G19+G23</f>
        <v>287893278</v>
      </c>
      <c r="H25" s="379">
        <f>H7+F25-G25</f>
        <v>160746827</v>
      </c>
      <c r="I25" s="457">
        <f>H25/E25</f>
        <v>3.7481626820054537</v>
      </c>
      <c r="J25" s="269"/>
      <c r="M25" s="141" t="e">
        <f>H8-M23</f>
        <v>#REF!</v>
      </c>
    </row>
    <row r="26" spans="1:15" ht="25.9" customHeight="1">
      <c r="A26" s="909" t="str">
        <f>'8.시재현황'!A19</f>
        <v>(註) 시재보유 금액 \202,137,563원중 공탁금 및 퇴직연금 잔액 \41,390,736원을 제외한 실제 가용자금은 \160,746,827원입니다.</v>
      </c>
      <c r="B26" s="909"/>
      <c r="C26" s="909"/>
      <c r="D26" s="909"/>
      <c r="E26" s="909"/>
      <c r="F26" s="909"/>
      <c r="G26" s="909"/>
      <c r="H26" s="909"/>
      <c r="I26" s="909"/>
      <c r="J26" s="909"/>
    </row>
    <row r="27" spans="1:15" ht="82.9" customHeight="1">
      <c r="A27" s="855" t="s">
        <v>306</v>
      </c>
      <c r="B27" s="856"/>
      <c r="C27" s="856"/>
      <c r="D27" s="856"/>
      <c r="E27" s="856"/>
      <c r="F27" s="856"/>
      <c r="G27" s="856"/>
      <c r="H27" s="856"/>
      <c r="I27" s="856"/>
      <c r="J27" s="857"/>
    </row>
    <row r="28" spans="1:15" ht="21.6" customHeight="1">
      <c r="A28" s="320"/>
      <c r="B28" s="320"/>
      <c r="C28" s="320"/>
      <c r="D28" s="320"/>
      <c r="E28" s="320"/>
      <c r="F28" s="320"/>
      <c r="G28" s="320"/>
      <c r="H28" s="320"/>
      <c r="I28" s="320"/>
      <c r="J28" s="320"/>
    </row>
    <row r="29" spans="1:15">
      <c r="A29" s="67" t="str">
        <f>'8.시재현황'!A19</f>
        <v>(註) 시재보유 금액 \202,137,563원중 공탁금 및 퇴직연금 잔액 \41,390,736원을 제외한 실제 가용자금은 \160,746,827원입니다.</v>
      </c>
    </row>
    <row r="53" spans="3:14">
      <c r="C53" s="130"/>
      <c r="D53" s="130"/>
      <c r="E53" s="130"/>
      <c r="F53" s="130"/>
      <c r="G53" s="130"/>
      <c r="H53" s="130"/>
      <c r="I53" s="130"/>
      <c r="J53" s="130"/>
      <c r="K53" s="130"/>
      <c r="L53" s="130"/>
      <c r="M53" s="130"/>
      <c r="N53" s="130"/>
    </row>
    <row r="54" spans="3:14">
      <c r="C54" s="130"/>
      <c r="D54" s="130"/>
      <c r="E54" s="130"/>
      <c r="F54" s="130"/>
      <c r="G54" s="130"/>
      <c r="H54" s="130"/>
      <c r="I54" s="130"/>
      <c r="J54" s="130"/>
      <c r="K54" s="130"/>
      <c r="L54" s="130"/>
      <c r="M54" s="130"/>
      <c r="N54" s="130"/>
    </row>
  </sheetData>
  <mergeCells count="11">
    <mergeCell ref="A27:J27"/>
    <mergeCell ref="A24:B24"/>
    <mergeCell ref="A7:B7"/>
    <mergeCell ref="A25:B25"/>
    <mergeCell ref="A26:J26"/>
    <mergeCell ref="I4:J4"/>
    <mergeCell ref="A5:B5"/>
    <mergeCell ref="C5:E5"/>
    <mergeCell ref="F5:H5"/>
    <mergeCell ref="I5:I6"/>
    <mergeCell ref="J5:J6"/>
  </mergeCells>
  <phoneticPr fontId="11" type="noConversion"/>
  <printOptions horizontalCentered="1"/>
  <pageMargins left="0.39370078740157483" right="0.39370078740157483" top="0.98425196850393704" bottom="0.51181102362204722" header="0.15748031496062992" footer="0.27559055118110237"/>
  <pageSetup paperSize="9" scale="54" firstPageNumber="2" fitToHeight="0" orientation="portrait" r:id="rId1"/>
  <headerFooter scaleWithDoc="0" alignWithMargins="0">
    <oddFooter>&amp;C&amp;P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Y86"/>
  <sheetViews>
    <sheetView topLeftCell="A31" zoomScaleSheetLayoutView="85" workbookViewId="0">
      <selection activeCell="C6" sqref="C6:D6"/>
    </sheetView>
  </sheetViews>
  <sheetFormatPr defaultColWidth="9" defaultRowHeight="17.25" customHeight="1"/>
  <cols>
    <col min="1" max="1" width="23.25" style="67" customWidth="1"/>
    <col min="2" max="2" width="23.625" style="130" customWidth="1"/>
    <col min="3" max="3" width="23.625" style="138" customWidth="1"/>
    <col min="4" max="4" width="23.625" style="67" customWidth="1"/>
    <col min="5" max="5" width="38.125" style="67" customWidth="1"/>
    <col min="6" max="6" width="13.375" style="67" customWidth="1"/>
    <col min="7" max="7" width="12.125" style="67" customWidth="1"/>
    <col min="8" max="11" width="9" style="67" customWidth="1"/>
    <col min="12" max="25" width="9" style="67"/>
    <col min="26" max="16384" width="9" style="8"/>
  </cols>
  <sheetData>
    <row r="1" spans="1:25" ht="29.25" customHeight="1">
      <c r="A1" s="128" t="s">
        <v>156</v>
      </c>
      <c r="B1" s="129"/>
      <c r="C1" s="130"/>
    </row>
    <row r="2" spans="1:25" ht="17.25" customHeight="1">
      <c r="A2" s="164" t="str">
        <f>'2-1.자금수지표(총괄)'!A3</f>
        <v>(20**. 04. 01. ~ 20**. 04. 30.)</v>
      </c>
      <c r="B2" s="132"/>
      <c r="C2" s="130"/>
    </row>
    <row r="3" spans="1:25" ht="17.25" customHeight="1" thickBot="1">
      <c r="A3" s="211"/>
      <c r="B3" s="212"/>
      <c r="C3" s="212"/>
      <c r="D3" s="894" t="s">
        <v>157</v>
      </c>
      <c r="E3" s="894"/>
    </row>
    <row r="4" spans="1:25" ht="17.25" customHeight="1">
      <c r="A4" s="910" t="s">
        <v>112</v>
      </c>
      <c r="B4" s="912" t="s">
        <v>126</v>
      </c>
      <c r="C4" s="912" t="s">
        <v>113</v>
      </c>
      <c r="D4" s="899" t="s">
        <v>114</v>
      </c>
      <c r="E4" s="915" t="s">
        <v>115</v>
      </c>
    </row>
    <row r="5" spans="1:25" ht="17.25" customHeight="1" thickBot="1">
      <c r="A5" s="911"/>
      <c r="B5" s="913"/>
      <c r="C5" s="913"/>
      <c r="D5" s="914"/>
      <c r="E5" s="916"/>
    </row>
    <row r="6" spans="1:25" ht="18.75" customHeight="1">
      <c r="A6" s="429" t="s">
        <v>116</v>
      </c>
      <c r="B6" s="133">
        <v>18849890</v>
      </c>
      <c r="C6" s="133">
        <f>B55</f>
        <v>37009489</v>
      </c>
      <c r="D6" s="311">
        <f>$C$6-B6</f>
        <v>18159599</v>
      </c>
      <c r="E6" s="134"/>
      <c r="M6"/>
    </row>
    <row r="7" spans="1:25" ht="18.75" customHeight="1">
      <c r="A7" s="430" t="s">
        <v>311</v>
      </c>
      <c r="B7" s="312">
        <f>SUM(B8:B11)</f>
        <v>88386849</v>
      </c>
      <c r="C7" s="312">
        <f>SUM(C8:C11)</f>
        <v>213985911</v>
      </c>
      <c r="D7" s="312">
        <f>$C$7-B7</f>
        <v>125599062</v>
      </c>
      <c r="E7" s="135"/>
      <c r="F7" s="325" t="b">
        <f>C7='3,4 어음수표 및 주요 업무사항'!E81</f>
        <v>1</v>
      </c>
    </row>
    <row r="8" spans="1:25" ht="17.45" customHeight="1">
      <c r="A8" s="431" t="s">
        <v>357</v>
      </c>
      <c r="B8" s="313">
        <v>69156370</v>
      </c>
      <c r="C8" s="313">
        <f>'3,4 어음수표 및 주요 업무사항'!E81-'3,4 어음수표 및 주요 업무사항'!E82-'3,4 어음수표 및 주요 업무사항'!H82</f>
        <v>213685911</v>
      </c>
      <c r="D8" s="313">
        <f>$C$8-B8</f>
        <v>144529541</v>
      </c>
      <c r="E8" s="300"/>
    </row>
    <row r="9" spans="1:25" ht="17.45" customHeight="1">
      <c r="A9" s="431" t="s">
        <v>358</v>
      </c>
      <c r="B9" s="313">
        <v>19228356</v>
      </c>
      <c r="C9" s="313">
        <f>'3,4 어음수표 및 주요 업무사항'!E82</f>
        <v>300000</v>
      </c>
      <c r="D9" s="313">
        <f>$C$9-B9</f>
        <v>-18928356</v>
      </c>
      <c r="E9" s="300"/>
    </row>
    <row r="10" spans="1:25" ht="17.45" customHeight="1">
      <c r="A10" s="431" t="s">
        <v>310</v>
      </c>
      <c r="B10" s="313">
        <v>2123</v>
      </c>
      <c r="C10" s="313">
        <f>'3,4 어음수표 및 주요 업무사항'!H82</f>
        <v>0</v>
      </c>
      <c r="D10" s="313">
        <f>C10-B10</f>
        <v>-2123</v>
      </c>
      <c r="E10" s="300"/>
    </row>
    <row r="11" spans="1:25" ht="17.45" customHeight="1">
      <c r="A11" s="432" t="s">
        <v>320</v>
      </c>
      <c r="B11" s="314">
        <v>0</v>
      </c>
      <c r="C11" s="314">
        <v>0</v>
      </c>
      <c r="D11" s="314">
        <f>$C$11-B11</f>
        <v>0</v>
      </c>
      <c r="E11" s="317"/>
    </row>
    <row r="12" spans="1:25" s="20" customFormat="1" ht="18.75" customHeight="1">
      <c r="A12" s="430" t="s">
        <v>117</v>
      </c>
      <c r="B12" s="312">
        <f>SUM(B13:B53)</f>
        <v>70227250</v>
      </c>
      <c r="C12" s="312">
        <f>SUM(C13:C53)</f>
        <v>90248573</v>
      </c>
      <c r="D12" s="312">
        <f>$C$12-B12</f>
        <v>20021323</v>
      </c>
      <c r="E12" s="136"/>
      <c r="F12" s="325" t="b">
        <f>C12='5.허가사항 내역'!D75</f>
        <v>1</v>
      </c>
      <c r="G12" s="130"/>
      <c r="H12" s="130"/>
      <c r="I12" s="130"/>
      <c r="J12" s="130"/>
      <c r="K12" s="130"/>
      <c r="L12" s="130"/>
      <c r="M12" s="130"/>
      <c r="N12" s="130"/>
      <c r="O12" s="130"/>
      <c r="P12" s="130"/>
      <c r="Q12" s="130"/>
      <c r="R12" s="130"/>
      <c r="S12" s="130"/>
      <c r="T12" s="130"/>
      <c r="U12" s="130"/>
      <c r="V12" s="130"/>
      <c r="W12" s="130"/>
      <c r="X12" s="130"/>
      <c r="Y12" s="130"/>
    </row>
    <row r="13" spans="1:25" s="20" customFormat="1" ht="17.45" customHeight="1">
      <c r="A13" s="431" t="s">
        <v>307</v>
      </c>
      <c r="B13" s="315">
        <v>0</v>
      </c>
      <c r="C13" s="313">
        <v>0</v>
      </c>
      <c r="D13" s="313">
        <f>C13-B13</f>
        <v>0</v>
      </c>
      <c r="E13" s="137"/>
      <c r="F13" s="130"/>
      <c r="G13" s="130"/>
      <c r="H13" s="130"/>
      <c r="I13" s="130"/>
      <c r="J13" s="130"/>
      <c r="K13" s="130"/>
      <c r="L13" s="130"/>
      <c r="M13" s="130"/>
      <c r="N13" s="130"/>
      <c r="O13" s="130"/>
      <c r="P13" s="130"/>
      <c r="Q13" s="130"/>
      <c r="R13" s="130"/>
      <c r="S13" s="130"/>
      <c r="T13" s="130"/>
      <c r="U13" s="130"/>
      <c r="V13" s="130"/>
      <c r="W13" s="130"/>
      <c r="X13" s="130"/>
      <c r="Y13" s="130"/>
    </row>
    <row r="14" spans="1:25" s="20" customFormat="1" ht="17.45" customHeight="1">
      <c r="A14" s="431" t="s">
        <v>308</v>
      </c>
      <c r="B14" s="315">
        <v>0</v>
      </c>
      <c r="C14" s="313">
        <f>'5.허가사항 내역'!J120</f>
        <v>0</v>
      </c>
      <c r="D14" s="313">
        <f t="shared" ref="D14:D15" si="0">C14-B14</f>
        <v>0</v>
      </c>
      <c r="E14" s="318"/>
      <c r="F14" s="130"/>
      <c r="G14" s="130"/>
      <c r="H14" s="130"/>
      <c r="I14" s="130"/>
      <c r="J14" s="130"/>
      <c r="K14" s="130"/>
      <c r="L14" s="130"/>
      <c r="M14" s="130"/>
      <c r="N14" s="130"/>
      <c r="O14" s="130"/>
      <c r="P14" s="130"/>
      <c r="Q14" s="130"/>
      <c r="R14" s="130"/>
      <c r="S14" s="130"/>
      <c r="T14" s="130"/>
      <c r="U14" s="130"/>
      <c r="V14" s="130"/>
      <c r="W14" s="130"/>
      <c r="X14" s="130"/>
      <c r="Y14" s="130"/>
    </row>
    <row r="15" spans="1:25" s="20" customFormat="1" ht="17.45" customHeight="1">
      <c r="A15" s="431" t="s">
        <v>309</v>
      </c>
      <c r="B15" s="315">
        <v>0</v>
      </c>
      <c r="C15" s="313">
        <f>'5.허가사항 내역'!J121</f>
        <v>0</v>
      </c>
      <c r="D15" s="313">
        <f t="shared" si="0"/>
        <v>0</v>
      </c>
      <c r="E15" s="137"/>
      <c r="F15" s="130"/>
      <c r="G15" s="130"/>
      <c r="H15" s="130"/>
      <c r="I15" s="130"/>
      <c r="J15" s="130"/>
      <c r="K15" s="130"/>
      <c r="L15" s="130"/>
      <c r="M15" s="130"/>
      <c r="N15" s="130"/>
      <c r="O15" s="130"/>
      <c r="P15" s="130"/>
      <c r="Q15" s="130"/>
      <c r="R15" s="130"/>
      <c r="S15" s="130"/>
      <c r="T15" s="130"/>
      <c r="U15" s="130"/>
      <c r="V15" s="130"/>
      <c r="W15" s="130"/>
      <c r="X15" s="130"/>
      <c r="Y15" s="130"/>
    </row>
    <row r="16" spans="1:25" s="20" customFormat="1" ht="17.45" customHeight="1">
      <c r="A16" s="431" t="s">
        <v>286</v>
      </c>
      <c r="B16" s="315">
        <v>0</v>
      </c>
      <c r="C16" s="313">
        <f>'5.허가사항 내역'!J121</f>
        <v>0</v>
      </c>
      <c r="D16" s="313">
        <f>C16-B16</f>
        <v>0</v>
      </c>
      <c r="E16" s="68"/>
      <c r="F16" s="130"/>
      <c r="G16" s="130"/>
      <c r="H16" s="130"/>
      <c r="I16" s="130"/>
      <c r="J16" s="130"/>
      <c r="K16" s="130"/>
      <c r="L16" s="130"/>
      <c r="M16" s="130"/>
      <c r="N16" s="130"/>
      <c r="O16" s="130"/>
      <c r="P16" s="130"/>
      <c r="Q16" s="130"/>
      <c r="R16" s="130"/>
      <c r="S16" s="130"/>
      <c r="T16" s="130"/>
      <c r="U16" s="130"/>
      <c r="V16" s="130"/>
      <c r="W16" s="130"/>
      <c r="X16" s="130"/>
      <c r="Y16" s="130"/>
    </row>
    <row r="17" spans="1:25" s="20" customFormat="1" ht="17.45" customHeight="1">
      <c r="A17" s="431" t="s">
        <v>342</v>
      </c>
      <c r="B17" s="315">
        <v>0</v>
      </c>
      <c r="C17" s="313">
        <f>'5.허가사항 내역'!J122</f>
        <v>0</v>
      </c>
      <c r="D17" s="313">
        <f t="shared" ref="D17:D52" si="1">C17-B17</f>
        <v>0</v>
      </c>
      <c r="E17" s="319"/>
      <c r="F17" s="130"/>
      <c r="G17" s="130"/>
      <c r="H17" s="130"/>
      <c r="I17" s="130"/>
      <c r="J17" s="130"/>
      <c r="K17" s="130"/>
      <c r="L17" s="130"/>
      <c r="M17" s="130"/>
      <c r="N17" s="130"/>
      <c r="O17" s="130"/>
      <c r="P17" s="130"/>
      <c r="Q17" s="130"/>
      <c r="R17" s="130"/>
      <c r="S17" s="130"/>
      <c r="T17" s="130"/>
      <c r="U17" s="130"/>
      <c r="V17" s="130"/>
      <c r="W17" s="130"/>
      <c r="X17" s="130"/>
      <c r="Y17" s="130"/>
    </row>
    <row r="18" spans="1:25" s="20" customFormat="1" ht="17.45" customHeight="1">
      <c r="A18" s="431" t="s">
        <v>337</v>
      </c>
      <c r="B18" s="315">
        <v>29700</v>
      </c>
      <c r="C18" s="313">
        <f>'5.허가사항 내역'!J123</f>
        <v>5000000</v>
      </c>
      <c r="D18" s="313">
        <f t="shared" si="1"/>
        <v>4970300</v>
      </c>
      <c r="E18" s="68"/>
      <c r="F18" s="130"/>
      <c r="G18" s="130"/>
      <c r="H18" s="130"/>
      <c r="I18" s="130"/>
      <c r="J18" s="130"/>
      <c r="K18" s="130"/>
      <c r="L18" s="130"/>
      <c r="M18" s="130"/>
      <c r="N18" s="130"/>
      <c r="O18" s="130"/>
      <c r="P18" s="130"/>
      <c r="Q18" s="130"/>
      <c r="R18" s="130"/>
      <c r="S18" s="130"/>
      <c r="T18" s="130"/>
      <c r="U18" s="130"/>
      <c r="V18" s="130"/>
      <c r="W18" s="130"/>
      <c r="X18" s="130"/>
      <c r="Y18" s="130"/>
    </row>
    <row r="19" spans="1:25" s="20" customFormat="1" ht="17.45" customHeight="1">
      <c r="A19" s="431" t="s">
        <v>285</v>
      </c>
      <c r="B19" s="315">
        <v>0</v>
      </c>
      <c r="C19" s="313">
        <f>'5.허가사항 내역'!J124</f>
        <v>0</v>
      </c>
      <c r="D19" s="313">
        <f t="shared" si="1"/>
        <v>0</v>
      </c>
      <c r="E19" s="68"/>
      <c r="F19" s="130"/>
      <c r="G19" s="130"/>
      <c r="H19" s="130"/>
      <c r="I19" s="130"/>
      <c r="J19" s="130"/>
      <c r="K19" s="130"/>
      <c r="L19" s="130"/>
      <c r="M19" s="130"/>
      <c r="N19" s="130"/>
      <c r="O19" s="130"/>
      <c r="P19" s="130"/>
      <c r="Q19" s="130"/>
      <c r="R19" s="130"/>
      <c r="S19" s="130"/>
      <c r="T19" s="130"/>
      <c r="U19" s="130"/>
      <c r="V19" s="130"/>
      <c r="W19" s="130"/>
      <c r="X19" s="130"/>
      <c r="Y19" s="130"/>
    </row>
    <row r="20" spans="1:25" s="20" customFormat="1" ht="17.45" customHeight="1">
      <c r="A20" s="431" t="s">
        <v>338</v>
      </c>
      <c r="B20" s="315">
        <v>0</v>
      </c>
      <c r="C20" s="313">
        <f>'5.허가사항 내역'!J125</f>
        <v>0</v>
      </c>
      <c r="D20" s="313">
        <f t="shared" si="1"/>
        <v>0</v>
      </c>
      <c r="E20" s="137"/>
      <c r="F20" s="130"/>
      <c r="G20" s="130"/>
      <c r="H20" s="130"/>
      <c r="I20" s="130"/>
      <c r="J20" s="130"/>
      <c r="K20" s="130"/>
      <c r="L20" s="130"/>
      <c r="M20" s="130"/>
      <c r="N20" s="130"/>
      <c r="O20" s="130"/>
      <c r="P20" s="130"/>
      <c r="Q20" s="130"/>
      <c r="R20" s="130"/>
      <c r="S20" s="130"/>
      <c r="T20" s="130"/>
      <c r="U20" s="130"/>
      <c r="V20" s="130"/>
      <c r="W20" s="130"/>
      <c r="X20" s="130"/>
      <c r="Y20" s="130"/>
    </row>
    <row r="21" spans="1:25" s="20" customFormat="1" ht="17.45" customHeight="1">
      <c r="A21" s="431" t="s">
        <v>339</v>
      </c>
      <c r="B21" s="315">
        <v>0</v>
      </c>
      <c r="C21" s="313">
        <f>'5.허가사항 내역'!J126</f>
        <v>19160076</v>
      </c>
      <c r="D21" s="313">
        <f t="shared" si="1"/>
        <v>19160076</v>
      </c>
      <c r="E21" s="137"/>
      <c r="F21" s="130"/>
      <c r="G21" s="130"/>
      <c r="H21" s="130"/>
      <c r="I21" s="130"/>
      <c r="J21" s="130"/>
      <c r="K21" s="130"/>
      <c r="L21" s="130"/>
      <c r="M21" s="130"/>
      <c r="N21" s="130"/>
      <c r="O21" s="130"/>
      <c r="P21" s="130"/>
      <c r="Q21" s="130"/>
      <c r="R21" s="130"/>
      <c r="S21" s="130"/>
      <c r="T21" s="130"/>
      <c r="U21" s="130"/>
      <c r="V21" s="130"/>
      <c r="W21" s="130"/>
      <c r="X21" s="130"/>
      <c r="Y21" s="130"/>
    </row>
    <row r="22" spans="1:25" s="20" customFormat="1" ht="17.45" customHeight="1">
      <c r="A22" s="431" t="s">
        <v>334</v>
      </c>
      <c r="B22" s="315">
        <v>0</v>
      </c>
      <c r="C22" s="313">
        <f>'5.허가사항 내역'!J127</f>
        <v>0</v>
      </c>
      <c r="D22" s="313">
        <f t="shared" si="1"/>
        <v>0</v>
      </c>
      <c r="E22" s="318"/>
      <c r="F22" s="130"/>
      <c r="G22" s="130"/>
      <c r="H22" s="130"/>
      <c r="I22" s="130"/>
      <c r="J22" s="130"/>
      <c r="K22" s="130"/>
      <c r="L22" s="130"/>
      <c r="M22" s="130"/>
      <c r="N22" s="130"/>
      <c r="O22" s="130"/>
      <c r="P22" s="130"/>
      <c r="Q22" s="130"/>
      <c r="R22" s="130"/>
      <c r="S22" s="130"/>
      <c r="T22" s="130"/>
      <c r="U22" s="130"/>
      <c r="V22" s="130"/>
      <c r="W22" s="130"/>
      <c r="X22" s="130"/>
      <c r="Y22" s="130"/>
    </row>
    <row r="23" spans="1:25" s="20" customFormat="1" ht="17.45" customHeight="1">
      <c r="A23" s="431" t="s">
        <v>333</v>
      </c>
      <c r="B23" s="315">
        <v>566900</v>
      </c>
      <c r="C23" s="313">
        <f>'5.허가사항 내역'!J128</f>
        <v>0</v>
      </c>
      <c r="D23" s="313">
        <f t="shared" si="1"/>
        <v>-566900</v>
      </c>
      <c r="E23" s="318"/>
      <c r="F23" s="130"/>
      <c r="G23" s="130"/>
      <c r="H23" s="130"/>
      <c r="I23" s="130"/>
      <c r="J23" s="130"/>
      <c r="K23" s="130"/>
      <c r="L23" s="130"/>
      <c r="M23" s="130"/>
      <c r="N23" s="130"/>
      <c r="O23" s="130"/>
      <c r="P23" s="130"/>
      <c r="Q23" s="130"/>
      <c r="R23" s="130"/>
      <c r="S23" s="130"/>
      <c r="T23" s="130"/>
      <c r="U23" s="130"/>
      <c r="V23" s="130"/>
      <c r="W23" s="130"/>
      <c r="X23" s="130"/>
      <c r="Y23" s="130"/>
    </row>
    <row r="24" spans="1:25" s="20" customFormat="1" ht="17.45" customHeight="1">
      <c r="A24" s="431" t="s">
        <v>58</v>
      </c>
      <c r="B24" s="315">
        <v>2514000</v>
      </c>
      <c r="C24" s="313">
        <f>'5.허가사항 내역'!J129</f>
        <v>1949150</v>
      </c>
      <c r="D24" s="313">
        <f t="shared" si="1"/>
        <v>-564850</v>
      </c>
      <c r="E24" s="318" t="s">
        <v>490</v>
      </c>
      <c r="F24" s="130"/>
      <c r="G24" s="130"/>
      <c r="H24" s="130"/>
      <c r="I24" s="130"/>
      <c r="J24" s="130"/>
      <c r="K24" s="130"/>
      <c r="L24" s="130"/>
      <c r="M24" s="130"/>
      <c r="N24" s="130"/>
      <c r="O24" s="130"/>
      <c r="P24" s="130"/>
      <c r="Q24" s="130"/>
      <c r="R24" s="130"/>
      <c r="S24" s="130"/>
      <c r="T24" s="130"/>
      <c r="U24" s="130"/>
      <c r="V24" s="130"/>
      <c r="W24" s="130"/>
      <c r="X24" s="130"/>
      <c r="Y24" s="130"/>
    </row>
    <row r="25" spans="1:25" s="20" customFormat="1" ht="17.45" customHeight="1">
      <c r="A25" s="431" t="s">
        <v>427</v>
      </c>
      <c r="B25" s="315">
        <v>0</v>
      </c>
      <c r="C25" s="313">
        <f>'5.허가사항 내역'!J130</f>
        <v>0</v>
      </c>
      <c r="D25" s="313">
        <f t="shared" si="1"/>
        <v>0</v>
      </c>
      <c r="E25" s="319"/>
      <c r="F25" s="130"/>
      <c r="G25" s="130"/>
      <c r="H25" s="130"/>
      <c r="I25" s="130"/>
      <c r="J25" s="130"/>
      <c r="K25" s="130"/>
      <c r="L25" s="130"/>
      <c r="M25" s="130"/>
      <c r="N25" s="130"/>
      <c r="O25" s="130"/>
      <c r="P25" s="130"/>
      <c r="Q25" s="130"/>
      <c r="R25" s="130"/>
      <c r="S25" s="130"/>
      <c r="T25" s="130"/>
      <c r="U25" s="130"/>
      <c r="V25" s="130"/>
      <c r="W25" s="130"/>
      <c r="X25" s="130"/>
      <c r="Y25" s="130"/>
    </row>
    <row r="26" spans="1:25" s="20" customFormat="1" ht="17.45" customHeight="1">
      <c r="A26" s="431" t="s">
        <v>332</v>
      </c>
      <c r="B26" s="315">
        <v>682500</v>
      </c>
      <c r="C26" s="313">
        <f>'5.허가사항 내역'!J131</f>
        <v>4116620</v>
      </c>
      <c r="D26" s="313">
        <f t="shared" si="1"/>
        <v>3434120</v>
      </c>
      <c r="E26" s="318" t="s">
        <v>590</v>
      </c>
      <c r="F26" s="130"/>
      <c r="G26" s="130"/>
      <c r="H26" s="130"/>
      <c r="I26" s="130"/>
      <c r="J26" s="130"/>
      <c r="K26" s="130"/>
      <c r="L26" s="130"/>
      <c r="M26" s="130"/>
      <c r="N26" s="130"/>
      <c r="O26" s="130"/>
      <c r="P26" s="130"/>
      <c r="Q26" s="130"/>
      <c r="R26" s="130"/>
      <c r="S26" s="130"/>
      <c r="T26" s="130"/>
      <c r="U26" s="130"/>
      <c r="V26" s="130"/>
      <c r="W26" s="130"/>
      <c r="X26" s="130"/>
      <c r="Y26" s="130"/>
    </row>
    <row r="27" spans="1:25" s="20" customFormat="1" ht="17.45" customHeight="1">
      <c r="A27" s="431" t="s">
        <v>345</v>
      </c>
      <c r="B27" s="315">
        <v>0</v>
      </c>
      <c r="C27" s="313">
        <f>'5.허가사항 내역'!J132</f>
        <v>0</v>
      </c>
      <c r="D27" s="313">
        <f t="shared" si="1"/>
        <v>0</v>
      </c>
      <c r="E27" s="318"/>
      <c r="F27" s="130"/>
      <c r="G27" s="130"/>
      <c r="H27" s="130"/>
      <c r="I27" s="130"/>
      <c r="J27" s="130"/>
      <c r="K27" s="130"/>
      <c r="L27" s="130"/>
      <c r="M27" s="130"/>
      <c r="N27" s="130"/>
      <c r="O27" s="130"/>
      <c r="P27" s="130"/>
      <c r="Q27" s="130"/>
      <c r="R27" s="130"/>
      <c r="S27" s="130"/>
      <c r="T27" s="130"/>
      <c r="U27" s="130"/>
      <c r="V27" s="130"/>
      <c r="W27" s="130"/>
      <c r="X27" s="130"/>
      <c r="Y27" s="130"/>
    </row>
    <row r="28" spans="1:25" s="20" customFormat="1" ht="17.45" customHeight="1">
      <c r="A28" s="431" t="s">
        <v>340</v>
      </c>
      <c r="B28" s="315">
        <v>0</v>
      </c>
      <c r="C28" s="313">
        <f>'5.허가사항 내역'!J133</f>
        <v>0</v>
      </c>
      <c r="D28" s="313">
        <f t="shared" si="1"/>
        <v>0</v>
      </c>
      <c r="E28" s="318"/>
      <c r="F28" s="130"/>
      <c r="G28" s="130"/>
      <c r="H28" s="130"/>
      <c r="I28" s="130"/>
      <c r="J28" s="130"/>
      <c r="K28" s="130"/>
      <c r="L28" s="130"/>
      <c r="M28" s="130"/>
      <c r="N28" s="130"/>
      <c r="O28" s="130"/>
      <c r="P28" s="130"/>
      <c r="Q28" s="130"/>
      <c r="R28" s="130"/>
      <c r="S28" s="130"/>
      <c r="T28" s="130"/>
      <c r="U28" s="130"/>
      <c r="V28" s="130"/>
      <c r="W28" s="130"/>
      <c r="X28" s="130"/>
      <c r="Y28" s="130"/>
    </row>
    <row r="29" spans="1:25" s="20" customFormat="1" ht="17.45" customHeight="1">
      <c r="A29" s="431" t="s">
        <v>295</v>
      </c>
      <c r="B29" s="315">
        <v>0</v>
      </c>
      <c r="C29" s="313">
        <f>'5.허가사항 내역'!J134</f>
        <v>18334600</v>
      </c>
      <c r="D29" s="313">
        <f t="shared" si="1"/>
        <v>18334600</v>
      </c>
      <c r="E29" s="318" t="s">
        <v>1126</v>
      </c>
      <c r="F29" s="130"/>
      <c r="G29" s="130"/>
      <c r="H29" s="130"/>
      <c r="I29" s="130"/>
      <c r="J29" s="130"/>
      <c r="K29" s="130"/>
      <c r="L29" s="130"/>
      <c r="M29" s="130"/>
      <c r="N29" s="130"/>
      <c r="O29" s="130"/>
      <c r="P29" s="130"/>
      <c r="Q29" s="130"/>
      <c r="R29" s="130"/>
      <c r="S29" s="130"/>
      <c r="T29" s="130"/>
      <c r="U29" s="130"/>
      <c r="V29" s="130"/>
      <c r="W29" s="130"/>
      <c r="X29" s="130"/>
      <c r="Y29" s="130"/>
    </row>
    <row r="30" spans="1:25" s="20" customFormat="1" ht="17.45" customHeight="1">
      <c r="A30" s="431" t="s">
        <v>59</v>
      </c>
      <c r="B30" s="315">
        <v>2371790</v>
      </c>
      <c r="C30" s="313">
        <f>'5.허가사항 내역'!J135</f>
        <v>474500</v>
      </c>
      <c r="D30" s="313">
        <f>C30-B30</f>
        <v>-1897290</v>
      </c>
      <c r="E30" s="318" t="s">
        <v>591</v>
      </c>
      <c r="F30" s="130"/>
      <c r="G30" s="130"/>
      <c r="H30" s="130"/>
      <c r="I30" s="130"/>
      <c r="J30" s="130"/>
      <c r="K30" s="130"/>
      <c r="L30" s="130"/>
      <c r="M30" s="130"/>
      <c r="N30" s="130"/>
      <c r="O30" s="130"/>
      <c r="P30" s="130"/>
      <c r="Q30" s="130"/>
      <c r="R30" s="130"/>
      <c r="S30" s="130"/>
      <c r="T30" s="130"/>
      <c r="U30" s="130"/>
      <c r="V30" s="130"/>
      <c r="W30" s="130"/>
      <c r="X30" s="130"/>
      <c r="Y30" s="130"/>
    </row>
    <row r="31" spans="1:25" s="20" customFormat="1" ht="17.45" customHeight="1">
      <c r="A31" s="431" t="s">
        <v>346</v>
      </c>
      <c r="B31" s="315">
        <v>0</v>
      </c>
      <c r="C31" s="313">
        <f>'5.허가사항 내역'!J136</f>
        <v>0</v>
      </c>
      <c r="D31" s="313">
        <f t="shared" si="1"/>
        <v>0</v>
      </c>
      <c r="E31" s="137"/>
      <c r="F31" s="130"/>
      <c r="G31" s="130"/>
      <c r="H31" s="130"/>
      <c r="I31" s="130"/>
      <c r="J31" s="130"/>
      <c r="K31" s="130"/>
      <c r="L31" s="130"/>
      <c r="M31" s="130"/>
      <c r="N31" s="130"/>
      <c r="O31" s="130"/>
      <c r="P31" s="130"/>
      <c r="Q31" s="130"/>
      <c r="R31" s="130"/>
      <c r="S31" s="130"/>
      <c r="T31" s="130"/>
      <c r="U31" s="130"/>
      <c r="V31" s="130"/>
      <c r="W31" s="130"/>
      <c r="X31" s="130"/>
      <c r="Y31" s="130"/>
    </row>
    <row r="32" spans="1:25" s="20" customFormat="1" ht="17.45" customHeight="1">
      <c r="A32" s="431" t="s">
        <v>352</v>
      </c>
      <c r="B32" s="315">
        <v>154500</v>
      </c>
      <c r="C32" s="313">
        <f>'5.허가사항 내역'!J137</f>
        <v>0</v>
      </c>
      <c r="D32" s="313">
        <f t="shared" si="1"/>
        <v>-154500</v>
      </c>
      <c r="E32" s="318"/>
      <c r="F32" s="130"/>
      <c r="G32" s="130"/>
      <c r="H32" s="130"/>
      <c r="I32" s="130"/>
      <c r="J32" s="130"/>
      <c r="K32" s="130"/>
      <c r="L32" s="130"/>
      <c r="M32" s="130"/>
      <c r="N32" s="130"/>
      <c r="O32" s="130"/>
      <c r="P32" s="130"/>
      <c r="Q32" s="130"/>
      <c r="R32" s="130"/>
      <c r="S32" s="130"/>
      <c r="T32" s="130"/>
      <c r="U32" s="130"/>
      <c r="V32" s="130"/>
      <c r="W32" s="130"/>
      <c r="X32" s="130"/>
      <c r="Y32" s="130"/>
    </row>
    <row r="33" spans="1:25" s="20" customFormat="1" ht="17.45" customHeight="1">
      <c r="A33" s="431" t="s">
        <v>481</v>
      </c>
      <c r="B33" s="315">
        <v>65700</v>
      </c>
      <c r="C33" s="313">
        <f>'5.허가사항 내역'!J138</f>
        <v>324920</v>
      </c>
      <c r="D33" s="313">
        <f t="shared" si="1"/>
        <v>259220</v>
      </c>
      <c r="E33" s="319" t="s">
        <v>1127</v>
      </c>
      <c r="F33" s="130"/>
      <c r="G33" s="130"/>
      <c r="H33" s="130"/>
      <c r="I33" s="130"/>
      <c r="J33" s="130"/>
      <c r="K33" s="130"/>
      <c r="L33" s="130"/>
      <c r="M33" s="130"/>
      <c r="N33" s="130"/>
      <c r="O33" s="130"/>
      <c r="P33" s="130"/>
      <c r="Q33" s="130"/>
      <c r="R33" s="130"/>
      <c r="S33" s="130"/>
      <c r="T33" s="130"/>
      <c r="U33" s="130"/>
      <c r="V33" s="130"/>
      <c r="W33" s="130"/>
      <c r="X33" s="130"/>
      <c r="Y33" s="130"/>
    </row>
    <row r="34" spans="1:25" s="20" customFormat="1" ht="17.45" customHeight="1">
      <c r="A34" s="431" t="s">
        <v>293</v>
      </c>
      <c r="B34" s="315">
        <v>0</v>
      </c>
      <c r="C34" s="313">
        <f>'5.허가사항 내역'!J139</f>
        <v>0</v>
      </c>
      <c r="D34" s="313">
        <f t="shared" si="1"/>
        <v>0</v>
      </c>
      <c r="E34" s="318"/>
      <c r="F34" s="130"/>
      <c r="G34" s="130"/>
      <c r="H34" s="130"/>
      <c r="I34" s="130"/>
      <c r="J34" s="130"/>
      <c r="K34" s="130"/>
      <c r="L34" s="130"/>
      <c r="M34" s="130"/>
      <c r="N34" s="130"/>
      <c r="O34" s="130"/>
      <c r="P34" s="130"/>
      <c r="Q34" s="130"/>
      <c r="R34" s="130"/>
      <c r="S34" s="130"/>
      <c r="T34" s="130"/>
      <c r="U34" s="130"/>
      <c r="V34" s="130"/>
      <c r="W34" s="130"/>
      <c r="X34" s="130"/>
      <c r="Y34" s="130"/>
    </row>
    <row r="35" spans="1:25" s="20" customFormat="1" ht="17.45" customHeight="1">
      <c r="A35" s="431" t="s">
        <v>292</v>
      </c>
      <c r="B35" s="315">
        <v>0</v>
      </c>
      <c r="C35" s="313">
        <f>'5.허가사항 내역'!J140</f>
        <v>0</v>
      </c>
      <c r="D35" s="313">
        <f t="shared" si="1"/>
        <v>0</v>
      </c>
      <c r="E35" s="319"/>
      <c r="F35" s="130"/>
      <c r="G35" s="130"/>
      <c r="H35" s="130"/>
      <c r="I35" s="130"/>
      <c r="J35" s="130"/>
      <c r="K35" s="130"/>
      <c r="L35" s="130"/>
      <c r="M35" s="130"/>
      <c r="N35" s="130"/>
      <c r="O35" s="130"/>
      <c r="P35" s="130"/>
      <c r="Q35" s="130"/>
      <c r="R35" s="130"/>
      <c r="S35" s="130"/>
      <c r="T35" s="130"/>
      <c r="U35" s="130"/>
      <c r="V35" s="130"/>
      <c r="W35" s="130"/>
      <c r="X35" s="130"/>
      <c r="Y35" s="130"/>
    </row>
    <row r="36" spans="1:25" s="20" customFormat="1" ht="17.45" customHeight="1">
      <c r="A36" s="431" t="s">
        <v>300</v>
      </c>
      <c r="B36" s="315">
        <v>32878200</v>
      </c>
      <c r="C36" s="313">
        <f>'5.허가사항 내역'!J141</f>
        <v>12165200</v>
      </c>
      <c r="D36" s="313">
        <f t="shared" si="1"/>
        <v>-20713000</v>
      </c>
      <c r="E36" s="318" t="s">
        <v>486</v>
      </c>
      <c r="F36" s="130"/>
      <c r="G36" s="130"/>
      <c r="H36" s="130"/>
      <c r="I36" s="130"/>
      <c r="J36" s="130"/>
      <c r="K36" s="130"/>
      <c r="L36" s="130"/>
      <c r="M36" s="130"/>
      <c r="N36" s="130"/>
      <c r="O36" s="130"/>
      <c r="P36" s="130"/>
      <c r="Q36" s="130"/>
      <c r="R36" s="130"/>
      <c r="S36" s="130"/>
      <c r="T36" s="130"/>
      <c r="U36" s="130"/>
      <c r="V36" s="130"/>
      <c r="W36" s="130"/>
      <c r="X36" s="130"/>
      <c r="Y36" s="130"/>
    </row>
    <row r="37" spans="1:25" s="20" customFormat="1" ht="17.45" customHeight="1">
      <c r="A37" s="431" t="s">
        <v>284</v>
      </c>
      <c r="B37" s="315">
        <v>3635620</v>
      </c>
      <c r="C37" s="313">
        <f>'5.허가사항 내역'!J142</f>
        <v>1010940</v>
      </c>
      <c r="D37" s="313">
        <f t="shared" si="1"/>
        <v>-2624680</v>
      </c>
      <c r="E37" s="318" t="s">
        <v>491</v>
      </c>
      <c r="F37" s="130"/>
      <c r="G37" s="130"/>
      <c r="H37" s="130"/>
      <c r="I37" s="130"/>
      <c r="J37" s="130"/>
      <c r="K37" s="130"/>
      <c r="L37" s="130"/>
      <c r="M37" s="130"/>
      <c r="N37" s="130"/>
      <c r="O37" s="130"/>
      <c r="P37" s="130"/>
      <c r="Q37" s="130"/>
      <c r="R37" s="130"/>
      <c r="S37" s="130"/>
      <c r="T37" s="130"/>
      <c r="U37" s="130"/>
      <c r="V37" s="130"/>
      <c r="W37" s="130"/>
      <c r="X37" s="130"/>
      <c r="Y37" s="130"/>
    </row>
    <row r="38" spans="1:25" s="20" customFormat="1" ht="17.45" customHeight="1">
      <c r="A38" s="431" t="s">
        <v>482</v>
      </c>
      <c r="B38" s="315">
        <v>0</v>
      </c>
      <c r="C38" s="313">
        <f>'5.허가사항 내역'!J143</f>
        <v>0</v>
      </c>
      <c r="D38" s="313">
        <f t="shared" si="1"/>
        <v>0</v>
      </c>
      <c r="E38" s="319"/>
      <c r="F38" s="130"/>
      <c r="G38" s="130"/>
      <c r="H38" s="130"/>
      <c r="I38" s="130"/>
      <c r="J38" s="130"/>
      <c r="K38" s="130"/>
      <c r="L38" s="130"/>
      <c r="M38" s="130"/>
      <c r="N38" s="130"/>
      <c r="O38" s="130"/>
      <c r="P38" s="130"/>
      <c r="Q38" s="130"/>
      <c r="R38" s="130"/>
      <c r="S38" s="130"/>
      <c r="T38" s="130"/>
      <c r="U38" s="130"/>
      <c r="V38" s="130"/>
      <c r="W38" s="130"/>
      <c r="X38" s="130"/>
      <c r="Y38" s="130"/>
    </row>
    <row r="39" spans="1:25" s="20" customFormat="1" ht="17.45" customHeight="1">
      <c r="A39" s="431" t="s">
        <v>299</v>
      </c>
      <c r="B39" s="315">
        <v>0</v>
      </c>
      <c r="C39" s="313">
        <f>'5.허가사항 내역'!J144</f>
        <v>0</v>
      </c>
      <c r="D39" s="313">
        <f t="shared" si="1"/>
        <v>0</v>
      </c>
      <c r="E39" s="68"/>
      <c r="F39" s="130"/>
      <c r="G39" s="130"/>
      <c r="H39" s="130"/>
      <c r="I39" s="130"/>
      <c r="J39" s="130"/>
      <c r="K39" s="130"/>
      <c r="L39" s="130"/>
      <c r="M39" s="130"/>
      <c r="N39" s="130"/>
      <c r="O39" s="130"/>
      <c r="P39" s="130"/>
      <c r="Q39" s="130"/>
      <c r="R39" s="130"/>
      <c r="S39" s="130"/>
      <c r="T39" s="130"/>
      <c r="U39" s="130"/>
      <c r="V39" s="130"/>
      <c r="W39" s="130"/>
      <c r="X39" s="130"/>
      <c r="Y39" s="130"/>
    </row>
    <row r="40" spans="1:25" s="20" customFormat="1" ht="17.45" customHeight="1">
      <c r="A40" s="431" t="s">
        <v>330</v>
      </c>
      <c r="B40" s="315">
        <v>3504000</v>
      </c>
      <c r="C40" s="313">
        <f>'5.허가사항 내역'!J145</f>
        <v>2755000</v>
      </c>
      <c r="D40" s="313">
        <f t="shared" si="1"/>
        <v>-749000</v>
      </c>
      <c r="E40" s="319" t="s">
        <v>511</v>
      </c>
      <c r="F40" s="130"/>
      <c r="G40" s="130"/>
      <c r="H40" s="130"/>
      <c r="I40" s="130"/>
      <c r="J40" s="130"/>
      <c r="K40" s="130"/>
      <c r="L40" s="130"/>
      <c r="M40" s="130"/>
      <c r="N40" s="130"/>
      <c r="O40" s="130"/>
      <c r="P40" s="130"/>
      <c r="Q40" s="130"/>
      <c r="R40" s="130"/>
      <c r="S40" s="130"/>
      <c r="T40" s="130"/>
      <c r="U40" s="130"/>
      <c r="V40" s="130"/>
      <c r="W40" s="130"/>
      <c r="X40" s="130"/>
      <c r="Y40" s="130"/>
    </row>
    <row r="41" spans="1:25" s="20" customFormat="1" ht="17.45" customHeight="1">
      <c r="A41" s="431" t="s">
        <v>298</v>
      </c>
      <c r="B41" s="315">
        <v>2800000</v>
      </c>
      <c r="C41" s="313">
        <f>'5.허가사항 내역'!J146</f>
        <v>2800000</v>
      </c>
      <c r="D41" s="313">
        <f>C41-B41</f>
        <v>0</v>
      </c>
      <c r="E41" s="319" t="s">
        <v>489</v>
      </c>
      <c r="F41" s="130"/>
      <c r="G41" s="130"/>
      <c r="H41" s="130"/>
      <c r="I41" s="130"/>
      <c r="J41" s="130"/>
      <c r="K41" s="130"/>
      <c r="L41" s="130"/>
      <c r="M41" s="130"/>
      <c r="N41" s="130"/>
      <c r="O41" s="130"/>
      <c r="P41" s="130"/>
      <c r="Q41" s="130"/>
      <c r="R41" s="130"/>
      <c r="S41" s="130"/>
      <c r="T41" s="130"/>
      <c r="U41" s="130"/>
      <c r="V41" s="130"/>
      <c r="W41" s="130"/>
      <c r="X41" s="130"/>
      <c r="Y41" s="130"/>
    </row>
    <row r="42" spans="1:25" s="20" customFormat="1" ht="17.45" customHeight="1">
      <c r="A42" s="431" t="s">
        <v>483</v>
      </c>
      <c r="B42" s="315">
        <v>50000</v>
      </c>
      <c r="C42" s="313">
        <f>'5.허가사항 내역'!J147</f>
        <v>0</v>
      </c>
      <c r="D42" s="313">
        <f t="shared" si="1"/>
        <v>-50000</v>
      </c>
      <c r="E42" s="319"/>
      <c r="F42" s="130"/>
      <c r="G42" s="130"/>
      <c r="H42" s="130"/>
      <c r="I42" s="130"/>
      <c r="J42" s="130"/>
      <c r="K42" s="130"/>
      <c r="L42" s="130"/>
      <c r="M42" s="130"/>
      <c r="N42" s="130"/>
      <c r="O42" s="130"/>
      <c r="P42" s="130"/>
      <c r="Q42" s="130"/>
      <c r="R42" s="130"/>
      <c r="S42" s="130"/>
      <c r="T42" s="130"/>
      <c r="U42" s="130"/>
      <c r="V42" s="130"/>
      <c r="W42" s="130"/>
      <c r="X42" s="130"/>
      <c r="Y42" s="130"/>
    </row>
    <row r="43" spans="1:25" s="20" customFormat="1" ht="17.45" customHeight="1">
      <c r="A43" s="431" t="s">
        <v>331</v>
      </c>
      <c r="B43" s="315">
        <v>0</v>
      </c>
      <c r="C43" s="313"/>
      <c r="D43" s="313">
        <f t="shared" si="1"/>
        <v>0</v>
      </c>
      <c r="E43" s="319"/>
      <c r="F43" s="130"/>
      <c r="G43" s="130"/>
      <c r="H43" s="130"/>
      <c r="I43" s="130"/>
      <c r="J43" s="130"/>
      <c r="K43" s="130"/>
      <c r="L43" s="130"/>
      <c r="M43" s="130"/>
      <c r="N43" s="130"/>
      <c r="O43" s="130"/>
      <c r="P43" s="130"/>
      <c r="Q43" s="130"/>
      <c r="R43" s="130"/>
      <c r="S43" s="130"/>
      <c r="T43" s="130"/>
      <c r="U43" s="130"/>
      <c r="V43" s="130"/>
      <c r="W43" s="130"/>
      <c r="X43" s="130"/>
      <c r="Y43" s="130"/>
    </row>
    <row r="44" spans="1:25" s="20" customFormat="1" ht="17.45" customHeight="1">
      <c r="A44" s="431" t="s">
        <v>296</v>
      </c>
      <c r="B44" s="315">
        <v>2568020</v>
      </c>
      <c r="C44" s="313">
        <f>'5.허가사항 내역'!J149</f>
        <v>0</v>
      </c>
      <c r="D44" s="313">
        <f t="shared" si="1"/>
        <v>-2568020</v>
      </c>
      <c r="E44" s="319" t="s">
        <v>1129</v>
      </c>
      <c r="F44" s="130"/>
      <c r="G44" s="130"/>
      <c r="H44" s="130"/>
      <c r="I44" s="130"/>
      <c r="J44" s="130"/>
      <c r="K44" s="130"/>
      <c r="L44" s="130"/>
      <c r="M44" s="130"/>
      <c r="N44" s="130"/>
      <c r="O44" s="130"/>
      <c r="P44" s="130"/>
      <c r="Q44" s="130"/>
      <c r="R44" s="130"/>
      <c r="S44" s="130"/>
      <c r="T44" s="130"/>
      <c r="U44" s="130"/>
      <c r="V44" s="130"/>
      <c r="W44" s="130"/>
      <c r="X44" s="130"/>
      <c r="Y44" s="130"/>
    </row>
    <row r="45" spans="1:25" s="20" customFormat="1" ht="17.45" customHeight="1">
      <c r="A45" s="433" t="s">
        <v>341</v>
      </c>
      <c r="B45" s="315">
        <v>0</v>
      </c>
      <c r="C45" s="313">
        <f>'5.허가사항 내역'!J150</f>
        <v>0</v>
      </c>
      <c r="D45" s="313">
        <f t="shared" si="1"/>
        <v>0</v>
      </c>
      <c r="E45" s="68"/>
      <c r="F45" s="130"/>
      <c r="G45" s="130"/>
      <c r="H45" s="130"/>
      <c r="I45" s="130"/>
      <c r="J45" s="130"/>
      <c r="K45" s="130"/>
      <c r="L45" s="130"/>
      <c r="M45" s="130"/>
      <c r="N45" s="130"/>
      <c r="O45" s="130"/>
      <c r="P45" s="130"/>
      <c r="Q45" s="130"/>
      <c r="R45" s="130"/>
      <c r="S45" s="130"/>
      <c r="T45" s="130"/>
      <c r="U45" s="130"/>
      <c r="V45" s="130"/>
      <c r="W45" s="130"/>
      <c r="X45" s="130"/>
      <c r="Y45" s="130"/>
    </row>
    <row r="46" spans="1:25" s="20" customFormat="1" ht="17.45" customHeight="1">
      <c r="A46" s="431" t="s">
        <v>61</v>
      </c>
      <c r="B46" s="315">
        <v>1210720</v>
      </c>
      <c r="C46" s="313">
        <f>'5.허가사항 내역'!J151</f>
        <v>699440</v>
      </c>
      <c r="D46" s="313">
        <f t="shared" si="1"/>
        <v>-511280</v>
      </c>
      <c r="E46" s="319" t="s">
        <v>593</v>
      </c>
      <c r="F46" s="130"/>
      <c r="G46" s="130"/>
      <c r="H46" s="130"/>
      <c r="I46" s="130"/>
      <c r="J46" s="130"/>
      <c r="K46" s="130"/>
      <c r="L46" s="130"/>
      <c r="M46" s="130"/>
      <c r="N46" s="130"/>
      <c r="O46" s="130"/>
      <c r="P46" s="130"/>
      <c r="Q46" s="130"/>
      <c r="R46" s="130"/>
      <c r="S46" s="130"/>
      <c r="T46" s="130"/>
      <c r="U46" s="130"/>
      <c r="V46" s="130"/>
      <c r="W46" s="130"/>
      <c r="X46" s="130"/>
      <c r="Y46" s="130"/>
    </row>
    <row r="47" spans="1:25" s="20" customFormat="1" ht="17.45" customHeight="1">
      <c r="A47" s="431" t="s">
        <v>287</v>
      </c>
      <c r="B47" s="315">
        <v>0</v>
      </c>
      <c r="C47" s="313">
        <f>'5.허가사항 내역'!J152</f>
        <v>0</v>
      </c>
      <c r="D47" s="313">
        <f t="shared" si="1"/>
        <v>0</v>
      </c>
      <c r="E47" s="319"/>
      <c r="F47" s="130"/>
      <c r="G47" s="130"/>
      <c r="H47" s="130"/>
      <c r="I47" s="130"/>
      <c r="J47" s="130"/>
      <c r="K47" s="130"/>
      <c r="L47" s="130"/>
      <c r="M47" s="130"/>
      <c r="N47" s="130"/>
      <c r="O47" s="130"/>
      <c r="P47" s="130"/>
      <c r="Q47" s="130"/>
      <c r="R47" s="130"/>
      <c r="S47" s="130"/>
      <c r="T47" s="130"/>
      <c r="U47" s="130"/>
      <c r="V47" s="130"/>
      <c r="W47" s="130"/>
      <c r="X47" s="130"/>
      <c r="Y47" s="130"/>
    </row>
    <row r="48" spans="1:25" s="20" customFormat="1" ht="17.45" customHeight="1">
      <c r="A48" s="431" t="s">
        <v>297</v>
      </c>
      <c r="B48" s="315">
        <v>13359970</v>
      </c>
      <c r="C48" s="313">
        <f>'5.허가사항 내역'!J153</f>
        <v>16045800</v>
      </c>
      <c r="D48" s="313">
        <f t="shared" si="1"/>
        <v>2685830</v>
      </c>
      <c r="E48" s="319" t="s">
        <v>592</v>
      </c>
      <c r="F48" s="130"/>
      <c r="G48" s="130"/>
      <c r="H48" s="130"/>
      <c r="I48" s="130"/>
      <c r="J48" s="130"/>
      <c r="K48" s="130"/>
      <c r="L48" s="130"/>
      <c r="M48" s="130"/>
      <c r="N48" s="130"/>
      <c r="O48" s="130"/>
      <c r="P48" s="130"/>
      <c r="Q48" s="130"/>
      <c r="R48" s="130"/>
      <c r="S48" s="130"/>
      <c r="T48" s="130"/>
      <c r="U48" s="130"/>
      <c r="V48" s="130"/>
      <c r="W48" s="130"/>
      <c r="X48" s="130"/>
      <c r="Y48" s="130"/>
    </row>
    <row r="49" spans="1:25" s="20" customFormat="1" ht="17.45" customHeight="1">
      <c r="A49" s="431" t="s">
        <v>62</v>
      </c>
      <c r="B49" s="315">
        <v>3457580</v>
      </c>
      <c r="C49" s="313">
        <f>'5.허가사항 내역'!J154</f>
        <v>3208857</v>
      </c>
      <c r="D49" s="313">
        <f t="shared" si="1"/>
        <v>-248723</v>
      </c>
      <c r="E49" s="319" t="s">
        <v>566</v>
      </c>
      <c r="F49" s="130"/>
      <c r="G49" s="130"/>
      <c r="H49" s="130"/>
      <c r="I49" s="130"/>
      <c r="J49" s="130"/>
      <c r="K49" s="130"/>
      <c r="L49" s="130"/>
      <c r="M49" s="130"/>
      <c r="N49" s="130"/>
      <c r="O49" s="130"/>
      <c r="P49" s="130"/>
      <c r="Q49" s="130"/>
      <c r="R49" s="130"/>
      <c r="S49" s="130"/>
      <c r="T49" s="130"/>
      <c r="U49" s="130"/>
      <c r="V49" s="130"/>
      <c r="W49" s="130"/>
      <c r="X49" s="130"/>
      <c r="Y49" s="130"/>
    </row>
    <row r="50" spans="1:25" s="20" customFormat="1" ht="17.45" customHeight="1">
      <c r="A50" s="431" t="s">
        <v>283</v>
      </c>
      <c r="B50" s="315">
        <v>228050</v>
      </c>
      <c r="C50" s="313">
        <f>'5.허가사항 내역'!J155</f>
        <v>113470</v>
      </c>
      <c r="D50" s="313">
        <f t="shared" si="1"/>
        <v>-114580</v>
      </c>
      <c r="E50" s="68"/>
      <c r="F50" s="130"/>
      <c r="G50" s="130"/>
      <c r="H50" s="130"/>
      <c r="I50" s="130"/>
      <c r="J50" s="130"/>
      <c r="K50" s="130"/>
      <c r="L50" s="130"/>
      <c r="M50" s="130"/>
      <c r="N50" s="130"/>
      <c r="O50" s="130"/>
      <c r="P50" s="130"/>
      <c r="Q50" s="130"/>
      <c r="R50" s="130"/>
      <c r="S50" s="130"/>
      <c r="T50" s="130"/>
      <c r="U50" s="130"/>
      <c r="V50" s="130"/>
      <c r="W50" s="130"/>
      <c r="X50" s="130"/>
      <c r="Y50" s="130"/>
    </row>
    <row r="51" spans="1:25" ht="17.45" customHeight="1">
      <c r="A51" s="431" t="s">
        <v>294</v>
      </c>
      <c r="B51" s="315">
        <v>150000</v>
      </c>
      <c r="C51" s="313">
        <f>'5.허가사항 내역'!J156</f>
        <v>2090000</v>
      </c>
      <c r="D51" s="313">
        <f t="shared" si="1"/>
        <v>1940000</v>
      </c>
      <c r="E51" s="68"/>
    </row>
    <row r="52" spans="1:25" ht="17.45" customHeight="1">
      <c r="A52" s="431" t="s">
        <v>57</v>
      </c>
      <c r="B52" s="315">
        <v>0</v>
      </c>
      <c r="C52" s="313">
        <f>'5.허가사항 내역'!J157</f>
        <v>0</v>
      </c>
      <c r="D52" s="313">
        <f t="shared" si="1"/>
        <v>0</v>
      </c>
      <c r="E52" s="68"/>
    </row>
    <row r="53" spans="1:25" ht="17.45" customHeight="1">
      <c r="A53" s="431"/>
      <c r="B53" s="315"/>
      <c r="C53" s="313"/>
      <c r="D53" s="313"/>
      <c r="E53" s="68" t="s">
        <v>127</v>
      </c>
      <c r="F53" s="130"/>
      <c r="G53" s="130"/>
      <c r="H53" s="130"/>
      <c r="I53" s="130"/>
      <c r="J53" s="130"/>
      <c r="K53" s="130"/>
      <c r="L53" s="130"/>
      <c r="M53" s="130"/>
      <c r="N53" s="130"/>
    </row>
    <row r="54" spans="1:25" ht="18.75" customHeight="1">
      <c r="A54" s="434" t="s">
        <v>158</v>
      </c>
      <c r="B54" s="435">
        <f>SUM(B7-B12)</f>
        <v>18159599</v>
      </c>
      <c r="C54" s="435">
        <f>SUM(C7-C12)</f>
        <v>123737338</v>
      </c>
      <c r="D54" s="435">
        <f>D7-D12</f>
        <v>105577739</v>
      </c>
      <c r="E54" s="168"/>
      <c r="F54" s="422" t="s">
        <v>344</v>
      </c>
      <c r="G54" s="422" t="s">
        <v>343</v>
      </c>
      <c r="H54" s="130"/>
      <c r="I54" s="130"/>
      <c r="J54" s="130"/>
      <c r="K54" s="130"/>
      <c r="L54" s="130"/>
      <c r="M54" s="130"/>
      <c r="N54" s="130"/>
    </row>
    <row r="55" spans="1:25" ht="28.9" customHeight="1" thickBot="1">
      <c r="A55" s="436" t="s">
        <v>118</v>
      </c>
      <c r="B55" s="293">
        <f>SUM(B6+B54)</f>
        <v>37009489</v>
      </c>
      <c r="C55" s="293">
        <f>SUM(C6+C54)</f>
        <v>160746827</v>
      </c>
      <c r="D55" s="293">
        <f>D6+D54</f>
        <v>123737338</v>
      </c>
      <c r="E55" s="287"/>
      <c r="F55" s="365" t="b">
        <f>C55='2-1.자금수지표(총괄)'!H21</f>
        <v>1</v>
      </c>
      <c r="G55" s="366" t="b">
        <f>C55='8.시재현황'!G20</f>
        <v>1</v>
      </c>
    </row>
    <row r="56" spans="1:25" ht="30" customHeight="1">
      <c r="A56" s="633" t="str">
        <f>'8.시재현황'!A19</f>
        <v>(註) 시재보유 금액 \202,137,563원중 공탁금 및 퇴직연금 잔액 \41,390,736원을 제외한 실제 가용자금은 \160,746,827원입니다.</v>
      </c>
      <c r="B56" s="291"/>
      <c r="C56" s="291"/>
      <c r="D56" s="291"/>
      <c r="E56" s="292"/>
    </row>
    <row r="57" spans="1:25" ht="75" customHeight="1">
      <c r="A57" s="855" t="s">
        <v>313</v>
      </c>
      <c r="B57" s="856"/>
      <c r="C57" s="856"/>
      <c r="D57" s="856"/>
      <c r="E57" s="857"/>
    </row>
    <row r="58" spans="1:25" ht="17.25" customHeight="1">
      <c r="C58" s="130"/>
    </row>
    <row r="59" spans="1:25" ht="17.25" customHeight="1">
      <c r="A59" s="67" t="str">
        <f>'8.시재현황'!A19</f>
        <v>(註) 시재보유 금액 \202,137,563원중 공탁금 및 퇴직연금 잔액 \41,390,736원을 제외한 실제 가용자금은 \160,746,827원입니다.</v>
      </c>
      <c r="C59" s="270"/>
    </row>
    <row r="60" spans="1:25" ht="17.25" customHeight="1">
      <c r="C60" s="130"/>
    </row>
    <row r="61" spans="1:25" ht="17.25" customHeight="1">
      <c r="C61" s="321"/>
    </row>
    <row r="62" spans="1:25" ht="17.25" customHeight="1">
      <c r="C62" s="130"/>
    </row>
    <row r="63" spans="1:25" ht="17.25" customHeight="1">
      <c r="C63" s="130"/>
    </row>
    <row r="64" spans="1:25" ht="17.25" customHeight="1">
      <c r="C64" s="130"/>
    </row>
    <row r="65" spans="1:3" ht="17.25" customHeight="1">
      <c r="C65" s="130"/>
    </row>
    <row r="66" spans="1:3" ht="17.25" customHeight="1">
      <c r="C66" s="130"/>
    </row>
    <row r="67" spans="1:3" ht="17.25" customHeight="1">
      <c r="A67" s="277"/>
      <c r="B67" s="143"/>
      <c r="C67" s="143"/>
    </row>
    <row r="68" spans="1:3" ht="17.25" customHeight="1">
      <c r="C68" s="130"/>
    </row>
    <row r="69" spans="1:3" ht="17.25" customHeight="1">
      <c r="C69" s="130"/>
    </row>
    <row r="70" spans="1:3" ht="17.25" customHeight="1">
      <c r="C70" s="130"/>
    </row>
    <row r="71" spans="1:3" ht="17.25" customHeight="1">
      <c r="C71" s="130"/>
    </row>
    <row r="72" spans="1:3" ht="17.25" customHeight="1">
      <c r="C72" s="130"/>
    </row>
    <row r="73" spans="1:3" ht="17.25" customHeight="1">
      <c r="C73" s="130"/>
    </row>
    <row r="74" spans="1:3" ht="17.25" customHeight="1">
      <c r="C74" s="130"/>
    </row>
    <row r="75" spans="1:3" ht="17.25" customHeight="1">
      <c r="C75" s="130"/>
    </row>
    <row r="76" spans="1:3" ht="17.25" customHeight="1">
      <c r="C76" s="130"/>
    </row>
    <row r="77" spans="1:3" ht="17.25" customHeight="1">
      <c r="C77" s="130"/>
    </row>
    <row r="78" spans="1:3" ht="17.25" customHeight="1">
      <c r="C78" s="130"/>
    </row>
    <row r="79" spans="1:3" ht="17.25" customHeight="1">
      <c r="C79" s="130"/>
    </row>
    <row r="80" spans="1:3" ht="17.25" customHeight="1">
      <c r="C80" s="130"/>
    </row>
    <row r="81" spans="3:3" ht="17.25" customHeight="1">
      <c r="C81" s="130"/>
    </row>
    <row r="82" spans="3:3" ht="17.25" customHeight="1">
      <c r="C82" s="130"/>
    </row>
    <row r="83" spans="3:3" ht="17.25" customHeight="1">
      <c r="C83" s="130"/>
    </row>
    <row r="84" spans="3:3" ht="17.25" customHeight="1">
      <c r="C84" s="130"/>
    </row>
    <row r="85" spans="3:3" ht="17.25" customHeight="1">
      <c r="C85" s="130"/>
    </row>
    <row r="86" spans="3:3" ht="17.25" customHeight="1">
      <c r="C86" s="130"/>
    </row>
  </sheetData>
  <sortState ref="A16:A52">
    <sortCondition ref="A16"/>
  </sortState>
  <mergeCells count="7">
    <mergeCell ref="A57:E57"/>
    <mergeCell ref="D3:E3"/>
    <mergeCell ref="A4:A5"/>
    <mergeCell ref="B4:B5"/>
    <mergeCell ref="C4:C5"/>
    <mergeCell ref="D4:D5"/>
    <mergeCell ref="E4:E5"/>
  </mergeCells>
  <phoneticPr fontId="11" type="noConversion"/>
  <printOptions horizontalCentered="1"/>
  <pageMargins left="0.23622047244094491" right="0.11811023622047245" top="0.98425196850393704" bottom="0.52" header="0.15748031496062992" footer="0.28999999999999998"/>
  <pageSetup paperSize="9" scale="65" fitToHeight="0" orientation="portrait" r:id="rId1"/>
  <headerFooter scaleWithDoc="0" alignWithMargins="0">
    <oddFooter>&amp;C&amp;P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N84"/>
  <sheetViews>
    <sheetView topLeftCell="A63" zoomScaleNormal="100" zoomScaleSheetLayoutView="100" workbookViewId="0">
      <selection activeCell="C6" sqref="C6:D6"/>
    </sheetView>
  </sheetViews>
  <sheetFormatPr defaultRowHeight="30" customHeight="1"/>
  <cols>
    <col min="1" max="1" width="22.25" style="1" customWidth="1"/>
    <col min="2" max="2" width="29.25" style="1" customWidth="1"/>
    <col min="3" max="3" width="23.75" style="69" customWidth="1"/>
    <col min="4" max="4" width="35.875" style="69" customWidth="1"/>
    <col min="5" max="5" width="17.5" style="1" customWidth="1"/>
    <col min="6" max="6" width="3.625" style="1" customWidth="1"/>
    <col min="7" max="7" width="2.875" style="1" customWidth="1"/>
    <col min="8" max="8" width="8.25" style="1" customWidth="1"/>
    <col min="9" max="9" width="15.625" style="1" hidden="1" customWidth="1"/>
    <col min="10" max="10" width="18.875" style="1" hidden="1" customWidth="1"/>
    <col min="11" max="11" width="12.75" style="1" hidden="1" customWidth="1"/>
    <col min="12" max="12" width="15.125" style="1" hidden="1" customWidth="1"/>
    <col min="13" max="13" width="9" style="1" hidden="1" customWidth="1"/>
    <col min="14" max="14" width="11.875" style="1" hidden="1" customWidth="1"/>
    <col min="15" max="15" width="14.875" style="1" hidden="1" customWidth="1"/>
    <col min="16" max="22" width="9" style="1" hidden="1" customWidth="1"/>
    <col min="23" max="23" width="18" style="1" customWidth="1"/>
    <col min="24" max="30" width="9" style="1" customWidth="1"/>
    <col min="31" max="40" width="9" style="1"/>
    <col min="41" max="16384" width="9" style="21"/>
  </cols>
  <sheetData>
    <row r="1" spans="1:40" ht="30" customHeight="1">
      <c r="A1" s="113" t="s">
        <v>282</v>
      </c>
      <c r="B1" s="114"/>
      <c r="C1" s="85"/>
      <c r="D1" s="85"/>
      <c r="E1" s="114"/>
    </row>
    <row r="2" spans="1:40" ht="18" customHeight="1">
      <c r="A2" s="114"/>
      <c r="B2" s="114"/>
      <c r="C2" s="85"/>
      <c r="D2" s="85"/>
      <c r="E2" s="114"/>
    </row>
    <row r="3" spans="1:40" ht="30" customHeight="1">
      <c r="A3" s="919" t="s">
        <v>312</v>
      </c>
      <c r="B3" s="919"/>
      <c r="C3" s="919"/>
      <c r="D3" s="919"/>
      <c r="E3" s="919"/>
      <c r="F3" s="919"/>
      <c r="G3" s="919"/>
    </row>
    <row r="4" spans="1:40" ht="30" customHeight="1">
      <c r="A4" s="919" t="s">
        <v>149</v>
      </c>
      <c r="B4" s="920"/>
      <c r="C4" s="920"/>
      <c r="D4" s="920"/>
      <c r="E4" s="920"/>
      <c r="F4" s="920"/>
      <c r="G4" s="920"/>
    </row>
    <row r="5" spans="1:40" ht="30" customHeight="1">
      <c r="A5" s="115" t="s">
        <v>150</v>
      </c>
      <c r="B5" s="115"/>
      <c r="C5" s="116"/>
      <c r="D5" s="116"/>
      <c r="E5" s="117"/>
      <c r="F5" s="118"/>
      <c r="G5" s="118"/>
    </row>
    <row r="6" spans="1:40" ht="22.5" customHeight="1">
      <c r="A6" s="73" t="s">
        <v>63</v>
      </c>
      <c r="B6" s="73" t="s">
        <v>64</v>
      </c>
      <c r="C6" s="73" t="s">
        <v>65</v>
      </c>
      <c r="D6" s="73" t="s">
        <v>66</v>
      </c>
      <c r="E6" s="73" t="s">
        <v>80</v>
      </c>
      <c r="M6"/>
    </row>
    <row r="7" spans="1:40" s="42" customFormat="1" ht="22.5" customHeight="1">
      <c r="A7" s="251"/>
      <c r="B7" s="252"/>
      <c r="C7" s="253"/>
      <c r="D7" s="251"/>
      <c r="E7" s="254"/>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row>
    <row r="8" spans="1:40" s="42" customFormat="1" ht="22.5" hidden="1" customHeight="1">
      <c r="A8" s="251"/>
      <c r="B8" s="252"/>
      <c r="C8" s="253"/>
      <c r="D8" s="251"/>
      <c r="E8" s="254"/>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row>
    <row r="9" spans="1:40" s="42" customFormat="1" ht="22.5" customHeight="1">
      <c r="A9" s="251"/>
      <c r="B9" s="345" t="s">
        <v>361</v>
      </c>
      <c r="C9" s="346" t="s">
        <v>362</v>
      </c>
      <c r="D9" s="347"/>
      <c r="E9" s="254"/>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row>
    <row r="10" spans="1:40" s="42" customFormat="1" ht="22.5" customHeight="1">
      <c r="A10" s="251"/>
      <c r="B10" s="252"/>
      <c r="C10" s="253"/>
      <c r="D10" s="251"/>
      <c r="E10" s="254"/>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row>
    <row r="11" spans="1:40" s="42" customFormat="1" ht="22.5" hidden="1" customHeight="1">
      <c r="A11" s="251"/>
      <c r="B11" s="252"/>
      <c r="C11" s="253"/>
      <c r="D11" s="251"/>
      <c r="E11" s="254"/>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row>
    <row r="12" spans="1:40" s="42" customFormat="1" ht="22.5" hidden="1" customHeight="1">
      <c r="A12" s="251"/>
      <c r="B12" s="252"/>
      <c r="C12" s="253"/>
      <c r="D12" s="251"/>
      <c r="E12" s="254"/>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row>
    <row r="13" spans="1:40" s="42" customFormat="1" ht="22.5" customHeight="1">
      <c r="A13" s="927" t="s">
        <v>280</v>
      </c>
      <c r="B13" s="928"/>
      <c r="C13" s="253"/>
      <c r="D13" s="251"/>
      <c r="E13" s="335">
        <f>SUM(E7:E12)</f>
        <v>0</v>
      </c>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row>
    <row r="14" spans="1:40" ht="14.25" customHeight="1"/>
    <row r="15" spans="1:40" ht="30" customHeight="1">
      <c r="A15" s="113" t="s">
        <v>151</v>
      </c>
      <c r="B15" s="119"/>
      <c r="C15" s="120"/>
      <c r="D15" s="120"/>
    </row>
    <row r="16" spans="1:40" ht="13.5" customHeight="1">
      <c r="A16" s="119"/>
      <c r="B16" s="119"/>
      <c r="C16" s="120"/>
      <c r="D16" s="120"/>
    </row>
    <row r="17" spans="1:40" ht="30" customHeight="1">
      <c r="A17" s="921" t="s">
        <v>152</v>
      </c>
      <c r="B17" s="921"/>
      <c r="C17" s="921"/>
      <c r="D17" s="921"/>
      <c r="E17" s="121"/>
    </row>
    <row r="18" spans="1:40" s="23" customFormat="1" ht="15" customHeight="1">
      <c r="A18" s="122"/>
      <c r="B18" s="122"/>
      <c r="C18" s="123"/>
      <c r="D18" s="123"/>
      <c r="E18" s="105" t="s">
        <v>153</v>
      </c>
      <c r="F18" s="79"/>
      <c r="G18" s="124"/>
      <c r="H18" s="79"/>
      <c r="I18" s="79"/>
      <c r="J18" s="79"/>
      <c r="K18" s="79"/>
      <c r="L18" s="79"/>
      <c r="M18" s="79"/>
      <c r="N18" s="79"/>
      <c r="O18" s="79"/>
      <c r="P18" s="79"/>
      <c r="Q18" s="79"/>
      <c r="R18" s="79"/>
      <c r="S18" s="79"/>
      <c r="T18" s="79"/>
      <c r="U18" s="79"/>
      <c r="V18" s="79"/>
      <c r="W18" s="79"/>
      <c r="X18" s="79"/>
      <c r="Y18" s="79"/>
      <c r="Z18" s="79"/>
      <c r="AA18" s="79"/>
      <c r="AB18" s="79"/>
      <c r="AC18" s="79"/>
      <c r="AD18" s="79"/>
      <c r="AE18" s="79"/>
      <c r="AF18" s="79"/>
      <c r="AG18" s="79"/>
      <c r="AH18" s="79"/>
      <c r="AI18" s="79"/>
      <c r="AJ18" s="79"/>
      <c r="AK18" s="79"/>
      <c r="AL18" s="79"/>
      <c r="AM18" s="79"/>
      <c r="AN18" s="79"/>
    </row>
    <row r="19" spans="1:40" ht="21" customHeight="1">
      <c r="A19" s="656" t="s">
        <v>67</v>
      </c>
      <c r="B19" s="656" t="s">
        <v>68</v>
      </c>
      <c r="C19" s="654" t="s">
        <v>69</v>
      </c>
      <c r="D19" s="70" t="s">
        <v>70</v>
      </c>
      <c r="E19" s="73" t="s">
        <v>71</v>
      </c>
      <c r="G19" s="125"/>
      <c r="H19" s="79"/>
      <c r="W19" s="79"/>
    </row>
    <row r="20" spans="1:40" s="42" customFormat="1" ht="21" customHeight="1">
      <c r="A20" s="705" t="s">
        <v>1052</v>
      </c>
      <c r="B20" s="706" t="s">
        <v>1130</v>
      </c>
      <c r="C20" s="671">
        <v>1470000</v>
      </c>
      <c r="D20" s="709" t="s">
        <v>1131</v>
      </c>
      <c r="E20" s="707"/>
      <c r="F20" s="1"/>
      <c r="G20" s="125"/>
      <c r="H20" s="79"/>
      <c r="I20" s="1"/>
      <c r="J20" s="179"/>
      <c r="K20" s="179"/>
      <c r="L20" s="179"/>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row>
    <row r="21" spans="1:40" s="42" customFormat="1" ht="21" customHeight="1">
      <c r="A21" s="705" t="s">
        <v>1053</v>
      </c>
      <c r="B21" s="706" t="s">
        <v>607</v>
      </c>
      <c r="C21" s="671">
        <v>600000</v>
      </c>
      <c r="D21" s="709" t="s">
        <v>608</v>
      </c>
      <c r="E21" s="714"/>
      <c r="F21" s="1"/>
      <c r="G21" s="125"/>
      <c r="H21" s="79"/>
      <c r="I21" s="1"/>
      <c r="J21" s="179"/>
      <c r="K21" s="179"/>
      <c r="L21" s="179"/>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row>
    <row r="22" spans="1:40" s="42" customFormat="1" ht="21" customHeight="1">
      <c r="A22" s="705" t="s">
        <v>1053</v>
      </c>
      <c r="B22" s="706" t="s">
        <v>697</v>
      </c>
      <c r="C22" s="671">
        <v>500000</v>
      </c>
      <c r="D22" s="709" t="s">
        <v>1065</v>
      </c>
      <c r="E22" s="713"/>
      <c r="F22" s="1"/>
      <c r="G22" s="125"/>
      <c r="H22" s="79"/>
      <c r="I22" s="1"/>
      <c r="J22" s="179"/>
      <c r="K22" s="179"/>
      <c r="L22" s="179"/>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row>
    <row r="23" spans="1:40" s="42" customFormat="1" ht="21" customHeight="1">
      <c r="A23" s="705" t="s">
        <v>1054</v>
      </c>
      <c r="B23" s="706" t="s">
        <v>1138</v>
      </c>
      <c r="C23" s="671">
        <v>390000</v>
      </c>
      <c r="D23" s="709" t="s">
        <v>1139</v>
      </c>
      <c r="E23" s="713"/>
      <c r="F23" s="1"/>
      <c r="G23" s="125"/>
      <c r="H23" s="79"/>
      <c r="I23" s="1"/>
      <c r="J23" s="179"/>
      <c r="K23" s="179"/>
      <c r="L23" s="179"/>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row>
    <row r="24" spans="1:40" s="42" customFormat="1" ht="21" customHeight="1">
      <c r="A24" s="705" t="s">
        <v>1054</v>
      </c>
      <c r="B24" s="706" t="s">
        <v>1132</v>
      </c>
      <c r="C24" s="671">
        <v>1060000</v>
      </c>
      <c r="D24" s="709" t="s">
        <v>1066</v>
      </c>
      <c r="E24" s="707"/>
      <c r="F24" s="1"/>
      <c r="G24" s="125"/>
      <c r="H24" s="79"/>
      <c r="I24" s="1"/>
      <c r="J24" s="179"/>
      <c r="K24" s="179"/>
      <c r="L24" s="179"/>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row>
    <row r="25" spans="1:40" s="42" customFormat="1" ht="21" customHeight="1">
      <c r="A25" s="705" t="s">
        <v>1055</v>
      </c>
      <c r="B25" s="706" t="s">
        <v>1141</v>
      </c>
      <c r="C25" s="671">
        <v>555185</v>
      </c>
      <c r="D25" s="709" t="s">
        <v>1068</v>
      </c>
      <c r="E25" s="708"/>
      <c r="F25" s="1"/>
      <c r="G25" s="125"/>
      <c r="H25" s="79"/>
      <c r="I25" s="1"/>
      <c r="J25" s="179"/>
      <c r="K25" s="179"/>
      <c r="L25" s="179"/>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row>
    <row r="26" spans="1:40" s="42" customFormat="1" ht="21" hidden="1" customHeight="1">
      <c r="A26" s="705" t="s">
        <v>1055</v>
      </c>
      <c r="B26" s="706" t="s">
        <v>1141</v>
      </c>
      <c r="C26" s="671">
        <v>4000000</v>
      </c>
      <c r="D26" s="709" t="s">
        <v>1067</v>
      </c>
      <c r="E26" s="708"/>
      <c r="F26" s="1"/>
      <c r="G26" s="125"/>
      <c r="H26" s="79"/>
      <c r="I26" s="1"/>
      <c r="J26" s="179"/>
      <c r="K26" s="179"/>
      <c r="L26" s="179"/>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row>
    <row r="27" spans="1:40" s="42" customFormat="1" ht="21" hidden="1" customHeight="1">
      <c r="A27" s="705" t="s">
        <v>1056</v>
      </c>
      <c r="B27" s="706" t="s">
        <v>1144</v>
      </c>
      <c r="C27" s="671">
        <v>1610000</v>
      </c>
      <c r="D27" s="709" t="s">
        <v>1145</v>
      </c>
      <c r="E27" s="708"/>
      <c r="F27" s="1"/>
      <c r="G27" s="125"/>
      <c r="H27" s="79"/>
      <c r="I27" s="1"/>
      <c r="J27" s="179"/>
      <c r="K27" s="179"/>
      <c r="L27" s="179"/>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row>
    <row r="28" spans="1:40" s="42" customFormat="1" ht="21" hidden="1" customHeight="1">
      <c r="A28" s="705" t="s">
        <v>1057</v>
      </c>
      <c r="B28" s="706" t="s">
        <v>1133</v>
      </c>
      <c r="C28" s="671">
        <v>900000</v>
      </c>
      <c r="D28" s="709" t="s">
        <v>1134</v>
      </c>
      <c r="E28" s="708"/>
      <c r="F28" s="1"/>
      <c r="G28" s="125"/>
      <c r="H28" s="79"/>
      <c r="I28" s="1"/>
      <c r="J28" s="179"/>
      <c r="K28" s="179"/>
      <c r="L28" s="179"/>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row>
    <row r="29" spans="1:40" s="42" customFormat="1" ht="21" hidden="1" customHeight="1">
      <c r="A29" s="705" t="s">
        <v>1058</v>
      </c>
      <c r="B29" s="706" t="s">
        <v>607</v>
      </c>
      <c r="C29" s="671">
        <v>1000000</v>
      </c>
      <c r="D29" s="709" t="s">
        <v>608</v>
      </c>
      <c r="E29" s="708"/>
      <c r="F29" s="1"/>
      <c r="G29" s="125"/>
      <c r="H29" s="79"/>
      <c r="I29" s="1"/>
      <c r="J29" s="179"/>
      <c r="K29" s="179"/>
      <c r="L29" s="179"/>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row>
    <row r="30" spans="1:40" s="42" customFormat="1" ht="21" hidden="1" customHeight="1">
      <c r="A30" s="705" t="s">
        <v>1059</v>
      </c>
      <c r="B30" s="706" t="s">
        <v>1133</v>
      </c>
      <c r="C30" s="671">
        <v>2120000</v>
      </c>
      <c r="D30" s="709" t="s">
        <v>1069</v>
      </c>
      <c r="E30" s="708"/>
      <c r="F30" s="1"/>
      <c r="G30" s="125"/>
      <c r="H30" s="79"/>
      <c r="I30" s="1"/>
      <c r="J30" s="179"/>
      <c r="K30" s="179"/>
      <c r="L30" s="179"/>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row>
    <row r="31" spans="1:40" s="42" customFormat="1" ht="21" hidden="1" customHeight="1">
      <c r="A31" s="705" t="s">
        <v>1059</v>
      </c>
      <c r="B31" s="706" t="s">
        <v>1133</v>
      </c>
      <c r="C31" s="671">
        <v>2140000</v>
      </c>
      <c r="D31" s="709" t="s">
        <v>1070</v>
      </c>
      <c r="E31" s="708"/>
      <c r="F31" s="1"/>
      <c r="G31" s="125"/>
      <c r="H31" s="79"/>
      <c r="I31" s="1"/>
      <c r="J31" s="179"/>
      <c r="K31" s="179"/>
      <c r="L31" s="179"/>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row>
    <row r="32" spans="1:40" s="42" customFormat="1" ht="21" hidden="1" customHeight="1">
      <c r="A32" s="705" t="s">
        <v>1060</v>
      </c>
      <c r="B32" s="706" t="s">
        <v>1135</v>
      </c>
      <c r="C32" s="671">
        <v>800000</v>
      </c>
      <c r="D32" s="709" t="s">
        <v>1071</v>
      </c>
      <c r="E32" s="708"/>
      <c r="F32" s="1"/>
      <c r="G32" s="125"/>
      <c r="H32" s="79"/>
      <c r="I32" s="1"/>
      <c r="J32" s="179"/>
      <c r="K32" s="179"/>
      <c r="L32" s="179"/>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row>
    <row r="33" spans="1:40" s="42" customFormat="1" ht="21" hidden="1" customHeight="1">
      <c r="A33" s="705" t="s">
        <v>1060</v>
      </c>
      <c r="B33" s="706" t="s">
        <v>1135</v>
      </c>
      <c r="C33" s="671">
        <v>230000</v>
      </c>
      <c r="D33" s="709" t="s">
        <v>1072</v>
      </c>
      <c r="E33" s="708"/>
      <c r="F33" s="1"/>
      <c r="G33" s="125"/>
      <c r="H33" s="79"/>
      <c r="I33" s="1"/>
      <c r="J33" s="179"/>
      <c r="K33" s="179"/>
      <c r="L33" s="179"/>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row>
    <row r="34" spans="1:40" s="42" customFormat="1" ht="21" hidden="1" customHeight="1">
      <c r="A34" s="705" t="s">
        <v>1061</v>
      </c>
      <c r="B34" s="706" t="s">
        <v>1152</v>
      </c>
      <c r="C34" s="671">
        <v>825000</v>
      </c>
      <c r="D34" s="709" t="s">
        <v>1073</v>
      </c>
      <c r="E34" s="708"/>
      <c r="F34" s="1"/>
      <c r="G34" s="125"/>
      <c r="H34" s="79"/>
      <c r="I34" s="1"/>
      <c r="J34" s="179"/>
      <c r="K34" s="179"/>
      <c r="L34" s="179"/>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row>
    <row r="35" spans="1:40" s="42" customFormat="1" ht="21" hidden="1" customHeight="1">
      <c r="A35" s="705" t="s">
        <v>1062</v>
      </c>
      <c r="B35" s="706" t="s">
        <v>1146</v>
      </c>
      <c r="C35" s="671">
        <v>580000</v>
      </c>
      <c r="D35" s="930" t="s">
        <v>1147</v>
      </c>
      <c r="E35" s="931"/>
      <c r="F35" s="1"/>
      <c r="G35" s="125"/>
      <c r="H35" s="79"/>
      <c r="I35" s="1"/>
      <c r="J35" s="179"/>
      <c r="K35" s="179"/>
      <c r="L35" s="179"/>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row>
    <row r="36" spans="1:40" s="42" customFormat="1" ht="21" hidden="1" customHeight="1">
      <c r="A36" s="705" t="s">
        <v>1062</v>
      </c>
      <c r="B36" s="706" t="s">
        <v>1136</v>
      </c>
      <c r="C36" s="671">
        <v>570000</v>
      </c>
      <c r="D36" s="930" t="s">
        <v>1074</v>
      </c>
      <c r="E36" s="931"/>
      <c r="F36" s="1"/>
      <c r="G36" s="125"/>
      <c r="H36" s="79"/>
      <c r="I36" s="1"/>
      <c r="J36" s="179"/>
      <c r="K36" s="179"/>
      <c r="L36" s="179"/>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row>
    <row r="37" spans="1:40" s="42" customFormat="1" ht="21" customHeight="1">
      <c r="A37" s="705" t="s">
        <v>1063</v>
      </c>
      <c r="B37" s="706" t="s">
        <v>1153</v>
      </c>
      <c r="C37" s="671">
        <v>74695516</v>
      </c>
      <c r="D37" s="709" t="s">
        <v>1075</v>
      </c>
      <c r="E37" s="708"/>
      <c r="F37" s="1"/>
      <c r="G37" s="125"/>
      <c r="H37" s="79"/>
      <c r="I37" s="1"/>
      <c r="J37" s="179"/>
      <c r="K37" s="179"/>
      <c r="L37" s="179"/>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row>
    <row r="38" spans="1:40" s="42" customFormat="1" ht="21" customHeight="1">
      <c r="A38" s="705" t="s">
        <v>1063</v>
      </c>
      <c r="B38" s="706" t="s">
        <v>1153</v>
      </c>
      <c r="C38" s="671">
        <v>1540000</v>
      </c>
      <c r="D38" s="709" t="s">
        <v>1076</v>
      </c>
      <c r="E38" s="708"/>
      <c r="F38" s="1"/>
      <c r="G38" s="125"/>
      <c r="H38" s="79"/>
      <c r="I38" s="1"/>
      <c r="J38" s="179"/>
      <c r="K38" s="179"/>
      <c r="L38" s="179"/>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row>
    <row r="39" spans="1:40" s="42" customFormat="1" ht="21" customHeight="1">
      <c r="A39" s="705" t="s">
        <v>1064</v>
      </c>
      <c r="B39" s="706" t="s">
        <v>1154</v>
      </c>
      <c r="C39" s="671">
        <v>4900000</v>
      </c>
      <c r="D39" s="709" t="s">
        <v>1077</v>
      </c>
      <c r="E39" s="707"/>
      <c r="F39" s="1"/>
      <c r="G39" s="125"/>
      <c r="H39" s="79"/>
      <c r="I39" s="1"/>
      <c r="J39" s="179"/>
      <c r="K39" s="179"/>
      <c r="L39" s="179"/>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row>
    <row r="40" spans="1:40" s="42" customFormat="1" ht="21" customHeight="1">
      <c r="A40" s="705" t="s">
        <v>1064</v>
      </c>
      <c r="B40" s="706" t="s">
        <v>1154</v>
      </c>
      <c r="C40" s="671">
        <v>9460000</v>
      </c>
      <c r="D40" s="709" t="s">
        <v>1078</v>
      </c>
      <c r="E40" s="708"/>
      <c r="F40" s="1"/>
      <c r="G40" s="125"/>
      <c r="H40" s="79"/>
      <c r="I40" s="1"/>
      <c r="J40" s="179"/>
      <c r="K40" s="179"/>
      <c r="L40" s="179"/>
      <c r="M40" s="1"/>
      <c r="N40" s="1"/>
      <c r="O40" s="1"/>
      <c r="P40" s="1"/>
      <c r="Q40" s="1"/>
      <c r="R40" s="1"/>
      <c r="S40" s="1"/>
      <c r="T40" s="1"/>
      <c r="U40" s="1"/>
      <c r="V40" s="1"/>
      <c r="W40" s="81">
        <f>114485701-C51</f>
        <v>0</v>
      </c>
      <c r="X40" s="1"/>
      <c r="Y40" s="1"/>
      <c r="Z40" s="1"/>
      <c r="AA40" s="1"/>
      <c r="AB40" s="1"/>
      <c r="AC40" s="1"/>
      <c r="AD40" s="1"/>
      <c r="AE40" s="1"/>
      <c r="AF40" s="1"/>
      <c r="AG40" s="1"/>
      <c r="AH40" s="1"/>
      <c r="AI40" s="1"/>
      <c r="AJ40" s="1"/>
      <c r="AK40" s="1"/>
      <c r="AL40" s="1"/>
      <c r="AM40" s="1"/>
      <c r="AN40" s="1"/>
    </row>
    <row r="41" spans="1:40" s="42" customFormat="1" ht="21" customHeight="1">
      <c r="A41" s="705" t="s">
        <v>1064</v>
      </c>
      <c r="B41" s="706" t="s">
        <v>1154</v>
      </c>
      <c r="C41" s="671">
        <v>2840000</v>
      </c>
      <c r="D41" s="709" t="s">
        <v>1155</v>
      </c>
      <c r="E41" s="708"/>
      <c r="F41" s="1"/>
      <c r="G41" s="125"/>
      <c r="H41" s="79"/>
      <c r="I41" s="1"/>
      <c r="J41" s="179"/>
      <c r="K41" s="179"/>
      <c r="L41" s="179"/>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row>
    <row r="42" spans="1:40" s="42" customFormat="1" ht="21" customHeight="1">
      <c r="A42" s="705" t="s">
        <v>1064</v>
      </c>
      <c r="B42" s="706" t="s">
        <v>1154</v>
      </c>
      <c r="C42" s="671">
        <v>1700000</v>
      </c>
      <c r="D42" s="709" t="s">
        <v>1079</v>
      </c>
      <c r="E42" s="708"/>
      <c r="F42" s="1"/>
      <c r="G42" s="125"/>
      <c r="H42" s="79"/>
      <c r="I42" s="1"/>
      <c r="J42" s="179"/>
      <c r="K42" s="179"/>
      <c r="L42" s="179"/>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row>
    <row r="43" spans="1:40" s="42" customFormat="1" ht="21" hidden="1" customHeight="1">
      <c r="A43" s="705"/>
      <c r="B43" s="706"/>
      <c r="C43" s="671"/>
      <c r="D43" s="709"/>
      <c r="E43" s="708"/>
      <c r="F43" s="1"/>
      <c r="G43" s="125"/>
      <c r="H43" s="79"/>
      <c r="I43" s="1"/>
      <c r="J43" s="179"/>
      <c r="K43" s="179"/>
      <c r="L43" s="179"/>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row>
    <row r="44" spans="1:40" s="42" customFormat="1" ht="21" hidden="1" customHeight="1">
      <c r="A44" s="705"/>
      <c r="B44" s="706"/>
      <c r="C44" s="671"/>
      <c r="D44" s="709"/>
      <c r="E44" s="708"/>
      <c r="F44" s="1"/>
      <c r="G44" s="125"/>
      <c r="H44" s="79"/>
      <c r="I44" s="1"/>
      <c r="J44" s="179"/>
      <c r="K44" s="179"/>
      <c r="L44" s="179"/>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row>
    <row r="45" spans="1:40" s="42" customFormat="1" ht="21" hidden="1" customHeight="1">
      <c r="A45" s="705"/>
      <c r="B45" s="706"/>
      <c r="C45" s="671"/>
      <c r="D45" s="709"/>
      <c r="E45" s="708"/>
      <c r="F45" s="1"/>
      <c r="G45" s="125"/>
      <c r="H45" s="79"/>
      <c r="I45" s="1"/>
      <c r="J45" s="179"/>
      <c r="K45" s="179"/>
      <c r="L45" s="179"/>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row>
    <row r="46" spans="1:40" s="42" customFormat="1" ht="21" hidden="1" customHeight="1">
      <c r="A46" s="705"/>
      <c r="B46" s="706"/>
      <c r="C46" s="671"/>
      <c r="D46" s="709"/>
      <c r="E46" s="708"/>
      <c r="F46" s="1"/>
      <c r="G46" s="125"/>
      <c r="H46" s="79"/>
      <c r="I46" s="1"/>
      <c r="J46" s="179"/>
      <c r="K46" s="179"/>
      <c r="L46" s="179"/>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row>
    <row r="47" spans="1:40" s="42" customFormat="1" ht="21" hidden="1" customHeight="1">
      <c r="A47" s="705"/>
      <c r="B47" s="706"/>
      <c r="C47" s="671"/>
      <c r="D47" s="709"/>
      <c r="E47" s="708"/>
      <c r="F47" s="1"/>
      <c r="G47" s="125"/>
      <c r="H47" s="79"/>
      <c r="I47" s="1"/>
      <c r="J47" s="179"/>
      <c r="K47" s="179"/>
      <c r="L47" s="179"/>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row>
    <row r="48" spans="1:40" s="42" customFormat="1" ht="21" hidden="1" customHeight="1">
      <c r="A48" s="705"/>
      <c r="B48" s="706"/>
      <c r="C48" s="671"/>
      <c r="D48" s="709"/>
      <c r="E48" s="708"/>
      <c r="F48" s="1"/>
      <c r="G48" s="125"/>
      <c r="H48" s="79"/>
      <c r="I48" s="1"/>
      <c r="J48" s="179"/>
      <c r="K48" s="179"/>
      <c r="L48" s="179"/>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row>
    <row r="49" spans="1:40" s="42" customFormat="1" ht="21" hidden="1" customHeight="1">
      <c r="A49" s="705"/>
      <c r="B49" s="706"/>
      <c r="C49" s="671"/>
      <c r="D49" s="709"/>
      <c r="E49" s="708"/>
      <c r="F49" s="1"/>
      <c r="G49" s="125"/>
      <c r="H49" s="79"/>
      <c r="I49" s="1"/>
      <c r="J49" s="179"/>
      <c r="K49" s="179"/>
      <c r="L49" s="179"/>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row>
    <row r="50" spans="1:40" s="42" customFormat="1" ht="21" hidden="1" customHeight="1">
      <c r="A50" s="705"/>
      <c r="B50" s="706"/>
      <c r="C50" s="671"/>
      <c r="D50" s="709"/>
      <c r="E50" s="708"/>
      <c r="F50" s="1"/>
      <c r="G50" s="125"/>
      <c r="H50" s="79"/>
      <c r="I50" s="1"/>
      <c r="J50" s="179"/>
      <c r="K50" s="179"/>
      <c r="L50" s="179"/>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row>
    <row r="51" spans="1:40" ht="21" customHeight="1">
      <c r="A51" s="922" t="s">
        <v>72</v>
      </c>
      <c r="B51" s="922"/>
      <c r="C51" s="655">
        <f>SUM(C20:C50)</f>
        <v>114485701</v>
      </c>
      <c r="D51" s="536"/>
      <c r="E51" s="536"/>
      <c r="F51" s="3"/>
      <c r="G51" s="3"/>
      <c r="H51" s="3"/>
      <c r="I51" s="3" t="s">
        <v>353</v>
      </c>
      <c r="J51" s="3"/>
      <c r="K51" s="3"/>
      <c r="L51" s="3"/>
      <c r="M51" s="3"/>
      <c r="N51" s="3"/>
    </row>
    <row r="52" spans="1:40" ht="12" customHeight="1">
      <c r="A52" s="24"/>
      <c r="B52" s="24"/>
      <c r="C52" s="418"/>
      <c r="D52" s="419"/>
      <c r="E52" s="420"/>
      <c r="F52" s="3"/>
      <c r="G52" s="3"/>
      <c r="H52" s="3"/>
      <c r="I52" s="3" t="s">
        <v>354</v>
      </c>
      <c r="J52" s="421">
        <v>63363.89</v>
      </c>
      <c r="K52" s="3"/>
      <c r="L52" s="3"/>
      <c r="M52" s="3"/>
      <c r="N52" s="344" t="s">
        <v>123</v>
      </c>
      <c r="O52" t="s">
        <v>177</v>
      </c>
      <c r="P52"/>
    </row>
    <row r="53" spans="1:40" s="42" customFormat="1" ht="24" customHeight="1">
      <c r="A53" s="87" t="s">
        <v>154</v>
      </c>
      <c r="B53" s="923"/>
      <c r="C53" s="923"/>
      <c r="D53" s="923"/>
      <c r="E53" s="923"/>
      <c r="F53" s="111"/>
      <c r="G53" s="97"/>
      <c r="H53" s="97"/>
      <c r="I53" s="1"/>
      <c r="J53" s="221">
        <v>1067.4000000000001</v>
      </c>
      <c r="K53" s="1"/>
      <c r="L53" s="1"/>
      <c r="M53" s="1"/>
      <c r="N53" s="52" t="s">
        <v>57</v>
      </c>
      <c r="O53" s="167">
        <v>3643795</v>
      </c>
      <c r="P53"/>
      <c r="Q53" s="1"/>
      <c r="R53" s="1"/>
      <c r="S53" s="1"/>
      <c r="T53" s="1"/>
      <c r="U53" s="1"/>
      <c r="V53" s="1"/>
      <c r="W53" s="1"/>
      <c r="X53" s="1"/>
      <c r="Y53" s="1"/>
      <c r="Z53" s="1"/>
      <c r="AA53" s="1"/>
      <c r="AB53" s="1"/>
      <c r="AC53" s="1"/>
      <c r="AD53" s="1"/>
      <c r="AE53" s="1"/>
      <c r="AF53" s="1"/>
      <c r="AG53" s="1"/>
      <c r="AH53" s="1"/>
      <c r="AI53" s="1"/>
      <c r="AJ53" s="1"/>
      <c r="AK53" s="1"/>
      <c r="AL53" s="1"/>
      <c r="AM53" s="1"/>
      <c r="AN53" s="1"/>
    </row>
    <row r="54" spans="1:40" s="42" customFormat="1" ht="15" customHeight="1">
      <c r="A54" s="1"/>
      <c r="B54" s="97"/>
      <c r="C54" s="98"/>
      <c r="D54" s="98"/>
      <c r="E54" s="1"/>
      <c r="F54" s="1"/>
      <c r="G54" s="929" t="s">
        <v>131</v>
      </c>
      <c r="H54" s="929"/>
      <c r="I54" s="1"/>
      <c r="J54" s="222">
        <f>J52*J53</f>
        <v>67634616.186000004</v>
      </c>
      <c r="M54" s="1"/>
      <c r="N54" s="52" t="s">
        <v>176</v>
      </c>
      <c r="O54" s="167">
        <v>397870465</v>
      </c>
      <c r="P54"/>
      <c r="Q54" s="1"/>
      <c r="R54" s="1"/>
      <c r="S54" s="1"/>
      <c r="T54" s="1"/>
      <c r="U54" s="1"/>
      <c r="V54" s="1"/>
      <c r="W54" s="1"/>
      <c r="X54" s="1"/>
      <c r="Y54" s="1"/>
      <c r="Z54" s="1"/>
      <c r="AA54" s="1"/>
      <c r="AB54" s="1"/>
      <c r="AC54" s="1"/>
      <c r="AD54" s="1"/>
      <c r="AE54" s="1"/>
      <c r="AF54" s="1"/>
      <c r="AG54" s="1"/>
      <c r="AH54" s="1"/>
      <c r="AI54" s="1"/>
      <c r="AJ54" s="1"/>
      <c r="AK54" s="1"/>
      <c r="AL54" s="1"/>
      <c r="AM54" s="1"/>
      <c r="AN54" s="1"/>
    </row>
    <row r="55" spans="1:40" s="25" customFormat="1" ht="24" customHeight="1">
      <c r="A55" s="658" t="s">
        <v>73</v>
      </c>
      <c r="B55" s="658" t="s">
        <v>74</v>
      </c>
      <c r="C55" s="658" t="s">
        <v>68</v>
      </c>
      <c r="D55" s="658" t="s">
        <v>75</v>
      </c>
      <c r="E55" s="658" t="s">
        <v>76</v>
      </c>
      <c r="F55" s="924" t="s">
        <v>57</v>
      </c>
      <c r="G55" s="925"/>
      <c r="H55" s="926"/>
      <c r="I55" s="3"/>
      <c r="M55" s="3"/>
      <c r="N55" s="52" t="s">
        <v>178</v>
      </c>
      <c r="O55" s="167">
        <v>7871750</v>
      </c>
      <c r="P55"/>
      <c r="Q55" s="3"/>
      <c r="R55" s="3"/>
      <c r="S55" s="3"/>
      <c r="T55" s="3"/>
      <c r="U55" s="3"/>
      <c r="V55" s="3"/>
      <c r="W55" s="3"/>
      <c r="X55" s="3"/>
      <c r="Y55" s="3"/>
      <c r="Z55" s="3"/>
      <c r="AA55" s="3"/>
      <c r="AB55" s="3"/>
      <c r="AC55" s="3"/>
      <c r="AD55" s="3"/>
      <c r="AE55" s="3"/>
      <c r="AF55" s="3"/>
      <c r="AG55" s="3"/>
      <c r="AH55" s="3"/>
      <c r="AI55" s="3"/>
      <c r="AJ55" s="3"/>
      <c r="AK55" s="3"/>
      <c r="AL55" s="3"/>
      <c r="AM55" s="3"/>
      <c r="AN55" s="3"/>
    </row>
    <row r="56" spans="1:40" s="25" customFormat="1" ht="21" customHeight="1">
      <c r="A56" s="669" t="s">
        <v>321</v>
      </c>
      <c r="B56" s="675">
        <v>44287</v>
      </c>
      <c r="C56" s="699" t="s">
        <v>1136</v>
      </c>
      <c r="D56" s="716" t="s">
        <v>609</v>
      </c>
      <c r="E56" s="676">
        <v>162702958</v>
      </c>
      <c r="F56" s="672"/>
      <c r="G56" s="673"/>
      <c r="H56" s="674"/>
      <c r="I56" s="3"/>
      <c r="J56" s="179"/>
      <c r="K56" s="179"/>
      <c r="L56" s="179"/>
      <c r="M56" s="3"/>
      <c r="N56" s="52" t="s">
        <v>179</v>
      </c>
      <c r="O56" s="167">
        <v>3165</v>
      </c>
      <c r="P56"/>
      <c r="Q56" s="3"/>
      <c r="R56" s="3"/>
      <c r="S56" s="3"/>
      <c r="T56" s="3"/>
      <c r="U56" s="3"/>
      <c r="V56" s="3"/>
      <c r="W56" s="3"/>
      <c r="X56" s="3"/>
      <c r="Y56" s="3"/>
      <c r="Z56" s="3"/>
      <c r="AA56" s="3"/>
      <c r="AB56" s="3"/>
      <c r="AC56" s="3"/>
      <c r="AD56" s="3"/>
      <c r="AE56" s="3"/>
      <c r="AF56" s="3"/>
      <c r="AG56" s="3"/>
      <c r="AH56" s="3"/>
      <c r="AI56" s="3"/>
      <c r="AJ56" s="3"/>
      <c r="AK56" s="3"/>
      <c r="AL56" s="3"/>
      <c r="AM56" s="3"/>
      <c r="AN56" s="3"/>
    </row>
    <row r="57" spans="1:40" s="25" customFormat="1" ht="21" customHeight="1">
      <c r="A57" s="669" t="s">
        <v>321</v>
      </c>
      <c r="B57" s="675">
        <v>44291</v>
      </c>
      <c r="C57" s="699" t="s">
        <v>697</v>
      </c>
      <c r="D57" s="716" t="s">
        <v>1049</v>
      </c>
      <c r="E57" s="676">
        <v>550000</v>
      </c>
      <c r="F57" s="672"/>
      <c r="G57" s="673"/>
      <c r="H57" s="674"/>
      <c r="I57" s="3"/>
      <c r="J57" s="179"/>
      <c r="K57" s="179"/>
      <c r="L57" s="179"/>
      <c r="M57" s="3"/>
      <c r="N57" s="52" t="s">
        <v>124</v>
      </c>
      <c r="O57" s="167">
        <v>409389175</v>
      </c>
      <c r="P57"/>
      <c r="Q57" s="3"/>
      <c r="R57" s="3"/>
      <c r="S57" s="3"/>
      <c r="T57" s="3"/>
      <c r="U57" s="3"/>
      <c r="V57" s="3"/>
      <c r="W57" s="3"/>
      <c r="X57" s="3"/>
      <c r="Y57" s="3"/>
      <c r="Z57" s="3"/>
      <c r="AA57" s="3"/>
      <c r="AB57" s="3"/>
      <c r="AC57" s="3"/>
      <c r="AD57" s="3"/>
      <c r="AE57" s="3"/>
      <c r="AF57" s="3"/>
      <c r="AG57" s="3"/>
      <c r="AH57" s="3"/>
      <c r="AI57" s="3"/>
      <c r="AJ57" s="3"/>
      <c r="AK57" s="3"/>
      <c r="AL57" s="3"/>
      <c r="AM57" s="3"/>
      <c r="AN57" s="3"/>
    </row>
    <row r="58" spans="1:40" s="43" customFormat="1" ht="21" customHeight="1">
      <c r="A58" s="669" t="s">
        <v>321</v>
      </c>
      <c r="B58" s="670">
        <v>44292</v>
      </c>
      <c r="C58" s="699" t="s">
        <v>519</v>
      </c>
      <c r="D58" s="715" t="s">
        <v>1080</v>
      </c>
      <c r="E58" s="671">
        <v>660000</v>
      </c>
      <c r="F58" s="677"/>
      <c r="G58" s="677"/>
      <c r="H58" s="678"/>
      <c r="I58" s="3"/>
      <c r="J58" s="179"/>
      <c r="K58" s="179"/>
      <c r="L58" s="179"/>
      <c r="M58" s="3"/>
      <c r="N58" s="52"/>
      <c r="O58" s="167"/>
      <c r="P58" s="668"/>
      <c r="Q58" s="3"/>
      <c r="R58" s="3"/>
      <c r="S58" s="3"/>
      <c r="T58" s="3"/>
      <c r="U58" s="3"/>
      <c r="V58" s="3"/>
      <c r="W58" s="3"/>
      <c r="X58" s="3"/>
      <c r="Y58" s="3"/>
      <c r="Z58" s="3"/>
      <c r="AA58" s="3"/>
      <c r="AB58" s="3"/>
      <c r="AC58" s="3"/>
      <c r="AD58" s="3"/>
      <c r="AE58" s="3"/>
      <c r="AF58" s="3"/>
      <c r="AG58" s="3"/>
      <c r="AH58" s="3"/>
      <c r="AI58" s="3"/>
      <c r="AJ58" s="3"/>
      <c r="AK58" s="3"/>
      <c r="AL58" s="3"/>
      <c r="AM58" s="3"/>
      <c r="AN58" s="3"/>
    </row>
    <row r="59" spans="1:40" s="43" customFormat="1" ht="21" customHeight="1">
      <c r="A59" s="669" t="s">
        <v>321</v>
      </c>
      <c r="B59" s="679">
        <v>44295</v>
      </c>
      <c r="C59" s="699" t="s">
        <v>1154</v>
      </c>
      <c r="D59" s="709" t="s">
        <v>609</v>
      </c>
      <c r="E59" s="680">
        <v>3701500</v>
      </c>
      <c r="F59" s="672"/>
      <c r="G59" s="673"/>
      <c r="H59" s="674"/>
      <c r="I59" s="3"/>
      <c r="J59" s="1">
        <v>7820.2</v>
      </c>
      <c r="K59" s="1">
        <v>1164.5</v>
      </c>
      <c r="L59" s="66">
        <f>ROUNDUP(J59*K59,0)</f>
        <v>9106623</v>
      </c>
      <c r="M59" s="3"/>
      <c r="N59"/>
      <c r="O59"/>
      <c r="P59"/>
      <c r="Q59" s="3"/>
      <c r="R59" s="3"/>
      <c r="S59" s="3"/>
      <c r="T59" s="3"/>
      <c r="U59" s="3"/>
      <c r="V59" s="3"/>
      <c r="W59" s="3"/>
      <c r="X59" s="3"/>
      <c r="Y59" s="3"/>
      <c r="Z59" s="3"/>
      <c r="AA59" s="3"/>
      <c r="AB59" s="3"/>
      <c r="AC59" s="3"/>
      <c r="AD59" s="3"/>
      <c r="AE59" s="3"/>
      <c r="AF59" s="3"/>
      <c r="AG59" s="3"/>
      <c r="AH59" s="3"/>
      <c r="AI59" s="3"/>
      <c r="AJ59" s="3"/>
      <c r="AK59" s="3"/>
      <c r="AL59" s="3"/>
      <c r="AM59" s="3"/>
      <c r="AN59" s="3"/>
    </row>
    <row r="60" spans="1:40" s="43" customFormat="1" ht="21" customHeight="1">
      <c r="A60" s="669" t="s">
        <v>321</v>
      </c>
      <c r="B60" s="670">
        <v>44295</v>
      </c>
      <c r="C60" s="699" t="s">
        <v>522</v>
      </c>
      <c r="D60" s="709" t="s">
        <v>1048</v>
      </c>
      <c r="E60" s="671">
        <v>443850</v>
      </c>
      <c r="F60" s="672"/>
      <c r="G60" s="673"/>
      <c r="H60" s="674"/>
      <c r="I60" s="3"/>
      <c r="J60" s="179">
        <v>6956.43</v>
      </c>
      <c r="K60" s="1">
        <v>1164.5</v>
      </c>
      <c r="L60" s="66">
        <f>ROUNDUP(J60*K60,0)</f>
        <v>8100763</v>
      </c>
      <c r="M60" s="3"/>
      <c r="N60"/>
      <c r="O60"/>
      <c r="P60"/>
      <c r="Q60" s="3"/>
      <c r="R60" s="3"/>
      <c r="S60" s="3"/>
      <c r="T60" s="3"/>
      <c r="U60" s="3"/>
      <c r="V60" s="3"/>
      <c r="W60" s="3"/>
      <c r="X60" s="3"/>
      <c r="Y60" s="3"/>
      <c r="Z60" s="3"/>
      <c r="AA60" s="3"/>
      <c r="AB60" s="3"/>
      <c r="AC60" s="3"/>
      <c r="AD60" s="3"/>
      <c r="AE60" s="3"/>
      <c r="AF60" s="3"/>
      <c r="AG60" s="3"/>
      <c r="AH60" s="3"/>
      <c r="AI60" s="3"/>
      <c r="AJ60" s="3"/>
      <c r="AK60" s="3"/>
      <c r="AL60" s="3"/>
      <c r="AM60" s="3"/>
      <c r="AN60" s="3"/>
    </row>
    <row r="61" spans="1:40" s="43" customFormat="1" ht="21" customHeight="1">
      <c r="A61" s="669" t="s">
        <v>321</v>
      </c>
      <c r="B61" s="670">
        <v>44295</v>
      </c>
      <c r="C61" s="699" t="s">
        <v>1140</v>
      </c>
      <c r="D61" s="709" t="s">
        <v>609</v>
      </c>
      <c r="E61" s="671">
        <v>1331000</v>
      </c>
      <c r="F61" s="672"/>
      <c r="G61" s="673"/>
      <c r="H61" s="674"/>
      <c r="I61" s="3" t="s">
        <v>228</v>
      </c>
      <c r="J61" s="179" t="e">
        <f>#REF!+#REF!</f>
        <v>#REF!</v>
      </c>
      <c r="K61" s="179"/>
      <c r="L61" s="179"/>
      <c r="M61" s="3"/>
      <c r="N61"/>
      <c r="O61"/>
      <c r="P61"/>
      <c r="Q61" s="3"/>
      <c r="R61" s="3"/>
      <c r="S61" s="3"/>
      <c r="T61" s="3"/>
      <c r="U61" s="3"/>
      <c r="V61" s="3"/>
      <c r="W61" s="3"/>
      <c r="X61" s="3"/>
      <c r="Y61" s="3"/>
      <c r="Z61" s="3"/>
      <c r="AA61" s="3"/>
      <c r="AB61" s="3"/>
      <c r="AC61" s="3"/>
      <c r="AD61" s="3"/>
      <c r="AE61" s="3"/>
      <c r="AF61" s="3"/>
      <c r="AG61" s="3"/>
      <c r="AH61" s="3"/>
      <c r="AI61" s="3"/>
      <c r="AJ61" s="3"/>
      <c r="AK61" s="3"/>
      <c r="AL61" s="3"/>
      <c r="AM61" s="3"/>
      <c r="AN61" s="3"/>
    </row>
    <row r="62" spans="1:40" s="43" customFormat="1" ht="21" customHeight="1">
      <c r="A62" s="669" t="s">
        <v>321</v>
      </c>
      <c r="B62" s="679">
        <v>44295</v>
      </c>
      <c r="C62" s="699" t="s">
        <v>1050</v>
      </c>
      <c r="D62" s="793" t="s">
        <v>1048</v>
      </c>
      <c r="E62" s="680">
        <v>1848000</v>
      </c>
      <c r="F62" s="672"/>
      <c r="G62" s="673"/>
      <c r="H62" s="674"/>
      <c r="I62" s="210"/>
      <c r="J62" s="226" t="e">
        <f>E81-#REF!-J61</f>
        <v>#REF!</v>
      </c>
      <c r="K62" s="179"/>
      <c r="L62" s="179"/>
      <c r="M62" s="3"/>
      <c r="N62"/>
      <c r="O62"/>
      <c r="P62"/>
      <c r="Q62" s="3"/>
      <c r="R62" s="3"/>
      <c r="S62" s="3"/>
      <c r="T62" s="3"/>
      <c r="U62" s="3"/>
      <c r="V62" s="3"/>
      <c r="W62" s="3"/>
      <c r="X62" s="3"/>
      <c r="Y62" s="3"/>
      <c r="Z62" s="3"/>
      <c r="AA62" s="3"/>
      <c r="AB62" s="3"/>
      <c r="AC62" s="3"/>
      <c r="AD62" s="3"/>
      <c r="AE62" s="3"/>
      <c r="AF62" s="3"/>
      <c r="AG62" s="3"/>
      <c r="AH62" s="3"/>
      <c r="AI62" s="3"/>
      <c r="AJ62" s="3"/>
      <c r="AK62" s="3"/>
      <c r="AL62" s="3"/>
      <c r="AM62" s="3"/>
      <c r="AN62" s="3"/>
    </row>
    <row r="63" spans="1:40" s="43" customFormat="1" ht="21" customHeight="1">
      <c r="A63" s="669" t="s">
        <v>321</v>
      </c>
      <c r="B63" s="670">
        <v>44298</v>
      </c>
      <c r="C63" s="699" t="s">
        <v>1142</v>
      </c>
      <c r="D63" s="709" t="s">
        <v>611</v>
      </c>
      <c r="E63" s="671">
        <v>4400000</v>
      </c>
      <c r="F63" s="672"/>
      <c r="G63" s="673"/>
      <c r="H63" s="674"/>
      <c r="I63" s="3"/>
      <c r="J63" s="179"/>
      <c r="K63" s="179"/>
      <c r="L63" s="179"/>
      <c r="M63" s="3"/>
      <c r="N63"/>
      <c r="O63"/>
      <c r="P63"/>
      <c r="Q63" s="3"/>
      <c r="R63" s="3"/>
      <c r="S63" s="3"/>
      <c r="T63" s="3"/>
      <c r="U63" s="3"/>
      <c r="V63" s="3"/>
      <c r="W63" s="3"/>
      <c r="X63" s="3"/>
      <c r="Y63" s="3"/>
      <c r="Z63" s="3"/>
      <c r="AA63" s="3"/>
      <c r="AB63" s="3"/>
      <c r="AC63" s="3"/>
      <c r="AD63" s="3"/>
      <c r="AE63" s="3"/>
      <c r="AF63" s="3"/>
      <c r="AG63" s="3"/>
      <c r="AH63" s="3"/>
      <c r="AI63" s="3"/>
      <c r="AJ63" s="3"/>
      <c r="AK63" s="3"/>
      <c r="AL63" s="3"/>
      <c r="AM63" s="3"/>
      <c r="AN63" s="3"/>
    </row>
    <row r="64" spans="1:40" ht="21" customHeight="1">
      <c r="A64" s="669" t="s">
        <v>321</v>
      </c>
      <c r="B64" s="670">
        <v>44298</v>
      </c>
      <c r="C64" s="699" t="s">
        <v>1142</v>
      </c>
      <c r="D64" s="716" t="s">
        <v>612</v>
      </c>
      <c r="E64" s="671">
        <v>610703</v>
      </c>
      <c r="F64" s="672"/>
      <c r="G64" s="673"/>
      <c r="H64" s="674"/>
      <c r="J64" s="180">
        <v>29569.08</v>
      </c>
      <c r="K64" s="1">
        <v>1164.5</v>
      </c>
      <c r="L64" s="66">
        <f>ROUNDUP(J64*K64,0)</f>
        <v>34433194</v>
      </c>
    </row>
    <row r="65" spans="1:40" s="42" customFormat="1" ht="21" customHeight="1">
      <c r="A65" s="669" t="s">
        <v>321</v>
      </c>
      <c r="B65" s="670">
        <v>44298</v>
      </c>
      <c r="C65" s="699" t="s">
        <v>1142</v>
      </c>
      <c r="D65" s="716" t="s">
        <v>610</v>
      </c>
      <c r="E65" s="680">
        <v>594000</v>
      </c>
      <c r="F65" s="672"/>
      <c r="G65" s="673"/>
      <c r="H65" s="674"/>
      <c r="I65" s="1"/>
      <c r="J65" s="180"/>
      <c r="K65" s="1"/>
      <c r="L65" s="66"/>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row>
    <row r="66" spans="1:40" s="42" customFormat="1" ht="21" customHeight="1">
      <c r="A66" s="669" t="s">
        <v>321</v>
      </c>
      <c r="B66" s="679">
        <v>44300</v>
      </c>
      <c r="C66" s="699" t="s">
        <v>519</v>
      </c>
      <c r="D66" s="715" t="s">
        <v>1080</v>
      </c>
      <c r="E66" s="680">
        <v>1100000</v>
      </c>
      <c r="F66" s="672"/>
      <c r="G66" s="673"/>
      <c r="H66" s="674"/>
      <c r="I66" s="1"/>
      <c r="J66" s="180"/>
      <c r="K66" s="1"/>
      <c r="L66" s="66"/>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row>
    <row r="67" spans="1:40" s="42" customFormat="1" ht="21" customHeight="1">
      <c r="A67" s="669" t="s">
        <v>321</v>
      </c>
      <c r="B67" s="670">
        <v>44301</v>
      </c>
      <c r="C67" s="699" t="s">
        <v>1148</v>
      </c>
      <c r="D67" s="716" t="s">
        <v>609</v>
      </c>
      <c r="E67" s="671">
        <v>316250</v>
      </c>
      <c r="F67" s="672"/>
      <c r="G67" s="673"/>
      <c r="H67" s="674"/>
      <c r="I67" s="1"/>
      <c r="J67" s="180"/>
      <c r="K67" s="1"/>
      <c r="L67" s="66"/>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row>
    <row r="68" spans="1:40" s="42" customFormat="1" ht="21" customHeight="1">
      <c r="A68" s="669" t="s">
        <v>321</v>
      </c>
      <c r="B68" s="670">
        <v>44301</v>
      </c>
      <c r="C68" s="699" t="s">
        <v>1130</v>
      </c>
      <c r="D68" s="716" t="s">
        <v>609</v>
      </c>
      <c r="E68" s="671">
        <v>3300000</v>
      </c>
      <c r="F68" s="672"/>
      <c r="G68" s="673"/>
      <c r="H68" s="674"/>
      <c r="I68" s="1"/>
      <c r="J68" s="180"/>
      <c r="K68" s="1"/>
      <c r="L68" s="66"/>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row>
    <row r="69" spans="1:40" s="42" customFormat="1" ht="21" customHeight="1">
      <c r="A69" s="669" t="s">
        <v>321</v>
      </c>
      <c r="B69" s="670">
        <v>44301</v>
      </c>
      <c r="C69" s="699" t="s">
        <v>1143</v>
      </c>
      <c r="D69" s="699" t="s">
        <v>806</v>
      </c>
      <c r="E69" s="671">
        <v>100000</v>
      </c>
      <c r="F69" s="672"/>
      <c r="G69" s="673"/>
      <c r="H69" s="674"/>
      <c r="I69" s="1"/>
      <c r="J69" s="180"/>
      <c r="K69" s="1"/>
      <c r="L69" s="66"/>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row>
    <row r="70" spans="1:40" s="42" customFormat="1" ht="21" customHeight="1">
      <c r="A70" s="669" t="s">
        <v>321</v>
      </c>
      <c r="B70" s="670">
        <v>44301</v>
      </c>
      <c r="C70" s="699" t="s">
        <v>1143</v>
      </c>
      <c r="D70" s="699" t="s">
        <v>809</v>
      </c>
      <c r="E70" s="671">
        <v>140000</v>
      </c>
      <c r="F70" s="672"/>
      <c r="G70" s="673"/>
      <c r="H70" s="674"/>
      <c r="I70" s="1"/>
      <c r="J70" s="180"/>
      <c r="K70" s="1"/>
      <c r="L70" s="66"/>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row>
    <row r="71" spans="1:40" s="42" customFormat="1" ht="21" customHeight="1">
      <c r="A71" s="669" t="s">
        <v>321</v>
      </c>
      <c r="B71" s="679">
        <v>44302</v>
      </c>
      <c r="C71" s="699" t="s">
        <v>1156</v>
      </c>
      <c r="D71" s="716" t="s">
        <v>609</v>
      </c>
      <c r="E71" s="680">
        <v>2695300</v>
      </c>
      <c r="F71" s="672"/>
      <c r="G71" s="673"/>
      <c r="H71" s="674"/>
      <c r="I71" s="1"/>
      <c r="J71" s="180"/>
      <c r="K71" s="1"/>
      <c r="L71" s="66"/>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row>
    <row r="72" spans="1:40" s="757" customFormat="1" ht="21" customHeight="1">
      <c r="A72" s="669" t="s">
        <v>321</v>
      </c>
      <c r="B72" s="670">
        <v>44306</v>
      </c>
      <c r="C72" s="699" t="s">
        <v>1149</v>
      </c>
      <c r="D72" s="716" t="s">
        <v>609</v>
      </c>
      <c r="E72" s="671">
        <v>1100000</v>
      </c>
      <c r="F72" s="751"/>
      <c r="G72" s="752"/>
      <c r="H72" s="753"/>
      <c r="I72" s="754"/>
      <c r="J72" s="755"/>
      <c r="K72" s="754"/>
      <c r="L72" s="756"/>
      <c r="M72" s="754"/>
      <c r="N72" s="754"/>
      <c r="O72" s="754"/>
      <c r="P72" s="754"/>
      <c r="Q72" s="754"/>
      <c r="R72" s="754"/>
      <c r="S72" s="754"/>
      <c r="T72" s="754"/>
      <c r="U72" s="754"/>
      <c r="V72" s="754"/>
      <c r="W72" s="754"/>
      <c r="X72" s="754"/>
      <c r="Y72" s="754"/>
      <c r="Z72" s="754"/>
      <c r="AA72" s="754"/>
      <c r="AB72" s="754"/>
      <c r="AC72" s="754"/>
      <c r="AD72" s="754"/>
      <c r="AE72" s="754"/>
      <c r="AF72" s="754"/>
      <c r="AG72" s="754"/>
      <c r="AH72" s="754"/>
      <c r="AI72" s="754"/>
      <c r="AJ72" s="754"/>
      <c r="AK72" s="754"/>
      <c r="AL72" s="754"/>
      <c r="AM72" s="754"/>
      <c r="AN72" s="754"/>
    </row>
    <row r="73" spans="1:40" s="43" customFormat="1" ht="21" customHeight="1">
      <c r="A73" s="669" t="s">
        <v>321</v>
      </c>
      <c r="B73" s="670">
        <v>44306</v>
      </c>
      <c r="C73" s="699" t="s">
        <v>1149</v>
      </c>
      <c r="D73" s="716" t="s">
        <v>609</v>
      </c>
      <c r="E73" s="671">
        <v>151800</v>
      </c>
      <c r="F73" s="683"/>
      <c r="G73" s="681"/>
      <c r="H73" s="682"/>
      <c r="I73" s="3"/>
      <c r="J73" s="541"/>
      <c r="K73" s="3"/>
      <c r="L73" s="195"/>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row>
    <row r="74" spans="1:40" s="43" customFormat="1" ht="21" customHeight="1">
      <c r="A74" s="669" t="s">
        <v>321</v>
      </c>
      <c r="B74" s="670">
        <v>44307</v>
      </c>
      <c r="C74" s="699" t="s">
        <v>1157</v>
      </c>
      <c r="D74" s="716" t="s">
        <v>609</v>
      </c>
      <c r="E74" s="680">
        <v>328900</v>
      </c>
      <c r="F74" s="683"/>
      <c r="G74" s="683"/>
      <c r="H74" s="684"/>
      <c r="I74" s="3"/>
      <c r="J74" s="541"/>
      <c r="K74" s="3"/>
      <c r="L74" s="195"/>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row>
    <row r="75" spans="1:40" s="43" customFormat="1" ht="21" customHeight="1">
      <c r="A75" s="669" t="s">
        <v>1120</v>
      </c>
      <c r="B75" s="679">
        <v>44312</v>
      </c>
      <c r="C75" s="699" t="s">
        <v>908</v>
      </c>
      <c r="D75" s="758" t="s">
        <v>1051</v>
      </c>
      <c r="E75" s="680">
        <v>300000</v>
      </c>
      <c r="F75" s="683"/>
      <c r="G75" s="681"/>
      <c r="H75" s="682"/>
      <c r="I75" s="3"/>
      <c r="J75" s="541"/>
      <c r="K75" s="3"/>
      <c r="L75" s="195"/>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row>
    <row r="76" spans="1:40" s="43" customFormat="1" ht="21" customHeight="1">
      <c r="A76" s="669" t="s">
        <v>321</v>
      </c>
      <c r="B76" s="670">
        <v>44312</v>
      </c>
      <c r="C76" s="699" t="s">
        <v>1137</v>
      </c>
      <c r="D76" s="716" t="s">
        <v>609</v>
      </c>
      <c r="E76" s="680">
        <v>23859000</v>
      </c>
      <c r="F76" s="683"/>
      <c r="G76" s="685"/>
      <c r="H76" s="686"/>
      <c r="I76" s="3"/>
      <c r="J76" s="541"/>
      <c r="K76" s="3"/>
      <c r="L76" s="195"/>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row>
    <row r="77" spans="1:40" s="43" customFormat="1" ht="21" customHeight="1">
      <c r="A77" s="669" t="s">
        <v>321</v>
      </c>
      <c r="B77" s="670">
        <v>44315</v>
      </c>
      <c r="C77" s="699" t="s">
        <v>1136</v>
      </c>
      <c r="D77" s="716" t="s">
        <v>609</v>
      </c>
      <c r="E77" s="671">
        <v>627000</v>
      </c>
      <c r="F77" s="689"/>
      <c r="G77" s="687"/>
      <c r="H77" s="688"/>
      <c r="I77" s="3"/>
      <c r="J77" s="541"/>
      <c r="K77" s="3"/>
      <c r="L77" s="195"/>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row>
    <row r="78" spans="1:40" s="43" customFormat="1" ht="21" customHeight="1">
      <c r="A78" s="669" t="s">
        <v>321</v>
      </c>
      <c r="B78" s="670">
        <v>44316</v>
      </c>
      <c r="C78" s="699" t="s">
        <v>1047</v>
      </c>
      <c r="D78" s="716" t="s">
        <v>611</v>
      </c>
      <c r="E78" s="671">
        <v>1672000</v>
      </c>
      <c r="F78" s="683"/>
      <c r="G78" s="681"/>
      <c r="H78" s="682"/>
      <c r="I78" s="3"/>
      <c r="J78" s="541"/>
      <c r="K78" s="3"/>
      <c r="L78" s="195"/>
      <c r="M78" s="3"/>
      <c r="N78" s="3"/>
      <c r="O78" s="3"/>
      <c r="P78" s="3"/>
      <c r="Q78" s="3"/>
      <c r="R78" s="3"/>
      <c r="S78" s="3"/>
      <c r="T78" s="3"/>
      <c r="U78" s="3"/>
      <c r="V78" s="3"/>
      <c r="W78" s="210">
        <f>213985911-E81</f>
        <v>0</v>
      </c>
      <c r="X78" s="3"/>
      <c r="Y78" s="3"/>
      <c r="Z78" s="3"/>
      <c r="AA78" s="3"/>
      <c r="AB78" s="3"/>
      <c r="AC78" s="3"/>
      <c r="AD78" s="3"/>
      <c r="AE78" s="3"/>
      <c r="AF78" s="3"/>
      <c r="AG78" s="3"/>
      <c r="AH78" s="3"/>
      <c r="AI78" s="3"/>
      <c r="AJ78" s="3"/>
      <c r="AK78" s="3"/>
      <c r="AL78" s="3"/>
      <c r="AM78" s="3"/>
      <c r="AN78" s="3"/>
    </row>
    <row r="79" spans="1:40" s="43" customFormat="1" ht="21" customHeight="1">
      <c r="A79" s="669" t="s">
        <v>321</v>
      </c>
      <c r="B79" s="679">
        <v>44316</v>
      </c>
      <c r="C79" s="699" t="s">
        <v>1150</v>
      </c>
      <c r="D79" s="716" t="s">
        <v>601</v>
      </c>
      <c r="E79" s="680">
        <v>645150</v>
      </c>
      <c r="F79" s="687"/>
      <c r="G79" s="687"/>
      <c r="H79" s="688"/>
      <c r="I79" s="3"/>
      <c r="J79" s="541"/>
      <c r="K79" s="3"/>
      <c r="L79" s="195"/>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row>
    <row r="80" spans="1:40" s="757" customFormat="1" ht="21" customHeight="1">
      <c r="A80" s="669" t="s">
        <v>321</v>
      </c>
      <c r="B80" s="675">
        <v>44316</v>
      </c>
      <c r="C80" s="699" t="s">
        <v>1151</v>
      </c>
      <c r="D80" s="716" t="s">
        <v>1046</v>
      </c>
      <c r="E80" s="676">
        <v>808500</v>
      </c>
      <c r="F80" s="759"/>
      <c r="G80" s="760"/>
      <c r="H80" s="761"/>
      <c r="I80" s="754"/>
      <c r="J80" s="755"/>
      <c r="K80" s="754"/>
      <c r="L80" s="756"/>
      <c r="M80" s="754"/>
      <c r="N80" s="754"/>
      <c r="O80" s="754"/>
      <c r="P80" s="754"/>
      <c r="Q80" s="754"/>
      <c r="R80" s="754"/>
      <c r="S80" s="754"/>
      <c r="T80" s="754"/>
      <c r="U80" s="754"/>
      <c r="V80" s="754"/>
      <c r="W80" s="754"/>
      <c r="X80" s="754"/>
      <c r="Y80" s="754"/>
      <c r="Z80" s="754"/>
      <c r="AA80" s="754"/>
      <c r="AB80" s="754"/>
      <c r="AC80" s="754"/>
      <c r="AD80" s="754"/>
      <c r="AE80" s="754"/>
      <c r="AF80" s="754"/>
      <c r="AG80" s="754"/>
      <c r="AH80" s="754"/>
      <c r="AI80" s="754"/>
      <c r="AJ80" s="754"/>
      <c r="AK80" s="754"/>
      <c r="AL80" s="754"/>
      <c r="AM80" s="754"/>
      <c r="AN80" s="754"/>
    </row>
    <row r="81" spans="1:8" ht="21.75" customHeight="1">
      <c r="A81" s="918" t="s">
        <v>77</v>
      </c>
      <c r="B81" s="918"/>
      <c r="C81" s="918"/>
      <c r="D81" s="918"/>
      <c r="E81" s="659">
        <f>SUM(E56:E80)</f>
        <v>213985911</v>
      </c>
      <c r="F81" s="657"/>
      <c r="G81" s="488"/>
      <c r="H81" s="489"/>
    </row>
    <row r="82" spans="1:8" ht="20.100000000000001" customHeight="1">
      <c r="C82" s="126"/>
      <c r="D82" s="127"/>
      <c r="E82" s="538">
        <f>E75</f>
        <v>300000</v>
      </c>
      <c r="F82" s="539"/>
      <c r="G82" s="539">
        <v>0</v>
      </c>
      <c r="H82" s="540"/>
    </row>
    <row r="83" spans="1:8" ht="27" customHeight="1">
      <c r="A83" s="87" t="s">
        <v>155</v>
      </c>
      <c r="C83" s="215"/>
      <c r="D83" s="534"/>
      <c r="E83" s="535"/>
      <c r="F83" s="534"/>
      <c r="G83" s="534"/>
      <c r="H83" s="535"/>
    </row>
    <row r="84" spans="1:8" ht="154.5" customHeight="1">
      <c r="A84" s="917" t="s">
        <v>560</v>
      </c>
      <c r="B84" s="917"/>
      <c r="C84" s="917"/>
      <c r="D84" s="917"/>
      <c r="E84" s="917"/>
      <c r="F84" s="917"/>
      <c r="G84" s="917"/>
      <c r="H84" s="917"/>
    </row>
  </sheetData>
  <autoFilter ref="A55:AN84">
    <filterColumn colId="5" showButton="0"/>
    <filterColumn colId="6" showButton="0"/>
  </autoFilter>
  <sortState ref="B63:E89">
    <sortCondition ref="B62"/>
  </sortState>
  <mergeCells count="12">
    <mergeCell ref="A84:H84"/>
    <mergeCell ref="A81:D81"/>
    <mergeCell ref="A3:G3"/>
    <mergeCell ref="A4:G4"/>
    <mergeCell ref="A17:D17"/>
    <mergeCell ref="A51:B51"/>
    <mergeCell ref="B53:E53"/>
    <mergeCell ref="F55:H55"/>
    <mergeCell ref="A13:B13"/>
    <mergeCell ref="G54:H54"/>
    <mergeCell ref="D35:E35"/>
    <mergeCell ref="D36:E36"/>
  </mergeCells>
  <phoneticPr fontId="13" type="noConversion"/>
  <printOptions horizontalCentered="1"/>
  <pageMargins left="0.23622047244094491" right="0.11811023622047245" top="0.98425196850393704" bottom="0.52" header="0.15748031496062992" footer="0.28999999999999998"/>
  <pageSetup paperSize="9" scale="62" fitToHeight="0" orientation="portrait" r:id="rId2"/>
  <headerFooter scaleWithDoc="0" alignWithMargins="0">
    <oddFooter>&amp;C&amp;P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A1:AN169"/>
  <sheetViews>
    <sheetView tabSelected="1" topLeftCell="A95" zoomScaleNormal="100" zoomScaleSheetLayoutView="80" workbookViewId="0">
      <selection activeCell="C100" sqref="C100"/>
    </sheetView>
  </sheetViews>
  <sheetFormatPr defaultColWidth="9" defaultRowHeight="30" customHeight="1"/>
  <cols>
    <col min="1" max="1" width="18" style="1" customWidth="1"/>
    <col min="2" max="2" width="21.875" style="1" customWidth="1"/>
    <col min="3" max="3" width="29.625" style="69" customWidth="1"/>
    <col min="4" max="4" width="29.125" style="69" customWidth="1"/>
    <col min="5" max="5" width="17.75" style="88" customWidth="1"/>
    <col min="6" max="6" width="10.25" style="1" customWidth="1"/>
    <col min="7" max="7" width="23.375" style="1" customWidth="1"/>
    <col min="8" max="8" width="17.875" style="1" customWidth="1"/>
    <col min="9" max="9" width="13.375" style="1" customWidth="1"/>
    <col min="10" max="10" width="18.75" style="1" customWidth="1"/>
    <col min="11" max="11" width="17" style="1" customWidth="1"/>
    <col min="12" max="12" width="12.5" style="1" customWidth="1"/>
    <col min="13" max="13" width="11.125" style="1" customWidth="1"/>
    <col min="14" max="14" width="9" style="1" customWidth="1"/>
    <col min="15" max="40" width="9" style="1"/>
    <col min="41" max="16384" width="9" style="21"/>
  </cols>
  <sheetData>
    <row r="1" spans="1:40" ht="30" customHeight="1">
      <c r="A1" s="84" t="s">
        <v>134</v>
      </c>
      <c r="C1" s="85"/>
      <c r="D1" s="85"/>
      <c r="E1" s="86"/>
    </row>
    <row r="2" spans="1:40" ht="17.25" customHeight="1">
      <c r="A2" s="2"/>
      <c r="C2" s="85"/>
      <c r="D2" s="85"/>
      <c r="E2" s="86"/>
    </row>
    <row r="3" spans="1:40" ht="30" customHeight="1">
      <c r="A3" s="87" t="s">
        <v>135</v>
      </c>
      <c r="B3" s="28"/>
    </row>
    <row r="4" spans="1:40" ht="15" customHeight="1">
      <c r="A4" s="929" t="s">
        <v>136</v>
      </c>
      <c r="B4" s="929"/>
      <c r="C4" s="929"/>
      <c r="D4" s="929"/>
      <c r="E4" s="929"/>
      <c r="F4" s="929"/>
      <c r="G4" s="929"/>
    </row>
    <row r="5" spans="1:40" ht="25.15" customHeight="1">
      <c r="A5" s="70" t="s">
        <v>73</v>
      </c>
      <c r="B5" s="70" t="s">
        <v>78</v>
      </c>
      <c r="C5" s="70" t="s">
        <v>79</v>
      </c>
      <c r="D5" s="70" t="s">
        <v>80</v>
      </c>
      <c r="E5" s="959" t="s">
        <v>81</v>
      </c>
      <c r="F5" s="959"/>
      <c r="G5" s="959"/>
    </row>
    <row r="6" spans="1:40" ht="25.15" customHeight="1">
      <c r="A6" s="964" t="s">
        <v>82</v>
      </c>
      <c r="B6" s="71" t="s">
        <v>83</v>
      </c>
      <c r="C6" s="71" t="str">
        <f>B27</f>
        <v>0건</v>
      </c>
      <c r="D6" s="33">
        <f>E27</f>
        <v>0</v>
      </c>
      <c r="E6" s="964"/>
      <c r="F6" s="964"/>
      <c r="G6" s="964"/>
      <c r="M6"/>
    </row>
    <row r="7" spans="1:40" ht="25.15" customHeight="1">
      <c r="A7" s="964"/>
      <c r="B7" s="71" t="s">
        <v>84</v>
      </c>
      <c r="C7" s="71" t="str">
        <f>B41</f>
        <v>4건</v>
      </c>
      <c r="D7" s="33">
        <v>0</v>
      </c>
      <c r="E7" s="964"/>
      <c r="F7" s="964"/>
      <c r="G7" s="964"/>
    </row>
    <row r="8" spans="1:40" ht="25.15" customHeight="1">
      <c r="A8" s="964"/>
      <c r="B8" s="70" t="s">
        <v>85</v>
      </c>
      <c r="C8" s="37" t="str">
        <f>COUNTA($A$32:$A$40,$A$21:$A$26)&amp;"건"</f>
        <v>4건</v>
      </c>
      <c r="D8" s="34">
        <f>SUM(D6:D7)</f>
        <v>0</v>
      </c>
      <c r="E8" s="959"/>
      <c r="F8" s="959"/>
      <c r="G8" s="959"/>
    </row>
    <row r="9" spans="1:40" ht="25.15" customHeight="1">
      <c r="A9" s="964" t="s">
        <v>86</v>
      </c>
      <c r="B9" s="71" t="s">
        <v>83</v>
      </c>
      <c r="C9" s="71" t="str">
        <f>B56</f>
        <v>3건</v>
      </c>
      <c r="D9" s="159">
        <f>E56</f>
        <v>50275800</v>
      </c>
      <c r="E9" s="964"/>
      <c r="F9" s="964"/>
      <c r="G9" s="964"/>
    </row>
    <row r="10" spans="1:40" ht="25.15" customHeight="1">
      <c r="A10" s="964"/>
      <c r="B10" s="71" t="s">
        <v>84</v>
      </c>
      <c r="C10" s="71" t="str">
        <f>B64</f>
        <v>0건</v>
      </c>
      <c r="D10" s="27">
        <v>0</v>
      </c>
      <c r="E10" s="964"/>
      <c r="F10" s="964"/>
      <c r="G10" s="964"/>
    </row>
    <row r="11" spans="1:40" ht="25.15" customHeight="1">
      <c r="A11" s="964"/>
      <c r="B11" s="70" t="s">
        <v>85</v>
      </c>
      <c r="C11" s="309" t="str">
        <f>COUNTA($B$48:$B$55,$B$62:$B$62)&amp;"건"</f>
        <v>3건</v>
      </c>
      <c r="D11" s="34">
        <f>SUM(D9:D10)</f>
        <v>50275800</v>
      </c>
      <c r="E11" s="959"/>
      <c r="F11" s="959"/>
      <c r="G11" s="959"/>
    </row>
    <row r="12" spans="1:40" ht="25.15" customHeight="1">
      <c r="A12" s="964" t="s">
        <v>87</v>
      </c>
      <c r="B12" s="71" t="s">
        <v>83</v>
      </c>
      <c r="C12" s="310" t="str">
        <f>COUNTA(B21:B26,B48:B55)&amp;"건"</f>
        <v>3건</v>
      </c>
      <c r="D12" s="159">
        <f>D6+D9</f>
        <v>50275800</v>
      </c>
      <c r="E12" s="964"/>
      <c r="F12" s="964"/>
      <c r="G12" s="964"/>
    </row>
    <row r="13" spans="1:40" ht="25.15" customHeight="1">
      <c r="A13" s="964"/>
      <c r="B13" s="71" t="s">
        <v>84</v>
      </c>
      <c r="C13" s="310" t="str">
        <f>COUNTA(A32:A40,A62:A62)&amp;"건"</f>
        <v>4건</v>
      </c>
      <c r="D13" s="27">
        <v>0</v>
      </c>
      <c r="E13" s="964"/>
      <c r="F13" s="964"/>
      <c r="G13" s="964"/>
    </row>
    <row r="14" spans="1:40" ht="25.15" customHeight="1">
      <c r="A14" s="964"/>
      <c r="B14" s="70" t="s">
        <v>77</v>
      </c>
      <c r="C14" s="37" t="str">
        <f>COUNTA($A$32:$A$40,$A$21:$A$26,$A$48:$A$55,$A$62:$A$62)&amp;"건"</f>
        <v>7건</v>
      </c>
      <c r="D14" s="34">
        <f>SUM(D12:D13)</f>
        <v>50275800</v>
      </c>
      <c r="E14" s="985"/>
      <c r="F14" s="985"/>
      <c r="G14" s="985"/>
    </row>
    <row r="15" spans="1:40" s="25" customFormat="1" ht="13.5" customHeight="1">
      <c r="A15" s="89"/>
      <c r="B15" s="24"/>
      <c r="C15" s="89"/>
      <c r="D15" s="90"/>
      <c r="E15" s="91"/>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row>
    <row r="16" spans="1:40" ht="24" customHeight="1">
      <c r="A16" s="87" t="s">
        <v>137</v>
      </c>
      <c r="B16" s="28"/>
    </row>
    <row r="17" spans="1:40" ht="24" customHeight="1">
      <c r="A17" s="28"/>
      <c r="B17" s="28"/>
    </row>
    <row r="18" spans="1:40" ht="24" customHeight="1">
      <c r="A18" s="28" t="s">
        <v>138</v>
      </c>
      <c r="B18" s="28"/>
    </row>
    <row r="19" spans="1:40" ht="15" customHeight="1">
      <c r="A19" s="28"/>
      <c r="B19" s="28"/>
      <c r="G19" s="92" t="s">
        <v>131</v>
      </c>
    </row>
    <row r="20" spans="1:40" ht="25.15" customHeight="1">
      <c r="A20" s="73" t="s">
        <v>91</v>
      </c>
      <c r="B20" s="73" t="s">
        <v>88</v>
      </c>
      <c r="C20" s="944" t="s">
        <v>89</v>
      </c>
      <c r="D20" s="926"/>
      <c r="E20" s="53" t="s">
        <v>90</v>
      </c>
      <c r="F20" s="944" t="s">
        <v>139</v>
      </c>
      <c r="G20" s="926"/>
    </row>
    <row r="21" spans="1:40" ht="25.35" customHeight="1">
      <c r="A21" s="515"/>
      <c r="B21" s="595"/>
      <c r="C21" s="1004" t="s">
        <v>561</v>
      </c>
      <c r="D21" s="1005"/>
      <c r="E21" s="660"/>
      <c r="F21" s="942"/>
      <c r="G21" s="943"/>
    </row>
    <row r="22" spans="1:40" s="42" customFormat="1" ht="25.35" hidden="1" customHeight="1">
      <c r="A22" s="491"/>
      <c r="B22" s="595"/>
      <c r="C22" s="960"/>
      <c r="D22" s="961"/>
      <c r="E22" s="492"/>
      <c r="F22" s="962"/>
      <c r="G22" s="963"/>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row>
    <row r="23" spans="1:40" s="42" customFormat="1" ht="25.35" hidden="1" customHeight="1">
      <c r="A23" s="491"/>
      <c r="B23" s="595"/>
      <c r="C23" s="960"/>
      <c r="D23" s="961"/>
      <c r="E23" s="492"/>
      <c r="F23" s="493"/>
      <c r="G23" s="494"/>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row>
    <row r="24" spans="1:40" s="42" customFormat="1" ht="25.35" hidden="1" customHeight="1">
      <c r="A24" s="594"/>
      <c r="B24" s="596"/>
      <c r="C24" s="960"/>
      <c r="D24" s="961"/>
      <c r="E24" s="597"/>
      <c r="F24" s="493"/>
      <c r="G24" s="494"/>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row>
    <row r="25" spans="1:40" s="42" customFormat="1" ht="25.35" hidden="1" customHeight="1">
      <c r="A25" s="491"/>
      <c r="B25" s="595"/>
      <c r="C25" s="960"/>
      <c r="D25" s="961"/>
      <c r="E25" s="492"/>
      <c r="F25" s="493"/>
      <c r="G25" s="494"/>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row>
    <row r="26" spans="1:40" ht="25.35" hidden="1" customHeight="1">
      <c r="A26" s="491"/>
      <c r="B26" s="595"/>
      <c r="C26" s="960"/>
      <c r="D26" s="961"/>
      <c r="E26" s="492"/>
      <c r="F26" s="980"/>
      <c r="G26" s="943"/>
    </row>
    <row r="27" spans="1:40" ht="25.15" customHeight="1">
      <c r="A27" s="37" t="s">
        <v>87</v>
      </c>
      <c r="B27" s="37" t="str">
        <f>COUNTA(B21:B26)&amp;"건"</f>
        <v>0건</v>
      </c>
      <c r="C27" s="944"/>
      <c r="D27" s="926"/>
      <c r="E27" s="496">
        <f>SUM(E21:E26)</f>
        <v>0</v>
      </c>
      <c r="F27" s="944"/>
      <c r="G27" s="926"/>
    </row>
    <row r="28" spans="1:40" ht="24" customHeight="1">
      <c r="A28" s="93"/>
      <c r="B28" s="93"/>
      <c r="C28" s="93"/>
      <c r="D28" s="93"/>
      <c r="E28" s="94"/>
      <c r="F28" s="93"/>
      <c r="G28" s="93"/>
    </row>
    <row r="29" spans="1:40" ht="18" customHeight="1">
      <c r="A29" s="5" t="s">
        <v>140</v>
      </c>
      <c r="B29" s="95"/>
      <c r="E29" s="96"/>
    </row>
    <row r="30" spans="1:40" ht="15" customHeight="1">
      <c r="A30" s="5"/>
      <c r="B30" s="95"/>
      <c r="E30" s="96"/>
    </row>
    <row r="31" spans="1:40" ht="25.15" customHeight="1">
      <c r="A31" s="666" t="s">
        <v>167</v>
      </c>
      <c r="B31" s="38" t="s">
        <v>88</v>
      </c>
      <c r="C31" s="944" t="s">
        <v>89</v>
      </c>
      <c r="D31" s="946"/>
      <c r="E31" s="944" t="s">
        <v>92</v>
      </c>
      <c r="F31" s="945"/>
      <c r="G31" s="946"/>
    </row>
    <row r="32" spans="1:40" s="42" customFormat="1" ht="25.15" customHeight="1">
      <c r="A32" s="667">
        <v>44287</v>
      </c>
      <c r="B32" s="595" t="s">
        <v>1084</v>
      </c>
      <c r="C32" s="965" t="s">
        <v>1085</v>
      </c>
      <c r="D32" s="966"/>
      <c r="E32" s="339"/>
      <c r="F32" s="424"/>
      <c r="G32" s="425"/>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row>
    <row r="33" spans="1:40" s="42" customFormat="1" ht="25.15" customHeight="1">
      <c r="A33" s="661">
        <v>44300</v>
      </c>
      <c r="B33" s="662" t="s">
        <v>1086</v>
      </c>
      <c r="C33" s="965" t="s">
        <v>613</v>
      </c>
      <c r="D33" s="966"/>
      <c r="E33" s="973"/>
      <c r="F33" s="974"/>
      <c r="G33" s="428"/>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row>
    <row r="34" spans="1:40" s="42" customFormat="1" ht="25.15" customHeight="1">
      <c r="A34" s="661">
        <v>44302</v>
      </c>
      <c r="B34" s="662" t="s">
        <v>1087</v>
      </c>
      <c r="C34" s="965" t="s">
        <v>1088</v>
      </c>
      <c r="D34" s="966"/>
      <c r="E34" s="973"/>
      <c r="F34" s="974"/>
      <c r="G34" s="34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row>
    <row r="35" spans="1:40" s="42" customFormat="1" ht="25.15" customHeight="1">
      <c r="A35" s="661">
        <v>44312</v>
      </c>
      <c r="B35" s="662" t="s">
        <v>1089</v>
      </c>
      <c r="C35" s="965" t="s">
        <v>1090</v>
      </c>
      <c r="D35" s="966"/>
      <c r="E35" s="975"/>
      <c r="F35" s="976"/>
      <c r="G35" s="977"/>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row>
    <row r="36" spans="1:40" s="42" customFormat="1" ht="25.15" hidden="1" customHeight="1">
      <c r="A36" s="667"/>
      <c r="B36" s="595"/>
      <c r="C36" s="960"/>
      <c r="D36" s="967"/>
      <c r="E36" s="427"/>
      <c r="F36" s="424"/>
      <c r="G36" s="428"/>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row>
    <row r="37" spans="1:40" s="42" customFormat="1" ht="25.15" hidden="1" customHeight="1">
      <c r="A37" s="667"/>
      <c r="B37" s="595"/>
      <c r="C37" s="960"/>
      <c r="D37" s="967"/>
      <c r="E37" s="423"/>
      <c r="F37" s="424"/>
      <c r="G37" s="425"/>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row>
    <row r="38" spans="1:40" s="42" customFormat="1" ht="25.15" hidden="1" customHeight="1">
      <c r="A38" s="667"/>
      <c r="B38" s="495"/>
      <c r="C38" s="960"/>
      <c r="D38" s="967"/>
      <c r="E38" s="339"/>
      <c r="F38" s="340"/>
      <c r="G38" s="34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row>
    <row r="39" spans="1:40" s="42" customFormat="1" ht="25.15" hidden="1" customHeight="1">
      <c r="A39" s="667"/>
      <c r="B39" s="495"/>
      <c r="C39" s="960"/>
      <c r="D39" s="967"/>
      <c r="E39" s="339"/>
      <c r="F39" s="340"/>
      <c r="G39" s="34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row>
    <row r="40" spans="1:40" s="42" customFormat="1" ht="25.15" hidden="1" customHeight="1">
      <c r="A40" s="667"/>
      <c r="B40" s="495"/>
      <c r="C40" s="960"/>
      <c r="D40" s="967"/>
      <c r="E40" s="339"/>
      <c r="F40" s="340"/>
      <c r="G40" s="34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row>
    <row r="41" spans="1:40" ht="25.15" customHeight="1">
      <c r="A41" s="666" t="s">
        <v>87</v>
      </c>
      <c r="B41" s="37" t="str">
        <f>COUNTA(A32:A40)&amp;"건"</f>
        <v>4건</v>
      </c>
      <c r="C41" s="944"/>
      <c r="D41" s="946"/>
      <c r="E41" s="984"/>
      <c r="F41" s="945"/>
      <c r="G41" s="946"/>
    </row>
    <row r="42" spans="1:40" ht="20.100000000000001" customHeight="1">
      <c r="A42" s="29"/>
      <c r="B42" s="29"/>
      <c r="C42" s="29"/>
      <c r="D42" s="29"/>
      <c r="E42" s="55"/>
      <c r="F42" s="30"/>
      <c r="G42" s="30"/>
    </row>
    <row r="43" spans="1:40" ht="24" customHeight="1">
      <c r="A43" s="87" t="s">
        <v>141</v>
      </c>
      <c r="B43" s="28"/>
    </row>
    <row r="44" spans="1:40" ht="20.100000000000001" customHeight="1">
      <c r="A44" s="28"/>
      <c r="B44" s="28"/>
    </row>
    <row r="45" spans="1:40" ht="17.25" customHeight="1">
      <c r="A45" s="31" t="s">
        <v>142</v>
      </c>
      <c r="B45" s="97"/>
      <c r="C45" s="98"/>
      <c r="D45" s="98"/>
    </row>
    <row r="46" spans="1:40" ht="15" customHeight="1">
      <c r="A46" s="31"/>
      <c r="B46" s="97"/>
      <c r="C46" s="98"/>
      <c r="D46" s="98"/>
      <c r="F46" s="983" t="s">
        <v>136</v>
      </c>
      <c r="G46" s="983"/>
    </row>
    <row r="47" spans="1:40" ht="25.15" customHeight="1">
      <c r="A47" s="656" t="s">
        <v>93</v>
      </c>
      <c r="B47" s="26" t="s">
        <v>94</v>
      </c>
      <c r="C47" s="935" t="s">
        <v>89</v>
      </c>
      <c r="D47" s="937"/>
      <c r="E47" s="53" t="s">
        <v>90</v>
      </c>
      <c r="F47" s="944" t="s">
        <v>143</v>
      </c>
      <c r="G47" s="926"/>
      <c r="H47" s="255" t="str">
        <f>COUNTA(B48:B55)&amp;"건"</f>
        <v>3건</v>
      </c>
    </row>
    <row r="48" spans="1:40" s="42" customFormat="1" ht="25.15" customHeight="1">
      <c r="A48" s="661">
        <v>44291</v>
      </c>
      <c r="B48" s="662" t="s">
        <v>1091</v>
      </c>
      <c r="C48" s="965" t="s">
        <v>614</v>
      </c>
      <c r="D48" s="966"/>
      <c r="E48" s="660">
        <v>21061680</v>
      </c>
      <c r="F48" s="224"/>
      <c r="G48" s="225"/>
      <c r="H48" s="8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row>
    <row r="49" spans="1:40" ht="25.35" customHeight="1">
      <c r="A49" s="661">
        <v>44305</v>
      </c>
      <c r="B49" s="662" t="s">
        <v>1092</v>
      </c>
      <c r="C49" s="965" t="s">
        <v>1093</v>
      </c>
      <c r="D49" s="966"/>
      <c r="E49" s="660">
        <v>11994200</v>
      </c>
      <c r="F49" s="224"/>
      <c r="G49" s="225"/>
    </row>
    <row r="50" spans="1:40" ht="25.15" customHeight="1">
      <c r="A50" s="661">
        <v>44312</v>
      </c>
      <c r="B50" s="662" t="s">
        <v>1094</v>
      </c>
      <c r="C50" s="1001" t="s">
        <v>1095</v>
      </c>
      <c r="D50" s="1002"/>
      <c r="E50" s="663">
        <v>17219920</v>
      </c>
      <c r="F50" s="999" t="s">
        <v>1096</v>
      </c>
      <c r="G50" s="1000"/>
    </row>
    <row r="51" spans="1:40" ht="25.15" hidden="1" customHeight="1">
      <c r="A51" s="664"/>
      <c r="B51" s="595"/>
      <c r="C51" s="968"/>
      <c r="D51" s="969"/>
      <c r="E51" s="492"/>
      <c r="F51" s="216"/>
      <c r="G51" s="217"/>
    </row>
    <row r="52" spans="1:40" s="42" customFormat="1" ht="25.15" hidden="1" customHeight="1">
      <c r="A52" s="661"/>
      <c r="B52" s="495"/>
      <c r="C52" s="968"/>
      <c r="D52" s="969"/>
      <c r="E52" s="492"/>
      <c r="F52" s="513"/>
      <c r="G52" s="514"/>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row>
    <row r="53" spans="1:40" s="42" customFormat="1" ht="25.15" hidden="1" customHeight="1">
      <c r="A53" s="661"/>
      <c r="B53" s="495"/>
      <c r="C53" s="968"/>
      <c r="D53" s="969"/>
      <c r="E53" s="492"/>
      <c r="F53" s="513"/>
      <c r="G53" s="514"/>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row>
    <row r="54" spans="1:40" s="42" customFormat="1" ht="25.15" hidden="1" customHeight="1">
      <c r="A54" s="664"/>
      <c r="B54" s="495"/>
      <c r="C54" s="968"/>
      <c r="D54" s="969"/>
      <c r="E54" s="512"/>
      <c r="F54" s="513"/>
      <c r="G54" s="514"/>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row>
    <row r="55" spans="1:40" ht="25.15" hidden="1" customHeight="1">
      <c r="A55" s="665"/>
      <c r="B55" s="342"/>
      <c r="C55" s="971"/>
      <c r="D55" s="972"/>
      <c r="E55" s="54"/>
      <c r="F55" s="981"/>
      <c r="G55" s="982"/>
    </row>
    <row r="56" spans="1:40" ht="25.15" customHeight="1">
      <c r="A56" s="666" t="s">
        <v>87</v>
      </c>
      <c r="B56" s="37" t="str">
        <f>COUNTA($B$48:$B$55)&amp;"건"</f>
        <v>3건</v>
      </c>
      <c r="C56" s="944"/>
      <c r="D56" s="926"/>
      <c r="E56" s="56">
        <f>SUM(E48:E55)</f>
        <v>50275800</v>
      </c>
      <c r="F56" s="986"/>
      <c r="G56" s="987"/>
    </row>
    <row r="57" spans="1:40" ht="16.5" customHeight="1">
      <c r="A57" s="970"/>
      <c r="B57" s="970"/>
      <c r="C57" s="970"/>
      <c r="D57" s="970"/>
      <c r="E57" s="970"/>
      <c r="F57" s="970"/>
      <c r="G57" s="970"/>
    </row>
    <row r="58" spans="1:40" ht="4.5" customHeight="1">
      <c r="A58" s="32"/>
      <c r="B58" s="32"/>
      <c r="C58" s="32"/>
      <c r="D58" s="32"/>
      <c r="E58" s="57"/>
      <c r="F58" s="32"/>
      <c r="G58" s="32"/>
    </row>
    <row r="59" spans="1:40" ht="19.5" customHeight="1">
      <c r="A59" s="5" t="s">
        <v>602</v>
      </c>
      <c r="B59" s="95"/>
      <c r="E59" s="96"/>
    </row>
    <row r="60" spans="1:40" ht="15" customHeight="1">
      <c r="A60" s="5"/>
      <c r="B60" s="95"/>
      <c r="E60" s="96"/>
      <c r="F60" s="99"/>
      <c r="G60" s="99"/>
    </row>
    <row r="61" spans="1:40" ht="25.15" customHeight="1">
      <c r="A61" s="73" t="s">
        <v>167</v>
      </c>
      <c r="B61" s="73" t="s">
        <v>88</v>
      </c>
      <c r="C61" s="953" t="s">
        <v>89</v>
      </c>
      <c r="D61" s="953"/>
      <c r="E61" s="944" t="s">
        <v>92</v>
      </c>
      <c r="F61" s="925"/>
      <c r="G61" s="926"/>
    </row>
    <row r="62" spans="1:40" s="42" customFormat="1" ht="25.15" customHeight="1">
      <c r="A62" s="330"/>
      <c r="B62" s="329"/>
      <c r="C62" s="957" t="s">
        <v>1097</v>
      </c>
      <c r="D62" s="958"/>
      <c r="E62" s="271"/>
      <c r="F62" s="272"/>
      <c r="G62" s="273"/>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row>
    <row r="63" spans="1:40" s="42" customFormat="1" ht="25.15" customHeight="1">
      <c r="A63" s="717"/>
      <c r="B63" s="718"/>
      <c r="C63" s="957"/>
      <c r="D63" s="958"/>
      <c r="E63" s="719"/>
      <c r="F63" s="720"/>
      <c r="G63" s="72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row>
    <row r="64" spans="1:40" ht="25.15" customHeight="1">
      <c r="A64" s="73" t="s">
        <v>87</v>
      </c>
      <c r="B64" s="73" t="str">
        <f>COUNTA(B62:B63)&amp;"건"</f>
        <v>0건</v>
      </c>
      <c r="C64" s="1003"/>
      <c r="D64" s="1003"/>
      <c r="E64" s="954"/>
      <c r="F64" s="955"/>
      <c r="G64" s="956"/>
      <c r="H64" s="3"/>
      <c r="I64" s="3"/>
      <c r="J64" s="3"/>
      <c r="K64" s="3"/>
      <c r="L64" s="3"/>
      <c r="M64" s="3"/>
      <c r="N64" s="3"/>
    </row>
    <row r="65" spans="1:40" ht="20.100000000000001" customHeight="1">
      <c r="F65" s="99"/>
      <c r="G65" s="99"/>
    </row>
    <row r="66" spans="1:40" ht="20.25" customHeight="1">
      <c r="A66" s="84" t="s">
        <v>144</v>
      </c>
      <c r="F66" s="99"/>
      <c r="G66" s="99"/>
    </row>
    <row r="67" spans="1:40" ht="20.100000000000001" customHeight="1"/>
    <row r="68" spans="1:40" ht="17.25" customHeight="1">
      <c r="A68" s="4" t="s">
        <v>145</v>
      </c>
    </row>
    <row r="69" spans="1:40" ht="15" customHeight="1"/>
    <row r="70" spans="1:40" ht="25.15" customHeight="1">
      <c r="A70" s="959" t="s">
        <v>73</v>
      </c>
      <c r="B70" s="959"/>
      <c r="C70" s="70" t="s">
        <v>95</v>
      </c>
      <c r="D70" s="70" t="s">
        <v>90</v>
      </c>
      <c r="E70" s="53" t="s">
        <v>81</v>
      </c>
    </row>
    <row r="71" spans="1:40" ht="25.15" customHeight="1">
      <c r="A71" s="951" t="s">
        <v>96</v>
      </c>
      <c r="B71" s="952"/>
      <c r="C71" s="39" t="str">
        <f>H77</f>
        <v>1건</v>
      </c>
      <c r="D71" s="33">
        <f>E85</f>
        <v>737588</v>
      </c>
      <c r="E71" s="58"/>
    </row>
    <row r="72" spans="1:40" ht="25.35" customHeight="1">
      <c r="A72" s="951" t="s">
        <v>97</v>
      </c>
      <c r="B72" s="952"/>
      <c r="C72" s="39" t="str">
        <f>H88</f>
        <v>8건</v>
      </c>
      <c r="D72" s="33">
        <f>E98</f>
        <v>22997500</v>
      </c>
      <c r="E72" s="58"/>
      <c r="F72" s="100"/>
      <c r="G72" s="100"/>
      <c r="H72" s="101"/>
    </row>
    <row r="73" spans="1:40" ht="25.15" customHeight="1">
      <c r="A73" s="951" t="s">
        <v>335</v>
      </c>
      <c r="B73" s="952"/>
      <c r="C73" s="39" t="str">
        <f>H101</f>
        <v>3건</v>
      </c>
      <c r="D73" s="159">
        <f>E116</f>
        <v>18431860</v>
      </c>
      <c r="E73" s="328"/>
      <c r="J73" s="81"/>
    </row>
    <row r="74" spans="1:40" ht="25.15" customHeight="1">
      <c r="A74" s="933" t="s">
        <v>336</v>
      </c>
      <c r="B74" s="934"/>
      <c r="C74" s="63" t="str">
        <f>H120</f>
        <v>45건</v>
      </c>
      <c r="D74" s="64">
        <f>E166</f>
        <v>48081625</v>
      </c>
      <c r="E74" s="65"/>
      <c r="J74" s="81"/>
    </row>
    <row r="75" spans="1:40" s="23" customFormat="1" ht="25.15" customHeight="1">
      <c r="A75" s="935" t="s">
        <v>98</v>
      </c>
      <c r="B75" s="936"/>
      <c r="C75" s="937"/>
      <c r="D75" s="34">
        <f>SUM(D71:D74)</f>
        <v>90248573</v>
      </c>
      <c r="E75" s="59"/>
      <c r="F75" s="1"/>
      <c r="G75" s="66"/>
      <c r="H75" s="333"/>
      <c r="I75" s="307"/>
      <c r="J75" s="79"/>
      <c r="K75" s="79"/>
      <c r="L75" s="79"/>
      <c r="M75" s="79"/>
      <c r="N75" s="79"/>
      <c r="O75" s="79"/>
      <c r="P75" s="79"/>
      <c r="Q75" s="79"/>
      <c r="R75" s="79"/>
      <c r="S75" s="79"/>
      <c r="T75" s="79"/>
      <c r="U75" s="79"/>
      <c r="V75" s="79"/>
      <c r="W75" s="79"/>
      <c r="X75" s="79"/>
      <c r="Y75" s="79"/>
      <c r="Z75" s="79"/>
      <c r="AA75" s="79"/>
      <c r="AB75" s="79"/>
      <c r="AC75" s="79"/>
      <c r="AD75" s="79"/>
      <c r="AE75" s="79"/>
      <c r="AF75" s="79"/>
      <c r="AG75" s="79"/>
      <c r="AH75" s="79"/>
      <c r="AI75" s="79"/>
      <c r="AJ75" s="79"/>
      <c r="AK75" s="79"/>
      <c r="AL75" s="79"/>
      <c r="AM75" s="79"/>
      <c r="AN75" s="79"/>
    </row>
    <row r="76" spans="1:40" s="1" customFormat="1" ht="27" customHeight="1">
      <c r="C76" s="69"/>
      <c r="D76" s="69"/>
      <c r="E76" s="88"/>
      <c r="J76" s="77"/>
      <c r="K76" s="77"/>
      <c r="L76" s="77"/>
    </row>
    <row r="77" spans="1:40" s="40" customFormat="1" ht="23.25" customHeight="1">
      <c r="A77" s="4" t="s">
        <v>146</v>
      </c>
      <c r="B77" s="1"/>
      <c r="C77" s="69"/>
      <c r="D77" s="69"/>
      <c r="E77" s="88"/>
      <c r="F77" s="1"/>
      <c r="G77" s="1"/>
      <c r="H77" s="326" t="str">
        <f>COUNTA(E80:E84)&amp;"건"</f>
        <v>1건</v>
      </c>
      <c r="I77" s="44"/>
      <c r="J77" s="106"/>
      <c r="K77" s="107"/>
      <c r="L77" s="77"/>
      <c r="M77" s="44"/>
      <c r="N77" s="44"/>
      <c r="O77" s="44"/>
      <c r="P77" s="44"/>
      <c r="Q77" s="44"/>
      <c r="R77" s="44"/>
      <c r="S77" s="44"/>
      <c r="T77" s="44"/>
      <c r="U77" s="44"/>
      <c r="V77" s="44"/>
      <c r="W77" s="44"/>
      <c r="X77" s="44"/>
      <c r="Y77" s="44"/>
      <c r="Z77" s="44"/>
      <c r="AA77" s="44"/>
      <c r="AB77" s="44"/>
      <c r="AC77" s="44"/>
      <c r="AD77" s="44"/>
      <c r="AE77" s="44"/>
      <c r="AF77" s="44"/>
      <c r="AG77" s="44"/>
      <c r="AH77" s="44"/>
      <c r="AI77" s="44"/>
      <c r="AJ77" s="44"/>
      <c r="AK77" s="44"/>
      <c r="AL77" s="44"/>
      <c r="AM77" s="44"/>
      <c r="AN77" s="44"/>
    </row>
    <row r="78" spans="1:40" s="35" customFormat="1" ht="15" customHeight="1">
      <c r="A78" s="102"/>
      <c r="B78" s="79"/>
      <c r="C78" s="103"/>
      <c r="D78" s="103"/>
      <c r="E78" s="104"/>
      <c r="F78" s="79"/>
      <c r="G78" s="105" t="s">
        <v>147</v>
      </c>
      <c r="J78" s="77"/>
      <c r="K78" s="77"/>
      <c r="L78" s="77"/>
    </row>
    <row r="79" spans="1:40" s="42" customFormat="1" ht="25.15" customHeight="1">
      <c r="A79" s="614" t="s">
        <v>99</v>
      </c>
      <c r="B79" s="606" t="s">
        <v>100</v>
      </c>
      <c r="C79" s="606" t="s">
        <v>101</v>
      </c>
      <c r="D79" s="606" t="s">
        <v>75</v>
      </c>
      <c r="E79" s="53" t="s">
        <v>102</v>
      </c>
      <c r="F79" s="606" t="s">
        <v>103</v>
      </c>
      <c r="G79" s="605" t="s">
        <v>119</v>
      </c>
      <c r="H79" s="1"/>
      <c r="I79" s="1"/>
      <c r="J79" s="77"/>
      <c r="K79" s="77"/>
      <c r="L79" s="77"/>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row>
    <row r="80" spans="1:40" s="42" customFormat="1" ht="21.95" customHeight="1">
      <c r="A80" s="511">
        <v>44307</v>
      </c>
      <c r="B80" s="490" t="s">
        <v>62</v>
      </c>
      <c r="C80" s="490" t="s">
        <v>557</v>
      </c>
      <c r="D80" s="490" t="s">
        <v>558</v>
      </c>
      <c r="E80" s="537">
        <v>737588</v>
      </c>
      <c r="F80" s="219" t="s">
        <v>477</v>
      </c>
      <c r="G80" s="710" t="s">
        <v>559</v>
      </c>
      <c r="H80" s="363"/>
      <c r="I80" s="1"/>
      <c r="J80" s="77"/>
      <c r="K80" s="77"/>
      <c r="L80" s="77"/>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row>
    <row r="81" spans="1:40" s="42" customFormat="1" ht="21.95" customHeight="1">
      <c r="A81" s="497"/>
      <c r="B81" s="219" t="s">
        <v>295</v>
      </c>
      <c r="C81" s="219" t="s">
        <v>505</v>
      </c>
      <c r="D81" s="219" t="s">
        <v>506</v>
      </c>
      <c r="E81" s="653"/>
      <c r="F81" s="219" t="s">
        <v>477</v>
      </c>
      <c r="G81" s="594"/>
      <c r="H81" s="363"/>
      <c r="I81" s="1"/>
      <c r="J81" s="77"/>
      <c r="K81" s="77"/>
      <c r="L81" s="77"/>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row>
    <row r="82" spans="1:40" s="42" customFormat="1" ht="21.95" customHeight="1">
      <c r="A82" s="497"/>
      <c r="B82" s="219" t="s">
        <v>295</v>
      </c>
      <c r="C82" s="219" t="s">
        <v>507</v>
      </c>
      <c r="D82" s="219" t="s">
        <v>506</v>
      </c>
      <c r="E82" s="653"/>
      <c r="F82" s="219" t="s">
        <v>477</v>
      </c>
      <c r="G82" s="594"/>
      <c r="H82" s="363"/>
      <c r="I82" s="1"/>
      <c r="J82" s="77"/>
      <c r="K82" s="77"/>
      <c r="L82" s="77"/>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row>
    <row r="83" spans="1:40" s="42" customFormat="1" ht="21.95" customHeight="1">
      <c r="A83" s="497"/>
      <c r="B83" s="219" t="s">
        <v>295</v>
      </c>
      <c r="C83" s="219" t="s">
        <v>508</v>
      </c>
      <c r="D83" s="219" t="s">
        <v>506</v>
      </c>
      <c r="E83" s="653"/>
      <c r="F83" s="219" t="s">
        <v>477</v>
      </c>
      <c r="G83" s="594"/>
      <c r="H83" s="363"/>
      <c r="I83" s="1"/>
      <c r="J83" s="77"/>
      <c r="K83" s="77"/>
      <c r="L83" s="77"/>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row>
    <row r="84" spans="1:40" s="42" customFormat="1" ht="21.95" hidden="1" customHeight="1">
      <c r="A84" s="497"/>
      <c r="B84" s="490"/>
      <c r="C84" s="219"/>
      <c r="D84" s="219"/>
      <c r="E84" s="498"/>
      <c r="F84" s="219" t="s">
        <v>356</v>
      </c>
      <c r="G84" s="499"/>
      <c r="H84" s="363"/>
      <c r="I84" s="1"/>
      <c r="J84" s="77"/>
      <c r="K84" s="77"/>
      <c r="L84" s="77"/>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row>
    <row r="85" spans="1:40" s="22" customFormat="1" ht="25.15" customHeight="1">
      <c r="A85" s="938" t="s">
        <v>77</v>
      </c>
      <c r="B85" s="938"/>
      <c r="C85" s="938"/>
      <c r="D85" s="938"/>
      <c r="E85" s="60">
        <f>SUM(E80:E84)</f>
        <v>737588</v>
      </c>
      <c r="F85" s="51"/>
      <c r="G85" s="51"/>
      <c r="H85" s="105"/>
      <c r="I85" s="105"/>
      <c r="J85" s="77"/>
      <c r="K85" s="77"/>
      <c r="L85" s="77"/>
      <c r="M85" s="105"/>
      <c r="N85" s="105"/>
      <c r="O85" s="105"/>
      <c r="P85" s="105"/>
      <c r="Q85" s="105"/>
      <c r="R85" s="105"/>
      <c r="S85" s="105"/>
      <c r="T85" s="105"/>
      <c r="U85" s="105"/>
      <c r="V85" s="105"/>
      <c r="W85" s="105"/>
      <c r="X85" s="105"/>
      <c r="Y85" s="105"/>
      <c r="Z85" s="105"/>
      <c r="AA85" s="105"/>
      <c r="AB85" s="105"/>
      <c r="AC85" s="105"/>
      <c r="AD85" s="105"/>
      <c r="AE85" s="105"/>
      <c r="AF85" s="105"/>
      <c r="AG85" s="105"/>
      <c r="AH85" s="105"/>
      <c r="AI85" s="105"/>
      <c r="AJ85" s="105"/>
      <c r="AK85" s="105"/>
      <c r="AL85" s="105"/>
      <c r="AM85" s="105"/>
      <c r="AN85" s="105"/>
    </row>
    <row r="86" spans="1:40" s="35" customFormat="1" ht="27.75" customHeight="1">
      <c r="A86" s="41"/>
      <c r="B86" s="1"/>
      <c r="C86" s="69"/>
      <c r="D86" s="69"/>
      <c r="E86" s="364"/>
      <c r="F86" s="1"/>
      <c r="G86" s="1"/>
      <c r="J86" s="77"/>
      <c r="K86" s="77"/>
      <c r="L86" s="77"/>
    </row>
    <row r="87" spans="1:40" s="35" customFormat="1" ht="27.75" customHeight="1">
      <c r="A87" s="4" t="s">
        <v>148</v>
      </c>
      <c r="B87" s="1"/>
      <c r="C87" s="69"/>
      <c r="D87" s="69"/>
      <c r="E87" s="88"/>
      <c r="F87" s="1"/>
      <c r="G87" s="1"/>
      <c r="J87" s="106"/>
      <c r="K87" s="107"/>
      <c r="L87" s="77"/>
    </row>
    <row r="88" spans="1:40" s="35" customFormat="1" ht="15" customHeight="1">
      <c r="A88" s="105"/>
      <c r="B88" s="105"/>
      <c r="C88" s="105"/>
      <c r="D88" s="105"/>
      <c r="E88" s="108"/>
      <c r="F88" s="105"/>
      <c r="G88" s="105" t="s">
        <v>147</v>
      </c>
      <c r="H88" s="326" t="str">
        <f>COUNTA(E90:E97)&amp;"건"</f>
        <v>8건</v>
      </c>
    </row>
    <row r="89" spans="1:40" s="42" customFormat="1" ht="25.15" customHeight="1">
      <c r="A89" s="605" t="s">
        <v>99</v>
      </c>
      <c r="B89" s="606" t="s">
        <v>100</v>
      </c>
      <c r="C89" s="606" t="s">
        <v>101</v>
      </c>
      <c r="D89" s="606" t="s">
        <v>75</v>
      </c>
      <c r="E89" s="615" t="s">
        <v>102</v>
      </c>
      <c r="F89" s="606" t="s">
        <v>103</v>
      </c>
      <c r="G89" s="605" t="s">
        <v>94</v>
      </c>
      <c r="H89" s="1"/>
      <c r="I89" s="1"/>
      <c r="J89" s="1"/>
      <c r="K89" s="1"/>
      <c r="L89" s="1"/>
      <c r="M89" s="1"/>
      <c r="N89" s="1"/>
      <c r="O89" s="1"/>
      <c r="P89" s="1"/>
      <c r="Q89" s="1"/>
      <c r="R89" s="1"/>
      <c r="S89" s="1"/>
      <c r="T89" s="1"/>
      <c r="U89" s="1"/>
      <c r="V89" s="1"/>
      <c r="W89" s="1"/>
      <c r="X89" s="1"/>
      <c r="Y89" s="1"/>
      <c r="Z89" s="1"/>
      <c r="AA89" s="1"/>
      <c r="AB89" s="1"/>
      <c r="AC89" s="1"/>
      <c r="AD89" s="1"/>
    </row>
    <row r="90" spans="1:40" ht="21.95" customHeight="1">
      <c r="A90" s="613">
        <v>44295</v>
      </c>
      <c r="B90" s="571" t="s">
        <v>298</v>
      </c>
      <c r="C90" s="571" t="s">
        <v>1158</v>
      </c>
      <c r="D90" s="571" t="s">
        <v>1101</v>
      </c>
      <c r="E90" s="652">
        <v>2000000</v>
      </c>
      <c r="F90" s="219" t="s">
        <v>477</v>
      </c>
      <c r="G90" s="710">
        <v>44288</v>
      </c>
      <c r="AE90" s="21"/>
      <c r="AF90" s="21"/>
      <c r="AG90" s="21"/>
      <c r="AH90" s="21"/>
      <c r="AI90" s="21"/>
      <c r="AJ90" s="21"/>
      <c r="AK90" s="21"/>
      <c r="AL90" s="21"/>
      <c r="AM90" s="21"/>
      <c r="AN90" s="21"/>
    </row>
    <row r="91" spans="1:40" s="42" customFormat="1" ht="21.95" customHeight="1">
      <c r="A91" s="733">
        <v>44295</v>
      </c>
      <c r="B91" s="734" t="s">
        <v>297</v>
      </c>
      <c r="C91" s="735" t="s">
        <v>1159</v>
      </c>
      <c r="D91" s="569" t="s">
        <v>1102</v>
      </c>
      <c r="E91" s="736">
        <v>1400000</v>
      </c>
      <c r="F91" s="219" t="s">
        <v>477</v>
      </c>
      <c r="G91" s="739">
        <v>44288</v>
      </c>
      <c r="H91" s="1"/>
      <c r="I91" s="1"/>
      <c r="J91" s="1"/>
      <c r="K91" s="1"/>
      <c r="L91" s="1"/>
      <c r="M91" s="1"/>
      <c r="N91" s="1"/>
      <c r="O91" s="1"/>
      <c r="P91" s="1"/>
      <c r="Q91" s="1"/>
      <c r="R91" s="1"/>
      <c r="S91" s="1"/>
      <c r="T91" s="1"/>
      <c r="U91" s="1"/>
      <c r="V91" s="1"/>
      <c r="W91" s="1"/>
      <c r="X91" s="1"/>
      <c r="Y91" s="1"/>
      <c r="Z91" s="1"/>
      <c r="AA91" s="1"/>
      <c r="AB91" s="1"/>
      <c r="AC91" s="1"/>
      <c r="AD91" s="1"/>
    </row>
    <row r="92" spans="1:40" s="42" customFormat="1" ht="21.95" customHeight="1">
      <c r="A92" s="613">
        <v>44298</v>
      </c>
      <c r="B92" s="571" t="s">
        <v>297</v>
      </c>
      <c r="C92" s="571" t="s">
        <v>1161</v>
      </c>
      <c r="D92" s="571" t="s">
        <v>1103</v>
      </c>
      <c r="E92" s="652">
        <v>2582210</v>
      </c>
      <c r="F92" s="219" t="s">
        <v>477</v>
      </c>
      <c r="G92" s="710">
        <v>44288</v>
      </c>
      <c r="H92" s="1"/>
      <c r="I92" s="1"/>
      <c r="J92" s="1"/>
      <c r="K92" s="1"/>
      <c r="L92" s="1"/>
      <c r="M92" s="1"/>
      <c r="N92" s="1"/>
      <c r="O92" s="1"/>
      <c r="P92" s="1"/>
      <c r="Q92" s="1"/>
      <c r="R92" s="1"/>
      <c r="S92" s="1"/>
      <c r="T92" s="1"/>
      <c r="U92" s="1"/>
      <c r="V92" s="1"/>
      <c r="W92" s="1"/>
      <c r="X92" s="1"/>
      <c r="Y92" s="1"/>
      <c r="Z92" s="1"/>
      <c r="AA92" s="1"/>
      <c r="AB92" s="1"/>
      <c r="AC92" s="1"/>
      <c r="AD92" s="1"/>
    </row>
    <row r="93" spans="1:40" s="42" customFormat="1" ht="21.95" customHeight="1">
      <c r="A93" s="613">
        <v>44312</v>
      </c>
      <c r="B93" s="571" t="s">
        <v>297</v>
      </c>
      <c r="C93" s="571" t="s">
        <v>1162</v>
      </c>
      <c r="D93" s="571" t="s">
        <v>1103</v>
      </c>
      <c r="E93" s="652">
        <v>2560470</v>
      </c>
      <c r="F93" s="219" t="s">
        <v>477</v>
      </c>
      <c r="G93" s="710">
        <v>44288</v>
      </c>
      <c r="H93" s="1"/>
      <c r="I93" s="1"/>
      <c r="J93" s="1"/>
      <c r="K93" s="1"/>
      <c r="L93" s="1"/>
      <c r="M93" s="1"/>
      <c r="N93" s="1"/>
      <c r="O93" s="1"/>
      <c r="P93" s="1"/>
      <c r="Q93" s="1"/>
      <c r="R93" s="1"/>
      <c r="S93" s="1"/>
      <c r="T93" s="1"/>
      <c r="U93" s="1"/>
      <c r="V93" s="1"/>
      <c r="W93" s="1"/>
      <c r="X93" s="1"/>
      <c r="Y93" s="1"/>
      <c r="Z93" s="1"/>
      <c r="AA93" s="1"/>
      <c r="AB93" s="1"/>
      <c r="AC93" s="1"/>
      <c r="AD93" s="1"/>
    </row>
    <row r="94" spans="1:40" s="42" customFormat="1" ht="21.95" customHeight="1">
      <c r="A94" s="568">
        <v>44312</v>
      </c>
      <c r="B94" s="490" t="s">
        <v>556</v>
      </c>
      <c r="C94" s="490" t="s">
        <v>1163</v>
      </c>
      <c r="D94" s="490" t="s">
        <v>1104</v>
      </c>
      <c r="E94" s="652">
        <v>1727000</v>
      </c>
      <c r="F94" s="219" t="s">
        <v>477</v>
      </c>
      <c r="G94" s="710">
        <v>44291</v>
      </c>
      <c r="H94" s="1"/>
      <c r="I94" s="1"/>
      <c r="J94" s="1"/>
      <c r="K94" s="1"/>
      <c r="L94" s="1"/>
      <c r="M94" s="1"/>
      <c r="N94" s="1"/>
      <c r="O94" s="1"/>
      <c r="P94" s="1"/>
      <c r="Q94" s="1"/>
      <c r="R94" s="1"/>
      <c r="S94" s="1"/>
      <c r="T94" s="1"/>
      <c r="U94" s="1"/>
      <c r="V94" s="1"/>
      <c r="W94" s="1"/>
      <c r="X94" s="1"/>
      <c r="Y94" s="1"/>
      <c r="Z94" s="1"/>
      <c r="AA94" s="1"/>
      <c r="AB94" s="1"/>
      <c r="AC94" s="1"/>
      <c r="AD94" s="1"/>
    </row>
    <row r="95" spans="1:40" s="42" customFormat="1" ht="21.95" customHeight="1">
      <c r="A95" s="613">
        <v>44312</v>
      </c>
      <c r="B95" s="571" t="s">
        <v>297</v>
      </c>
      <c r="C95" s="571" t="s">
        <v>1160</v>
      </c>
      <c r="D95" s="571" t="s">
        <v>1103</v>
      </c>
      <c r="E95" s="652">
        <v>1600000</v>
      </c>
      <c r="F95" s="219" t="s">
        <v>477</v>
      </c>
      <c r="G95" s="710">
        <v>44288</v>
      </c>
      <c r="H95" s="1"/>
      <c r="I95" s="1"/>
      <c r="J95" s="1"/>
      <c r="K95" s="1"/>
      <c r="L95" s="1"/>
      <c r="M95" s="1"/>
      <c r="N95" s="1"/>
      <c r="O95" s="1"/>
      <c r="P95" s="1"/>
      <c r="Q95" s="1"/>
      <c r="R95" s="1"/>
      <c r="S95" s="1"/>
      <c r="T95" s="1"/>
      <c r="U95" s="1"/>
      <c r="V95" s="1"/>
      <c r="W95" s="1"/>
      <c r="X95" s="1"/>
      <c r="Y95" s="1"/>
      <c r="Z95" s="1"/>
      <c r="AA95" s="1"/>
      <c r="AB95" s="1"/>
      <c r="AC95" s="1"/>
      <c r="AD95" s="1"/>
    </row>
    <row r="96" spans="1:40" s="42" customFormat="1" ht="21.95" customHeight="1">
      <c r="A96" s="613">
        <v>44313</v>
      </c>
      <c r="B96" s="571" t="s">
        <v>297</v>
      </c>
      <c r="C96" s="571" t="s">
        <v>1159</v>
      </c>
      <c r="D96" s="571" t="s">
        <v>1103</v>
      </c>
      <c r="E96" s="738">
        <v>500000</v>
      </c>
      <c r="F96" s="219" t="s">
        <v>477</v>
      </c>
      <c r="G96" s="710">
        <v>44288</v>
      </c>
      <c r="H96" s="1"/>
      <c r="I96" s="1"/>
      <c r="J96" s="1"/>
      <c r="K96" s="1"/>
      <c r="L96" s="1"/>
      <c r="M96" s="1"/>
      <c r="N96" s="1"/>
      <c r="O96" s="1"/>
      <c r="P96" s="1"/>
      <c r="Q96" s="1"/>
      <c r="R96" s="1"/>
      <c r="S96" s="1"/>
      <c r="T96" s="1"/>
      <c r="U96" s="1"/>
      <c r="V96" s="1"/>
      <c r="W96" s="1"/>
      <c r="X96" s="1"/>
      <c r="Y96" s="1"/>
      <c r="Z96" s="1"/>
      <c r="AA96" s="1"/>
      <c r="AB96" s="1"/>
      <c r="AC96" s="1"/>
      <c r="AD96" s="1"/>
    </row>
    <row r="97" spans="1:30" s="42" customFormat="1" ht="21.95" customHeight="1">
      <c r="A97" s="616">
        <v>44316</v>
      </c>
      <c r="B97" s="617" t="s">
        <v>556</v>
      </c>
      <c r="C97" s="490" t="s">
        <v>1164</v>
      </c>
      <c r="D97" s="571" t="s">
        <v>1109</v>
      </c>
      <c r="E97" s="737">
        <v>10627820</v>
      </c>
      <c r="F97" s="219" t="s">
        <v>477</v>
      </c>
      <c r="G97" s="710">
        <v>44291</v>
      </c>
      <c r="H97" s="1"/>
      <c r="I97" s="1"/>
      <c r="J97" s="1"/>
      <c r="K97" s="1"/>
      <c r="L97" s="1"/>
      <c r="M97" s="1"/>
      <c r="N97" s="1"/>
      <c r="O97" s="1"/>
      <c r="P97" s="1"/>
      <c r="Q97" s="1"/>
      <c r="R97" s="1"/>
      <c r="S97" s="1"/>
      <c r="T97" s="1"/>
      <c r="U97" s="1"/>
      <c r="V97" s="1"/>
      <c r="W97" s="1"/>
      <c r="X97" s="1"/>
      <c r="Y97" s="1"/>
      <c r="Z97" s="1"/>
      <c r="AA97" s="1"/>
      <c r="AB97" s="1"/>
      <c r="AC97" s="1"/>
      <c r="AD97" s="1"/>
    </row>
    <row r="98" spans="1:30" s="44" customFormat="1" ht="25.15" customHeight="1">
      <c r="A98" s="939" t="s">
        <v>121</v>
      </c>
      <c r="B98" s="940"/>
      <c r="C98" s="940"/>
      <c r="D98" s="941"/>
      <c r="E98" s="61">
        <f>SUM(E90:E97)</f>
        <v>22997500</v>
      </c>
      <c r="F98" s="997"/>
      <c r="G98" s="998"/>
      <c r="I98" s="52"/>
      <c r="J98" s="167"/>
    </row>
    <row r="99" spans="1:30" s="44" customFormat="1" ht="24" customHeight="1">
      <c r="A99" s="5"/>
      <c r="B99" s="1"/>
      <c r="C99" s="69"/>
      <c r="D99" s="69"/>
      <c r="E99" s="88"/>
      <c r="F99" s="1"/>
      <c r="G99" s="1"/>
      <c r="I99" s="52"/>
      <c r="J99" s="167"/>
    </row>
    <row r="100" spans="1:30" s="44" customFormat="1" ht="31.5" customHeight="1">
      <c r="A100" s="213" t="s">
        <v>1395</v>
      </c>
      <c r="B100" s="3"/>
      <c r="C100" s="214"/>
      <c r="D100" s="69"/>
      <c r="E100" s="88"/>
      <c r="F100" s="1"/>
      <c r="G100" s="1"/>
      <c r="I100" s="52"/>
      <c r="J100" s="167"/>
    </row>
    <row r="101" spans="1:30" s="44" customFormat="1" ht="15" customHeight="1">
      <c r="A101" s="105"/>
      <c r="B101" s="105"/>
      <c r="C101" s="105"/>
      <c r="D101" s="105"/>
      <c r="E101" s="108"/>
      <c r="F101" s="105"/>
      <c r="G101" s="105" t="s">
        <v>147</v>
      </c>
      <c r="H101" s="326" t="str">
        <f>COUNTA(E103:E115)&amp;"건"</f>
        <v>3건</v>
      </c>
      <c r="I101" s="52"/>
      <c r="J101" s="167"/>
      <c r="L101"/>
      <c r="M101"/>
      <c r="N101"/>
    </row>
    <row r="102" spans="1:30" s="44" customFormat="1" ht="31.5" customHeight="1">
      <c r="A102" s="72" t="s">
        <v>99</v>
      </c>
      <c r="B102" s="72" t="s">
        <v>105</v>
      </c>
      <c r="C102" s="72" t="s">
        <v>106</v>
      </c>
      <c r="D102" s="72" t="s">
        <v>75</v>
      </c>
      <c r="E102" s="62" t="s">
        <v>102</v>
      </c>
      <c r="F102" s="72" t="s">
        <v>103</v>
      </c>
      <c r="G102" s="209" t="s">
        <v>104</v>
      </c>
      <c r="I102" s="52"/>
      <c r="J102" s="167"/>
      <c r="K102" s="196"/>
      <c r="L102" s="52"/>
      <c r="M102" s="50"/>
      <c r="N102"/>
      <c r="O102"/>
    </row>
    <row r="103" spans="1:30" s="44" customFormat="1" ht="21.95" customHeight="1">
      <c r="A103" s="412"/>
      <c r="B103" s="442" t="s">
        <v>365</v>
      </c>
      <c r="C103" s="219" t="s">
        <v>368</v>
      </c>
      <c r="D103" s="573" t="s">
        <v>420</v>
      </c>
      <c r="E103" s="504"/>
      <c r="F103" s="219" t="s">
        <v>356</v>
      </c>
      <c r="G103" s="301" t="s">
        <v>422</v>
      </c>
      <c r="H103" s="988" t="s">
        <v>351</v>
      </c>
      <c r="I103" s="989"/>
      <c r="J103" s="989"/>
      <c r="K103" s="989"/>
      <c r="L103" s="52"/>
      <c r="M103" s="50"/>
      <c r="N103"/>
      <c r="O103"/>
    </row>
    <row r="104" spans="1:30" s="44" customFormat="1" ht="21.95" customHeight="1">
      <c r="A104" s="412"/>
      <c r="B104" s="442" t="s">
        <v>365</v>
      </c>
      <c r="C104" s="219" t="s">
        <v>368</v>
      </c>
      <c r="D104" s="574" t="s">
        <v>421</v>
      </c>
      <c r="E104" s="504"/>
      <c r="F104" s="219" t="s">
        <v>125</v>
      </c>
      <c r="G104" s="301" t="s">
        <v>422</v>
      </c>
      <c r="H104" s="988"/>
      <c r="I104" s="989"/>
      <c r="J104" s="989"/>
      <c r="K104" s="989"/>
      <c r="L104" s="52"/>
      <c r="M104" s="50"/>
      <c r="N104"/>
      <c r="O104"/>
    </row>
    <row r="105" spans="1:30" s="44" customFormat="1" ht="21.95" customHeight="1">
      <c r="A105" s="412"/>
      <c r="B105" s="442" t="s">
        <v>365</v>
      </c>
      <c r="C105" s="510" t="s">
        <v>368</v>
      </c>
      <c r="D105" s="575" t="s">
        <v>366</v>
      </c>
      <c r="E105" s="573"/>
      <c r="F105" s="219" t="s">
        <v>125</v>
      </c>
      <c r="G105" s="301" t="s">
        <v>422</v>
      </c>
      <c r="H105" s="988"/>
      <c r="I105" s="989"/>
      <c r="J105" s="989"/>
      <c r="K105" s="989"/>
      <c r="L105" s="52"/>
      <c r="M105" s="50"/>
      <c r="N105"/>
      <c r="O105"/>
    </row>
    <row r="106" spans="1:30" s="44" customFormat="1" ht="21.95" customHeight="1">
      <c r="A106" s="412"/>
      <c r="B106" s="442" t="s">
        <v>365</v>
      </c>
      <c r="C106" s="510" t="s">
        <v>368</v>
      </c>
      <c r="D106" s="576" t="s">
        <v>367</v>
      </c>
      <c r="E106" s="504"/>
      <c r="F106" s="219" t="s">
        <v>356</v>
      </c>
      <c r="G106" s="413" t="s">
        <v>422</v>
      </c>
      <c r="H106" s="988"/>
      <c r="I106" s="989"/>
      <c r="J106" s="989"/>
      <c r="K106" s="989"/>
      <c r="L106" s="52"/>
      <c r="M106" s="50"/>
      <c r="N106"/>
      <c r="O106"/>
    </row>
    <row r="107" spans="1:30" s="44" customFormat="1" ht="21.95" customHeight="1">
      <c r="A107" s="412"/>
      <c r="B107" s="442" t="s">
        <v>423</v>
      </c>
      <c r="C107" s="219" t="s">
        <v>368</v>
      </c>
      <c r="D107" s="573" t="s">
        <v>420</v>
      </c>
      <c r="E107" s="504"/>
      <c r="F107" s="219" t="s">
        <v>125</v>
      </c>
      <c r="G107" s="301" t="s">
        <v>424</v>
      </c>
      <c r="H107" s="988"/>
      <c r="I107" s="989"/>
      <c r="J107" s="989"/>
      <c r="K107" s="989"/>
      <c r="L107" s="52"/>
      <c r="M107" s="50"/>
      <c r="N107"/>
      <c r="O107"/>
    </row>
    <row r="108" spans="1:30" s="44" customFormat="1" ht="21.95" customHeight="1">
      <c r="A108" s="412"/>
      <c r="B108" s="442" t="s">
        <v>423</v>
      </c>
      <c r="C108" s="219" t="s">
        <v>368</v>
      </c>
      <c r="D108" s="574" t="s">
        <v>421</v>
      </c>
      <c r="E108" s="504"/>
      <c r="F108" s="219" t="s">
        <v>125</v>
      </c>
      <c r="G108" s="413" t="s">
        <v>425</v>
      </c>
      <c r="H108" s="988"/>
      <c r="I108" s="989"/>
      <c r="J108" s="989"/>
      <c r="K108" s="989"/>
      <c r="L108" s="52"/>
      <c r="M108" s="50"/>
      <c r="N108"/>
      <c r="O108"/>
    </row>
    <row r="109" spans="1:30" s="44" customFormat="1" ht="21.95" customHeight="1">
      <c r="A109" s="412"/>
      <c r="B109" s="442" t="s">
        <v>423</v>
      </c>
      <c r="C109" s="510" t="s">
        <v>368</v>
      </c>
      <c r="D109" s="575" t="s">
        <v>366</v>
      </c>
      <c r="E109" s="577"/>
      <c r="F109" s="441" t="s">
        <v>125</v>
      </c>
      <c r="G109" s="413" t="s">
        <v>425</v>
      </c>
      <c r="H109" s="988"/>
      <c r="I109" s="989"/>
      <c r="J109" s="989"/>
      <c r="K109" s="989"/>
      <c r="L109" s="52"/>
      <c r="M109" s="50"/>
      <c r="N109"/>
      <c r="O109"/>
    </row>
    <row r="110" spans="1:30" s="44" customFormat="1" ht="21.95" customHeight="1">
      <c r="A110" s="501"/>
      <c r="B110" s="578" t="s">
        <v>295</v>
      </c>
      <c r="C110" s="579" t="s">
        <v>509</v>
      </c>
      <c r="D110" s="651" t="s">
        <v>510</v>
      </c>
      <c r="E110" s="580"/>
      <c r="F110" s="219" t="s">
        <v>125</v>
      </c>
      <c r="G110" s="579"/>
      <c r="H110" s="988"/>
      <c r="I110" s="989"/>
      <c r="J110" s="989"/>
      <c r="K110" s="989"/>
      <c r="L110" s="52"/>
      <c r="M110" s="50"/>
      <c r="N110"/>
      <c r="O110"/>
    </row>
    <row r="111" spans="1:30" s="44" customFormat="1" ht="21.95" customHeight="1">
      <c r="A111" s="583">
        <v>44312</v>
      </c>
      <c r="B111" s="586" t="s">
        <v>1124</v>
      </c>
      <c r="C111" s="587" t="s">
        <v>1191</v>
      </c>
      <c r="D111" s="587" t="s">
        <v>1105</v>
      </c>
      <c r="E111" s="588">
        <v>18334600</v>
      </c>
      <c r="F111" s="219" t="s">
        <v>477</v>
      </c>
      <c r="G111" s="591" t="s">
        <v>1106</v>
      </c>
      <c r="H111" s="990"/>
      <c r="I111" s="991" t="s">
        <v>339</v>
      </c>
      <c r="J111" s="992"/>
      <c r="K111" s="993"/>
      <c r="L111" s="355"/>
      <c r="M111" s="355"/>
      <c r="N111" s="355"/>
    </row>
    <row r="112" spans="1:30" s="44" customFormat="1" ht="21.95" customHeight="1">
      <c r="A112" s="501">
        <v>44313</v>
      </c>
      <c r="B112" s="502" t="s">
        <v>283</v>
      </c>
      <c r="C112" s="503" t="s">
        <v>945</v>
      </c>
      <c r="D112" s="503" t="s">
        <v>1107</v>
      </c>
      <c r="E112" s="504">
        <v>90690</v>
      </c>
      <c r="F112" s="219" t="s">
        <v>477</v>
      </c>
      <c r="G112" s="543"/>
      <c r="H112" s="990"/>
      <c r="I112" s="991" t="s">
        <v>334</v>
      </c>
      <c r="J112" s="994"/>
      <c r="K112" s="993"/>
      <c r="L112" s="355"/>
      <c r="M112" s="355"/>
      <c r="N112" s="355"/>
    </row>
    <row r="113" spans="1:40" s="44" customFormat="1" ht="21.95" customHeight="1">
      <c r="A113" s="608">
        <v>44313</v>
      </c>
      <c r="B113" s="609" t="s">
        <v>283</v>
      </c>
      <c r="C113" s="609" t="s">
        <v>947</v>
      </c>
      <c r="D113" s="610" t="s">
        <v>1108</v>
      </c>
      <c r="E113" s="611">
        <v>6570</v>
      </c>
      <c r="F113" s="219" t="s">
        <v>125</v>
      </c>
      <c r="G113" s="649"/>
      <c r="H113" s="995"/>
      <c r="I113" s="989"/>
      <c r="J113" s="989"/>
      <c r="K113" s="989"/>
      <c r="L113" s="52"/>
      <c r="M113" s="50"/>
      <c r="N113" s="648"/>
      <c r="O113" s="648"/>
    </row>
    <row r="114" spans="1:40" s="44" customFormat="1" ht="21.95" customHeight="1">
      <c r="A114" s="608"/>
      <c r="B114" s="609"/>
      <c r="C114" s="609"/>
      <c r="D114" s="610"/>
      <c r="E114" s="611"/>
      <c r="F114" s="219" t="s">
        <v>477</v>
      </c>
      <c r="G114" s="649" t="s">
        <v>604</v>
      </c>
      <c r="H114" s="996"/>
      <c r="I114" s="989"/>
      <c r="J114" s="989"/>
      <c r="K114" s="989"/>
      <c r="L114" s="52"/>
      <c r="M114" s="50"/>
      <c r="N114" s="650"/>
      <c r="O114" s="650"/>
    </row>
    <row r="115" spans="1:40" s="44" customFormat="1" ht="21.95" customHeight="1">
      <c r="A115" s="608"/>
      <c r="B115" s="609"/>
      <c r="C115" s="609"/>
      <c r="D115" s="610"/>
      <c r="E115" s="611"/>
      <c r="F115" s="219" t="s">
        <v>477</v>
      </c>
      <c r="G115" s="579" t="s">
        <v>603</v>
      </c>
      <c r="H115" s="996"/>
      <c r="I115" s="989"/>
      <c r="J115" s="989"/>
      <c r="K115" s="989"/>
      <c r="L115" s="52"/>
      <c r="M115" s="50"/>
      <c r="N115" s="650"/>
      <c r="O115" s="650"/>
    </row>
    <row r="116" spans="1:40" ht="25.5" customHeight="1">
      <c r="A116" s="938" t="s">
        <v>128</v>
      </c>
      <c r="B116" s="938"/>
      <c r="C116" s="938"/>
      <c r="D116" s="938"/>
      <c r="E116" s="61">
        <f>SUM(E103:E115)</f>
        <v>18431860</v>
      </c>
      <c r="F116" s="950"/>
      <c r="G116" s="950"/>
      <c r="J116" s="81"/>
      <c r="L116" s="52"/>
      <c r="M116" s="50"/>
      <c r="N116"/>
    </row>
    <row r="117" spans="1:40" ht="25.5" customHeight="1">
      <c r="A117" s="109">
        <f>COUNTA(#REF!)</f>
        <v>1</v>
      </c>
      <c r="L117" s="52"/>
      <c r="M117" s="50"/>
      <c r="N117"/>
    </row>
    <row r="118" spans="1:40" s="42" customFormat="1" ht="25.5" customHeight="1">
      <c r="A118" s="213" t="s">
        <v>319</v>
      </c>
      <c r="B118" s="3"/>
      <c r="C118" s="298"/>
      <c r="D118" s="298"/>
      <c r="E118" s="88"/>
      <c r="F118" s="1"/>
      <c r="G118" s="1"/>
      <c r="H118" s="1"/>
      <c r="I118" s="978" t="s">
        <v>1394</v>
      </c>
      <c r="J118" s="979"/>
      <c r="K118" s="1"/>
      <c r="L118" s="52"/>
      <c r="M118" s="50"/>
      <c r="N118"/>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row>
    <row r="119" spans="1:40" s="1" customFormat="1" ht="15" customHeight="1">
      <c r="B119" s="110"/>
      <c r="C119" s="98"/>
      <c r="D119" s="98"/>
      <c r="E119" s="88"/>
      <c r="G119" s="299" t="s">
        <v>289</v>
      </c>
      <c r="H119" s="44"/>
      <c r="I119" s="75" t="s">
        <v>290</v>
      </c>
      <c r="J119" s="301" t="s">
        <v>291</v>
      </c>
      <c r="K119" s="77"/>
      <c r="L119" s="52"/>
      <c r="M119" s="50"/>
      <c r="N119"/>
    </row>
    <row r="120" spans="1:40" s="44" customFormat="1" ht="25.5" customHeight="1">
      <c r="A120" s="197" t="s">
        <v>314</v>
      </c>
      <c r="B120" s="331" t="s">
        <v>100</v>
      </c>
      <c r="C120" s="331" t="s">
        <v>101</v>
      </c>
      <c r="D120" s="331" t="s">
        <v>75</v>
      </c>
      <c r="E120" s="332" t="s">
        <v>102</v>
      </c>
      <c r="F120" s="302" t="s">
        <v>103</v>
      </c>
      <c r="G120" s="303" t="s">
        <v>104</v>
      </c>
      <c r="H120" s="327" t="str">
        <f>COUNTA(E121:E165)&amp;"건"</f>
        <v>45건</v>
      </c>
      <c r="I120" s="626" t="s">
        <v>485</v>
      </c>
      <c r="J120" s="305"/>
      <c r="K120" s="334"/>
      <c r="L120" s="52"/>
      <c r="M120" s="50"/>
      <c r="N120"/>
    </row>
    <row r="121" spans="1:40" s="44" customFormat="1" ht="21.95" customHeight="1">
      <c r="A121" s="583">
        <v>44287</v>
      </c>
      <c r="B121" s="591" t="s">
        <v>58</v>
      </c>
      <c r="C121" s="592" t="s">
        <v>637</v>
      </c>
      <c r="D121" s="592" t="s">
        <v>1110</v>
      </c>
      <c r="E121" s="588">
        <v>17500</v>
      </c>
      <c r="F121" s="219" t="s">
        <v>477</v>
      </c>
      <c r="G121" s="572"/>
      <c r="H121" s="1"/>
      <c r="I121" s="624" t="s">
        <v>286</v>
      </c>
      <c r="J121" s="305"/>
      <c r="K121" s="107"/>
      <c r="L121" s="52"/>
      <c r="M121" s="50"/>
      <c r="N121"/>
    </row>
    <row r="122" spans="1:40" s="44" customFormat="1" ht="21.95" customHeight="1">
      <c r="A122" s="501">
        <v>44287</v>
      </c>
      <c r="B122" s="591" t="s">
        <v>58</v>
      </c>
      <c r="C122" s="592" t="s">
        <v>641</v>
      </c>
      <c r="D122" s="592" t="s">
        <v>1111</v>
      </c>
      <c r="E122" s="588">
        <v>4420</v>
      </c>
      <c r="F122" s="219" t="s">
        <v>477</v>
      </c>
      <c r="G122" s="278"/>
      <c r="H122" s="36"/>
      <c r="I122" s="624" t="s">
        <v>342</v>
      </c>
      <c r="J122" s="351"/>
      <c r="K122" s="352"/>
      <c r="L122" s="353"/>
      <c r="M122" s="354"/>
      <c r="N122" s="355"/>
    </row>
    <row r="123" spans="1:40" s="44" customFormat="1" ht="21.95" customHeight="1">
      <c r="A123" s="501">
        <v>44287</v>
      </c>
      <c r="B123" s="502" t="s">
        <v>58</v>
      </c>
      <c r="C123" s="503" t="s">
        <v>441</v>
      </c>
      <c r="D123" s="503" t="s">
        <v>605</v>
      </c>
      <c r="E123" s="504">
        <v>25000</v>
      </c>
      <c r="F123" s="219" t="s">
        <v>477</v>
      </c>
      <c r="G123" s="350"/>
      <c r="H123" s="36"/>
      <c r="I123" s="624" t="s">
        <v>337</v>
      </c>
      <c r="J123" s="351">
        <v>5000000</v>
      </c>
      <c r="K123" s="355"/>
      <c r="L123" s="353"/>
      <c r="M123" s="354"/>
      <c r="N123" s="355"/>
    </row>
    <row r="124" spans="1:40" s="44" customFormat="1" ht="21.95" customHeight="1">
      <c r="A124" s="501">
        <v>44287</v>
      </c>
      <c r="B124" s="502" t="s">
        <v>58</v>
      </c>
      <c r="C124" s="503" t="s">
        <v>644</v>
      </c>
      <c r="D124" s="503" t="s">
        <v>605</v>
      </c>
      <c r="E124" s="504">
        <v>30000</v>
      </c>
      <c r="F124" s="219" t="s">
        <v>477</v>
      </c>
      <c r="G124" s="500"/>
      <c r="H124" s="36"/>
      <c r="I124" s="624" t="s">
        <v>285</v>
      </c>
      <c r="J124" s="351"/>
      <c r="K124" s="355"/>
      <c r="L124" s="353"/>
      <c r="M124" s="354"/>
      <c r="N124" s="355"/>
    </row>
    <row r="125" spans="1:40" s="44" customFormat="1" ht="21.95" customHeight="1">
      <c r="A125" s="501">
        <v>44287</v>
      </c>
      <c r="B125" s="502" t="s">
        <v>58</v>
      </c>
      <c r="C125" s="503" t="s">
        <v>646</v>
      </c>
      <c r="D125" s="503" t="s">
        <v>605</v>
      </c>
      <c r="E125" s="504">
        <v>22000</v>
      </c>
      <c r="F125" s="219" t="s">
        <v>477</v>
      </c>
      <c r="G125" s="350"/>
      <c r="H125" s="36"/>
      <c r="I125" s="624" t="s">
        <v>338</v>
      </c>
      <c r="J125" s="351"/>
      <c r="K125" s="355"/>
      <c r="L125" s="355"/>
      <c r="M125" s="355"/>
      <c r="N125" s="355"/>
    </row>
    <row r="126" spans="1:40" s="44" customFormat="1" ht="21.95" customHeight="1">
      <c r="A126" s="583">
        <v>44287</v>
      </c>
      <c r="B126" s="586" t="s">
        <v>284</v>
      </c>
      <c r="C126" s="587" t="s">
        <v>597</v>
      </c>
      <c r="D126" s="587" t="s">
        <v>579</v>
      </c>
      <c r="E126" s="588">
        <v>80500</v>
      </c>
      <c r="F126" s="219" t="s">
        <v>477</v>
      </c>
      <c r="G126" s="350"/>
      <c r="H126" s="36"/>
      <c r="I126" s="624" t="s">
        <v>339</v>
      </c>
      <c r="J126" s="306">
        <v>19160076</v>
      </c>
      <c r="K126" s="355"/>
      <c r="L126" s="355"/>
      <c r="M126" s="355"/>
      <c r="N126" s="355"/>
    </row>
    <row r="127" spans="1:40" s="44" customFormat="1" ht="21.95" customHeight="1">
      <c r="A127" s="501">
        <v>44287</v>
      </c>
      <c r="B127" s="502" t="s">
        <v>58</v>
      </c>
      <c r="C127" s="503" t="s">
        <v>641</v>
      </c>
      <c r="D127" s="503" t="s">
        <v>1112</v>
      </c>
      <c r="E127" s="504">
        <v>6000</v>
      </c>
      <c r="F127" s="219" t="s">
        <v>477</v>
      </c>
      <c r="G127" s="543"/>
      <c r="H127" s="36"/>
      <c r="I127" s="624" t="s">
        <v>334</v>
      </c>
      <c r="J127" s="351"/>
      <c r="K127" s="355"/>
      <c r="L127" s="355"/>
      <c r="M127" s="355"/>
      <c r="N127" s="355"/>
    </row>
    <row r="128" spans="1:40" s="44" customFormat="1" ht="21.95" customHeight="1">
      <c r="A128" s="501">
        <v>44287</v>
      </c>
      <c r="B128" s="502" t="s">
        <v>58</v>
      </c>
      <c r="C128" s="502" t="s">
        <v>651</v>
      </c>
      <c r="D128" s="503" t="s">
        <v>605</v>
      </c>
      <c r="E128" s="504">
        <v>62000</v>
      </c>
      <c r="F128" s="219" t="s">
        <v>477</v>
      </c>
      <c r="G128" s="530"/>
      <c r="H128" s="36"/>
      <c r="I128" s="624" t="s">
        <v>333</v>
      </c>
      <c r="J128" s="351"/>
      <c r="K128" s="355"/>
      <c r="L128" s="355"/>
      <c r="M128" s="355"/>
      <c r="N128" s="355"/>
    </row>
    <row r="129" spans="1:11" s="44" customFormat="1" ht="21.95" customHeight="1">
      <c r="A129" s="501">
        <v>44287</v>
      </c>
      <c r="B129" s="502" t="s">
        <v>58</v>
      </c>
      <c r="C129" s="503" t="s">
        <v>654</v>
      </c>
      <c r="D129" s="503" t="s">
        <v>605</v>
      </c>
      <c r="E129" s="504">
        <v>27000</v>
      </c>
      <c r="F129" s="219" t="s">
        <v>477</v>
      </c>
      <c r="G129" s="350"/>
      <c r="H129" s="36"/>
      <c r="I129" s="624" t="s">
        <v>58</v>
      </c>
      <c r="J129" s="351">
        <v>1949150</v>
      </c>
      <c r="K129" s="355"/>
    </row>
    <row r="130" spans="1:11" s="44" customFormat="1" ht="21.95" customHeight="1">
      <c r="A130" s="501">
        <v>44287</v>
      </c>
      <c r="B130" s="502" t="s">
        <v>58</v>
      </c>
      <c r="C130" s="503" t="s">
        <v>656</v>
      </c>
      <c r="D130" s="503" t="s">
        <v>1113</v>
      </c>
      <c r="E130" s="504">
        <v>41300</v>
      </c>
      <c r="F130" s="219" t="s">
        <v>477</v>
      </c>
      <c r="G130" s="350"/>
      <c r="H130" s="36"/>
      <c r="I130" s="624" t="s">
        <v>426</v>
      </c>
      <c r="J130" s="351"/>
      <c r="K130" s="355"/>
    </row>
    <row r="131" spans="1:11" s="44" customFormat="1" ht="21.95" customHeight="1">
      <c r="A131" s="410">
        <v>44287</v>
      </c>
      <c r="B131" s="437" t="s">
        <v>62</v>
      </c>
      <c r="C131" s="438" t="s">
        <v>496</v>
      </c>
      <c r="D131" s="438" t="s">
        <v>1114</v>
      </c>
      <c r="E131" s="439">
        <v>50000</v>
      </c>
      <c r="F131" s="219" t="s">
        <v>477</v>
      </c>
      <c r="G131" s="500"/>
      <c r="H131" s="36"/>
      <c r="I131" s="624" t="s">
        <v>332</v>
      </c>
      <c r="J131" s="351">
        <v>4116620</v>
      </c>
      <c r="K131" s="355"/>
    </row>
    <row r="132" spans="1:11" s="44" customFormat="1" ht="21.95" customHeight="1">
      <c r="A132" s="408">
        <v>44288</v>
      </c>
      <c r="B132" s="437" t="s">
        <v>284</v>
      </c>
      <c r="C132" s="413" t="s">
        <v>659</v>
      </c>
      <c r="D132" s="438" t="s">
        <v>579</v>
      </c>
      <c r="E132" s="439">
        <v>154000</v>
      </c>
      <c r="F132" s="219" t="s">
        <v>477</v>
      </c>
      <c r="G132" s="590"/>
      <c r="H132" s="36"/>
      <c r="I132" s="624" t="s">
        <v>345</v>
      </c>
      <c r="J132" s="351"/>
      <c r="K132" s="355"/>
    </row>
    <row r="133" spans="1:11" s="44" customFormat="1" ht="21.95" customHeight="1">
      <c r="A133" s="501">
        <v>44288</v>
      </c>
      <c r="B133" s="578" t="s">
        <v>61</v>
      </c>
      <c r="C133" s="579" t="s">
        <v>1099</v>
      </c>
      <c r="D133" s="438" t="s">
        <v>1100</v>
      </c>
      <c r="E133" s="580">
        <v>500</v>
      </c>
      <c r="F133" s="219" t="s">
        <v>477</v>
      </c>
      <c r="G133" s="278"/>
      <c r="H133" s="36"/>
      <c r="I133" s="624" t="s">
        <v>340</v>
      </c>
      <c r="J133" s="357"/>
      <c r="K133" s="355"/>
    </row>
    <row r="134" spans="1:11" s="44" customFormat="1" ht="21.95" customHeight="1">
      <c r="A134" s="501">
        <v>44288</v>
      </c>
      <c r="B134" s="578" t="s">
        <v>556</v>
      </c>
      <c r="C134" s="579" t="s">
        <v>662</v>
      </c>
      <c r="D134" s="438" t="s">
        <v>1115</v>
      </c>
      <c r="E134" s="580">
        <v>231000</v>
      </c>
      <c r="F134" s="219" t="s">
        <v>477</v>
      </c>
      <c r="G134" s="350"/>
      <c r="H134" s="36"/>
      <c r="I134" s="624" t="s">
        <v>295</v>
      </c>
      <c r="J134" s="351">
        <v>18334600</v>
      </c>
      <c r="K134" s="355"/>
    </row>
    <row r="135" spans="1:11" s="44" customFormat="1" ht="21.95" customHeight="1">
      <c r="A135" s="583">
        <v>44288</v>
      </c>
      <c r="B135" s="502" t="s">
        <v>330</v>
      </c>
      <c r="C135" s="503" t="s">
        <v>665</v>
      </c>
      <c r="D135" s="438" t="s">
        <v>1116</v>
      </c>
      <c r="E135" s="580">
        <v>120000</v>
      </c>
      <c r="F135" s="219" t="s">
        <v>477</v>
      </c>
      <c r="G135" s="350"/>
      <c r="H135" s="36"/>
      <c r="I135" s="624" t="s">
        <v>59</v>
      </c>
      <c r="J135" s="351">
        <v>474500</v>
      </c>
      <c r="K135" s="355"/>
    </row>
    <row r="136" spans="1:11" s="44" customFormat="1" ht="21.95" customHeight="1">
      <c r="A136" s="581">
        <v>44288</v>
      </c>
      <c r="B136" s="586" t="s">
        <v>330</v>
      </c>
      <c r="C136" s="587" t="s">
        <v>668</v>
      </c>
      <c r="D136" s="438" t="s">
        <v>1116</v>
      </c>
      <c r="E136" s="582">
        <v>240000</v>
      </c>
      <c r="F136" s="219" t="s">
        <v>477</v>
      </c>
      <c r="G136" s="350"/>
      <c r="H136" s="36"/>
      <c r="I136" s="624" t="s">
        <v>346</v>
      </c>
      <c r="J136" s="358"/>
      <c r="K136" s="355"/>
    </row>
    <row r="137" spans="1:11" s="44" customFormat="1" ht="21.95" customHeight="1">
      <c r="A137" s="581">
        <v>44288</v>
      </c>
      <c r="B137" s="586" t="s">
        <v>330</v>
      </c>
      <c r="C137" s="587" t="s">
        <v>671</v>
      </c>
      <c r="D137" s="587" t="s">
        <v>1116</v>
      </c>
      <c r="E137" s="582">
        <v>150000</v>
      </c>
      <c r="F137" s="219" t="s">
        <v>477</v>
      </c>
      <c r="G137" s="278"/>
      <c r="I137" s="624" t="s">
        <v>352</v>
      </c>
      <c r="J137" s="351"/>
      <c r="K137" s="359"/>
    </row>
    <row r="138" spans="1:11" s="44" customFormat="1" ht="21.95" customHeight="1">
      <c r="A138" s="501">
        <v>44288</v>
      </c>
      <c r="B138" s="502" t="s">
        <v>61</v>
      </c>
      <c r="C138" s="503" t="s">
        <v>1099</v>
      </c>
      <c r="D138" s="503" t="s">
        <v>1100</v>
      </c>
      <c r="E138" s="580">
        <v>1000</v>
      </c>
      <c r="F138" s="219" t="s">
        <v>477</v>
      </c>
      <c r="G138" s="350"/>
      <c r="H138" s="36"/>
      <c r="I138" s="624" t="s">
        <v>481</v>
      </c>
      <c r="J138" s="351">
        <v>324920</v>
      </c>
      <c r="K138" s="355"/>
    </row>
    <row r="139" spans="1:11" s="44" customFormat="1" ht="21.95" customHeight="1">
      <c r="A139" s="501">
        <v>44288</v>
      </c>
      <c r="B139" s="578" t="s">
        <v>58</v>
      </c>
      <c r="C139" s="579" t="s">
        <v>674</v>
      </c>
      <c r="D139" s="579" t="s">
        <v>605</v>
      </c>
      <c r="E139" s="580">
        <v>8000</v>
      </c>
      <c r="F139" s="219" t="s">
        <v>477</v>
      </c>
      <c r="G139" s="278"/>
      <c r="H139" s="36"/>
      <c r="I139" s="624" t="s">
        <v>293</v>
      </c>
      <c r="J139" s="351"/>
      <c r="K139" s="355"/>
    </row>
    <row r="140" spans="1:11" s="44" customFormat="1" ht="21.95" customHeight="1">
      <c r="A140" s="501">
        <v>44288</v>
      </c>
      <c r="B140" s="578" t="s">
        <v>62</v>
      </c>
      <c r="C140" s="579" t="s">
        <v>444</v>
      </c>
      <c r="D140" s="579" t="s">
        <v>1114</v>
      </c>
      <c r="E140" s="580">
        <v>30000</v>
      </c>
      <c r="F140" s="219" t="s">
        <v>477</v>
      </c>
      <c r="G140" s="350"/>
      <c r="H140" s="36"/>
      <c r="I140" s="624" t="s">
        <v>292</v>
      </c>
      <c r="J140" s="351"/>
      <c r="K140" s="355"/>
    </row>
    <row r="141" spans="1:11" s="44" customFormat="1" ht="21.95" customHeight="1">
      <c r="A141" s="501">
        <v>44288</v>
      </c>
      <c r="B141" s="532" t="s">
        <v>58</v>
      </c>
      <c r="C141" s="531" t="s">
        <v>677</v>
      </c>
      <c r="D141" s="531" t="s">
        <v>605</v>
      </c>
      <c r="E141" s="533">
        <v>144000</v>
      </c>
      <c r="F141" s="219" t="s">
        <v>477</v>
      </c>
      <c r="G141" s="542"/>
      <c r="H141" s="36"/>
      <c r="I141" s="624" t="s">
        <v>300</v>
      </c>
      <c r="J141" s="360">
        <v>12165200</v>
      </c>
      <c r="K141" s="355"/>
    </row>
    <row r="142" spans="1:11" s="44" customFormat="1" ht="21.95" customHeight="1">
      <c r="A142" s="408">
        <v>44288</v>
      </c>
      <c r="B142" s="440" t="s">
        <v>62</v>
      </c>
      <c r="C142" s="579" t="s">
        <v>679</v>
      </c>
      <c r="D142" s="579" t="s">
        <v>1117</v>
      </c>
      <c r="E142" s="580">
        <v>1000</v>
      </c>
      <c r="F142" s="219" t="s">
        <v>477</v>
      </c>
      <c r="G142" s="542"/>
      <c r="H142" s="36"/>
      <c r="I142" s="624" t="s">
        <v>284</v>
      </c>
      <c r="J142" s="351">
        <v>1010940</v>
      </c>
      <c r="K142" s="355"/>
    </row>
    <row r="143" spans="1:11" s="44" customFormat="1" ht="21.95" customHeight="1">
      <c r="A143" s="501">
        <v>44288</v>
      </c>
      <c r="B143" s="578" t="s">
        <v>62</v>
      </c>
      <c r="C143" s="579" t="s">
        <v>446</v>
      </c>
      <c r="D143" s="579" t="s">
        <v>1114</v>
      </c>
      <c r="E143" s="580">
        <v>50000</v>
      </c>
      <c r="F143" s="219" t="s">
        <v>477</v>
      </c>
      <c r="G143" s="500"/>
      <c r="H143" s="36"/>
      <c r="I143" s="624" t="s">
        <v>482</v>
      </c>
      <c r="J143" s="351"/>
      <c r="K143" s="355"/>
    </row>
    <row r="144" spans="1:11" s="44" customFormat="1" ht="21.95" customHeight="1">
      <c r="A144" s="501">
        <v>44288</v>
      </c>
      <c r="B144" s="584" t="s">
        <v>58</v>
      </c>
      <c r="C144" s="585" t="s">
        <v>512</v>
      </c>
      <c r="D144" s="585" t="s">
        <v>605</v>
      </c>
      <c r="E144" s="577">
        <v>12500</v>
      </c>
      <c r="F144" s="219" t="s">
        <v>477</v>
      </c>
      <c r="G144" s="542"/>
      <c r="H144" s="36"/>
      <c r="I144" s="624" t="s">
        <v>299</v>
      </c>
      <c r="J144" s="351"/>
      <c r="K144" s="355"/>
    </row>
    <row r="145" spans="1:11" s="44" customFormat="1" ht="21.95" customHeight="1">
      <c r="A145" s="501">
        <v>44288</v>
      </c>
      <c r="B145" s="502" t="s">
        <v>58</v>
      </c>
      <c r="C145" s="503" t="s">
        <v>683</v>
      </c>
      <c r="D145" s="503" t="s">
        <v>1110</v>
      </c>
      <c r="E145" s="580">
        <v>25400</v>
      </c>
      <c r="F145" s="219" t="s">
        <v>477</v>
      </c>
      <c r="G145" s="732"/>
      <c r="H145" s="36"/>
      <c r="I145" s="624" t="s">
        <v>330</v>
      </c>
      <c r="J145" s="356">
        <v>2755000</v>
      </c>
      <c r="K145" s="355"/>
    </row>
    <row r="146" spans="1:11" s="44" customFormat="1" ht="21.95" customHeight="1">
      <c r="A146" s="501">
        <v>44289</v>
      </c>
      <c r="B146" s="502" t="s">
        <v>58</v>
      </c>
      <c r="C146" s="569" t="s">
        <v>685</v>
      </c>
      <c r="D146" s="569" t="s">
        <v>605</v>
      </c>
      <c r="E146" s="570">
        <v>97500</v>
      </c>
      <c r="F146" s="571" t="s">
        <v>477</v>
      </c>
      <c r="G146" s="350"/>
      <c r="H146" s="36"/>
      <c r="I146" s="624" t="s">
        <v>298</v>
      </c>
      <c r="J146" s="351">
        <v>2800000</v>
      </c>
      <c r="K146" s="355"/>
    </row>
    <row r="147" spans="1:11" s="44" customFormat="1" ht="21.95" customHeight="1">
      <c r="A147" s="583">
        <v>44289</v>
      </c>
      <c r="B147" s="586" t="s">
        <v>60</v>
      </c>
      <c r="C147" s="586" t="s">
        <v>687</v>
      </c>
      <c r="D147" s="620" t="s">
        <v>1125</v>
      </c>
      <c r="E147" s="621">
        <v>60000</v>
      </c>
      <c r="F147" s="622" t="s">
        <v>477</v>
      </c>
      <c r="G147" s="589"/>
      <c r="H147" s="36"/>
      <c r="I147" s="624" t="s">
        <v>483</v>
      </c>
      <c r="J147" s="351"/>
      <c r="K147" s="355"/>
    </row>
    <row r="148" spans="1:11" s="44" customFormat="1" ht="21.95" customHeight="1">
      <c r="A148" s="501">
        <v>44289</v>
      </c>
      <c r="B148" s="502" t="s">
        <v>58</v>
      </c>
      <c r="C148" s="503" t="s">
        <v>514</v>
      </c>
      <c r="D148" s="503" t="s">
        <v>605</v>
      </c>
      <c r="E148" s="504">
        <v>8000</v>
      </c>
      <c r="F148" s="219" t="s">
        <v>477</v>
      </c>
      <c r="G148" s="623"/>
      <c r="H148" s="36"/>
      <c r="I148" s="624" t="s">
        <v>331</v>
      </c>
      <c r="J148" s="351"/>
      <c r="K148" s="355"/>
    </row>
    <row r="149" spans="1:11" s="44" customFormat="1" ht="21.95" customHeight="1">
      <c r="A149" s="501">
        <v>44289</v>
      </c>
      <c r="B149" s="502" t="s">
        <v>58</v>
      </c>
      <c r="C149" s="503" t="s">
        <v>690</v>
      </c>
      <c r="D149" s="503" t="s">
        <v>605</v>
      </c>
      <c r="E149" s="504">
        <v>8000</v>
      </c>
      <c r="F149" s="219" t="s">
        <v>477</v>
      </c>
      <c r="G149" s="623"/>
      <c r="H149" s="36"/>
      <c r="I149" s="624" t="s">
        <v>296</v>
      </c>
      <c r="J149" s="351"/>
      <c r="K149" s="355"/>
    </row>
    <row r="150" spans="1:11" s="44" customFormat="1" ht="21.95" customHeight="1">
      <c r="A150" s="408">
        <v>44289</v>
      </c>
      <c r="B150" s="414" t="s">
        <v>58</v>
      </c>
      <c r="C150" s="413" t="s">
        <v>692</v>
      </c>
      <c r="D150" s="413" t="s">
        <v>605</v>
      </c>
      <c r="E150" s="411">
        <v>45000</v>
      </c>
      <c r="F150" s="219" t="s">
        <v>477</v>
      </c>
      <c r="G150" s="350"/>
      <c r="H150" s="36"/>
      <c r="I150" s="625" t="s">
        <v>341</v>
      </c>
      <c r="J150" s="351"/>
      <c r="K150" s="355"/>
    </row>
    <row r="151" spans="1:11" s="44" customFormat="1" ht="21.95" customHeight="1">
      <c r="A151" s="408">
        <v>44289</v>
      </c>
      <c r="B151" s="414" t="s">
        <v>58</v>
      </c>
      <c r="C151" s="413" t="s">
        <v>694</v>
      </c>
      <c r="D151" s="413" t="s">
        <v>605</v>
      </c>
      <c r="E151" s="411">
        <v>29000</v>
      </c>
      <c r="F151" s="219" t="s">
        <v>477</v>
      </c>
      <c r="G151" s="350"/>
      <c r="H151" s="36"/>
      <c r="I151" s="624" t="s">
        <v>61</v>
      </c>
      <c r="J151" s="351">
        <v>699440</v>
      </c>
      <c r="K151" s="355"/>
    </row>
    <row r="152" spans="1:11" s="44" customFormat="1" ht="21.95" customHeight="1">
      <c r="A152" s="409">
        <v>44291</v>
      </c>
      <c r="B152" s="414" t="s">
        <v>58</v>
      </c>
      <c r="C152" s="413" t="s">
        <v>487</v>
      </c>
      <c r="D152" s="413" t="s">
        <v>605</v>
      </c>
      <c r="E152" s="411">
        <v>18000</v>
      </c>
      <c r="F152" s="219" t="s">
        <v>477</v>
      </c>
      <c r="G152" s="278"/>
      <c r="H152" s="36"/>
      <c r="I152" s="624" t="s">
        <v>287</v>
      </c>
      <c r="J152" s="351"/>
      <c r="K152" s="355"/>
    </row>
    <row r="153" spans="1:11" s="44" customFormat="1" ht="21.95" customHeight="1">
      <c r="A153" s="409">
        <v>44291</v>
      </c>
      <c r="B153" s="414" t="s">
        <v>58</v>
      </c>
      <c r="C153" s="413" t="s">
        <v>606</v>
      </c>
      <c r="D153" s="413" t="s">
        <v>605</v>
      </c>
      <c r="E153" s="411">
        <v>17000</v>
      </c>
      <c r="F153" s="219" t="s">
        <v>477</v>
      </c>
      <c r="G153" s="350"/>
      <c r="H153" s="36"/>
      <c r="I153" s="624" t="s">
        <v>297</v>
      </c>
      <c r="J153" s="351">
        <v>16045800</v>
      </c>
      <c r="K153" s="355"/>
    </row>
    <row r="154" spans="1:11" s="44" customFormat="1" ht="21.95" customHeight="1">
      <c r="A154" s="409">
        <v>44291</v>
      </c>
      <c r="B154" s="414" t="s">
        <v>58</v>
      </c>
      <c r="C154" s="413" t="s">
        <v>574</v>
      </c>
      <c r="D154" s="413" t="s">
        <v>1111</v>
      </c>
      <c r="E154" s="411">
        <v>12000</v>
      </c>
      <c r="F154" s="219" t="s">
        <v>477</v>
      </c>
      <c r="G154" s="350"/>
      <c r="H154" s="36"/>
      <c r="I154" s="624" t="s">
        <v>62</v>
      </c>
      <c r="J154" s="351">
        <v>3208857</v>
      </c>
      <c r="K154" s="355"/>
    </row>
    <row r="155" spans="1:11" s="44" customFormat="1" ht="21.95" customHeight="1">
      <c r="A155" s="409">
        <v>44291</v>
      </c>
      <c r="B155" s="414" t="s">
        <v>58</v>
      </c>
      <c r="C155" s="413" t="s">
        <v>704</v>
      </c>
      <c r="D155" s="413" t="s">
        <v>605</v>
      </c>
      <c r="E155" s="414">
        <v>38000</v>
      </c>
      <c r="F155" s="219" t="s">
        <v>477</v>
      </c>
      <c r="G155" s="350"/>
      <c r="H155" s="36"/>
      <c r="I155" s="624" t="s">
        <v>283</v>
      </c>
      <c r="J155" s="351">
        <v>113470</v>
      </c>
      <c r="K155" s="355"/>
    </row>
    <row r="156" spans="1:11" s="44" customFormat="1" ht="21.95" customHeight="1">
      <c r="A156" s="409">
        <v>44291</v>
      </c>
      <c r="B156" s="414" t="s">
        <v>58</v>
      </c>
      <c r="C156" s="413" t="s">
        <v>706</v>
      </c>
      <c r="D156" s="413" t="s">
        <v>1118</v>
      </c>
      <c r="E156" s="414">
        <v>6500</v>
      </c>
      <c r="F156" s="219" t="s">
        <v>477</v>
      </c>
      <c r="G156" s="350"/>
      <c r="H156" s="36"/>
      <c r="I156" s="624" t="s">
        <v>294</v>
      </c>
      <c r="J156" s="351">
        <v>2090000</v>
      </c>
      <c r="K156" s="355"/>
    </row>
    <row r="157" spans="1:11" s="44" customFormat="1" ht="21.95" customHeight="1">
      <c r="A157" s="410">
        <v>44292</v>
      </c>
      <c r="B157" s="414" t="s">
        <v>58</v>
      </c>
      <c r="C157" s="413" t="s">
        <v>576</v>
      </c>
      <c r="D157" s="413" t="s">
        <v>605</v>
      </c>
      <c r="E157" s="411">
        <v>8500</v>
      </c>
      <c r="F157" s="219" t="s">
        <v>477</v>
      </c>
      <c r="G157" s="350"/>
      <c r="H157" s="36"/>
      <c r="I157" s="624" t="s">
        <v>57</v>
      </c>
      <c r="J157" s="356"/>
      <c r="K157" s="355"/>
    </row>
    <row r="158" spans="1:11" s="44" customFormat="1" ht="21.95" customHeight="1">
      <c r="A158" s="410">
        <v>44292</v>
      </c>
      <c r="B158" s="414" t="s">
        <v>556</v>
      </c>
      <c r="C158" s="413" t="s">
        <v>710</v>
      </c>
      <c r="D158" s="723" t="s">
        <v>1392</v>
      </c>
      <c r="E158" s="411">
        <v>8630095</v>
      </c>
      <c r="F158" s="219" t="s">
        <v>477</v>
      </c>
      <c r="G158" s="350"/>
      <c r="H158" s="36"/>
      <c r="I158" s="304"/>
      <c r="J158" s="304"/>
      <c r="K158" s="355"/>
    </row>
    <row r="159" spans="1:11" s="44" customFormat="1" ht="21.95" customHeight="1">
      <c r="A159" s="409">
        <v>44292</v>
      </c>
      <c r="B159" s="586" t="s">
        <v>62</v>
      </c>
      <c r="C159" s="586" t="s">
        <v>523</v>
      </c>
      <c r="D159" s="620" t="s">
        <v>1114</v>
      </c>
      <c r="E159" s="415">
        <v>30000</v>
      </c>
      <c r="F159" s="219" t="s">
        <v>477</v>
      </c>
      <c r="G159" s="350"/>
      <c r="H159" s="36"/>
      <c r="I159" s="304"/>
      <c r="J159" s="304"/>
      <c r="K159" s="355"/>
    </row>
    <row r="160" spans="1:11" s="44" customFormat="1" ht="21.95" customHeight="1">
      <c r="A160" s="410">
        <v>44292</v>
      </c>
      <c r="B160" s="414" t="s">
        <v>284</v>
      </c>
      <c r="C160" s="413" t="s">
        <v>455</v>
      </c>
      <c r="D160" s="413" t="s">
        <v>1119</v>
      </c>
      <c r="E160" s="411">
        <v>21010</v>
      </c>
      <c r="F160" s="219" t="s">
        <v>477</v>
      </c>
      <c r="G160" s="350"/>
      <c r="H160" s="36"/>
      <c r="I160" s="278" t="s">
        <v>301</v>
      </c>
      <c r="J160" s="361">
        <f>SUM(J120:J159)</f>
        <v>90248573</v>
      </c>
      <c r="K160" s="355"/>
    </row>
    <row r="161" spans="1:11" s="44" customFormat="1" ht="21.95" customHeight="1">
      <c r="A161" s="410">
        <v>44293</v>
      </c>
      <c r="B161" s="414" t="s">
        <v>58</v>
      </c>
      <c r="C161" s="413" t="s">
        <v>714</v>
      </c>
      <c r="D161" s="723" t="s">
        <v>605</v>
      </c>
      <c r="E161" s="411">
        <v>7000</v>
      </c>
      <c r="F161" s="219" t="s">
        <v>477</v>
      </c>
      <c r="G161" s="349"/>
      <c r="H161" s="36"/>
      <c r="I161" s="278" t="s">
        <v>302</v>
      </c>
      <c r="J161" s="416" t="b">
        <f>D75=J160</f>
        <v>1</v>
      </c>
      <c r="K161" s="355"/>
    </row>
    <row r="162" spans="1:11" s="44" customFormat="1" ht="21.95" customHeight="1">
      <c r="A162" s="608">
        <v>44293</v>
      </c>
      <c r="B162" s="609" t="s">
        <v>58</v>
      </c>
      <c r="C162" s="609" t="s">
        <v>716</v>
      </c>
      <c r="D162" s="610" t="s">
        <v>605</v>
      </c>
      <c r="E162" s="611">
        <v>8000</v>
      </c>
      <c r="F162" s="219" t="s">
        <v>477</v>
      </c>
      <c r="G162" s="350"/>
      <c r="H162" s="36"/>
      <c r="I162" s="278" t="s">
        <v>302</v>
      </c>
      <c r="J162" s="417">
        <f>D75-J160</f>
        <v>0</v>
      </c>
      <c r="K162" s="355"/>
    </row>
    <row r="163" spans="1:11" s="44" customFormat="1" ht="21.95" customHeight="1">
      <c r="A163" s="608">
        <v>44293</v>
      </c>
      <c r="B163" s="609" t="s">
        <v>61</v>
      </c>
      <c r="C163" s="609" t="s">
        <v>1099</v>
      </c>
      <c r="D163" s="610" t="s">
        <v>1100</v>
      </c>
      <c r="E163" s="611">
        <v>500</v>
      </c>
      <c r="F163" s="219" t="s">
        <v>477</v>
      </c>
      <c r="G163" s="612"/>
      <c r="H163" s="36"/>
      <c r="I163" s="362"/>
      <c r="J163" s="362"/>
      <c r="K163" s="355"/>
    </row>
    <row r="164" spans="1:11" s="44" customFormat="1" ht="21.95" customHeight="1">
      <c r="A164" s="616">
        <v>44293</v>
      </c>
      <c r="B164" s="617" t="s">
        <v>58</v>
      </c>
      <c r="C164" s="617" t="s">
        <v>721</v>
      </c>
      <c r="D164" s="618" t="s">
        <v>1111</v>
      </c>
      <c r="E164" s="619">
        <v>4400</v>
      </c>
      <c r="F164" s="571" t="s">
        <v>477</v>
      </c>
      <c r="G164" s="612"/>
      <c r="H164" s="36"/>
      <c r="I164" s="362"/>
      <c r="J164" s="362"/>
      <c r="K164" s="355"/>
    </row>
    <row r="165" spans="1:11" s="44" customFormat="1" ht="21.95" customHeight="1">
      <c r="A165" s="608">
        <v>44316</v>
      </c>
      <c r="B165" s="609" t="s">
        <v>1121</v>
      </c>
      <c r="C165" s="609" t="s">
        <v>1122</v>
      </c>
      <c r="D165" s="610" t="s">
        <v>1123</v>
      </c>
      <c r="E165" s="611">
        <v>37500000</v>
      </c>
      <c r="F165" s="219" t="s">
        <v>477</v>
      </c>
      <c r="G165" s="795"/>
      <c r="H165" s="36"/>
      <c r="I165" s="362"/>
      <c r="J165" s="362"/>
      <c r="K165" s="355"/>
    </row>
    <row r="166" spans="1:11" s="44" customFormat="1" ht="25.35" customHeight="1">
      <c r="A166" s="947" t="s">
        <v>301</v>
      </c>
      <c r="B166" s="948"/>
      <c r="C166" s="948"/>
      <c r="D166" s="949"/>
      <c r="E166" s="198">
        <f>SUM(E121:E165)</f>
        <v>48081625</v>
      </c>
      <c r="F166" s="199"/>
      <c r="G166" s="200"/>
      <c r="H166" s="1"/>
    </row>
    <row r="167" spans="1:11" s="44" customFormat="1" ht="20.100000000000001" customHeight="1">
      <c r="A167" s="932"/>
      <c r="B167" s="932"/>
      <c r="C167" s="932"/>
      <c r="D167" s="932"/>
      <c r="E167" s="932"/>
      <c r="F167" s="932"/>
      <c r="G167" s="932"/>
      <c r="H167" s="1"/>
      <c r="K167" s="220"/>
    </row>
    <row r="168" spans="1:11" ht="30" customHeight="1">
      <c r="E168" s="817"/>
    </row>
    <row r="169" spans="1:11" ht="43.5" customHeight="1">
      <c r="E169" s="364"/>
    </row>
  </sheetData>
  <autoFilter ref="A120:AN166"/>
  <sortState ref="A146:G150">
    <sortCondition ref="A145"/>
  </sortState>
  <mergeCells count="80">
    <mergeCell ref="C56:D56"/>
    <mergeCell ref="F56:G56"/>
    <mergeCell ref="E11:G11"/>
    <mergeCell ref="H103:K115"/>
    <mergeCell ref="F98:G98"/>
    <mergeCell ref="F50:G50"/>
    <mergeCell ref="C53:D53"/>
    <mergeCell ref="C32:D32"/>
    <mergeCell ref="C33:D33"/>
    <mergeCell ref="C34:D34"/>
    <mergeCell ref="C40:D40"/>
    <mergeCell ref="C49:D49"/>
    <mergeCell ref="C50:D50"/>
    <mergeCell ref="C64:D64"/>
    <mergeCell ref="C47:D47"/>
    <mergeCell ref="C21:D21"/>
    <mergeCell ref="I118:J118"/>
    <mergeCell ref="E5:G5"/>
    <mergeCell ref="E6:G6"/>
    <mergeCell ref="E7:G7"/>
    <mergeCell ref="E8:G8"/>
    <mergeCell ref="E9:G9"/>
    <mergeCell ref="F20:G20"/>
    <mergeCell ref="F26:G26"/>
    <mergeCell ref="F55:G55"/>
    <mergeCell ref="F46:G46"/>
    <mergeCell ref="F47:G47"/>
    <mergeCell ref="E41:G41"/>
    <mergeCell ref="E10:G10"/>
    <mergeCell ref="F27:G27"/>
    <mergeCell ref="E12:G12"/>
    <mergeCell ref="E14:G14"/>
    <mergeCell ref="C31:D31"/>
    <mergeCell ref="E13:G13"/>
    <mergeCell ref="C41:D41"/>
    <mergeCell ref="C55:D55"/>
    <mergeCell ref="C39:D39"/>
    <mergeCell ref="E33:F33"/>
    <mergeCell ref="E34:F34"/>
    <mergeCell ref="C52:D52"/>
    <mergeCell ref="C54:D54"/>
    <mergeCell ref="E35:G35"/>
    <mergeCell ref="C25:D25"/>
    <mergeCell ref="F22:G22"/>
    <mergeCell ref="C24:D24"/>
    <mergeCell ref="A4:G4"/>
    <mergeCell ref="A72:B72"/>
    <mergeCell ref="A9:A11"/>
    <mergeCell ref="A12:A14"/>
    <mergeCell ref="C20:D20"/>
    <mergeCell ref="C48:D48"/>
    <mergeCell ref="C35:D35"/>
    <mergeCell ref="C37:D37"/>
    <mergeCell ref="C36:D36"/>
    <mergeCell ref="C38:D38"/>
    <mergeCell ref="C51:D51"/>
    <mergeCell ref="A6:A8"/>
    <mergeCell ref="A57:G57"/>
    <mergeCell ref="F21:G21"/>
    <mergeCell ref="E31:G31"/>
    <mergeCell ref="C27:D27"/>
    <mergeCell ref="A166:D166"/>
    <mergeCell ref="F116:G116"/>
    <mergeCell ref="A73:B73"/>
    <mergeCell ref="A71:B71"/>
    <mergeCell ref="C61:D61"/>
    <mergeCell ref="E61:G61"/>
    <mergeCell ref="E64:G64"/>
    <mergeCell ref="C62:D62"/>
    <mergeCell ref="C63:D63"/>
    <mergeCell ref="A70:B70"/>
    <mergeCell ref="C26:D26"/>
    <mergeCell ref="C22:D22"/>
    <mergeCell ref="C23:D23"/>
    <mergeCell ref="A167:G167"/>
    <mergeCell ref="A74:B74"/>
    <mergeCell ref="A75:C75"/>
    <mergeCell ref="A85:D85"/>
    <mergeCell ref="A98:D98"/>
    <mergeCell ref="A116:D116"/>
  </mergeCells>
  <phoneticPr fontId="11" type="noConversion"/>
  <printOptions horizontalCentered="1"/>
  <pageMargins left="0.43307086614173229" right="0.31496062992125984" top="0.78740157480314965" bottom="0.51181102362204722" header="0.15748031496062992" footer="0.27559055118110237"/>
  <pageSetup paperSize="9" scale="58" fitToHeight="0" orientation="portrait" r:id="rId1"/>
  <headerFooter scaleWithDoc="0" alignWithMargins="0">
    <oddFooter>&amp;C&amp;P</oddFooter>
  </headerFooter>
  <rowBreaks count="3" manualBreakCount="3">
    <brk id="64" max="6" man="1"/>
    <brk id="116" max="6" man="1"/>
    <brk id="159" max="6"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L54"/>
  <sheetViews>
    <sheetView zoomScaleSheetLayoutView="100" workbookViewId="0">
      <pane xSplit="1" ySplit="4" topLeftCell="B5" activePane="bottomRight" state="frozen"/>
      <selection activeCell="C6" sqref="C6:D6"/>
      <selection pane="topRight" activeCell="C6" sqref="C6:D6"/>
      <selection pane="bottomLeft" activeCell="C6" sqref="C6:D6"/>
      <selection pane="bottomRight" activeCell="C6" sqref="C6:D6"/>
    </sheetView>
  </sheetViews>
  <sheetFormatPr defaultColWidth="9" defaultRowHeight="14.25"/>
  <cols>
    <col min="1" max="1" width="15.125" style="1" customWidth="1"/>
    <col min="2" max="10" width="12.625" style="1" customWidth="1"/>
    <col min="11" max="11" width="7.25" style="1" customWidth="1"/>
    <col min="12" max="12" width="15.625" style="1" bestFit="1" customWidth="1"/>
    <col min="13" max="13" width="13.625" style="1" bestFit="1" customWidth="1"/>
    <col min="14" max="14" width="15.5" style="1" customWidth="1"/>
    <col min="15" max="38" width="9" style="1"/>
    <col min="39" max="16384" width="9" style="21"/>
  </cols>
  <sheetData>
    <row r="1" spans="1:38" ht="24.95" customHeight="1">
      <c r="A1" s="82" t="s">
        <v>347</v>
      </c>
    </row>
    <row r="2" spans="1:38" ht="24.95" customHeight="1">
      <c r="A2" s="165" t="s">
        <v>1201</v>
      </c>
    </row>
    <row r="3" spans="1:38" ht="24.95" customHeight="1" thickBot="1">
      <c r="J3" s="80" t="s">
        <v>202</v>
      </c>
    </row>
    <row r="4" spans="1:38" ht="52.5" customHeight="1">
      <c r="A4" s="46" t="s">
        <v>203</v>
      </c>
      <c r="B4" s="218" t="s">
        <v>433</v>
      </c>
      <c r="C4" s="47" t="s">
        <v>204</v>
      </c>
      <c r="D4" s="47" t="s">
        <v>205</v>
      </c>
      <c r="E4" s="47" t="s">
        <v>206</v>
      </c>
      <c r="F4" s="47" t="s">
        <v>207</v>
      </c>
      <c r="G4" s="48" t="s">
        <v>208</v>
      </c>
      <c r="H4" s="48" t="s">
        <v>209</v>
      </c>
      <c r="I4" s="48" t="s">
        <v>210</v>
      </c>
      <c r="J4" s="49" t="s">
        <v>211</v>
      </c>
    </row>
    <row r="5" spans="1:38" ht="30" customHeight="1">
      <c r="A5" s="203" t="s">
        <v>212</v>
      </c>
      <c r="B5" s="461"/>
      <c r="C5" s="461"/>
      <c r="D5" s="461"/>
      <c r="E5" s="461"/>
      <c r="F5" s="462"/>
      <c r="G5" s="463"/>
      <c r="H5" s="463"/>
      <c r="I5" s="463"/>
      <c r="J5" s="464">
        <f>F5-E5</f>
        <v>0</v>
      </c>
    </row>
    <row r="6" spans="1:38" ht="30" customHeight="1">
      <c r="A6" s="203" t="s">
        <v>213</v>
      </c>
      <c r="B6" s="461"/>
      <c r="C6" s="461"/>
      <c r="D6" s="461"/>
      <c r="E6" s="461"/>
      <c r="F6" s="462"/>
      <c r="G6" s="463"/>
      <c r="H6" s="463"/>
      <c r="I6" s="463"/>
      <c r="J6" s="464">
        <f>F6-E6</f>
        <v>0</v>
      </c>
      <c r="M6"/>
    </row>
    <row r="7" spans="1:38" ht="38.25" customHeight="1">
      <c r="A7" s="274" t="s">
        <v>214</v>
      </c>
      <c r="B7" s="465">
        <f t="shared" ref="B7:J7" si="0">SUM(B5:B6)</f>
        <v>0</v>
      </c>
      <c r="C7" s="465">
        <f t="shared" si="0"/>
        <v>0</v>
      </c>
      <c r="D7" s="465">
        <f t="shared" si="0"/>
        <v>0</v>
      </c>
      <c r="E7" s="465">
        <f t="shared" si="0"/>
        <v>0</v>
      </c>
      <c r="F7" s="465">
        <f>SUM(F5:F6)</f>
        <v>0</v>
      </c>
      <c r="G7" s="465">
        <f t="shared" si="0"/>
        <v>0</v>
      </c>
      <c r="H7" s="465">
        <f t="shared" si="0"/>
        <v>0</v>
      </c>
      <c r="I7" s="465">
        <f t="shared" si="0"/>
        <v>0</v>
      </c>
      <c r="J7" s="466">
        <f t="shared" si="0"/>
        <v>0</v>
      </c>
    </row>
    <row r="8" spans="1:38" ht="30" customHeight="1">
      <c r="A8" s="203" t="s">
        <v>215</v>
      </c>
      <c r="B8" s="467"/>
      <c r="C8" s="461"/>
      <c r="D8" s="461"/>
      <c r="E8" s="461"/>
      <c r="F8" s="462"/>
      <c r="G8" s="463"/>
      <c r="H8" s="463"/>
      <c r="I8" s="463"/>
      <c r="J8" s="464">
        <f t="shared" ref="J8:J12" si="1">F8-E8</f>
        <v>0</v>
      </c>
    </row>
    <row r="9" spans="1:38" ht="30" customHeight="1">
      <c r="A9" s="203" t="s">
        <v>216</v>
      </c>
      <c r="B9" s="468"/>
      <c r="C9" s="461"/>
      <c r="D9" s="461"/>
      <c r="E9" s="467">
        <v>0</v>
      </c>
      <c r="F9" s="462">
        <v>0</v>
      </c>
      <c r="G9" s="462">
        <f>F9-B9</f>
        <v>0</v>
      </c>
      <c r="H9" s="463"/>
      <c r="I9" s="463"/>
      <c r="J9" s="464">
        <f>F9-E9</f>
        <v>0</v>
      </c>
    </row>
    <row r="10" spans="1:38" ht="36.75" customHeight="1">
      <c r="A10" s="274" t="s">
        <v>217</v>
      </c>
      <c r="B10" s="465">
        <f t="shared" ref="B10" si="2">SUM(B8:B9)</f>
        <v>0</v>
      </c>
      <c r="C10" s="465">
        <f t="shared" ref="C10:I10" si="3">SUM(C8:C9)</f>
        <v>0</v>
      </c>
      <c r="D10" s="465">
        <f t="shared" si="3"/>
        <v>0</v>
      </c>
      <c r="E10" s="465">
        <f t="shared" si="3"/>
        <v>0</v>
      </c>
      <c r="F10" s="465">
        <f t="shared" si="3"/>
        <v>0</v>
      </c>
      <c r="G10" s="465">
        <f t="shared" si="3"/>
        <v>0</v>
      </c>
      <c r="H10" s="465">
        <f t="shared" si="3"/>
        <v>0</v>
      </c>
      <c r="I10" s="465">
        <f t="shared" si="3"/>
        <v>0</v>
      </c>
      <c r="J10" s="469">
        <f>F10-E10</f>
        <v>0</v>
      </c>
    </row>
    <row r="11" spans="1:38" ht="30" customHeight="1">
      <c r="A11" s="203" t="s">
        <v>218</v>
      </c>
      <c r="B11" s="470"/>
      <c r="C11" s="461"/>
      <c r="D11" s="461"/>
      <c r="E11" s="471"/>
      <c r="F11" s="463"/>
      <c r="G11" s="463"/>
      <c r="H11" s="463"/>
      <c r="I11" s="463"/>
      <c r="J11" s="464">
        <f t="shared" si="1"/>
        <v>0</v>
      </c>
    </row>
    <row r="12" spans="1:38" ht="30" customHeight="1">
      <c r="A12" s="203" t="s">
        <v>219</v>
      </c>
      <c r="B12" s="471"/>
      <c r="C12" s="472"/>
      <c r="D12" s="472"/>
      <c r="E12" s="473"/>
      <c r="F12" s="474"/>
      <c r="G12" s="471"/>
      <c r="H12" s="473"/>
      <c r="I12" s="473"/>
      <c r="J12" s="464">
        <f t="shared" si="1"/>
        <v>0</v>
      </c>
    </row>
    <row r="13" spans="1:38" ht="36" customHeight="1">
      <c r="A13" s="274" t="s">
        <v>220</v>
      </c>
      <c r="B13" s="475">
        <f>SUM(B11:B12)</f>
        <v>0</v>
      </c>
      <c r="C13" s="475">
        <f t="shared" ref="C13:J13" si="4">SUM(C11:C12)</f>
        <v>0</v>
      </c>
      <c r="D13" s="475">
        <f t="shared" si="4"/>
        <v>0</v>
      </c>
      <c r="E13" s="475">
        <f t="shared" si="4"/>
        <v>0</v>
      </c>
      <c r="F13" s="475">
        <f t="shared" si="4"/>
        <v>0</v>
      </c>
      <c r="G13" s="475">
        <f t="shared" si="4"/>
        <v>0</v>
      </c>
      <c r="H13" s="475">
        <f t="shared" si="4"/>
        <v>0</v>
      </c>
      <c r="I13" s="475">
        <f t="shared" si="4"/>
        <v>0</v>
      </c>
      <c r="J13" s="469">
        <f t="shared" si="4"/>
        <v>0</v>
      </c>
      <c r="L13" s="316"/>
      <c r="M13" s="316"/>
      <c r="N13" s="316"/>
    </row>
    <row r="14" spans="1:38" ht="30" customHeight="1">
      <c r="A14" s="204" t="s">
        <v>221</v>
      </c>
      <c r="B14" s="476">
        <v>29459146</v>
      </c>
      <c r="C14" s="476">
        <v>25459146</v>
      </c>
      <c r="D14" s="477">
        <v>25459146</v>
      </c>
      <c r="E14" s="476">
        <v>21459146</v>
      </c>
      <c r="F14" s="476">
        <v>21356526</v>
      </c>
      <c r="G14" s="476">
        <f>F14-B14</f>
        <v>-8102620</v>
      </c>
      <c r="H14" s="476">
        <f>F14-C14</f>
        <v>-4102620</v>
      </c>
      <c r="I14" s="476">
        <f>F14-D14</f>
        <v>-4102620</v>
      </c>
      <c r="J14" s="464">
        <f>F14-E14</f>
        <v>-102620</v>
      </c>
      <c r="K14" s="81"/>
      <c r="L14" s="66"/>
      <c r="M14" s="66"/>
      <c r="N14" s="81"/>
    </row>
    <row r="15" spans="1:38" ht="30" customHeight="1">
      <c r="A15" s="204" t="s">
        <v>222</v>
      </c>
      <c r="B15" s="476">
        <v>0</v>
      </c>
      <c r="C15" s="476">
        <v>0</v>
      </c>
      <c r="D15" s="476">
        <v>0</v>
      </c>
      <c r="E15" s="476">
        <v>0</v>
      </c>
      <c r="F15" s="477">
        <v>0</v>
      </c>
      <c r="G15" s="476">
        <v>0</v>
      </c>
      <c r="H15" s="476">
        <v>0</v>
      </c>
      <c r="I15" s="476">
        <v>0</v>
      </c>
      <c r="J15" s="464">
        <f>F15-E15</f>
        <v>0</v>
      </c>
      <c r="L15" s="66"/>
    </row>
    <row r="16" spans="1:38" s="42" customFormat="1" ht="30" customHeight="1">
      <c r="A16" s="204" t="s">
        <v>223</v>
      </c>
      <c r="B16" s="468">
        <v>0</v>
      </c>
      <c r="C16" s="468">
        <v>0</v>
      </c>
      <c r="D16" s="468">
        <v>0</v>
      </c>
      <c r="E16" s="468">
        <v>0</v>
      </c>
      <c r="F16" s="476">
        <v>0</v>
      </c>
      <c r="G16" s="468">
        <f>F16-B16</f>
        <v>0</v>
      </c>
      <c r="H16" s="468">
        <f>F16-C16</f>
        <v>0</v>
      </c>
      <c r="I16" s="468">
        <f>F16-D16</f>
        <v>0</v>
      </c>
      <c r="J16" s="478">
        <f>F16-E16</f>
        <v>0</v>
      </c>
      <c r="K16" s="1"/>
      <c r="L16" s="66"/>
      <c r="M16" s="1"/>
      <c r="N16" s="1"/>
      <c r="O16" s="1"/>
      <c r="P16" s="1"/>
      <c r="Q16" s="1"/>
      <c r="R16" s="1"/>
      <c r="S16" s="1"/>
      <c r="T16" s="1"/>
      <c r="U16" s="1"/>
      <c r="V16" s="1"/>
      <c r="W16" s="1"/>
      <c r="X16" s="1"/>
      <c r="Y16" s="1"/>
      <c r="Z16" s="1"/>
      <c r="AA16" s="1"/>
      <c r="AB16" s="1"/>
      <c r="AC16" s="1"/>
      <c r="AD16" s="1"/>
      <c r="AE16" s="1"/>
      <c r="AF16" s="1"/>
      <c r="AG16" s="1"/>
      <c r="AH16" s="1"/>
      <c r="AI16" s="1"/>
      <c r="AJ16" s="1"/>
      <c r="AK16" s="1"/>
      <c r="AL16" s="1"/>
    </row>
    <row r="17" spans="1:38" ht="30" customHeight="1">
      <c r="A17" s="205" t="s">
        <v>224</v>
      </c>
      <c r="B17" s="473"/>
      <c r="C17" s="473"/>
      <c r="D17" s="473"/>
      <c r="E17" s="473"/>
      <c r="F17" s="473"/>
      <c r="G17" s="468"/>
      <c r="H17" s="474"/>
      <c r="I17" s="474"/>
      <c r="J17" s="478">
        <f t="shared" ref="J17" si="5">F17-E17</f>
        <v>0</v>
      </c>
    </row>
    <row r="18" spans="1:38" ht="39" customHeight="1">
      <c r="A18" s="275" t="s">
        <v>225</v>
      </c>
      <c r="B18" s="479">
        <f>SUM(B14:B17)</f>
        <v>29459146</v>
      </c>
      <c r="C18" s="479">
        <f t="shared" ref="C18:J18" si="6">SUM(C14:C17)</f>
        <v>25459146</v>
      </c>
      <c r="D18" s="479">
        <f t="shared" si="6"/>
        <v>25459146</v>
      </c>
      <c r="E18" s="479">
        <f>SUM(E14:E17)</f>
        <v>21459146</v>
      </c>
      <c r="F18" s="479">
        <f>SUM(F14:F17)</f>
        <v>21356526</v>
      </c>
      <c r="G18" s="479">
        <f t="shared" si="6"/>
        <v>-8102620</v>
      </c>
      <c r="H18" s="479">
        <f t="shared" si="6"/>
        <v>-4102620</v>
      </c>
      <c r="I18" s="479">
        <f t="shared" si="6"/>
        <v>-4102620</v>
      </c>
      <c r="J18" s="480">
        <f t="shared" si="6"/>
        <v>-102620</v>
      </c>
      <c r="M18" s="81"/>
    </row>
    <row r="19" spans="1:38" ht="42" customHeight="1" thickBot="1">
      <c r="A19" s="276" t="s">
        <v>226</v>
      </c>
      <c r="B19" s="481">
        <f>B7+B10+B13+B18</f>
        <v>29459146</v>
      </c>
      <c r="C19" s="481">
        <f t="shared" ref="C19:J19" si="7">C7+C10+C13+C18</f>
        <v>25459146</v>
      </c>
      <c r="D19" s="481">
        <f t="shared" si="7"/>
        <v>25459146</v>
      </c>
      <c r="E19" s="481">
        <f t="shared" si="7"/>
        <v>21459146</v>
      </c>
      <c r="F19" s="481">
        <f t="shared" si="7"/>
        <v>21356526</v>
      </c>
      <c r="G19" s="481">
        <f t="shared" si="7"/>
        <v>-8102620</v>
      </c>
      <c r="H19" s="481">
        <f t="shared" si="7"/>
        <v>-4102620</v>
      </c>
      <c r="I19" s="481">
        <f t="shared" si="7"/>
        <v>-4102620</v>
      </c>
      <c r="J19" s="482">
        <f t="shared" si="7"/>
        <v>-102620</v>
      </c>
    </row>
    <row r="20" spans="1:38" s="208" customFormat="1" ht="39.6" customHeight="1" thickBot="1">
      <c r="A20" s="1006"/>
      <c r="B20" s="1007"/>
      <c r="C20" s="1007"/>
      <c r="D20" s="1007"/>
      <c r="E20" s="1007"/>
      <c r="F20" s="1007"/>
      <c r="G20" s="1007"/>
      <c r="H20" s="1007"/>
      <c r="I20" s="1007"/>
      <c r="J20" s="1007"/>
      <c r="K20" s="207"/>
      <c r="L20" s="207"/>
      <c r="M20" s="207"/>
      <c r="N20" s="207"/>
      <c r="O20" s="207"/>
      <c r="P20" s="207"/>
      <c r="Q20" s="207"/>
      <c r="R20" s="207"/>
      <c r="S20" s="207"/>
      <c r="T20" s="207"/>
      <c r="U20" s="207"/>
      <c r="V20" s="207"/>
      <c r="W20" s="207"/>
      <c r="X20" s="207"/>
      <c r="Y20" s="207"/>
      <c r="Z20" s="207"/>
      <c r="AA20" s="207"/>
      <c r="AB20" s="207"/>
      <c r="AC20" s="207"/>
      <c r="AD20" s="207"/>
      <c r="AE20" s="207"/>
      <c r="AF20" s="207"/>
      <c r="AG20" s="207"/>
      <c r="AH20" s="207"/>
      <c r="AI20" s="207"/>
      <c r="AJ20" s="207"/>
      <c r="AK20" s="207"/>
      <c r="AL20" s="207"/>
    </row>
    <row r="21" spans="1:38" ht="42" customHeight="1" thickBot="1">
      <c r="A21" s="206" t="s">
        <v>227</v>
      </c>
      <c r="B21" s="483">
        <v>120013664</v>
      </c>
      <c r="C21" s="484">
        <v>77326760</v>
      </c>
      <c r="D21" s="484">
        <v>77326760</v>
      </c>
      <c r="E21" s="483">
        <v>86086060</v>
      </c>
      <c r="F21" s="483">
        <v>91570360</v>
      </c>
      <c r="G21" s="484">
        <f>F21-B21</f>
        <v>-28443304</v>
      </c>
      <c r="H21" s="485">
        <f>F21-C21</f>
        <v>14243600</v>
      </c>
      <c r="I21" s="485">
        <f>F21-D21</f>
        <v>14243600</v>
      </c>
      <c r="J21" s="486">
        <f t="shared" ref="J21" si="8">F21-E21</f>
        <v>5484300</v>
      </c>
      <c r="L21" s="66"/>
    </row>
    <row r="22" spans="1:38" ht="36" customHeight="1">
      <c r="A22" s="83"/>
    </row>
    <row r="36" spans="1:1" hidden="1">
      <c r="A36" s="1" t="s">
        <v>132</v>
      </c>
    </row>
    <row r="37" spans="1:1" hidden="1">
      <c r="A37" s="1" t="s">
        <v>133</v>
      </c>
    </row>
    <row r="53" spans="3:14">
      <c r="C53" s="3"/>
      <c r="D53" s="3"/>
      <c r="E53" s="3"/>
      <c r="F53" s="3"/>
      <c r="G53" s="3"/>
      <c r="H53" s="3"/>
      <c r="I53" s="3"/>
      <c r="J53" s="3"/>
      <c r="K53" s="3"/>
      <c r="L53" s="3"/>
      <c r="M53" s="3"/>
      <c r="N53" s="3"/>
    </row>
    <row r="54" spans="3:14">
      <c r="C54" s="3"/>
      <c r="D54" s="3"/>
      <c r="E54" s="3"/>
      <c r="F54" s="3"/>
      <c r="G54" s="3"/>
      <c r="H54" s="3"/>
      <c r="I54" s="3"/>
      <c r="J54" s="3"/>
      <c r="K54" s="3"/>
      <c r="L54" s="3"/>
      <c r="M54" s="3"/>
      <c r="N54" s="3"/>
    </row>
  </sheetData>
  <mergeCells count="1">
    <mergeCell ref="A20:J20"/>
  </mergeCells>
  <phoneticPr fontId="11" type="noConversion"/>
  <printOptions horizontalCentered="1"/>
  <pageMargins left="0.23622047244094491" right="0.11811023622047245" top="0.98425196850393704" bottom="0.52" header="0.15748031496062992" footer="0.28999999999999998"/>
  <pageSetup paperSize="9" scale="65" firstPageNumber="11" orientation="portrait" r:id="rId1"/>
  <headerFooter scaleWithDoc="0" alignWithMargins="0">
    <oddFooter>&amp;C&amp;P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N61"/>
  <sheetViews>
    <sheetView zoomScaleSheetLayoutView="100" workbookViewId="0">
      <selection activeCell="C6" sqref="C6:D6"/>
    </sheetView>
  </sheetViews>
  <sheetFormatPr defaultColWidth="9" defaultRowHeight="14.25"/>
  <cols>
    <col min="1" max="1" width="24.5" style="1" customWidth="1"/>
    <col min="2" max="2" width="20.125" style="1" customWidth="1"/>
    <col min="3" max="3" width="23.5" style="1" customWidth="1"/>
    <col min="4" max="4" width="16" style="1" customWidth="1"/>
    <col min="5" max="6" width="14.75" style="1" hidden="1" customWidth="1"/>
    <col min="7" max="7" width="35" style="1" customWidth="1"/>
    <col min="8" max="8" width="18.125" style="1" customWidth="1"/>
    <col min="9" max="9" width="14.625" style="66" customWidth="1"/>
    <col min="10" max="10" width="14.5" style="1" customWidth="1"/>
    <col min="11" max="11" width="14.625" style="1" customWidth="1"/>
    <col min="12" max="12" width="15.125" style="1" customWidth="1"/>
    <col min="13" max="15" width="9" style="1" customWidth="1"/>
    <col min="16" max="40" width="9" style="1"/>
    <col min="41" max="16384" width="9" style="21"/>
  </cols>
  <sheetData>
    <row r="1" spans="1:40" ht="19.5">
      <c r="A1" s="78" t="s">
        <v>350</v>
      </c>
    </row>
    <row r="2" spans="1:40" ht="15" customHeight="1">
      <c r="A2" s="78"/>
    </row>
    <row r="3" spans="1:40" ht="23.25" customHeight="1">
      <c r="A3" s="426" t="str">
        <f>'7.공익채권'!A2</f>
        <v>(20**. 04. 30. 기준)</v>
      </c>
      <c r="B3" s="79"/>
      <c r="C3" s="79"/>
      <c r="D3" s="79"/>
      <c r="E3" s="79"/>
      <c r="F3" s="79"/>
      <c r="G3" s="80"/>
    </row>
    <row r="4" spans="1:40" s="42" customFormat="1" ht="15" customHeight="1" thickBot="1">
      <c r="A4" s="166"/>
      <c r="B4" s="79"/>
      <c r="C4" s="79"/>
      <c r="D4" s="79"/>
      <c r="E4" s="79"/>
      <c r="F4" s="79"/>
      <c r="G4" s="80" t="s">
        <v>130</v>
      </c>
      <c r="H4" s="1"/>
      <c r="I4" s="66"/>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row>
    <row r="5" spans="1:40" ht="25.5" customHeight="1">
      <c r="A5" s="175" t="s">
        <v>108</v>
      </c>
      <c r="B5" s="176" t="s">
        <v>109</v>
      </c>
      <c r="C5" s="176" t="s">
        <v>110</v>
      </c>
      <c r="D5" s="176" t="s">
        <v>129</v>
      </c>
      <c r="E5" s="1008" t="s">
        <v>71</v>
      </c>
      <c r="F5" s="1009"/>
      <c r="G5" s="1010"/>
    </row>
    <row r="6" spans="1:40" ht="25.5" customHeight="1">
      <c r="A6" s="201" t="s">
        <v>122</v>
      </c>
      <c r="B6" s="170" t="s">
        <v>281</v>
      </c>
      <c r="C6" s="171"/>
      <c r="D6" s="769">
        <v>0</v>
      </c>
      <c r="E6" s="177"/>
      <c r="F6" s="177"/>
      <c r="G6" s="202"/>
      <c r="H6" s="66"/>
    </row>
    <row r="7" spans="1:40" ht="25.5" customHeight="1">
      <c r="A7" s="634" t="s">
        <v>429</v>
      </c>
      <c r="B7" s="635" t="s">
        <v>363</v>
      </c>
      <c r="C7" s="635" t="s">
        <v>1166</v>
      </c>
      <c r="D7" s="770">
        <v>115973502</v>
      </c>
      <c r="E7" s="636"/>
      <c r="F7" s="636"/>
      <c r="G7" s="637"/>
      <c r="H7" s="81"/>
      <c r="M7"/>
    </row>
    <row r="8" spans="1:40" s="42" customFormat="1" ht="25.5" customHeight="1">
      <c r="A8" s="634" t="s">
        <v>429</v>
      </c>
      <c r="B8" s="635" t="s">
        <v>364</v>
      </c>
      <c r="C8" s="638" t="s">
        <v>1168</v>
      </c>
      <c r="D8" s="770">
        <v>3378958</v>
      </c>
      <c r="E8" s="636"/>
      <c r="F8" s="636"/>
      <c r="G8" s="637"/>
      <c r="H8" s="308"/>
      <c r="I8" s="66"/>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row>
    <row r="9" spans="1:40" s="42" customFormat="1" ht="25.5" customHeight="1">
      <c r="A9" s="634" t="s">
        <v>429</v>
      </c>
      <c r="B9" s="635" t="s">
        <v>364</v>
      </c>
      <c r="C9" s="638" t="s">
        <v>1170</v>
      </c>
      <c r="D9" s="770">
        <v>801</v>
      </c>
      <c r="E9" s="636"/>
      <c r="F9" s="636"/>
      <c r="G9" s="637"/>
      <c r="H9" s="308"/>
      <c r="I9" s="66"/>
      <c r="J9" s="1"/>
      <c r="K9" s="1"/>
      <c r="L9" s="1"/>
      <c r="M9" s="338"/>
      <c r="N9" s="1"/>
      <c r="O9" s="1"/>
      <c r="P9" s="1"/>
      <c r="Q9" s="1"/>
      <c r="R9" s="1"/>
      <c r="S9" s="1"/>
      <c r="T9" s="1"/>
      <c r="U9" s="1"/>
      <c r="V9" s="1"/>
      <c r="W9" s="1"/>
      <c r="X9" s="1"/>
      <c r="Y9" s="1"/>
      <c r="Z9" s="1"/>
      <c r="AA9" s="1"/>
      <c r="AB9" s="1"/>
      <c r="AC9" s="1"/>
      <c r="AD9" s="1"/>
      <c r="AE9" s="1"/>
      <c r="AF9" s="1"/>
      <c r="AG9" s="1"/>
      <c r="AH9" s="1"/>
      <c r="AI9" s="1"/>
      <c r="AJ9" s="1"/>
      <c r="AK9" s="1"/>
      <c r="AL9" s="1"/>
      <c r="AM9" s="1"/>
      <c r="AN9" s="1"/>
    </row>
    <row r="10" spans="1:40" s="42" customFormat="1" ht="25.5" customHeight="1">
      <c r="A10" s="634" t="s">
        <v>430</v>
      </c>
      <c r="B10" s="635" t="s">
        <v>431</v>
      </c>
      <c r="C10" s="638" t="s">
        <v>1172</v>
      </c>
      <c r="D10" s="770">
        <v>41390736</v>
      </c>
      <c r="E10" s="636"/>
      <c r="F10" s="636"/>
      <c r="G10" s="637"/>
      <c r="H10" s="308"/>
      <c r="I10" s="66"/>
      <c r="J10" s="1"/>
      <c r="K10" s="1"/>
      <c r="L10" s="1"/>
      <c r="M10" s="338"/>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row>
    <row r="11" spans="1:40" s="42" customFormat="1" ht="25.5" customHeight="1">
      <c r="A11" s="634" t="s">
        <v>432</v>
      </c>
      <c r="B11" s="635" t="s">
        <v>359</v>
      </c>
      <c r="C11" s="639" t="s">
        <v>1173</v>
      </c>
      <c r="D11" s="770">
        <v>1000</v>
      </c>
      <c r="E11" s="640"/>
      <c r="F11" s="640"/>
      <c r="G11" s="637"/>
      <c r="H11" s="308"/>
      <c r="I11" s="66"/>
      <c r="J11" s="460"/>
      <c r="K11" s="460"/>
      <c r="L11" s="460"/>
      <c r="M11" s="338"/>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row>
    <row r="12" spans="1:40" s="42" customFormat="1" ht="25.5" customHeight="1">
      <c r="A12" s="634" t="s">
        <v>478</v>
      </c>
      <c r="B12" s="635" t="s">
        <v>480</v>
      </c>
      <c r="C12" s="639" t="s">
        <v>1174</v>
      </c>
      <c r="D12" s="770">
        <v>1651</v>
      </c>
      <c r="E12" s="640"/>
      <c r="F12" s="640"/>
      <c r="G12" s="637"/>
      <c r="H12" s="308"/>
      <c r="I12" s="66"/>
      <c r="J12" s="460"/>
      <c r="K12" s="460"/>
      <c r="L12" s="460"/>
      <c r="M12" s="338"/>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row>
    <row r="13" spans="1:40" s="42" customFormat="1" ht="25.5" customHeight="1">
      <c r="A13" s="634" t="s">
        <v>478</v>
      </c>
      <c r="B13" s="635" t="s">
        <v>479</v>
      </c>
      <c r="C13" s="639" t="s">
        <v>1175</v>
      </c>
      <c r="D13" s="770">
        <v>179</v>
      </c>
      <c r="E13" s="641"/>
      <c r="F13" s="641"/>
      <c r="G13" s="637"/>
      <c r="H13" s="308"/>
      <c r="I13" s="66"/>
      <c r="J13" s="460"/>
      <c r="K13" s="460"/>
      <c r="L13" s="460"/>
      <c r="M13" s="338"/>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row>
    <row r="14" spans="1:40" s="42" customFormat="1" ht="25.5" customHeight="1">
      <c r="A14" s="634" t="s">
        <v>567</v>
      </c>
      <c r="B14" s="642" t="s">
        <v>568</v>
      </c>
      <c r="C14" s="643" t="s">
        <v>1176</v>
      </c>
      <c r="D14" s="770">
        <v>15051900</v>
      </c>
      <c r="E14" s="644"/>
      <c r="F14" s="644"/>
      <c r="G14" s="637" t="s">
        <v>572</v>
      </c>
      <c r="H14" s="308"/>
      <c r="I14" s="66"/>
      <c r="J14" s="460"/>
      <c r="K14" s="460"/>
      <c r="L14" s="460"/>
      <c r="M14" s="338"/>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row>
    <row r="15" spans="1:40" s="42" customFormat="1" ht="25.5" customHeight="1">
      <c r="A15" s="634" t="s">
        <v>569</v>
      </c>
      <c r="B15" s="642" t="s">
        <v>570</v>
      </c>
      <c r="C15" s="643" t="s">
        <v>1177</v>
      </c>
      <c r="D15" s="770">
        <v>14668500</v>
      </c>
      <c r="E15" s="644"/>
      <c r="F15" s="644"/>
      <c r="G15" s="637" t="s">
        <v>572</v>
      </c>
      <c r="H15" s="308"/>
      <c r="I15" s="66"/>
      <c r="J15" s="460"/>
      <c r="K15" s="460"/>
      <c r="L15" s="460"/>
      <c r="M15" s="338"/>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row>
    <row r="16" spans="1:40" s="42" customFormat="1" ht="25.5" customHeight="1">
      <c r="A16" s="634" t="s">
        <v>567</v>
      </c>
      <c r="B16" s="642" t="s">
        <v>573</v>
      </c>
      <c r="C16" s="645" t="s">
        <v>1178</v>
      </c>
      <c r="D16" s="770">
        <v>6453778</v>
      </c>
      <c r="E16" s="641"/>
      <c r="F16" s="641"/>
      <c r="G16" s="637" t="s">
        <v>1180</v>
      </c>
      <c r="H16" s="308"/>
      <c r="I16" s="66"/>
      <c r="J16" s="460"/>
      <c r="K16" s="460"/>
      <c r="L16" s="460"/>
      <c r="M16" s="338"/>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row>
    <row r="17" spans="1:40" s="42" customFormat="1" ht="25.5" customHeight="1">
      <c r="A17" s="646" t="s">
        <v>316</v>
      </c>
      <c r="B17" s="638" t="s">
        <v>360</v>
      </c>
      <c r="C17" s="638" t="s">
        <v>1179</v>
      </c>
      <c r="D17" s="770">
        <v>5216558</v>
      </c>
      <c r="E17" s="636"/>
      <c r="F17" s="636"/>
      <c r="G17" s="637" t="s">
        <v>288</v>
      </c>
      <c r="H17" s="81"/>
      <c r="I17" s="81"/>
      <c r="J17" s="8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row>
    <row r="18" spans="1:40" s="42" customFormat="1" ht="25.5" customHeight="1" thickBot="1">
      <c r="A18" s="1011" t="s">
        <v>279</v>
      </c>
      <c r="B18" s="1012"/>
      <c r="C18" s="1013"/>
      <c r="D18" s="566">
        <f>SUM(D6:D17)</f>
        <v>202137563</v>
      </c>
      <c r="E18" s="76"/>
      <c r="F18" s="76"/>
      <c r="G18" s="336"/>
      <c r="H18" s="81"/>
      <c r="I18" s="66"/>
      <c r="J18" s="74"/>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row>
    <row r="19" spans="1:40" s="42" customFormat="1" ht="33.75" customHeight="1">
      <c r="A19" s="297" t="s">
        <v>1391</v>
      </c>
      <c r="B19" s="294"/>
      <c r="C19" s="294"/>
      <c r="D19" s="295"/>
      <c r="E19" s="295"/>
      <c r="F19" s="295"/>
      <c r="G19" s="296"/>
      <c r="H19" s="337" t="s">
        <v>315</v>
      </c>
      <c r="I19" s="66" t="s">
        <v>571</v>
      </c>
      <c r="J19" s="66"/>
      <c r="K19" s="66"/>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row>
    <row r="20" spans="1:40" s="42" customFormat="1" ht="25.5" customHeight="1">
      <c r="A20" s="77"/>
      <c r="B20" s="1"/>
      <c r="C20" s="1"/>
      <c r="D20" s="1"/>
      <c r="E20" s="1"/>
      <c r="F20" s="1"/>
      <c r="G20" s="81">
        <f>D18-I20</f>
        <v>160746827</v>
      </c>
      <c r="H20" s="81">
        <f>G20-D6</f>
        <v>160746827</v>
      </c>
      <c r="I20" s="66">
        <f>SUM(D14:D17)</f>
        <v>41390736</v>
      </c>
      <c r="J20" s="66"/>
      <c r="K20" s="221"/>
      <c r="L20" s="66"/>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row>
    <row r="21" spans="1:40" ht="25.5" customHeight="1">
      <c r="A21" s="77"/>
      <c r="H21" s="81"/>
    </row>
    <row r="22" spans="1:40" ht="15" thickBot="1"/>
    <row r="23" spans="1:40">
      <c r="A23" s="175" t="s">
        <v>107</v>
      </c>
      <c r="B23" s="176" t="s">
        <v>109</v>
      </c>
      <c r="C23" s="176" t="s">
        <v>110</v>
      </c>
      <c r="D23" s="176" t="s">
        <v>129</v>
      </c>
      <c r="E23" s="1008" t="s">
        <v>71</v>
      </c>
      <c r="F23" s="1009"/>
      <c r="G23" s="1010"/>
    </row>
    <row r="24" spans="1:40">
      <c r="A24" s="201"/>
      <c r="B24" s="170"/>
      <c r="C24" s="171"/>
      <c r="D24" s="172"/>
      <c r="E24" s="177"/>
      <c r="F24" s="177"/>
      <c r="G24" s="202"/>
      <c r="J24" s="66"/>
    </row>
    <row r="25" spans="1:40" ht="17.25" customHeight="1">
      <c r="A25" s="201"/>
      <c r="B25" s="170"/>
      <c r="C25" s="173"/>
      <c r="D25" s="172"/>
      <c r="E25" s="177"/>
      <c r="F25" s="177"/>
      <c r="G25" s="202"/>
    </row>
    <row r="26" spans="1:40" ht="17.25" customHeight="1">
      <c r="A26" s="201"/>
      <c r="B26" s="170"/>
      <c r="C26" s="174"/>
      <c r="D26" s="172"/>
      <c r="E26" s="177"/>
      <c r="F26" s="177"/>
      <c r="G26" s="202"/>
    </row>
    <row r="27" spans="1:40" s="42" customFormat="1" ht="17.25" customHeight="1">
      <c r="A27" s="201"/>
      <c r="B27" s="170"/>
      <c r="C27" s="174"/>
      <c r="D27" s="172"/>
      <c r="E27" s="177"/>
      <c r="F27" s="177"/>
      <c r="G27" s="202"/>
      <c r="H27" s="1"/>
      <c r="I27" s="66"/>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row>
    <row r="28" spans="1:40" ht="17.25" customHeight="1">
      <c r="A28" s="201"/>
      <c r="B28" s="170"/>
      <c r="C28" s="174"/>
      <c r="D28" s="172"/>
      <c r="E28" s="177"/>
      <c r="F28" s="177"/>
      <c r="G28" s="202"/>
    </row>
    <row r="29" spans="1:40" ht="17.25" customHeight="1">
      <c r="A29" s="201"/>
      <c r="B29" s="170"/>
      <c r="C29" s="174"/>
      <c r="D29" s="227"/>
      <c r="E29" s="177"/>
      <c r="F29" s="177"/>
      <c r="G29" s="223"/>
    </row>
    <row r="30" spans="1:40" ht="17.25" customHeight="1" thickBot="1">
      <c r="A30" s="1014" t="s">
        <v>111</v>
      </c>
      <c r="B30" s="1015"/>
      <c r="C30" s="1016"/>
      <c r="D30" s="76">
        <f>SUM(D24:D29)</f>
        <v>0</v>
      </c>
      <c r="E30" s="76"/>
      <c r="F30" s="76"/>
      <c r="G30" s="169"/>
    </row>
    <row r="31" spans="1:40" ht="17.25" customHeight="1">
      <c r="A31" s="181"/>
      <c r="B31" s="181"/>
      <c r="C31" s="182"/>
      <c r="D31" s="193"/>
      <c r="G31" s="178"/>
    </row>
    <row r="32" spans="1:40" ht="17.25" customHeight="1">
      <c r="A32" s="192"/>
      <c r="B32" s="192"/>
      <c r="C32" s="192"/>
      <c r="D32" s="194"/>
    </row>
    <row r="33" spans="1:40">
      <c r="D33" s="81"/>
      <c r="K33" s="66"/>
    </row>
    <row r="34" spans="1:40" s="42" customFormat="1">
      <c r="A34" s="1"/>
      <c r="B34" s="1"/>
      <c r="C34" s="1"/>
      <c r="D34" s="1"/>
      <c r="E34" s="1"/>
      <c r="F34" s="1"/>
      <c r="G34" s="1"/>
      <c r="H34" s="1"/>
      <c r="I34" s="66"/>
      <c r="J34" s="1"/>
      <c r="K34" s="66"/>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row>
    <row r="35" spans="1:40">
      <c r="K35" s="66"/>
    </row>
    <row r="36" spans="1:40">
      <c r="D36" s="81"/>
      <c r="K36" s="66"/>
    </row>
    <row r="38" spans="1:40">
      <c r="D38" s="81">
        <f>D36+D24</f>
        <v>0</v>
      </c>
    </row>
    <row r="60" spans="3:14">
      <c r="C60" s="3"/>
      <c r="D60" s="3"/>
      <c r="E60" s="3"/>
      <c r="F60" s="3"/>
      <c r="G60" s="3"/>
      <c r="H60" s="3"/>
      <c r="I60" s="195" t="s">
        <v>353</v>
      </c>
      <c r="J60" s="3"/>
      <c r="K60" s="3"/>
      <c r="L60" s="3"/>
      <c r="M60" s="3"/>
      <c r="N60" s="3"/>
    </row>
    <row r="61" spans="3:14">
      <c r="C61" s="3"/>
      <c r="D61" s="3"/>
      <c r="E61" s="3"/>
      <c r="F61" s="3"/>
      <c r="G61" s="3"/>
      <c r="H61" s="3"/>
      <c r="I61" s="195" t="s">
        <v>354</v>
      </c>
      <c r="J61" s="3"/>
      <c r="K61" s="3"/>
      <c r="L61" s="3"/>
      <c r="M61" s="3"/>
      <c r="N61" s="3"/>
    </row>
  </sheetData>
  <mergeCells count="4">
    <mergeCell ref="E5:G5"/>
    <mergeCell ref="A18:C18"/>
    <mergeCell ref="E23:G23"/>
    <mergeCell ref="A30:C30"/>
  </mergeCells>
  <phoneticPr fontId="11" type="noConversion"/>
  <printOptions horizontalCentered="1"/>
  <pageMargins left="0.23622047244094491" right="0.11811023622047245" top="0.98425196850393704" bottom="0.52" header="0.15748031496062992" footer="0.28999999999999998"/>
  <pageSetup paperSize="9" scale="65" firstPageNumber="13" fitToHeight="0" orientation="portrait" r:id="rId1"/>
  <headerFooter scaleWithDoc="0" alignWithMargins="0">
    <oddFooter>&amp;C&amp;P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0"/>
  <sheetViews>
    <sheetView workbookViewId="0">
      <selection activeCell="F19" sqref="F19"/>
    </sheetView>
  </sheetViews>
  <sheetFormatPr defaultColWidth="9" defaultRowHeight="16.5"/>
  <cols>
    <col min="1" max="1" width="9" style="183"/>
    <col min="2" max="2" width="16.125" style="183" customWidth="1"/>
    <col min="3" max="3" width="9" style="183"/>
    <col min="4" max="4" width="20" style="183" customWidth="1"/>
    <col min="5" max="5" width="13.375" style="183" customWidth="1"/>
    <col min="6" max="6" width="17.75" style="183" customWidth="1"/>
    <col min="7" max="7" width="25.375" style="183" customWidth="1"/>
    <col min="8" max="8" width="11.25" style="183" customWidth="1"/>
    <col min="9" max="9" width="25.5" style="183" customWidth="1"/>
    <col min="10" max="16384" width="9" style="183"/>
  </cols>
  <sheetData>
    <row r="1" spans="1:9" ht="18" customHeight="1" thickTop="1" thickBot="1">
      <c r="A1" s="1023" t="s">
        <v>180</v>
      </c>
      <c r="B1" s="1024"/>
      <c r="C1" s="1024"/>
      <c r="D1" s="1024"/>
      <c r="E1" s="1024"/>
      <c r="F1" s="1024"/>
      <c r="G1" s="1024"/>
      <c r="H1" s="1024"/>
      <c r="I1" s="1025"/>
    </row>
    <row r="2" spans="1:9" ht="18" customHeight="1">
      <c r="A2" s="1017" t="s">
        <v>181</v>
      </c>
      <c r="B2" s="1018"/>
      <c r="C2" s="1018"/>
      <c r="D2" s="1019"/>
      <c r="E2" s="1017" t="s">
        <v>182</v>
      </c>
      <c r="F2" s="1018"/>
      <c r="G2" s="1018"/>
      <c r="H2" s="1018"/>
      <c r="I2" s="1019"/>
    </row>
    <row r="3" spans="1:9" ht="18" customHeight="1" thickBot="1">
      <c r="A3" s="1020" t="s">
        <v>169</v>
      </c>
      <c r="B3" s="1021"/>
      <c r="C3" s="1021"/>
      <c r="D3" s="1022"/>
      <c r="E3" s="1020" t="s">
        <v>183</v>
      </c>
      <c r="F3" s="1021"/>
      <c r="G3" s="1021"/>
      <c r="H3" s="1021"/>
      <c r="I3" s="1022"/>
    </row>
    <row r="4" spans="1:9" ht="31.5" customHeight="1" thickBot="1">
      <c r="A4" s="184" t="s">
        <v>170</v>
      </c>
      <c r="B4" s="184" t="s">
        <v>166</v>
      </c>
      <c r="C4" s="184" t="s">
        <v>184</v>
      </c>
      <c r="D4" s="184" t="s">
        <v>172</v>
      </c>
      <c r="E4" s="184" t="s">
        <v>171</v>
      </c>
      <c r="F4" s="184" t="s">
        <v>168</v>
      </c>
      <c r="G4" s="184" t="s">
        <v>75</v>
      </c>
      <c r="H4" s="184" t="s">
        <v>185</v>
      </c>
      <c r="I4" s="184" t="s">
        <v>186</v>
      </c>
    </row>
    <row r="5" spans="1:9" ht="18" customHeight="1" thickBot="1">
      <c r="A5" s="185">
        <v>1</v>
      </c>
      <c r="B5" s="186" t="s">
        <v>173</v>
      </c>
      <c r="C5" s="186" t="s">
        <v>187</v>
      </c>
      <c r="D5" s="187">
        <v>0</v>
      </c>
      <c r="E5" s="187">
        <v>242</v>
      </c>
      <c r="F5" s="187">
        <v>699.9</v>
      </c>
      <c r="G5" s="186" t="s">
        <v>174</v>
      </c>
      <c r="H5" s="186"/>
      <c r="I5" s="186"/>
    </row>
    <row r="6" spans="1:9" ht="18" customHeight="1" thickBot="1">
      <c r="A6" s="185">
        <v>2</v>
      </c>
      <c r="B6" s="186" t="s">
        <v>188</v>
      </c>
      <c r="C6" s="186" t="s">
        <v>187</v>
      </c>
      <c r="D6" s="187">
        <v>0</v>
      </c>
      <c r="E6" s="187">
        <v>699.9</v>
      </c>
      <c r="F6" s="187">
        <v>0</v>
      </c>
      <c r="G6" s="186" t="s">
        <v>57</v>
      </c>
      <c r="H6" s="186"/>
      <c r="I6" s="186"/>
    </row>
    <row r="7" spans="1:9" ht="18" customHeight="1" thickBot="1">
      <c r="A7" s="185"/>
      <c r="B7" s="188" t="s">
        <v>175</v>
      </c>
      <c r="C7" s="188" t="s">
        <v>187</v>
      </c>
      <c r="D7" s="188">
        <v>0</v>
      </c>
      <c r="E7" s="188">
        <v>941.9</v>
      </c>
      <c r="F7" s="185"/>
      <c r="G7" s="185"/>
      <c r="H7" s="185"/>
      <c r="I7" s="185"/>
    </row>
    <row r="8" spans="1:9" ht="18" customHeight="1" thickBot="1">
      <c r="A8" s="189"/>
      <c r="B8" s="189"/>
      <c r="C8" s="189"/>
      <c r="D8" s="189"/>
      <c r="E8" s="189"/>
      <c r="F8" s="189"/>
      <c r="G8" s="189"/>
      <c r="H8" s="189"/>
      <c r="I8" s="189"/>
    </row>
    <row r="9" spans="1:9" ht="18" customHeight="1" thickTop="1" thickBot="1">
      <c r="A9" s="1023" t="s">
        <v>180</v>
      </c>
      <c r="B9" s="1024"/>
      <c r="C9" s="1024"/>
      <c r="D9" s="1024"/>
      <c r="E9" s="1024"/>
      <c r="F9" s="1024"/>
      <c r="G9" s="1024"/>
      <c r="H9" s="1024"/>
      <c r="I9" s="1025"/>
    </row>
    <row r="10" spans="1:9" ht="18" customHeight="1">
      <c r="A10" s="1017" t="s">
        <v>181</v>
      </c>
      <c r="B10" s="1018"/>
      <c r="C10" s="1018"/>
      <c r="D10" s="1019"/>
      <c r="E10" s="1017" t="s">
        <v>182</v>
      </c>
      <c r="F10" s="1018"/>
      <c r="G10" s="1018"/>
      <c r="H10" s="1018"/>
      <c r="I10" s="1019"/>
    </row>
    <row r="11" spans="1:9" ht="18" customHeight="1" thickBot="1">
      <c r="A11" s="1020" t="s">
        <v>169</v>
      </c>
      <c r="B11" s="1021"/>
      <c r="C11" s="1021"/>
      <c r="D11" s="1022"/>
      <c r="E11" s="1020" t="s">
        <v>189</v>
      </c>
      <c r="F11" s="1021"/>
      <c r="G11" s="1021"/>
      <c r="H11" s="1021"/>
      <c r="I11" s="1022"/>
    </row>
    <row r="12" spans="1:9" ht="32.25" customHeight="1" thickBot="1">
      <c r="A12" s="184" t="s">
        <v>170</v>
      </c>
      <c r="B12" s="184" t="s">
        <v>166</v>
      </c>
      <c r="C12" s="184" t="s">
        <v>184</v>
      </c>
      <c r="D12" s="184" t="s">
        <v>172</v>
      </c>
      <c r="E12" s="184" t="s">
        <v>171</v>
      </c>
      <c r="F12" s="184" t="s">
        <v>168</v>
      </c>
      <c r="G12" s="184" t="s">
        <v>75</v>
      </c>
      <c r="H12" s="184" t="s">
        <v>185</v>
      </c>
      <c r="I12" s="184" t="s">
        <v>186</v>
      </c>
    </row>
    <row r="13" spans="1:9" ht="18" customHeight="1" thickBot="1">
      <c r="A13" s="185">
        <v>1</v>
      </c>
      <c r="B13" s="186" t="s">
        <v>190</v>
      </c>
      <c r="C13" s="186" t="s">
        <v>187</v>
      </c>
      <c r="D13" s="187">
        <v>0</v>
      </c>
      <c r="E13" s="187">
        <v>325</v>
      </c>
      <c r="F13" s="190">
        <v>74852.55</v>
      </c>
      <c r="G13" s="186" t="s">
        <v>174</v>
      </c>
      <c r="H13" s="186"/>
      <c r="I13" s="186"/>
    </row>
    <row r="14" spans="1:9" ht="18" customHeight="1" thickBot="1">
      <c r="A14" s="185">
        <v>2</v>
      </c>
      <c r="B14" s="186" t="s">
        <v>191</v>
      </c>
      <c r="C14" s="186" t="s">
        <v>187</v>
      </c>
      <c r="D14" s="187">
        <v>0</v>
      </c>
      <c r="E14" s="190">
        <v>73000</v>
      </c>
      <c r="F14" s="190">
        <v>1852.55</v>
      </c>
      <c r="G14" s="186" t="s">
        <v>192</v>
      </c>
      <c r="H14" s="186"/>
      <c r="I14" s="186"/>
    </row>
    <row r="15" spans="1:9" ht="32.25" customHeight="1" thickBot="1">
      <c r="A15" s="185">
        <v>3</v>
      </c>
      <c r="B15" s="186" t="s">
        <v>193</v>
      </c>
      <c r="C15" s="186" t="s">
        <v>187</v>
      </c>
      <c r="D15" s="190">
        <v>15167.8</v>
      </c>
      <c r="E15" s="187">
        <v>0</v>
      </c>
      <c r="F15" s="190">
        <v>17020.349999999999</v>
      </c>
      <c r="G15" s="186" t="s">
        <v>194</v>
      </c>
      <c r="H15" s="186"/>
      <c r="I15" s="186" t="s">
        <v>195</v>
      </c>
    </row>
    <row r="16" spans="1:9" ht="18" customHeight="1" thickBot="1">
      <c r="A16" s="185">
        <v>4</v>
      </c>
      <c r="B16" s="186" t="s">
        <v>196</v>
      </c>
      <c r="C16" s="186" t="s">
        <v>187</v>
      </c>
      <c r="D16" s="187">
        <v>0.71</v>
      </c>
      <c r="E16" s="187">
        <v>0</v>
      </c>
      <c r="F16" s="190">
        <v>17021.060000000001</v>
      </c>
      <c r="G16" s="186" t="s">
        <v>197</v>
      </c>
      <c r="H16" s="186"/>
      <c r="I16" s="186"/>
    </row>
    <row r="17" spans="1:9" ht="18" customHeight="1" thickBot="1">
      <c r="A17" s="185">
        <v>5</v>
      </c>
      <c r="B17" s="186" t="s">
        <v>198</v>
      </c>
      <c r="C17" s="186" t="s">
        <v>187</v>
      </c>
      <c r="D17" s="187">
        <v>0</v>
      </c>
      <c r="E17" s="187">
        <v>710.4</v>
      </c>
      <c r="F17" s="190">
        <v>16310.66</v>
      </c>
      <c r="G17" s="186" t="s">
        <v>174</v>
      </c>
      <c r="H17" s="186"/>
      <c r="I17" s="186"/>
    </row>
    <row r="18" spans="1:9" ht="18" customHeight="1" thickBot="1">
      <c r="A18" s="185">
        <v>6</v>
      </c>
      <c r="B18" s="186" t="s">
        <v>199</v>
      </c>
      <c r="C18" s="186" t="s">
        <v>187</v>
      </c>
      <c r="D18" s="190">
        <v>54631.24</v>
      </c>
      <c r="E18" s="187">
        <v>0</v>
      </c>
      <c r="F18" s="190">
        <v>70941.899999999994</v>
      </c>
      <c r="G18" s="186" t="s">
        <v>200</v>
      </c>
      <c r="H18" s="186"/>
      <c r="I18" s="186"/>
    </row>
    <row r="19" spans="1:9" ht="18" customHeight="1" thickBot="1">
      <c r="A19" s="185">
        <v>7</v>
      </c>
      <c r="B19" s="186" t="s">
        <v>201</v>
      </c>
      <c r="C19" s="186" t="s">
        <v>187</v>
      </c>
      <c r="D19" s="187">
        <v>0</v>
      </c>
      <c r="E19" s="190">
        <v>70000</v>
      </c>
      <c r="F19" s="187">
        <v>941.9</v>
      </c>
      <c r="G19" s="186" t="s">
        <v>192</v>
      </c>
      <c r="H19" s="186"/>
      <c r="I19" s="186"/>
    </row>
    <row r="20" spans="1:9" ht="18" customHeight="1" thickBot="1">
      <c r="A20" s="185"/>
      <c r="B20" s="188" t="s">
        <v>175</v>
      </c>
      <c r="C20" s="188" t="s">
        <v>187</v>
      </c>
      <c r="D20" s="191">
        <v>69799.75</v>
      </c>
      <c r="E20" s="191">
        <v>144035.4</v>
      </c>
      <c r="F20" s="185"/>
      <c r="G20" s="185"/>
      <c r="H20" s="185"/>
      <c r="I20" s="185"/>
    </row>
  </sheetData>
  <mergeCells count="10">
    <mergeCell ref="A10:D10"/>
    <mergeCell ref="E10:I10"/>
    <mergeCell ref="A11:D11"/>
    <mergeCell ref="E11:I11"/>
    <mergeCell ref="A1:I1"/>
    <mergeCell ref="A2:D2"/>
    <mergeCell ref="E2:I2"/>
    <mergeCell ref="A3:D3"/>
    <mergeCell ref="E3:I3"/>
    <mergeCell ref="A9:I9"/>
  </mergeCells>
  <phoneticPr fontId="11" type="noConversion"/>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6.5"/>
  <sheetData/>
  <phoneticPr fontId="11" type="noConversion"/>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6.5"/>
  <sheetData/>
  <phoneticPr fontId="11" type="noConversion"/>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7"/>
  <sheetViews>
    <sheetView topLeftCell="B1" workbookViewId="0">
      <selection activeCell="C6" sqref="C6:D6"/>
    </sheetView>
  </sheetViews>
  <sheetFormatPr defaultRowHeight="16.5"/>
  <cols>
    <col min="1" max="1" width="7.75" style="487" hidden="1" customWidth="1"/>
    <col min="2" max="2" width="22" style="487" customWidth="1"/>
    <col min="3" max="5" width="12.875" style="487" customWidth="1"/>
    <col min="6" max="6" width="12.375" style="487" customWidth="1"/>
    <col min="7" max="7" width="18.875" style="487" customWidth="1"/>
    <col min="8" max="8" width="12.375" style="487" customWidth="1"/>
    <col min="9" max="9" width="18.5" style="487" customWidth="1"/>
    <col min="10" max="11" width="7.75" style="487" hidden="1" customWidth="1"/>
    <col min="12" max="256" width="9" style="487"/>
    <col min="257" max="257" width="0" style="487" hidden="1" customWidth="1"/>
    <col min="258" max="258" width="11.75" style="487" customWidth="1"/>
    <col min="259" max="261" width="12.875" style="487" customWidth="1"/>
    <col min="262" max="262" width="12.375" style="487" customWidth="1"/>
    <col min="263" max="263" width="18.875" style="487" customWidth="1"/>
    <col min="264" max="264" width="9.125" style="487" customWidth="1"/>
    <col min="265" max="265" width="18.5" style="487" customWidth="1"/>
    <col min="266" max="267" width="0" style="487" hidden="1" customWidth="1"/>
    <col min="268" max="512" width="9" style="487"/>
    <col min="513" max="513" width="0" style="487" hidden="1" customWidth="1"/>
    <col min="514" max="514" width="11.75" style="487" customWidth="1"/>
    <col min="515" max="517" width="12.875" style="487" customWidth="1"/>
    <col min="518" max="518" width="12.375" style="487" customWidth="1"/>
    <col min="519" max="519" width="18.875" style="487" customWidth="1"/>
    <col min="520" max="520" width="9.125" style="487" customWidth="1"/>
    <col min="521" max="521" width="18.5" style="487" customWidth="1"/>
    <col min="522" max="523" width="0" style="487" hidden="1" customWidth="1"/>
    <col min="524" max="768" width="9" style="487"/>
    <col min="769" max="769" width="0" style="487" hidden="1" customWidth="1"/>
    <col min="770" max="770" width="11.75" style="487" customWidth="1"/>
    <col min="771" max="773" width="12.875" style="487" customWidth="1"/>
    <col min="774" max="774" width="12.375" style="487" customWidth="1"/>
    <col min="775" max="775" width="18.875" style="487" customWidth="1"/>
    <col min="776" max="776" width="9.125" style="487" customWidth="1"/>
    <col min="777" max="777" width="18.5" style="487" customWidth="1"/>
    <col min="778" max="779" width="0" style="487" hidden="1" customWidth="1"/>
    <col min="780" max="1024" width="9" style="487"/>
    <col min="1025" max="1025" width="0" style="487" hidden="1" customWidth="1"/>
    <col min="1026" max="1026" width="11.75" style="487" customWidth="1"/>
    <col min="1027" max="1029" width="12.875" style="487" customWidth="1"/>
    <col min="1030" max="1030" width="12.375" style="487" customWidth="1"/>
    <col min="1031" max="1031" width="18.875" style="487" customWidth="1"/>
    <col min="1032" max="1032" width="9.125" style="487" customWidth="1"/>
    <col min="1033" max="1033" width="18.5" style="487" customWidth="1"/>
    <col min="1034" max="1035" width="0" style="487" hidden="1" customWidth="1"/>
    <col min="1036" max="1280" width="9" style="487"/>
    <col min="1281" max="1281" width="0" style="487" hidden="1" customWidth="1"/>
    <col min="1282" max="1282" width="11.75" style="487" customWidth="1"/>
    <col min="1283" max="1285" width="12.875" style="487" customWidth="1"/>
    <col min="1286" max="1286" width="12.375" style="487" customWidth="1"/>
    <col min="1287" max="1287" width="18.875" style="487" customWidth="1"/>
    <col min="1288" max="1288" width="9.125" style="487" customWidth="1"/>
    <col min="1289" max="1289" width="18.5" style="487" customWidth="1"/>
    <col min="1290" max="1291" width="0" style="487" hidden="1" customWidth="1"/>
    <col min="1292" max="1536" width="9" style="487"/>
    <col min="1537" max="1537" width="0" style="487" hidden="1" customWidth="1"/>
    <col min="1538" max="1538" width="11.75" style="487" customWidth="1"/>
    <col min="1539" max="1541" width="12.875" style="487" customWidth="1"/>
    <col min="1542" max="1542" width="12.375" style="487" customWidth="1"/>
    <col min="1543" max="1543" width="18.875" style="487" customWidth="1"/>
    <col min="1544" max="1544" width="9.125" style="487" customWidth="1"/>
    <col min="1545" max="1545" width="18.5" style="487" customWidth="1"/>
    <col min="1546" max="1547" width="0" style="487" hidden="1" customWidth="1"/>
    <col min="1548" max="1792" width="9" style="487"/>
    <col min="1793" max="1793" width="0" style="487" hidden="1" customWidth="1"/>
    <col min="1794" max="1794" width="11.75" style="487" customWidth="1"/>
    <col min="1795" max="1797" width="12.875" style="487" customWidth="1"/>
    <col min="1798" max="1798" width="12.375" style="487" customWidth="1"/>
    <col min="1799" max="1799" width="18.875" style="487" customWidth="1"/>
    <col min="1800" max="1800" width="9.125" style="487" customWidth="1"/>
    <col min="1801" max="1801" width="18.5" style="487" customWidth="1"/>
    <col min="1802" max="1803" width="0" style="487" hidden="1" customWidth="1"/>
    <col min="1804" max="2048" width="9" style="487"/>
    <col min="2049" max="2049" width="0" style="487" hidden="1" customWidth="1"/>
    <col min="2050" max="2050" width="11.75" style="487" customWidth="1"/>
    <col min="2051" max="2053" width="12.875" style="487" customWidth="1"/>
    <col min="2054" max="2054" width="12.375" style="487" customWidth="1"/>
    <col min="2055" max="2055" width="18.875" style="487" customWidth="1"/>
    <col min="2056" max="2056" width="9.125" style="487" customWidth="1"/>
    <col min="2057" max="2057" width="18.5" style="487" customWidth="1"/>
    <col min="2058" max="2059" width="0" style="487" hidden="1" customWidth="1"/>
    <col min="2060" max="2304" width="9" style="487"/>
    <col min="2305" max="2305" width="0" style="487" hidden="1" customWidth="1"/>
    <col min="2306" max="2306" width="11.75" style="487" customWidth="1"/>
    <col min="2307" max="2309" width="12.875" style="487" customWidth="1"/>
    <col min="2310" max="2310" width="12.375" style="487" customWidth="1"/>
    <col min="2311" max="2311" width="18.875" style="487" customWidth="1"/>
    <col min="2312" max="2312" width="9.125" style="487" customWidth="1"/>
    <col min="2313" max="2313" width="18.5" style="487" customWidth="1"/>
    <col min="2314" max="2315" width="0" style="487" hidden="1" customWidth="1"/>
    <col min="2316" max="2560" width="9" style="487"/>
    <col min="2561" max="2561" width="0" style="487" hidden="1" customWidth="1"/>
    <col min="2562" max="2562" width="11.75" style="487" customWidth="1"/>
    <col min="2563" max="2565" width="12.875" style="487" customWidth="1"/>
    <col min="2566" max="2566" width="12.375" style="487" customWidth="1"/>
    <col min="2567" max="2567" width="18.875" style="487" customWidth="1"/>
    <col min="2568" max="2568" width="9.125" style="487" customWidth="1"/>
    <col min="2569" max="2569" width="18.5" style="487" customWidth="1"/>
    <col min="2570" max="2571" width="0" style="487" hidden="1" customWidth="1"/>
    <col min="2572" max="2816" width="9" style="487"/>
    <col min="2817" max="2817" width="0" style="487" hidden="1" customWidth="1"/>
    <col min="2818" max="2818" width="11.75" style="487" customWidth="1"/>
    <col min="2819" max="2821" width="12.875" style="487" customWidth="1"/>
    <col min="2822" max="2822" width="12.375" style="487" customWidth="1"/>
    <col min="2823" max="2823" width="18.875" style="487" customWidth="1"/>
    <col min="2824" max="2824" width="9.125" style="487" customWidth="1"/>
    <col min="2825" max="2825" width="18.5" style="487" customWidth="1"/>
    <col min="2826" max="2827" width="0" style="487" hidden="1" customWidth="1"/>
    <col min="2828" max="3072" width="9" style="487"/>
    <col min="3073" max="3073" width="0" style="487" hidden="1" customWidth="1"/>
    <col min="3074" max="3074" width="11.75" style="487" customWidth="1"/>
    <col min="3075" max="3077" width="12.875" style="487" customWidth="1"/>
    <col min="3078" max="3078" width="12.375" style="487" customWidth="1"/>
    <col min="3079" max="3079" width="18.875" style="487" customWidth="1"/>
    <col min="3080" max="3080" width="9.125" style="487" customWidth="1"/>
    <col min="3081" max="3081" width="18.5" style="487" customWidth="1"/>
    <col min="3082" max="3083" width="0" style="487" hidden="1" customWidth="1"/>
    <col min="3084" max="3328" width="9" style="487"/>
    <col min="3329" max="3329" width="0" style="487" hidden="1" customWidth="1"/>
    <col min="3330" max="3330" width="11.75" style="487" customWidth="1"/>
    <col min="3331" max="3333" width="12.875" style="487" customWidth="1"/>
    <col min="3334" max="3334" width="12.375" style="487" customWidth="1"/>
    <col min="3335" max="3335" width="18.875" style="487" customWidth="1"/>
    <col min="3336" max="3336" width="9.125" style="487" customWidth="1"/>
    <col min="3337" max="3337" width="18.5" style="487" customWidth="1"/>
    <col min="3338" max="3339" width="0" style="487" hidden="1" customWidth="1"/>
    <col min="3340" max="3584" width="9" style="487"/>
    <col min="3585" max="3585" width="0" style="487" hidden="1" customWidth="1"/>
    <col min="3586" max="3586" width="11.75" style="487" customWidth="1"/>
    <col min="3587" max="3589" width="12.875" style="487" customWidth="1"/>
    <col min="3590" max="3590" width="12.375" style="487" customWidth="1"/>
    <col min="3591" max="3591" width="18.875" style="487" customWidth="1"/>
    <col min="3592" max="3592" width="9.125" style="487" customWidth="1"/>
    <col min="3593" max="3593" width="18.5" style="487" customWidth="1"/>
    <col min="3594" max="3595" width="0" style="487" hidden="1" customWidth="1"/>
    <col min="3596" max="3840" width="9" style="487"/>
    <col min="3841" max="3841" width="0" style="487" hidden="1" customWidth="1"/>
    <col min="3842" max="3842" width="11.75" style="487" customWidth="1"/>
    <col min="3843" max="3845" width="12.875" style="487" customWidth="1"/>
    <col min="3846" max="3846" width="12.375" style="487" customWidth="1"/>
    <col min="3847" max="3847" width="18.875" style="487" customWidth="1"/>
    <col min="3848" max="3848" width="9.125" style="487" customWidth="1"/>
    <col min="3849" max="3849" width="18.5" style="487" customWidth="1"/>
    <col min="3850" max="3851" width="0" style="487" hidden="1" customWidth="1"/>
    <col min="3852" max="4096" width="9" style="487"/>
    <col min="4097" max="4097" width="0" style="487" hidden="1" customWidth="1"/>
    <col min="4098" max="4098" width="11.75" style="487" customWidth="1"/>
    <col min="4099" max="4101" width="12.875" style="487" customWidth="1"/>
    <col min="4102" max="4102" width="12.375" style="487" customWidth="1"/>
    <col min="4103" max="4103" width="18.875" style="487" customWidth="1"/>
    <col min="4104" max="4104" width="9.125" style="487" customWidth="1"/>
    <col min="4105" max="4105" width="18.5" style="487" customWidth="1"/>
    <col min="4106" max="4107" width="0" style="487" hidden="1" customWidth="1"/>
    <col min="4108" max="4352" width="9" style="487"/>
    <col min="4353" max="4353" width="0" style="487" hidden="1" customWidth="1"/>
    <col min="4354" max="4354" width="11.75" style="487" customWidth="1"/>
    <col min="4355" max="4357" width="12.875" style="487" customWidth="1"/>
    <col min="4358" max="4358" width="12.375" style="487" customWidth="1"/>
    <col min="4359" max="4359" width="18.875" style="487" customWidth="1"/>
    <col min="4360" max="4360" width="9.125" style="487" customWidth="1"/>
    <col min="4361" max="4361" width="18.5" style="487" customWidth="1"/>
    <col min="4362" max="4363" width="0" style="487" hidden="1" customWidth="1"/>
    <col min="4364" max="4608" width="9" style="487"/>
    <col min="4609" max="4609" width="0" style="487" hidden="1" customWidth="1"/>
    <col min="4610" max="4610" width="11.75" style="487" customWidth="1"/>
    <col min="4611" max="4613" width="12.875" style="487" customWidth="1"/>
    <col min="4614" max="4614" width="12.375" style="487" customWidth="1"/>
    <col min="4615" max="4615" width="18.875" style="487" customWidth="1"/>
    <col min="4616" max="4616" width="9.125" style="487" customWidth="1"/>
    <col min="4617" max="4617" width="18.5" style="487" customWidth="1"/>
    <col min="4618" max="4619" width="0" style="487" hidden="1" customWidth="1"/>
    <col min="4620" max="4864" width="9" style="487"/>
    <col min="4865" max="4865" width="0" style="487" hidden="1" customWidth="1"/>
    <col min="4866" max="4866" width="11.75" style="487" customWidth="1"/>
    <col min="4867" max="4869" width="12.875" style="487" customWidth="1"/>
    <col min="4870" max="4870" width="12.375" style="487" customWidth="1"/>
    <col min="4871" max="4871" width="18.875" style="487" customWidth="1"/>
    <col min="4872" max="4872" width="9.125" style="487" customWidth="1"/>
    <col min="4873" max="4873" width="18.5" style="487" customWidth="1"/>
    <col min="4874" max="4875" width="0" style="487" hidden="1" customWidth="1"/>
    <col min="4876" max="5120" width="9" style="487"/>
    <col min="5121" max="5121" width="0" style="487" hidden="1" customWidth="1"/>
    <col min="5122" max="5122" width="11.75" style="487" customWidth="1"/>
    <col min="5123" max="5125" width="12.875" style="487" customWidth="1"/>
    <col min="5126" max="5126" width="12.375" style="487" customWidth="1"/>
    <col min="5127" max="5127" width="18.875" style="487" customWidth="1"/>
    <col min="5128" max="5128" width="9.125" style="487" customWidth="1"/>
    <col min="5129" max="5129" width="18.5" style="487" customWidth="1"/>
    <col min="5130" max="5131" width="0" style="487" hidden="1" customWidth="1"/>
    <col min="5132" max="5376" width="9" style="487"/>
    <col min="5377" max="5377" width="0" style="487" hidden="1" customWidth="1"/>
    <col min="5378" max="5378" width="11.75" style="487" customWidth="1"/>
    <col min="5379" max="5381" width="12.875" style="487" customWidth="1"/>
    <col min="5382" max="5382" width="12.375" style="487" customWidth="1"/>
    <col min="5383" max="5383" width="18.875" style="487" customWidth="1"/>
    <col min="5384" max="5384" width="9.125" style="487" customWidth="1"/>
    <col min="5385" max="5385" width="18.5" style="487" customWidth="1"/>
    <col min="5386" max="5387" width="0" style="487" hidden="1" customWidth="1"/>
    <col min="5388" max="5632" width="9" style="487"/>
    <col min="5633" max="5633" width="0" style="487" hidden="1" customWidth="1"/>
    <col min="5634" max="5634" width="11.75" style="487" customWidth="1"/>
    <col min="5635" max="5637" width="12.875" style="487" customWidth="1"/>
    <col min="5638" max="5638" width="12.375" style="487" customWidth="1"/>
    <col min="5639" max="5639" width="18.875" style="487" customWidth="1"/>
    <col min="5640" max="5640" width="9.125" style="487" customWidth="1"/>
    <col min="5641" max="5641" width="18.5" style="487" customWidth="1"/>
    <col min="5642" max="5643" width="0" style="487" hidden="1" customWidth="1"/>
    <col min="5644" max="5888" width="9" style="487"/>
    <col min="5889" max="5889" width="0" style="487" hidden="1" customWidth="1"/>
    <col min="5890" max="5890" width="11.75" style="487" customWidth="1"/>
    <col min="5891" max="5893" width="12.875" style="487" customWidth="1"/>
    <col min="5894" max="5894" width="12.375" style="487" customWidth="1"/>
    <col min="5895" max="5895" width="18.875" style="487" customWidth="1"/>
    <col min="5896" max="5896" width="9.125" style="487" customWidth="1"/>
    <col min="5897" max="5897" width="18.5" style="487" customWidth="1"/>
    <col min="5898" max="5899" width="0" style="487" hidden="1" customWidth="1"/>
    <col min="5900" max="6144" width="9" style="487"/>
    <col min="6145" max="6145" width="0" style="487" hidden="1" customWidth="1"/>
    <col min="6146" max="6146" width="11.75" style="487" customWidth="1"/>
    <col min="6147" max="6149" width="12.875" style="487" customWidth="1"/>
    <col min="6150" max="6150" width="12.375" style="487" customWidth="1"/>
    <col min="6151" max="6151" width="18.875" style="487" customWidth="1"/>
    <col min="6152" max="6152" width="9.125" style="487" customWidth="1"/>
    <col min="6153" max="6153" width="18.5" style="487" customWidth="1"/>
    <col min="6154" max="6155" width="0" style="487" hidden="1" customWidth="1"/>
    <col min="6156" max="6400" width="9" style="487"/>
    <col min="6401" max="6401" width="0" style="487" hidden="1" customWidth="1"/>
    <col min="6402" max="6402" width="11.75" style="487" customWidth="1"/>
    <col min="6403" max="6405" width="12.875" style="487" customWidth="1"/>
    <col min="6406" max="6406" width="12.375" style="487" customWidth="1"/>
    <col min="6407" max="6407" width="18.875" style="487" customWidth="1"/>
    <col min="6408" max="6408" width="9.125" style="487" customWidth="1"/>
    <col min="6409" max="6409" width="18.5" style="487" customWidth="1"/>
    <col min="6410" max="6411" width="0" style="487" hidden="1" customWidth="1"/>
    <col min="6412" max="6656" width="9" style="487"/>
    <col min="6657" max="6657" width="0" style="487" hidden="1" customWidth="1"/>
    <col min="6658" max="6658" width="11.75" style="487" customWidth="1"/>
    <col min="6659" max="6661" width="12.875" style="487" customWidth="1"/>
    <col min="6662" max="6662" width="12.375" style="487" customWidth="1"/>
    <col min="6663" max="6663" width="18.875" style="487" customWidth="1"/>
    <col min="6664" max="6664" width="9.125" style="487" customWidth="1"/>
    <col min="6665" max="6665" width="18.5" style="487" customWidth="1"/>
    <col min="6666" max="6667" width="0" style="487" hidden="1" customWidth="1"/>
    <col min="6668" max="6912" width="9" style="487"/>
    <col min="6913" max="6913" width="0" style="487" hidden="1" customWidth="1"/>
    <col min="6914" max="6914" width="11.75" style="487" customWidth="1"/>
    <col min="6915" max="6917" width="12.875" style="487" customWidth="1"/>
    <col min="6918" max="6918" width="12.375" style="487" customWidth="1"/>
    <col min="6919" max="6919" width="18.875" style="487" customWidth="1"/>
    <col min="6920" max="6920" width="9.125" style="487" customWidth="1"/>
    <col min="6921" max="6921" width="18.5" style="487" customWidth="1"/>
    <col min="6922" max="6923" width="0" style="487" hidden="1" customWidth="1"/>
    <col min="6924" max="7168" width="9" style="487"/>
    <col min="7169" max="7169" width="0" style="487" hidden="1" customWidth="1"/>
    <col min="7170" max="7170" width="11.75" style="487" customWidth="1"/>
    <col min="7171" max="7173" width="12.875" style="487" customWidth="1"/>
    <col min="7174" max="7174" width="12.375" style="487" customWidth="1"/>
    <col min="7175" max="7175" width="18.875" style="487" customWidth="1"/>
    <col min="7176" max="7176" width="9.125" style="487" customWidth="1"/>
    <col min="7177" max="7177" width="18.5" style="487" customWidth="1"/>
    <col min="7178" max="7179" width="0" style="487" hidden="1" customWidth="1"/>
    <col min="7180" max="7424" width="9" style="487"/>
    <col min="7425" max="7425" width="0" style="487" hidden="1" customWidth="1"/>
    <col min="7426" max="7426" width="11.75" style="487" customWidth="1"/>
    <col min="7427" max="7429" width="12.875" style="487" customWidth="1"/>
    <col min="7430" max="7430" width="12.375" style="487" customWidth="1"/>
    <col min="7431" max="7431" width="18.875" style="487" customWidth="1"/>
    <col min="7432" max="7432" width="9.125" style="487" customWidth="1"/>
    <col min="7433" max="7433" width="18.5" style="487" customWidth="1"/>
    <col min="7434" max="7435" width="0" style="487" hidden="1" customWidth="1"/>
    <col min="7436" max="7680" width="9" style="487"/>
    <col min="7681" max="7681" width="0" style="487" hidden="1" customWidth="1"/>
    <col min="7682" max="7682" width="11.75" style="487" customWidth="1"/>
    <col min="7683" max="7685" width="12.875" style="487" customWidth="1"/>
    <col min="7686" max="7686" width="12.375" style="487" customWidth="1"/>
    <col min="7687" max="7687" width="18.875" style="487" customWidth="1"/>
    <col min="7688" max="7688" width="9.125" style="487" customWidth="1"/>
    <col min="7689" max="7689" width="18.5" style="487" customWidth="1"/>
    <col min="7690" max="7691" width="0" style="487" hidden="1" customWidth="1"/>
    <col min="7692" max="7936" width="9" style="487"/>
    <col min="7937" max="7937" width="0" style="487" hidden="1" customWidth="1"/>
    <col min="7938" max="7938" width="11.75" style="487" customWidth="1"/>
    <col min="7939" max="7941" width="12.875" style="487" customWidth="1"/>
    <col min="7942" max="7942" width="12.375" style="487" customWidth="1"/>
    <col min="7943" max="7943" width="18.875" style="487" customWidth="1"/>
    <col min="7944" max="7944" width="9.125" style="487" customWidth="1"/>
    <col min="7945" max="7945" width="18.5" style="487" customWidth="1"/>
    <col min="7946" max="7947" width="0" style="487" hidden="1" customWidth="1"/>
    <col min="7948" max="8192" width="9" style="487"/>
    <col min="8193" max="8193" width="0" style="487" hidden="1" customWidth="1"/>
    <col min="8194" max="8194" width="11.75" style="487" customWidth="1"/>
    <col min="8195" max="8197" width="12.875" style="487" customWidth="1"/>
    <col min="8198" max="8198" width="12.375" style="487" customWidth="1"/>
    <col min="8199" max="8199" width="18.875" style="487" customWidth="1"/>
    <col min="8200" max="8200" width="9.125" style="487" customWidth="1"/>
    <col min="8201" max="8201" width="18.5" style="487" customWidth="1"/>
    <col min="8202" max="8203" width="0" style="487" hidden="1" customWidth="1"/>
    <col min="8204" max="8448" width="9" style="487"/>
    <col min="8449" max="8449" width="0" style="487" hidden="1" customWidth="1"/>
    <col min="8450" max="8450" width="11.75" style="487" customWidth="1"/>
    <col min="8451" max="8453" width="12.875" style="487" customWidth="1"/>
    <col min="8454" max="8454" width="12.375" style="487" customWidth="1"/>
    <col min="8455" max="8455" width="18.875" style="487" customWidth="1"/>
    <col min="8456" max="8456" width="9.125" style="487" customWidth="1"/>
    <col min="8457" max="8457" width="18.5" style="487" customWidth="1"/>
    <col min="8458" max="8459" width="0" style="487" hidden="1" customWidth="1"/>
    <col min="8460" max="8704" width="9" style="487"/>
    <col min="8705" max="8705" width="0" style="487" hidden="1" customWidth="1"/>
    <col min="8706" max="8706" width="11.75" style="487" customWidth="1"/>
    <col min="8707" max="8709" width="12.875" style="487" customWidth="1"/>
    <col min="8710" max="8710" width="12.375" style="487" customWidth="1"/>
    <col min="8711" max="8711" width="18.875" style="487" customWidth="1"/>
    <col min="8712" max="8712" width="9.125" style="487" customWidth="1"/>
    <col min="8713" max="8713" width="18.5" style="487" customWidth="1"/>
    <col min="8714" max="8715" width="0" style="487" hidden="1" customWidth="1"/>
    <col min="8716" max="8960" width="9" style="487"/>
    <col min="8961" max="8961" width="0" style="487" hidden="1" customWidth="1"/>
    <col min="8962" max="8962" width="11.75" style="487" customWidth="1"/>
    <col min="8963" max="8965" width="12.875" style="487" customWidth="1"/>
    <col min="8966" max="8966" width="12.375" style="487" customWidth="1"/>
    <col min="8967" max="8967" width="18.875" style="487" customWidth="1"/>
    <col min="8968" max="8968" width="9.125" style="487" customWidth="1"/>
    <col min="8969" max="8969" width="18.5" style="487" customWidth="1"/>
    <col min="8970" max="8971" width="0" style="487" hidden="1" customWidth="1"/>
    <col min="8972" max="9216" width="9" style="487"/>
    <col min="9217" max="9217" width="0" style="487" hidden="1" customWidth="1"/>
    <col min="9218" max="9218" width="11.75" style="487" customWidth="1"/>
    <col min="9219" max="9221" width="12.875" style="487" customWidth="1"/>
    <col min="9222" max="9222" width="12.375" style="487" customWidth="1"/>
    <col min="9223" max="9223" width="18.875" style="487" customWidth="1"/>
    <col min="9224" max="9224" width="9.125" style="487" customWidth="1"/>
    <col min="9225" max="9225" width="18.5" style="487" customWidth="1"/>
    <col min="9226" max="9227" width="0" style="487" hidden="1" customWidth="1"/>
    <col min="9228" max="9472" width="9" style="487"/>
    <col min="9473" max="9473" width="0" style="487" hidden="1" customWidth="1"/>
    <col min="9474" max="9474" width="11.75" style="487" customWidth="1"/>
    <col min="9475" max="9477" width="12.875" style="487" customWidth="1"/>
    <col min="9478" max="9478" width="12.375" style="487" customWidth="1"/>
    <col min="9479" max="9479" width="18.875" style="487" customWidth="1"/>
    <col min="9480" max="9480" width="9.125" style="487" customWidth="1"/>
    <col min="9481" max="9481" width="18.5" style="487" customWidth="1"/>
    <col min="9482" max="9483" width="0" style="487" hidden="1" customWidth="1"/>
    <col min="9484" max="9728" width="9" style="487"/>
    <col min="9729" max="9729" width="0" style="487" hidden="1" customWidth="1"/>
    <col min="9730" max="9730" width="11.75" style="487" customWidth="1"/>
    <col min="9731" max="9733" width="12.875" style="487" customWidth="1"/>
    <col min="9734" max="9734" width="12.375" style="487" customWidth="1"/>
    <col min="9735" max="9735" width="18.875" style="487" customWidth="1"/>
    <col min="9736" max="9736" width="9.125" style="487" customWidth="1"/>
    <col min="9737" max="9737" width="18.5" style="487" customWidth="1"/>
    <col min="9738" max="9739" width="0" style="487" hidden="1" customWidth="1"/>
    <col min="9740" max="9984" width="9" style="487"/>
    <col min="9985" max="9985" width="0" style="487" hidden="1" customWidth="1"/>
    <col min="9986" max="9986" width="11.75" style="487" customWidth="1"/>
    <col min="9987" max="9989" width="12.875" style="487" customWidth="1"/>
    <col min="9990" max="9990" width="12.375" style="487" customWidth="1"/>
    <col min="9991" max="9991" width="18.875" style="487" customWidth="1"/>
    <col min="9992" max="9992" width="9.125" style="487" customWidth="1"/>
    <col min="9993" max="9993" width="18.5" style="487" customWidth="1"/>
    <col min="9994" max="9995" width="0" style="487" hidden="1" customWidth="1"/>
    <col min="9996" max="10240" width="9" style="487"/>
    <col min="10241" max="10241" width="0" style="487" hidden="1" customWidth="1"/>
    <col min="10242" max="10242" width="11.75" style="487" customWidth="1"/>
    <col min="10243" max="10245" width="12.875" style="487" customWidth="1"/>
    <col min="10246" max="10246" width="12.375" style="487" customWidth="1"/>
    <col min="10247" max="10247" width="18.875" style="487" customWidth="1"/>
    <col min="10248" max="10248" width="9.125" style="487" customWidth="1"/>
    <col min="10249" max="10249" width="18.5" style="487" customWidth="1"/>
    <col min="10250" max="10251" width="0" style="487" hidden="1" customWidth="1"/>
    <col min="10252" max="10496" width="9" style="487"/>
    <col min="10497" max="10497" width="0" style="487" hidden="1" customWidth="1"/>
    <col min="10498" max="10498" width="11.75" style="487" customWidth="1"/>
    <col min="10499" max="10501" width="12.875" style="487" customWidth="1"/>
    <col min="10502" max="10502" width="12.375" style="487" customWidth="1"/>
    <col min="10503" max="10503" width="18.875" style="487" customWidth="1"/>
    <col min="10504" max="10504" width="9.125" style="487" customWidth="1"/>
    <col min="10505" max="10505" width="18.5" style="487" customWidth="1"/>
    <col min="10506" max="10507" width="0" style="487" hidden="1" customWidth="1"/>
    <col min="10508" max="10752" width="9" style="487"/>
    <col min="10753" max="10753" width="0" style="487" hidden="1" customWidth="1"/>
    <col min="10754" max="10754" width="11.75" style="487" customWidth="1"/>
    <col min="10755" max="10757" width="12.875" style="487" customWidth="1"/>
    <col min="10758" max="10758" width="12.375" style="487" customWidth="1"/>
    <col min="10759" max="10759" width="18.875" style="487" customWidth="1"/>
    <col min="10760" max="10760" width="9.125" style="487" customWidth="1"/>
    <col min="10761" max="10761" width="18.5" style="487" customWidth="1"/>
    <col min="10762" max="10763" width="0" style="487" hidden="1" customWidth="1"/>
    <col min="10764" max="11008" width="9" style="487"/>
    <col min="11009" max="11009" width="0" style="487" hidden="1" customWidth="1"/>
    <col min="11010" max="11010" width="11.75" style="487" customWidth="1"/>
    <col min="11011" max="11013" width="12.875" style="487" customWidth="1"/>
    <col min="11014" max="11014" width="12.375" style="487" customWidth="1"/>
    <col min="11015" max="11015" width="18.875" style="487" customWidth="1"/>
    <col min="11016" max="11016" width="9.125" style="487" customWidth="1"/>
    <col min="11017" max="11017" width="18.5" style="487" customWidth="1"/>
    <col min="11018" max="11019" width="0" style="487" hidden="1" customWidth="1"/>
    <col min="11020" max="11264" width="9" style="487"/>
    <col min="11265" max="11265" width="0" style="487" hidden="1" customWidth="1"/>
    <col min="11266" max="11266" width="11.75" style="487" customWidth="1"/>
    <col min="11267" max="11269" width="12.875" style="487" customWidth="1"/>
    <col min="11270" max="11270" width="12.375" style="487" customWidth="1"/>
    <col min="11271" max="11271" width="18.875" style="487" customWidth="1"/>
    <col min="11272" max="11272" width="9.125" style="487" customWidth="1"/>
    <col min="11273" max="11273" width="18.5" style="487" customWidth="1"/>
    <col min="11274" max="11275" width="0" style="487" hidden="1" customWidth="1"/>
    <col min="11276" max="11520" width="9" style="487"/>
    <col min="11521" max="11521" width="0" style="487" hidden="1" customWidth="1"/>
    <col min="11522" max="11522" width="11.75" style="487" customWidth="1"/>
    <col min="11523" max="11525" width="12.875" style="487" customWidth="1"/>
    <col min="11526" max="11526" width="12.375" style="487" customWidth="1"/>
    <col min="11527" max="11527" width="18.875" style="487" customWidth="1"/>
    <col min="11528" max="11528" width="9.125" style="487" customWidth="1"/>
    <col min="11529" max="11529" width="18.5" style="487" customWidth="1"/>
    <col min="11530" max="11531" width="0" style="487" hidden="1" customWidth="1"/>
    <col min="11532" max="11776" width="9" style="487"/>
    <col min="11777" max="11777" width="0" style="487" hidden="1" customWidth="1"/>
    <col min="11778" max="11778" width="11.75" style="487" customWidth="1"/>
    <col min="11779" max="11781" width="12.875" style="487" customWidth="1"/>
    <col min="11782" max="11782" width="12.375" style="487" customWidth="1"/>
    <col min="11783" max="11783" width="18.875" style="487" customWidth="1"/>
    <col min="11784" max="11784" width="9.125" style="487" customWidth="1"/>
    <col min="11785" max="11785" width="18.5" style="487" customWidth="1"/>
    <col min="11786" max="11787" width="0" style="487" hidden="1" customWidth="1"/>
    <col min="11788" max="12032" width="9" style="487"/>
    <col min="12033" max="12033" width="0" style="487" hidden="1" customWidth="1"/>
    <col min="12034" max="12034" width="11.75" style="487" customWidth="1"/>
    <col min="12035" max="12037" width="12.875" style="487" customWidth="1"/>
    <col min="12038" max="12038" width="12.375" style="487" customWidth="1"/>
    <col min="12039" max="12039" width="18.875" style="487" customWidth="1"/>
    <col min="12040" max="12040" width="9.125" style="487" customWidth="1"/>
    <col min="12041" max="12041" width="18.5" style="487" customWidth="1"/>
    <col min="12042" max="12043" width="0" style="487" hidden="1" customWidth="1"/>
    <col min="12044" max="12288" width="9" style="487"/>
    <col min="12289" max="12289" width="0" style="487" hidden="1" customWidth="1"/>
    <col min="12290" max="12290" width="11.75" style="487" customWidth="1"/>
    <col min="12291" max="12293" width="12.875" style="487" customWidth="1"/>
    <col min="12294" max="12294" width="12.375" style="487" customWidth="1"/>
    <col min="12295" max="12295" width="18.875" style="487" customWidth="1"/>
    <col min="12296" max="12296" width="9.125" style="487" customWidth="1"/>
    <col min="12297" max="12297" width="18.5" style="487" customWidth="1"/>
    <col min="12298" max="12299" width="0" style="487" hidden="1" customWidth="1"/>
    <col min="12300" max="12544" width="9" style="487"/>
    <col min="12545" max="12545" width="0" style="487" hidden="1" customWidth="1"/>
    <col min="12546" max="12546" width="11.75" style="487" customWidth="1"/>
    <col min="12547" max="12549" width="12.875" style="487" customWidth="1"/>
    <col min="12550" max="12550" width="12.375" style="487" customWidth="1"/>
    <col min="12551" max="12551" width="18.875" style="487" customWidth="1"/>
    <col min="12552" max="12552" width="9.125" style="487" customWidth="1"/>
    <col min="12553" max="12553" width="18.5" style="487" customWidth="1"/>
    <col min="12554" max="12555" width="0" style="487" hidden="1" customWidth="1"/>
    <col min="12556" max="12800" width="9" style="487"/>
    <col min="12801" max="12801" width="0" style="487" hidden="1" customWidth="1"/>
    <col min="12802" max="12802" width="11.75" style="487" customWidth="1"/>
    <col min="12803" max="12805" width="12.875" style="487" customWidth="1"/>
    <col min="12806" max="12806" width="12.375" style="487" customWidth="1"/>
    <col min="12807" max="12807" width="18.875" style="487" customWidth="1"/>
    <col min="12808" max="12808" width="9.125" style="487" customWidth="1"/>
    <col min="12809" max="12809" width="18.5" style="487" customWidth="1"/>
    <col min="12810" max="12811" width="0" style="487" hidden="1" customWidth="1"/>
    <col min="12812" max="13056" width="9" style="487"/>
    <col min="13057" max="13057" width="0" style="487" hidden="1" customWidth="1"/>
    <col min="13058" max="13058" width="11.75" style="487" customWidth="1"/>
    <col min="13059" max="13061" width="12.875" style="487" customWidth="1"/>
    <col min="13062" max="13062" width="12.375" style="487" customWidth="1"/>
    <col min="13063" max="13063" width="18.875" style="487" customWidth="1"/>
    <col min="13064" max="13064" width="9.125" style="487" customWidth="1"/>
    <col min="13065" max="13065" width="18.5" style="487" customWidth="1"/>
    <col min="13066" max="13067" width="0" style="487" hidden="1" customWidth="1"/>
    <col min="13068" max="13312" width="9" style="487"/>
    <col min="13313" max="13313" width="0" style="487" hidden="1" customWidth="1"/>
    <col min="13314" max="13314" width="11.75" style="487" customWidth="1"/>
    <col min="13315" max="13317" width="12.875" style="487" customWidth="1"/>
    <col min="13318" max="13318" width="12.375" style="487" customWidth="1"/>
    <col min="13319" max="13319" width="18.875" style="487" customWidth="1"/>
    <col min="13320" max="13320" width="9.125" style="487" customWidth="1"/>
    <col min="13321" max="13321" width="18.5" style="487" customWidth="1"/>
    <col min="13322" max="13323" width="0" style="487" hidden="1" customWidth="1"/>
    <col min="13324" max="13568" width="9" style="487"/>
    <col min="13569" max="13569" width="0" style="487" hidden="1" customWidth="1"/>
    <col min="13570" max="13570" width="11.75" style="487" customWidth="1"/>
    <col min="13571" max="13573" width="12.875" style="487" customWidth="1"/>
    <col min="13574" max="13574" width="12.375" style="487" customWidth="1"/>
    <col min="13575" max="13575" width="18.875" style="487" customWidth="1"/>
    <col min="13576" max="13576" width="9.125" style="487" customWidth="1"/>
    <col min="13577" max="13577" width="18.5" style="487" customWidth="1"/>
    <col min="13578" max="13579" width="0" style="487" hidden="1" customWidth="1"/>
    <col min="13580" max="13824" width="9" style="487"/>
    <col min="13825" max="13825" width="0" style="487" hidden="1" customWidth="1"/>
    <col min="13826" max="13826" width="11.75" style="487" customWidth="1"/>
    <col min="13827" max="13829" width="12.875" style="487" customWidth="1"/>
    <col min="13830" max="13830" width="12.375" style="487" customWidth="1"/>
    <col min="13831" max="13831" width="18.875" style="487" customWidth="1"/>
    <col min="13832" max="13832" width="9.125" style="487" customWidth="1"/>
    <col min="13833" max="13833" width="18.5" style="487" customWidth="1"/>
    <col min="13834" max="13835" width="0" style="487" hidden="1" customWidth="1"/>
    <col min="13836" max="14080" width="9" style="487"/>
    <col min="14081" max="14081" width="0" style="487" hidden="1" customWidth="1"/>
    <col min="14082" max="14082" width="11.75" style="487" customWidth="1"/>
    <col min="14083" max="14085" width="12.875" style="487" customWidth="1"/>
    <col min="14086" max="14086" width="12.375" style="487" customWidth="1"/>
    <col min="14087" max="14087" width="18.875" style="487" customWidth="1"/>
    <col min="14088" max="14088" width="9.125" style="487" customWidth="1"/>
    <col min="14089" max="14089" width="18.5" style="487" customWidth="1"/>
    <col min="14090" max="14091" width="0" style="487" hidden="1" customWidth="1"/>
    <col min="14092" max="14336" width="9" style="487"/>
    <col min="14337" max="14337" width="0" style="487" hidden="1" customWidth="1"/>
    <col min="14338" max="14338" width="11.75" style="487" customWidth="1"/>
    <col min="14339" max="14341" width="12.875" style="487" customWidth="1"/>
    <col min="14342" max="14342" width="12.375" style="487" customWidth="1"/>
    <col min="14343" max="14343" width="18.875" style="487" customWidth="1"/>
    <col min="14344" max="14344" width="9.125" style="487" customWidth="1"/>
    <col min="14345" max="14345" width="18.5" style="487" customWidth="1"/>
    <col min="14346" max="14347" width="0" style="487" hidden="1" customWidth="1"/>
    <col min="14348" max="14592" width="9" style="487"/>
    <col min="14593" max="14593" width="0" style="487" hidden="1" customWidth="1"/>
    <col min="14594" max="14594" width="11.75" style="487" customWidth="1"/>
    <col min="14595" max="14597" width="12.875" style="487" customWidth="1"/>
    <col min="14598" max="14598" width="12.375" style="487" customWidth="1"/>
    <col min="14599" max="14599" width="18.875" style="487" customWidth="1"/>
    <col min="14600" max="14600" width="9.125" style="487" customWidth="1"/>
    <col min="14601" max="14601" width="18.5" style="487" customWidth="1"/>
    <col min="14602" max="14603" width="0" style="487" hidden="1" customWidth="1"/>
    <col min="14604" max="14848" width="9" style="487"/>
    <col min="14849" max="14849" width="0" style="487" hidden="1" customWidth="1"/>
    <col min="14850" max="14850" width="11.75" style="487" customWidth="1"/>
    <col min="14851" max="14853" width="12.875" style="487" customWidth="1"/>
    <col min="14854" max="14854" width="12.375" style="487" customWidth="1"/>
    <col min="14855" max="14855" width="18.875" style="487" customWidth="1"/>
    <col min="14856" max="14856" width="9.125" style="487" customWidth="1"/>
    <col min="14857" max="14857" width="18.5" style="487" customWidth="1"/>
    <col min="14858" max="14859" width="0" style="487" hidden="1" customWidth="1"/>
    <col min="14860" max="15104" width="9" style="487"/>
    <col min="15105" max="15105" width="0" style="487" hidden="1" customWidth="1"/>
    <col min="15106" max="15106" width="11.75" style="487" customWidth="1"/>
    <col min="15107" max="15109" width="12.875" style="487" customWidth="1"/>
    <col min="15110" max="15110" width="12.375" style="487" customWidth="1"/>
    <col min="15111" max="15111" width="18.875" style="487" customWidth="1"/>
    <col min="15112" max="15112" width="9.125" style="487" customWidth="1"/>
    <col min="15113" max="15113" width="18.5" style="487" customWidth="1"/>
    <col min="15114" max="15115" width="0" style="487" hidden="1" customWidth="1"/>
    <col min="15116" max="15360" width="9" style="487"/>
    <col min="15361" max="15361" width="0" style="487" hidden="1" customWidth="1"/>
    <col min="15362" max="15362" width="11.75" style="487" customWidth="1"/>
    <col min="15363" max="15365" width="12.875" style="487" customWidth="1"/>
    <col min="15366" max="15366" width="12.375" style="487" customWidth="1"/>
    <col min="15367" max="15367" width="18.875" style="487" customWidth="1"/>
    <col min="15368" max="15368" width="9.125" style="487" customWidth="1"/>
    <col min="15369" max="15369" width="18.5" style="487" customWidth="1"/>
    <col min="15370" max="15371" width="0" style="487" hidden="1" customWidth="1"/>
    <col min="15372" max="15616" width="9" style="487"/>
    <col min="15617" max="15617" width="0" style="487" hidden="1" customWidth="1"/>
    <col min="15618" max="15618" width="11.75" style="487" customWidth="1"/>
    <col min="15619" max="15621" width="12.875" style="487" customWidth="1"/>
    <col min="15622" max="15622" width="12.375" style="487" customWidth="1"/>
    <col min="15623" max="15623" width="18.875" style="487" customWidth="1"/>
    <col min="15624" max="15624" width="9.125" style="487" customWidth="1"/>
    <col min="15625" max="15625" width="18.5" style="487" customWidth="1"/>
    <col min="15626" max="15627" width="0" style="487" hidden="1" customWidth="1"/>
    <col min="15628" max="15872" width="9" style="487"/>
    <col min="15873" max="15873" width="0" style="487" hidden="1" customWidth="1"/>
    <col min="15874" max="15874" width="11.75" style="487" customWidth="1"/>
    <col min="15875" max="15877" width="12.875" style="487" customWidth="1"/>
    <col min="15878" max="15878" width="12.375" style="487" customWidth="1"/>
    <col min="15879" max="15879" width="18.875" style="487" customWidth="1"/>
    <col min="15880" max="15880" width="9.125" style="487" customWidth="1"/>
    <col min="15881" max="15881" width="18.5" style="487" customWidth="1"/>
    <col min="15882" max="15883" width="0" style="487" hidden="1" customWidth="1"/>
    <col min="15884" max="16128" width="9" style="487"/>
    <col min="16129" max="16129" width="0" style="487" hidden="1" customWidth="1"/>
    <col min="16130" max="16130" width="11.75" style="487" customWidth="1"/>
    <col min="16131" max="16133" width="12.875" style="487" customWidth="1"/>
    <col min="16134" max="16134" width="12.375" style="487" customWidth="1"/>
    <col min="16135" max="16135" width="18.875" style="487" customWidth="1"/>
    <col min="16136" max="16136" width="9.125" style="487" customWidth="1"/>
    <col min="16137" max="16137" width="18.5" style="487" customWidth="1"/>
    <col min="16138" max="16139" width="0" style="487" hidden="1" customWidth="1"/>
    <col min="16140" max="16384" width="9" style="487"/>
  </cols>
  <sheetData>
    <row r="1" spans="1:10">
      <c r="B1" s="487" t="s">
        <v>635</v>
      </c>
    </row>
    <row r="3" spans="1:10" ht="26.25">
      <c r="A3" s="516"/>
      <c r="B3" s="1027" t="s">
        <v>434</v>
      </c>
      <c r="C3" s="1027"/>
      <c r="D3" s="1027"/>
      <c r="E3" s="1027"/>
      <c r="F3" s="1027"/>
      <c r="G3" s="1027"/>
      <c r="H3" s="516"/>
      <c r="I3" s="516"/>
      <c r="J3" s="516"/>
    </row>
    <row r="4" spans="1:10" s="647" customFormat="1" ht="18" customHeight="1">
      <c r="A4" s="593"/>
      <c r="B4" s="1028" t="s">
        <v>1203</v>
      </c>
      <c r="C4" s="1028"/>
      <c r="D4" s="1028"/>
      <c r="E4" s="1028"/>
      <c r="F4" s="1028"/>
      <c r="G4" s="1028"/>
      <c r="H4" s="1028"/>
      <c r="I4" s="1028"/>
      <c r="J4" s="593"/>
    </row>
    <row r="5" spans="1:10" s="647" customFormat="1" ht="18" customHeight="1">
      <c r="A5" s="593"/>
      <c r="B5" s="762" t="s">
        <v>387</v>
      </c>
      <c r="C5" s="1029" t="s">
        <v>1165</v>
      </c>
      <c r="D5" s="1029"/>
      <c r="E5" s="1030" t="s">
        <v>388</v>
      </c>
      <c r="F5" s="1030"/>
      <c r="G5" s="1029" t="s">
        <v>428</v>
      </c>
      <c r="H5" s="1029"/>
      <c r="I5" s="1029"/>
      <c r="J5" s="593"/>
    </row>
    <row r="6" spans="1:10" s="647" customFormat="1" ht="18" customHeight="1">
      <c r="A6" s="593"/>
      <c r="B6" s="762" t="s">
        <v>389</v>
      </c>
      <c r="C6" s="1029" t="s">
        <v>1383</v>
      </c>
      <c r="D6" s="1029"/>
      <c r="E6" s="1030" t="s">
        <v>435</v>
      </c>
      <c r="F6" s="1030"/>
      <c r="G6" s="1032">
        <v>0</v>
      </c>
      <c r="H6" s="1032"/>
      <c r="I6" s="1032"/>
      <c r="J6" s="593"/>
    </row>
    <row r="7" spans="1:10" s="647" customFormat="1" ht="18" customHeight="1">
      <c r="A7" s="593"/>
      <c r="B7" s="762" t="s">
        <v>412</v>
      </c>
      <c r="C7" s="1029" t="s">
        <v>1202</v>
      </c>
      <c r="D7" s="1029"/>
      <c r="E7" s="1030" t="s">
        <v>436</v>
      </c>
      <c r="F7" s="1030"/>
      <c r="G7" s="1032">
        <v>0</v>
      </c>
      <c r="H7" s="1032"/>
      <c r="I7" s="1032"/>
      <c r="J7" s="593"/>
    </row>
    <row r="8" spans="1:10" s="647" customFormat="1" ht="18" customHeight="1">
      <c r="A8" s="593"/>
      <c r="B8" s="1031" t="s">
        <v>437</v>
      </c>
      <c r="C8" s="1031"/>
      <c r="D8" s="1031"/>
      <c r="E8" s="1031"/>
      <c r="F8" s="1031"/>
      <c r="G8" s="1031"/>
      <c r="H8" s="1031"/>
      <c r="I8" s="765" t="s">
        <v>390</v>
      </c>
      <c r="J8" s="593"/>
    </row>
    <row r="9" spans="1:10" s="647" customFormat="1" ht="18" customHeight="1">
      <c r="A9" s="593"/>
      <c r="B9" s="763" t="s">
        <v>166</v>
      </c>
      <c r="C9" s="763" t="s">
        <v>391</v>
      </c>
      <c r="D9" s="763" t="s">
        <v>392</v>
      </c>
      <c r="E9" s="763" t="s">
        <v>168</v>
      </c>
      <c r="F9" s="763" t="s">
        <v>393</v>
      </c>
      <c r="G9" s="763" t="s">
        <v>394</v>
      </c>
      <c r="H9" s="763" t="s">
        <v>395</v>
      </c>
      <c r="I9" s="763" t="s">
        <v>396</v>
      </c>
      <c r="J9" s="593"/>
    </row>
    <row r="10" spans="1:10" s="647" customFormat="1" ht="18" customHeight="1">
      <c r="A10" s="593"/>
      <c r="B10" s="722" t="s">
        <v>615</v>
      </c>
      <c r="C10" s="711">
        <v>735788</v>
      </c>
      <c r="D10" s="771" t="s">
        <v>399</v>
      </c>
      <c r="E10" s="711">
        <v>12441401</v>
      </c>
      <c r="F10" s="722" t="s">
        <v>616</v>
      </c>
      <c r="G10" s="722" t="s">
        <v>557</v>
      </c>
      <c r="H10" s="722" t="s">
        <v>617</v>
      </c>
      <c r="I10" s="722" t="s">
        <v>618</v>
      </c>
      <c r="J10" s="593"/>
    </row>
    <row r="11" spans="1:10" s="647" customFormat="1" ht="18" customHeight="1">
      <c r="A11" s="593"/>
      <c r="B11" s="722" t="s">
        <v>619</v>
      </c>
      <c r="C11" s="711"/>
      <c r="D11" s="711">
        <v>735788</v>
      </c>
      <c r="E11" s="711">
        <v>13177189</v>
      </c>
      <c r="F11" s="722" t="s">
        <v>404</v>
      </c>
      <c r="G11" s="722" t="s">
        <v>1182</v>
      </c>
      <c r="H11" s="722" t="s">
        <v>620</v>
      </c>
      <c r="I11" s="722" t="s">
        <v>618</v>
      </c>
      <c r="J11" s="593"/>
    </row>
    <row r="12" spans="1:10" s="647" customFormat="1" ht="18" customHeight="1">
      <c r="A12" s="593"/>
      <c r="B12" s="722" t="s">
        <v>621</v>
      </c>
      <c r="C12" s="711">
        <v>1</v>
      </c>
      <c r="D12" s="711"/>
      <c r="E12" s="711">
        <v>13177188</v>
      </c>
      <c r="F12" s="722" t="s">
        <v>400</v>
      </c>
      <c r="G12" s="722" t="s">
        <v>1181</v>
      </c>
      <c r="H12" s="722" t="s">
        <v>595</v>
      </c>
      <c r="I12" s="722" t="s">
        <v>622</v>
      </c>
      <c r="J12" s="593"/>
    </row>
    <row r="13" spans="1:10" s="647" customFormat="1" ht="18" customHeight="1">
      <c r="A13" s="593"/>
      <c r="B13" s="722" t="s">
        <v>623</v>
      </c>
      <c r="C13" s="711">
        <v>13100000</v>
      </c>
      <c r="D13" s="711"/>
      <c r="E13" s="711">
        <v>77188</v>
      </c>
      <c r="F13" s="722" t="s">
        <v>400</v>
      </c>
      <c r="G13" s="722" t="s">
        <v>624</v>
      </c>
      <c r="H13" s="722" t="s">
        <v>595</v>
      </c>
      <c r="I13" s="722" t="s">
        <v>625</v>
      </c>
      <c r="J13" s="593"/>
    </row>
    <row r="14" spans="1:10" s="647" customFormat="1" ht="18" customHeight="1">
      <c r="A14" s="593"/>
      <c r="B14" s="722" t="s">
        <v>626</v>
      </c>
      <c r="C14" s="711">
        <v>77188</v>
      </c>
      <c r="D14" s="711"/>
      <c r="E14" s="711">
        <v>0</v>
      </c>
      <c r="F14" s="722" t="s">
        <v>409</v>
      </c>
      <c r="G14" s="722" t="s">
        <v>627</v>
      </c>
      <c r="H14" s="722" t="s">
        <v>628</v>
      </c>
      <c r="I14" s="722" t="s">
        <v>629</v>
      </c>
      <c r="J14" s="593"/>
    </row>
    <row r="15" spans="1:10" s="647" customFormat="1" ht="18" customHeight="1">
      <c r="A15" s="593"/>
      <c r="B15" s="763" t="s">
        <v>630</v>
      </c>
      <c r="C15" s="764"/>
      <c r="D15" s="764">
        <v>808500</v>
      </c>
      <c r="E15" s="764">
        <v>808500</v>
      </c>
      <c r="F15" s="763" t="s">
        <v>407</v>
      </c>
      <c r="G15" s="763" t="s">
        <v>631</v>
      </c>
      <c r="H15" s="763" t="s">
        <v>632</v>
      </c>
      <c r="I15" s="763" t="s">
        <v>399</v>
      </c>
      <c r="J15" s="593"/>
    </row>
    <row r="16" spans="1:10" s="647" customFormat="1" ht="18" customHeight="1">
      <c r="A16" s="593"/>
      <c r="B16" s="722" t="s">
        <v>633</v>
      </c>
      <c r="C16" s="711">
        <v>808500</v>
      </c>
      <c r="D16" s="711"/>
      <c r="E16" s="711">
        <v>0</v>
      </c>
      <c r="F16" s="722" t="s">
        <v>409</v>
      </c>
      <c r="G16" s="722" t="s">
        <v>627</v>
      </c>
      <c r="H16" s="722" t="s">
        <v>628</v>
      </c>
      <c r="I16" s="722" t="s">
        <v>634</v>
      </c>
      <c r="J16" s="593"/>
    </row>
    <row r="17" spans="1:10" s="647" customFormat="1" ht="53.25" customHeight="1">
      <c r="A17" s="593"/>
      <c r="B17" s="1026" t="s">
        <v>397</v>
      </c>
      <c r="C17" s="1026"/>
      <c r="D17" s="1026"/>
      <c r="E17" s="1026"/>
      <c r="F17" s="1026"/>
      <c r="G17" s="1026"/>
      <c r="H17" s="1026"/>
      <c r="I17" s="1026"/>
      <c r="J17" s="593"/>
    </row>
  </sheetData>
  <mergeCells count="13">
    <mergeCell ref="B17:I17"/>
    <mergeCell ref="B3:G3"/>
    <mergeCell ref="B4:I4"/>
    <mergeCell ref="C5:D5"/>
    <mergeCell ref="E5:F5"/>
    <mergeCell ref="G5:I5"/>
    <mergeCell ref="B8:H8"/>
    <mergeCell ref="E7:F7"/>
    <mergeCell ref="C7:D7"/>
    <mergeCell ref="G7:I7"/>
    <mergeCell ref="C6:D6"/>
    <mergeCell ref="E6:F6"/>
    <mergeCell ref="G6:I6"/>
  </mergeCells>
  <phoneticPr fontId="11" type="noConversion"/>
  <printOptions horizontalCentered="1"/>
  <pageMargins left="0.31496062992125984" right="0.31496062992125984" top="0.74803149606299213" bottom="0.55118110236220474" header="0.31496062992125984" footer="0.31496062992125984"/>
  <pageSetup paperSize="9"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74"/>
  <sheetViews>
    <sheetView topLeftCell="B1" workbookViewId="0">
      <selection activeCell="C6" sqref="C6:D6"/>
    </sheetView>
  </sheetViews>
  <sheetFormatPr defaultRowHeight="16.5"/>
  <cols>
    <col min="1" max="1" width="7.75" style="487" hidden="1" customWidth="1"/>
    <col min="2" max="2" width="19.125" style="487" customWidth="1"/>
    <col min="3" max="5" width="12.25" style="487" customWidth="1"/>
    <col min="6" max="6" width="11.625" style="487" customWidth="1"/>
    <col min="7" max="7" width="23.375" style="487" customWidth="1"/>
    <col min="8" max="8" width="12.375" style="487" customWidth="1"/>
    <col min="9" max="9" width="25.5" style="487" customWidth="1"/>
    <col min="10" max="11" width="7.75" style="487" hidden="1" customWidth="1"/>
    <col min="12" max="256" width="9" style="487"/>
    <col min="257" max="257" width="0" style="487" hidden="1" customWidth="1"/>
    <col min="258" max="258" width="11.5" style="487" customWidth="1"/>
    <col min="259" max="261" width="12.25" style="487" customWidth="1"/>
    <col min="262" max="262" width="11.625" style="487" customWidth="1"/>
    <col min="263" max="263" width="15.5" style="487" customWidth="1"/>
    <col min="264" max="264" width="9.125" style="487" customWidth="1"/>
    <col min="265" max="265" width="25.5" style="487" customWidth="1"/>
    <col min="266" max="267" width="0" style="487" hidden="1" customWidth="1"/>
    <col min="268" max="512" width="9" style="487"/>
    <col min="513" max="513" width="0" style="487" hidden="1" customWidth="1"/>
    <col min="514" max="514" width="11.5" style="487" customWidth="1"/>
    <col min="515" max="517" width="12.25" style="487" customWidth="1"/>
    <col min="518" max="518" width="11.625" style="487" customWidth="1"/>
    <col min="519" max="519" width="15.5" style="487" customWidth="1"/>
    <col min="520" max="520" width="9.125" style="487" customWidth="1"/>
    <col min="521" max="521" width="25.5" style="487" customWidth="1"/>
    <col min="522" max="523" width="0" style="487" hidden="1" customWidth="1"/>
    <col min="524" max="768" width="9" style="487"/>
    <col min="769" max="769" width="0" style="487" hidden="1" customWidth="1"/>
    <col min="770" max="770" width="11.5" style="487" customWidth="1"/>
    <col min="771" max="773" width="12.25" style="487" customWidth="1"/>
    <col min="774" max="774" width="11.625" style="487" customWidth="1"/>
    <col min="775" max="775" width="15.5" style="487" customWidth="1"/>
    <col min="776" max="776" width="9.125" style="487" customWidth="1"/>
    <col min="777" max="777" width="25.5" style="487" customWidth="1"/>
    <col min="778" max="779" width="0" style="487" hidden="1" customWidth="1"/>
    <col min="780" max="1024" width="9" style="487"/>
    <col min="1025" max="1025" width="0" style="487" hidden="1" customWidth="1"/>
    <col min="1026" max="1026" width="11.5" style="487" customWidth="1"/>
    <col min="1027" max="1029" width="12.25" style="487" customWidth="1"/>
    <col min="1030" max="1030" width="11.625" style="487" customWidth="1"/>
    <col min="1031" max="1031" width="15.5" style="487" customWidth="1"/>
    <col min="1032" max="1032" width="9.125" style="487" customWidth="1"/>
    <col min="1033" max="1033" width="25.5" style="487" customWidth="1"/>
    <col min="1034" max="1035" width="0" style="487" hidden="1" customWidth="1"/>
    <col min="1036" max="1280" width="9" style="487"/>
    <col min="1281" max="1281" width="0" style="487" hidden="1" customWidth="1"/>
    <col min="1282" max="1282" width="11.5" style="487" customWidth="1"/>
    <col min="1283" max="1285" width="12.25" style="487" customWidth="1"/>
    <col min="1286" max="1286" width="11.625" style="487" customWidth="1"/>
    <col min="1287" max="1287" width="15.5" style="487" customWidth="1"/>
    <col min="1288" max="1288" width="9.125" style="487" customWidth="1"/>
    <col min="1289" max="1289" width="25.5" style="487" customWidth="1"/>
    <col min="1290" max="1291" width="0" style="487" hidden="1" customWidth="1"/>
    <col min="1292" max="1536" width="9" style="487"/>
    <col min="1537" max="1537" width="0" style="487" hidden="1" customWidth="1"/>
    <col min="1538" max="1538" width="11.5" style="487" customWidth="1"/>
    <col min="1539" max="1541" width="12.25" style="487" customWidth="1"/>
    <col min="1542" max="1542" width="11.625" style="487" customWidth="1"/>
    <col min="1543" max="1543" width="15.5" style="487" customWidth="1"/>
    <col min="1544" max="1544" width="9.125" style="487" customWidth="1"/>
    <col min="1545" max="1545" width="25.5" style="487" customWidth="1"/>
    <col min="1546" max="1547" width="0" style="487" hidden="1" customWidth="1"/>
    <col min="1548" max="1792" width="9" style="487"/>
    <col min="1793" max="1793" width="0" style="487" hidden="1" customWidth="1"/>
    <col min="1794" max="1794" width="11.5" style="487" customWidth="1"/>
    <col min="1795" max="1797" width="12.25" style="487" customWidth="1"/>
    <col min="1798" max="1798" width="11.625" style="487" customWidth="1"/>
    <col min="1799" max="1799" width="15.5" style="487" customWidth="1"/>
    <col min="1800" max="1800" width="9.125" style="487" customWidth="1"/>
    <col min="1801" max="1801" width="25.5" style="487" customWidth="1"/>
    <col min="1802" max="1803" width="0" style="487" hidden="1" customWidth="1"/>
    <col min="1804" max="2048" width="9" style="487"/>
    <col min="2049" max="2049" width="0" style="487" hidden="1" customWidth="1"/>
    <col min="2050" max="2050" width="11.5" style="487" customWidth="1"/>
    <col min="2051" max="2053" width="12.25" style="487" customWidth="1"/>
    <col min="2054" max="2054" width="11.625" style="487" customWidth="1"/>
    <col min="2055" max="2055" width="15.5" style="487" customWidth="1"/>
    <col min="2056" max="2056" width="9.125" style="487" customWidth="1"/>
    <col min="2057" max="2057" width="25.5" style="487" customWidth="1"/>
    <col min="2058" max="2059" width="0" style="487" hidden="1" customWidth="1"/>
    <col min="2060" max="2304" width="9" style="487"/>
    <col min="2305" max="2305" width="0" style="487" hidden="1" customWidth="1"/>
    <col min="2306" max="2306" width="11.5" style="487" customWidth="1"/>
    <col min="2307" max="2309" width="12.25" style="487" customWidth="1"/>
    <col min="2310" max="2310" width="11.625" style="487" customWidth="1"/>
    <col min="2311" max="2311" width="15.5" style="487" customWidth="1"/>
    <col min="2312" max="2312" width="9.125" style="487" customWidth="1"/>
    <col min="2313" max="2313" width="25.5" style="487" customWidth="1"/>
    <col min="2314" max="2315" width="0" style="487" hidden="1" customWidth="1"/>
    <col min="2316" max="2560" width="9" style="487"/>
    <col min="2561" max="2561" width="0" style="487" hidden="1" customWidth="1"/>
    <col min="2562" max="2562" width="11.5" style="487" customWidth="1"/>
    <col min="2563" max="2565" width="12.25" style="487" customWidth="1"/>
    <col min="2566" max="2566" width="11.625" style="487" customWidth="1"/>
    <col min="2567" max="2567" width="15.5" style="487" customWidth="1"/>
    <col min="2568" max="2568" width="9.125" style="487" customWidth="1"/>
    <col min="2569" max="2569" width="25.5" style="487" customWidth="1"/>
    <col min="2570" max="2571" width="0" style="487" hidden="1" customWidth="1"/>
    <col min="2572" max="2816" width="9" style="487"/>
    <col min="2817" max="2817" width="0" style="487" hidden="1" customWidth="1"/>
    <col min="2818" max="2818" width="11.5" style="487" customWidth="1"/>
    <col min="2819" max="2821" width="12.25" style="487" customWidth="1"/>
    <col min="2822" max="2822" width="11.625" style="487" customWidth="1"/>
    <col min="2823" max="2823" width="15.5" style="487" customWidth="1"/>
    <col min="2824" max="2824" width="9.125" style="487" customWidth="1"/>
    <col min="2825" max="2825" width="25.5" style="487" customWidth="1"/>
    <col min="2826" max="2827" width="0" style="487" hidden="1" customWidth="1"/>
    <col min="2828" max="3072" width="9" style="487"/>
    <col min="3073" max="3073" width="0" style="487" hidden="1" customWidth="1"/>
    <col min="3074" max="3074" width="11.5" style="487" customWidth="1"/>
    <col min="3075" max="3077" width="12.25" style="487" customWidth="1"/>
    <col min="3078" max="3078" width="11.625" style="487" customWidth="1"/>
    <col min="3079" max="3079" width="15.5" style="487" customWidth="1"/>
    <col min="3080" max="3080" width="9.125" style="487" customWidth="1"/>
    <col min="3081" max="3081" width="25.5" style="487" customWidth="1"/>
    <col min="3082" max="3083" width="0" style="487" hidden="1" customWidth="1"/>
    <col min="3084" max="3328" width="9" style="487"/>
    <col min="3329" max="3329" width="0" style="487" hidden="1" customWidth="1"/>
    <col min="3330" max="3330" width="11.5" style="487" customWidth="1"/>
    <col min="3331" max="3333" width="12.25" style="487" customWidth="1"/>
    <col min="3334" max="3334" width="11.625" style="487" customWidth="1"/>
    <col min="3335" max="3335" width="15.5" style="487" customWidth="1"/>
    <col min="3336" max="3336" width="9.125" style="487" customWidth="1"/>
    <col min="3337" max="3337" width="25.5" style="487" customWidth="1"/>
    <col min="3338" max="3339" width="0" style="487" hidden="1" customWidth="1"/>
    <col min="3340" max="3584" width="9" style="487"/>
    <col min="3585" max="3585" width="0" style="487" hidden="1" customWidth="1"/>
    <col min="3586" max="3586" width="11.5" style="487" customWidth="1"/>
    <col min="3587" max="3589" width="12.25" style="487" customWidth="1"/>
    <col min="3590" max="3590" width="11.625" style="487" customWidth="1"/>
    <col min="3591" max="3591" width="15.5" style="487" customWidth="1"/>
    <col min="3592" max="3592" width="9.125" style="487" customWidth="1"/>
    <col min="3593" max="3593" width="25.5" style="487" customWidth="1"/>
    <col min="3594" max="3595" width="0" style="487" hidden="1" customWidth="1"/>
    <col min="3596" max="3840" width="9" style="487"/>
    <col min="3841" max="3841" width="0" style="487" hidden="1" customWidth="1"/>
    <col min="3842" max="3842" width="11.5" style="487" customWidth="1"/>
    <col min="3843" max="3845" width="12.25" style="487" customWidth="1"/>
    <col min="3846" max="3846" width="11.625" style="487" customWidth="1"/>
    <col min="3847" max="3847" width="15.5" style="487" customWidth="1"/>
    <col min="3848" max="3848" width="9.125" style="487" customWidth="1"/>
    <col min="3849" max="3849" width="25.5" style="487" customWidth="1"/>
    <col min="3850" max="3851" width="0" style="487" hidden="1" customWidth="1"/>
    <col min="3852" max="4096" width="9" style="487"/>
    <col min="4097" max="4097" width="0" style="487" hidden="1" customWidth="1"/>
    <col min="4098" max="4098" width="11.5" style="487" customWidth="1"/>
    <col min="4099" max="4101" width="12.25" style="487" customWidth="1"/>
    <col min="4102" max="4102" width="11.625" style="487" customWidth="1"/>
    <col min="4103" max="4103" width="15.5" style="487" customWidth="1"/>
    <col min="4104" max="4104" width="9.125" style="487" customWidth="1"/>
    <col min="4105" max="4105" width="25.5" style="487" customWidth="1"/>
    <col min="4106" max="4107" width="0" style="487" hidden="1" customWidth="1"/>
    <col min="4108" max="4352" width="9" style="487"/>
    <col min="4353" max="4353" width="0" style="487" hidden="1" customWidth="1"/>
    <col min="4354" max="4354" width="11.5" style="487" customWidth="1"/>
    <col min="4355" max="4357" width="12.25" style="487" customWidth="1"/>
    <col min="4358" max="4358" width="11.625" style="487" customWidth="1"/>
    <col min="4359" max="4359" width="15.5" style="487" customWidth="1"/>
    <col min="4360" max="4360" width="9.125" style="487" customWidth="1"/>
    <col min="4361" max="4361" width="25.5" style="487" customWidth="1"/>
    <col min="4362" max="4363" width="0" style="487" hidden="1" customWidth="1"/>
    <col min="4364" max="4608" width="9" style="487"/>
    <col min="4609" max="4609" width="0" style="487" hidden="1" customWidth="1"/>
    <col min="4610" max="4610" width="11.5" style="487" customWidth="1"/>
    <col min="4611" max="4613" width="12.25" style="487" customWidth="1"/>
    <col min="4614" max="4614" width="11.625" style="487" customWidth="1"/>
    <col min="4615" max="4615" width="15.5" style="487" customWidth="1"/>
    <col min="4616" max="4616" width="9.125" style="487" customWidth="1"/>
    <col min="4617" max="4617" width="25.5" style="487" customWidth="1"/>
    <col min="4618" max="4619" width="0" style="487" hidden="1" customWidth="1"/>
    <col min="4620" max="4864" width="9" style="487"/>
    <col min="4865" max="4865" width="0" style="487" hidden="1" customWidth="1"/>
    <col min="4866" max="4866" width="11.5" style="487" customWidth="1"/>
    <col min="4867" max="4869" width="12.25" style="487" customWidth="1"/>
    <col min="4870" max="4870" width="11.625" style="487" customWidth="1"/>
    <col min="4871" max="4871" width="15.5" style="487" customWidth="1"/>
    <col min="4872" max="4872" width="9.125" style="487" customWidth="1"/>
    <col min="4873" max="4873" width="25.5" style="487" customWidth="1"/>
    <col min="4874" max="4875" width="0" style="487" hidden="1" customWidth="1"/>
    <col min="4876" max="5120" width="9" style="487"/>
    <col min="5121" max="5121" width="0" style="487" hidden="1" customWidth="1"/>
    <col min="5122" max="5122" width="11.5" style="487" customWidth="1"/>
    <col min="5123" max="5125" width="12.25" style="487" customWidth="1"/>
    <col min="5126" max="5126" width="11.625" style="487" customWidth="1"/>
    <col min="5127" max="5127" width="15.5" style="487" customWidth="1"/>
    <col min="5128" max="5128" width="9.125" style="487" customWidth="1"/>
    <col min="5129" max="5129" width="25.5" style="487" customWidth="1"/>
    <col min="5130" max="5131" width="0" style="487" hidden="1" customWidth="1"/>
    <col min="5132" max="5376" width="9" style="487"/>
    <col min="5377" max="5377" width="0" style="487" hidden="1" customWidth="1"/>
    <col min="5378" max="5378" width="11.5" style="487" customWidth="1"/>
    <col min="5379" max="5381" width="12.25" style="487" customWidth="1"/>
    <col min="5382" max="5382" width="11.625" style="487" customWidth="1"/>
    <col min="5383" max="5383" width="15.5" style="487" customWidth="1"/>
    <col min="5384" max="5384" width="9.125" style="487" customWidth="1"/>
    <col min="5385" max="5385" width="25.5" style="487" customWidth="1"/>
    <col min="5386" max="5387" width="0" style="487" hidden="1" customWidth="1"/>
    <col min="5388" max="5632" width="9" style="487"/>
    <col min="5633" max="5633" width="0" style="487" hidden="1" customWidth="1"/>
    <col min="5634" max="5634" width="11.5" style="487" customWidth="1"/>
    <col min="5635" max="5637" width="12.25" style="487" customWidth="1"/>
    <col min="5638" max="5638" width="11.625" style="487" customWidth="1"/>
    <col min="5639" max="5639" width="15.5" style="487" customWidth="1"/>
    <col min="5640" max="5640" width="9.125" style="487" customWidth="1"/>
    <col min="5641" max="5641" width="25.5" style="487" customWidth="1"/>
    <col min="5642" max="5643" width="0" style="487" hidden="1" customWidth="1"/>
    <col min="5644" max="5888" width="9" style="487"/>
    <col min="5889" max="5889" width="0" style="487" hidden="1" customWidth="1"/>
    <col min="5890" max="5890" width="11.5" style="487" customWidth="1"/>
    <col min="5891" max="5893" width="12.25" style="487" customWidth="1"/>
    <col min="5894" max="5894" width="11.625" style="487" customWidth="1"/>
    <col min="5895" max="5895" width="15.5" style="487" customWidth="1"/>
    <col min="5896" max="5896" width="9.125" style="487" customWidth="1"/>
    <col min="5897" max="5897" width="25.5" style="487" customWidth="1"/>
    <col min="5898" max="5899" width="0" style="487" hidden="1" customWidth="1"/>
    <col min="5900" max="6144" width="9" style="487"/>
    <col min="6145" max="6145" width="0" style="487" hidden="1" customWidth="1"/>
    <col min="6146" max="6146" width="11.5" style="487" customWidth="1"/>
    <col min="6147" max="6149" width="12.25" style="487" customWidth="1"/>
    <col min="6150" max="6150" width="11.625" style="487" customWidth="1"/>
    <col min="6151" max="6151" width="15.5" style="487" customWidth="1"/>
    <col min="6152" max="6152" width="9.125" style="487" customWidth="1"/>
    <col min="6153" max="6153" width="25.5" style="487" customWidth="1"/>
    <col min="6154" max="6155" width="0" style="487" hidden="1" customWidth="1"/>
    <col min="6156" max="6400" width="9" style="487"/>
    <col min="6401" max="6401" width="0" style="487" hidden="1" customWidth="1"/>
    <col min="6402" max="6402" width="11.5" style="487" customWidth="1"/>
    <col min="6403" max="6405" width="12.25" style="487" customWidth="1"/>
    <col min="6406" max="6406" width="11.625" style="487" customWidth="1"/>
    <col min="6407" max="6407" width="15.5" style="487" customWidth="1"/>
    <col min="6408" max="6408" width="9.125" style="487" customWidth="1"/>
    <col min="6409" max="6409" width="25.5" style="487" customWidth="1"/>
    <col min="6410" max="6411" width="0" style="487" hidden="1" customWidth="1"/>
    <col min="6412" max="6656" width="9" style="487"/>
    <col min="6657" max="6657" width="0" style="487" hidden="1" customWidth="1"/>
    <col min="6658" max="6658" width="11.5" style="487" customWidth="1"/>
    <col min="6659" max="6661" width="12.25" style="487" customWidth="1"/>
    <col min="6662" max="6662" width="11.625" style="487" customWidth="1"/>
    <col min="6663" max="6663" width="15.5" style="487" customWidth="1"/>
    <col min="6664" max="6664" width="9.125" style="487" customWidth="1"/>
    <col min="6665" max="6665" width="25.5" style="487" customWidth="1"/>
    <col min="6666" max="6667" width="0" style="487" hidden="1" customWidth="1"/>
    <col min="6668" max="6912" width="9" style="487"/>
    <col min="6913" max="6913" width="0" style="487" hidden="1" customWidth="1"/>
    <col min="6914" max="6914" width="11.5" style="487" customWidth="1"/>
    <col min="6915" max="6917" width="12.25" style="487" customWidth="1"/>
    <col min="6918" max="6918" width="11.625" style="487" customWidth="1"/>
    <col min="6919" max="6919" width="15.5" style="487" customWidth="1"/>
    <col min="6920" max="6920" width="9.125" style="487" customWidth="1"/>
    <col min="6921" max="6921" width="25.5" style="487" customWidth="1"/>
    <col min="6922" max="6923" width="0" style="487" hidden="1" customWidth="1"/>
    <col min="6924" max="7168" width="9" style="487"/>
    <col min="7169" max="7169" width="0" style="487" hidden="1" customWidth="1"/>
    <col min="7170" max="7170" width="11.5" style="487" customWidth="1"/>
    <col min="7171" max="7173" width="12.25" style="487" customWidth="1"/>
    <col min="7174" max="7174" width="11.625" style="487" customWidth="1"/>
    <col min="7175" max="7175" width="15.5" style="487" customWidth="1"/>
    <col min="7176" max="7176" width="9.125" style="487" customWidth="1"/>
    <col min="7177" max="7177" width="25.5" style="487" customWidth="1"/>
    <col min="7178" max="7179" width="0" style="487" hidden="1" customWidth="1"/>
    <col min="7180" max="7424" width="9" style="487"/>
    <col min="7425" max="7425" width="0" style="487" hidden="1" customWidth="1"/>
    <col min="7426" max="7426" width="11.5" style="487" customWidth="1"/>
    <col min="7427" max="7429" width="12.25" style="487" customWidth="1"/>
    <col min="7430" max="7430" width="11.625" style="487" customWidth="1"/>
    <col min="7431" max="7431" width="15.5" style="487" customWidth="1"/>
    <col min="7432" max="7432" width="9.125" style="487" customWidth="1"/>
    <col min="7433" max="7433" width="25.5" style="487" customWidth="1"/>
    <col min="7434" max="7435" width="0" style="487" hidden="1" customWidth="1"/>
    <col min="7436" max="7680" width="9" style="487"/>
    <col min="7681" max="7681" width="0" style="487" hidden="1" customWidth="1"/>
    <col min="7682" max="7682" width="11.5" style="487" customWidth="1"/>
    <col min="7683" max="7685" width="12.25" style="487" customWidth="1"/>
    <col min="7686" max="7686" width="11.625" style="487" customWidth="1"/>
    <col min="7687" max="7687" width="15.5" style="487" customWidth="1"/>
    <col min="7688" max="7688" width="9.125" style="487" customWidth="1"/>
    <col min="7689" max="7689" width="25.5" style="487" customWidth="1"/>
    <col min="7690" max="7691" width="0" style="487" hidden="1" customWidth="1"/>
    <col min="7692" max="7936" width="9" style="487"/>
    <col min="7937" max="7937" width="0" style="487" hidden="1" customWidth="1"/>
    <col min="7938" max="7938" width="11.5" style="487" customWidth="1"/>
    <col min="7939" max="7941" width="12.25" style="487" customWidth="1"/>
    <col min="7942" max="7942" width="11.625" style="487" customWidth="1"/>
    <col min="7943" max="7943" width="15.5" style="487" customWidth="1"/>
    <col min="7944" max="7944" width="9.125" style="487" customWidth="1"/>
    <col min="7945" max="7945" width="25.5" style="487" customWidth="1"/>
    <col min="7946" max="7947" width="0" style="487" hidden="1" customWidth="1"/>
    <col min="7948" max="8192" width="9" style="487"/>
    <col min="8193" max="8193" width="0" style="487" hidden="1" customWidth="1"/>
    <col min="8194" max="8194" width="11.5" style="487" customWidth="1"/>
    <col min="8195" max="8197" width="12.25" style="487" customWidth="1"/>
    <col min="8198" max="8198" width="11.625" style="487" customWidth="1"/>
    <col min="8199" max="8199" width="15.5" style="487" customWidth="1"/>
    <col min="8200" max="8200" width="9.125" style="487" customWidth="1"/>
    <col min="8201" max="8201" width="25.5" style="487" customWidth="1"/>
    <col min="8202" max="8203" width="0" style="487" hidden="1" customWidth="1"/>
    <col min="8204" max="8448" width="9" style="487"/>
    <col min="8449" max="8449" width="0" style="487" hidden="1" customWidth="1"/>
    <col min="8450" max="8450" width="11.5" style="487" customWidth="1"/>
    <col min="8451" max="8453" width="12.25" style="487" customWidth="1"/>
    <col min="8454" max="8454" width="11.625" style="487" customWidth="1"/>
    <col min="8455" max="8455" width="15.5" style="487" customWidth="1"/>
    <col min="8456" max="8456" width="9.125" style="487" customWidth="1"/>
    <col min="8457" max="8457" width="25.5" style="487" customWidth="1"/>
    <col min="8458" max="8459" width="0" style="487" hidden="1" customWidth="1"/>
    <col min="8460" max="8704" width="9" style="487"/>
    <col min="8705" max="8705" width="0" style="487" hidden="1" customWidth="1"/>
    <col min="8706" max="8706" width="11.5" style="487" customWidth="1"/>
    <col min="8707" max="8709" width="12.25" style="487" customWidth="1"/>
    <col min="8710" max="8710" width="11.625" style="487" customWidth="1"/>
    <col min="8711" max="8711" width="15.5" style="487" customWidth="1"/>
    <col min="8712" max="8712" width="9.125" style="487" customWidth="1"/>
    <col min="8713" max="8713" width="25.5" style="487" customWidth="1"/>
    <col min="8714" max="8715" width="0" style="487" hidden="1" customWidth="1"/>
    <col min="8716" max="8960" width="9" style="487"/>
    <col min="8961" max="8961" width="0" style="487" hidden="1" customWidth="1"/>
    <col min="8962" max="8962" width="11.5" style="487" customWidth="1"/>
    <col min="8963" max="8965" width="12.25" style="487" customWidth="1"/>
    <col min="8966" max="8966" width="11.625" style="487" customWidth="1"/>
    <col min="8967" max="8967" width="15.5" style="487" customWidth="1"/>
    <col min="8968" max="8968" width="9.125" style="487" customWidth="1"/>
    <col min="8969" max="8969" width="25.5" style="487" customWidth="1"/>
    <col min="8970" max="8971" width="0" style="487" hidden="1" customWidth="1"/>
    <col min="8972" max="9216" width="9" style="487"/>
    <col min="9217" max="9217" width="0" style="487" hidden="1" customWidth="1"/>
    <col min="9218" max="9218" width="11.5" style="487" customWidth="1"/>
    <col min="9219" max="9221" width="12.25" style="487" customWidth="1"/>
    <col min="9222" max="9222" width="11.625" style="487" customWidth="1"/>
    <col min="9223" max="9223" width="15.5" style="487" customWidth="1"/>
    <col min="9224" max="9224" width="9.125" style="487" customWidth="1"/>
    <col min="9225" max="9225" width="25.5" style="487" customWidth="1"/>
    <col min="9226" max="9227" width="0" style="487" hidden="1" customWidth="1"/>
    <col min="9228" max="9472" width="9" style="487"/>
    <col min="9473" max="9473" width="0" style="487" hidden="1" customWidth="1"/>
    <col min="9474" max="9474" width="11.5" style="487" customWidth="1"/>
    <col min="9475" max="9477" width="12.25" style="487" customWidth="1"/>
    <col min="9478" max="9478" width="11.625" style="487" customWidth="1"/>
    <col min="9479" max="9479" width="15.5" style="487" customWidth="1"/>
    <col min="9480" max="9480" width="9.125" style="487" customWidth="1"/>
    <col min="9481" max="9481" width="25.5" style="487" customWidth="1"/>
    <col min="9482" max="9483" width="0" style="487" hidden="1" customWidth="1"/>
    <col min="9484" max="9728" width="9" style="487"/>
    <col min="9729" max="9729" width="0" style="487" hidden="1" customWidth="1"/>
    <col min="9730" max="9730" width="11.5" style="487" customWidth="1"/>
    <col min="9731" max="9733" width="12.25" style="487" customWidth="1"/>
    <col min="9734" max="9734" width="11.625" style="487" customWidth="1"/>
    <col min="9735" max="9735" width="15.5" style="487" customWidth="1"/>
    <col min="9736" max="9736" width="9.125" style="487" customWidth="1"/>
    <col min="9737" max="9737" width="25.5" style="487" customWidth="1"/>
    <col min="9738" max="9739" width="0" style="487" hidden="1" customWidth="1"/>
    <col min="9740" max="9984" width="9" style="487"/>
    <col min="9985" max="9985" width="0" style="487" hidden="1" customWidth="1"/>
    <col min="9986" max="9986" width="11.5" style="487" customWidth="1"/>
    <col min="9987" max="9989" width="12.25" style="487" customWidth="1"/>
    <col min="9990" max="9990" width="11.625" style="487" customWidth="1"/>
    <col min="9991" max="9991" width="15.5" style="487" customWidth="1"/>
    <col min="9992" max="9992" width="9.125" style="487" customWidth="1"/>
    <col min="9993" max="9993" width="25.5" style="487" customWidth="1"/>
    <col min="9994" max="9995" width="0" style="487" hidden="1" customWidth="1"/>
    <col min="9996" max="10240" width="9" style="487"/>
    <col min="10241" max="10241" width="0" style="487" hidden="1" customWidth="1"/>
    <col min="10242" max="10242" width="11.5" style="487" customWidth="1"/>
    <col min="10243" max="10245" width="12.25" style="487" customWidth="1"/>
    <col min="10246" max="10246" width="11.625" style="487" customWidth="1"/>
    <col min="10247" max="10247" width="15.5" style="487" customWidth="1"/>
    <col min="10248" max="10248" width="9.125" style="487" customWidth="1"/>
    <col min="10249" max="10249" width="25.5" style="487" customWidth="1"/>
    <col min="10250" max="10251" width="0" style="487" hidden="1" customWidth="1"/>
    <col min="10252" max="10496" width="9" style="487"/>
    <col min="10497" max="10497" width="0" style="487" hidden="1" customWidth="1"/>
    <col min="10498" max="10498" width="11.5" style="487" customWidth="1"/>
    <col min="10499" max="10501" width="12.25" style="487" customWidth="1"/>
    <col min="10502" max="10502" width="11.625" style="487" customWidth="1"/>
    <col min="10503" max="10503" width="15.5" style="487" customWidth="1"/>
    <col min="10504" max="10504" width="9.125" style="487" customWidth="1"/>
    <col min="10505" max="10505" width="25.5" style="487" customWidth="1"/>
    <col min="10506" max="10507" width="0" style="487" hidden="1" customWidth="1"/>
    <col min="10508" max="10752" width="9" style="487"/>
    <col min="10753" max="10753" width="0" style="487" hidden="1" customWidth="1"/>
    <col min="10754" max="10754" width="11.5" style="487" customWidth="1"/>
    <col min="10755" max="10757" width="12.25" style="487" customWidth="1"/>
    <col min="10758" max="10758" width="11.625" style="487" customWidth="1"/>
    <col min="10759" max="10759" width="15.5" style="487" customWidth="1"/>
    <col min="10760" max="10760" width="9.125" style="487" customWidth="1"/>
    <col min="10761" max="10761" width="25.5" style="487" customWidth="1"/>
    <col min="10762" max="10763" width="0" style="487" hidden="1" customWidth="1"/>
    <col min="10764" max="11008" width="9" style="487"/>
    <col min="11009" max="11009" width="0" style="487" hidden="1" customWidth="1"/>
    <col min="11010" max="11010" width="11.5" style="487" customWidth="1"/>
    <col min="11011" max="11013" width="12.25" style="487" customWidth="1"/>
    <col min="11014" max="11014" width="11.625" style="487" customWidth="1"/>
    <col min="11015" max="11015" width="15.5" style="487" customWidth="1"/>
    <col min="11016" max="11016" width="9.125" style="487" customWidth="1"/>
    <col min="11017" max="11017" width="25.5" style="487" customWidth="1"/>
    <col min="11018" max="11019" width="0" style="487" hidden="1" customWidth="1"/>
    <col min="11020" max="11264" width="9" style="487"/>
    <col min="11265" max="11265" width="0" style="487" hidden="1" customWidth="1"/>
    <col min="11266" max="11266" width="11.5" style="487" customWidth="1"/>
    <col min="11267" max="11269" width="12.25" style="487" customWidth="1"/>
    <col min="11270" max="11270" width="11.625" style="487" customWidth="1"/>
    <col min="11271" max="11271" width="15.5" style="487" customWidth="1"/>
    <col min="11272" max="11272" width="9.125" style="487" customWidth="1"/>
    <col min="11273" max="11273" width="25.5" style="487" customWidth="1"/>
    <col min="11274" max="11275" width="0" style="487" hidden="1" customWidth="1"/>
    <col min="11276" max="11520" width="9" style="487"/>
    <col min="11521" max="11521" width="0" style="487" hidden="1" customWidth="1"/>
    <col min="11522" max="11522" width="11.5" style="487" customWidth="1"/>
    <col min="11523" max="11525" width="12.25" style="487" customWidth="1"/>
    <col min="11526" max="11526" width="11.625" style="487" customWidth="1"/>
    <col min="11527" max="11527" width="15.5" style="487" customWidth="1"/>
    <col min="11528" max="11528" width="9.125" style="487" customWidth="1"/>
    <col min="11529" max="11529" width="25.5" style="487" customWidth="1"/>
    <col min="11530" max="11531" width="0" style="487" hidden="1" customWidth="1"/>
    <col min="11532" max="11776" width="9" style="487"/>
    <col min="11777" max="11777" width="0" style="487" hidden="1" customWidth="1"/>
    <col min="11778" max="11778" width="11.5" style="487" customWidth="1"/>
    <col min="11779" max="11781" width="12.25" style="487" customWidth="1"/>
    <col min="11782" max="11782" width="11.625" style="487" customWidth="1"/>
    <col min="11783" max="11783" width="15.5" style="487" customWidth="1"/>
    <col min="11784" max="11784" width="9.125" style="487" customWidth="1"/>
    <col min="11785" max="11785" width="25.5" style="487" customWidth="1"/>
    <col min="11786" max="11787" width="0" style="487" hidden="1" customWidth="1"/>
    <col min="11788" max="12032" width="9" style="487"/>
    <col min="12033" max="12033" width="0" style="487" hidden="1" customWidth="1"/>
    <col min="12034" max="12034" width="11.5" style="487" customWidth="1"/>
    <col min="12035" max="12037" width="12.25" style="487" customWidth="1"/>
    <col min="12038" max="12038" width="11.625" style="487" customWidth="1"/>
    <col min="12039" max="12039" width="15.5" style="487" customWidth="1"/>
    <col min="12040" max="12040" width="9.125" style="487" customWidth="1"/>
    <col min="12041" max="12041" width="25.5" style="487" customWidth="1"/>
    <col min="12042" max="12043" width="0" style="487" hidden="1" customWidth="1"/>
    <col min="12044" max="12288" width="9" style="487"/>
    <col min="12289" max="12289" width="0" style="487" hidden="1" customWidth="1"/>
    <col min="12290" max="12290" width="11.5" style="487" customWidth="1"/>
    <col min="12291" max="12293" width="12.25" style="487" customWidth="1"/>
    <col min="12294" max="12294" width="11.625" style="487" customWidth="1"/>
    <col min="12295" max="12295" width="15.5" style="487" customWidth="1"/>
    <col min="12296" max="12296" width="9.125" style="487" customWidth="1"/>
    <col min="12297" max="12297" width="25.5" style="487" customWidth="1"/>
    <col min="12298" max="12299" width="0" style="487" hidden="1" customWidth="1"/>
    <col min="12300" max="12544" width="9" style="487"/>
    <col min="12545" max="12545" width="0" style="487" hidden="1" customWidth="1"/>
    <col min="12546" max="12546" width="11.5" style="487" customWidth="1"/>
    <col min="12547" max="12549" width="12.25" style="487" customWidth="1"/>
    <col min="12550" max="12550" width="11.625" style="487" customWidth="1"/>
    <col min="12551" max="12551" width="15.5" style="487" customWidth="1"/>
    <col min="12552" max="12552" width="9.125" style="487" customWidth="1"/>
    <col min="12553" max="12553" width="25.5" style="487" customWidth="1"/>
    <col min="12554" max="12555" width="0" style="487" hidden="1" customWidth="1"/>
    <col min="12556" max="12800" width="9" style="487"/>
    <col min="12801" max="12801" width="0" style="487" hidden="1" customWidth="1"/>
    <col min="12802" max="12802" width="11.5" style="487" customWidth="1"/>
    <col min="12803" max="12805" width="12.25" style="487" customWidth="1"/>
    <col min="12806" max="12806" width="11.625" style="487" customWidth="1"/>
    <col min="12807" max="12807" width="15.5" style="487" customWidth="1"/>
    <col min="12808" max="12808" width="9.125" style="487" customWidth="1"/>
    <col min="12809" max="12809" width="25.5" style="487" customWidth="1"/>
    <col min="12810" max="12811" width="0" style="487" hidden="1" customWidth="1"/>
    <col min="12812" max="13056" width="9" style="487"/>
    <col min="13057" max="13057" width="0" style="487" hidden="1" customWidth="1"/>
    <col min="13058" max="13058" width="11.5" style="487" customWidth="1"/>
    <col min="13059" max="13061" width="12.25" style="487" customWidth="1"/>
    <col min="13062" max="13062" width="11.625" style="487" customWidth="1"/>
    <col min="13063" max="13063" width="15.5" style="487" customWidth="1"/>
    <col min="13064" max="13064" width="9.125" style="487" customWidth="1"/>
    <col min="13065" max="13065" width="25.5" style="487" customWidth="1"/>
    <col min="13066" max="13067" width="0" style="487" hidden="1" customWidth="1"/>
    <col min="13068" max="13312" width="9" style="487"/>
    <col min="13313" max="13313" width="0" style="487" hidden="1" customWidth="1"/>
    <col min="13314" max="13314" width="11.5" style="487" customWidth="1"/>
    <col min="13315" max="13317" width="12.25" style="487" customWidth="1"/>
    <col min="13318" max="13318" width="11.625" style="487" customWidth="1"/>
    <col min="13319" max="13319" width="15.5" style="487" customWidth="1"/>
    <col min="13320" max="13320" width="9.125" style="487" customWidth="1"/>
    <col min="13321" max="13321" width="25.5" style="487" customWidth="1"/>
    <col min="13322" max="13323" width="0" style="487" hidden="1" customWidth="1"/>
    <col min="13324" max="13568" width="9" style="487"/>
    <col min="13569" max="13569" width="0" style="487" hidden="1" customWidth="1"/>
    <col min="13570" max="13570" width="11.5" style="487" customWidth="1"/>
    <col min="13571" max="13573" width="12.25" style="487" customWidth="1"/>
    <col min="13574" max="13574" width="11.625" style="487" customWidth="1"/>
    <col min="13575" max="13575" width="15.5" style="487" customWidth="1"/>
    <col min="13576" max="13576" width="9.125" style="487" customWidth="1"/>
    <col min="13577" max="13577" width="25.5" style="487" customWidth="1"/>
    <col min="13578" max="13579" width="0" style="487" hidden="1" customWidth="1"/>
    <col min="13580" max="13824" width="9" style="487"/>
    <col min="13825" max="13825" width="0" style="487" hidden="1" customWidth="1"/>
    <col min="13826" max="13826" width="11.5" style="487" customWidth="1"/>
    <col min="13827" max="13829" width="12.25" style="487" customWidth="1"/>
    <col min="13830" max="13830" width="11.625" style="487" customWidth="1"/>
    <col min="13831" max="13831" width="15.5" style="487" customWidth="1"/>
    <col min="13832" max="13832" width="9.125" style="487" customWidth="1"/>
    <col min="13833" max="13833" width="25.5" style="487" customWidth="1"/>
    <col min="13834" max="13835" width="0" style="487" hidden="1" customWidth="1"/>
    <col min="13836" max="14080" width="9" style="487"/>
    <col min="14081" max="14081" width="0" style="487" hidden="1" customWidth="1"/>
    <col min="14082" max="14082" width="11.5" style="487" customWidth="1"/>
    <col min="14083" max="14085" width="12.25" style="487" customWidth="1"/>
    <col min="14086" max="14086" width="11.625" style="487" customWidth="1"/>
    <col min="14087" max="14087" width="15.5" style="487" customWidth="1"/>
    <col min="14088" max="14088" width="9.125" style="487" customWidth="1"/>
    <col min="14089" max="14089" width="25.5" style="487" customWidth="1"/>
    <col min="14090" max="14091" width="0" style="487" hidden="1" customWidth="1"/>
    <col min="14092" max="14336" width="9" style="487"/>
    <col min="14337" max="14337" width="0" style="487" hidden="1" customWidth="1"/>
    <col min="14338" max="14338" width="11.5" style="487" customWidth="1"/>
    <col min="14339" max="14341" width="12.25" style="487" customWidth="1"/>
    <col min="14342" max="14342" width="11.625" style="487" customWidth="1"/>
    <col min="14343" max="14343" width="15.5" style="487" customWidth="1"/>
    <col min="14344" max="14344" width="9.125" style="487" customWidth="1"/>
    <col min="14345" max="14345" width="25.5" style="487" customWidth="1"/>
    <col min="14346" max="14347" width="0" style="487" hidden="1" customWidth="1"/>
    <col min="14348" max="14592" width="9" style="487"/>
    <col min="14593" max="14593" width="0" style="487" hidden="1" customWidth="1"/>
    <col min="14594" max="14594" width="11.5" style="487" customWidth="1"/>
    <col min="14595" max="14597" width="12.25" style="487" customWidth="1"/>
    <col min="14598" max="14598" width="11.625" style="487" customWidth="1"/>
    <col min="14599" max="14599" width="15.5" style="487" customWidth="1"/>
    <col min="14600" max="14600" width="9.125" style="487" customWidth="1"/>
    <col min="14601" max="14601" width="25.5" style="487" customWidth="1"/>
    <col min="14602" max="14603" width="0" style="487" hidden="1" customWidth="1"/>
    <col min="14604" max="14848" width="9" style="487"/>
    <col min="14849" max="14849" width="0" style="487" hidden="1" customWidth="1"/>
    <col min="14850" max="14850" width="11.5" style="487" customWidth="1"/>
    <col min="14851" max="14853" width="12.25" style="487" customWidth="1"/>
    <col min="14854" max="14854" width="11.625" style="487" customWidth="1"/>
    <col min="14855" max="14855" width="15.5" style="487" customWidth="1"/>
    <col min="14856" max="14856" width="9.125" style="487" customWidth="1"/>
    <col min="14857" max="14857" width="25.5" style="487" customWidth="1"/>
    <col min="14858" max="14859" width="0" style="487" hidden="1" customWidth="1"/>
    <col min="14860" max="15104" width="9" style="487"/>
    <col min="15105" max="15105" width="0" style="487" hidden="1" customWidth="1"/>
    <col min="15106" max="15106" width="11.5" style="487" customWidth="1"/>
    <col min="15107" max="15109" width="12.25" style="487" customWidth="1"/>
    <col min="15110" max="15110" width="11.625" style="487" customWidth="1"/>
    <col min="15111" max="15111" width="15.5" style="487" customWidth="1"/>
    <col min="15112" max="15112" width="9.125" style="487" customWidth="1"/>
    <col min="15113" max="15113" width="25.5" style="487" customWidth="1"/>
    <col min="15114" max="15115" width="0" style="487" hidden="1" customWidth="1"/>
    <col min="15116" max="15360" width="9" style="487"/>
    <col min="15361" max="15361" width="0" style="487" hidden="1" customWidth="1"/>
    <col min="15362" max="15362" width="11.5" style="487" customWidth="1"/>
    <col min="15363" max="15365" width="12.25" style="487" customWidth="1"/>
    <col min="15366" max="15366" width="11.625" style="487" customWidth="1"/>
    <col min="15367" max="15367" width="15.5" style="487" customWidth="1"/>
    <col min="15368" max="15368" width="9.125" style="487" customWidth="1"/>
    <col min="15369" max="15369" width="25.5" style="487" customWidth="1"/>
    <col min="15370" max="15371" width="0" style="487" hidden="1" customWidth="1"/>
    <col min="15372" max="15616" width="9" style="487"/>
    <col min="15617" max="15617" width="0" style="487" hidden="1" customWidth="1"/>
    <col min="15618" max="15618" width="11.5" style="487" customWidth="1"/>
    <col min="15619" max="15621" width="12.25" style="487" customWidth="1"/>
    <col min="15622" max="15622" width="11.625" style="487" customWidth="1"/>
    <col min="15623" max="15623" width="15.5" style="487" customWidth="1"/>
    <col min="15624" max="15624" width="9.125" style="487" customWidth="1"/>
    <col min="15625" max="15625" width="25.5" style="487" customWidth="1"/>
    <col min="15626" max="15627" width="0" style="487" hidden="1" customWidth="1"/>
    <col min="15628" max="15872" width="9" style="487"/>
    <col min="15873" max="15873" width="0" style="487" hidden="1" customWidth="1"/>
    <col min="15874" max="15874" width="11.5" style="487" customWidth="1"/>
    <col min="15875" max="15877" width="12.25" style="487" customWidth="1"/>
    <col min="15878" max="15878" width="11.625" style="487" customWidth="1"/>
    <col min="15879" max="15879" width="15.5" style="487" customWidth="1"/>
    <col min="15880" max="15880" width="9.125" style="487" customWidth="1"/>
    <col min="15881" max="15881" width="25.5" style="487" customWidth="1"/>
    <col min="15882" max="15883" width="0" style="487" hidden="1" customWidth="1"/>
    <col min="15884" max="16128" width="9" style="487"/>
    <col min="16129" max="16129" width="0" style="487" hidden="1" customWidth="1"/>
    <col min="16130" max="16130" width="11.5" style="487" customWidth="1"/>
    <col min="16131" max="16133" width="12.25" style="487" customWidth="1"/>
    <col min="16134" max="16134" width="11.625" style="487" customWidth="1"/>
    <col min="16135" max="16135" width="15.5" style="487" customWidth="1"/>
    <col min="16136" max="16136" width="9.125" style="487" customWidth="1"/>
    <col min="16137" max="16137" width="25.5" style="487" customWidth="1"/>
    <col min="16138" max="16139" width="0" style="487" hidden="1" customWidth="1"/>
    <col min="16140" max="16384" width="9" style="487"/>
  </cols>
  <sheetData>
    <row r="1" spans="1:10">
      <c r="B1" s="487" t="s">
        <v>990</v>
      </c>
    </row>
    <row r="3" spans="1:10" ht="30" customHeight="1">
      <c r="A3" s="516"/>
      <c r="B3" s="1027" t="s">
        <v>434</v>
      </c>
      <c r="C3" s="1027"/>
      <c r="D3" s="1027"/>
      <c r="E3" s="1027"/>
      <c r="F3" s="1027"/>
      <c r="G3" s="1027"/>
      <c r="H3" s="516"/>
      <c r="I3" s="516"/>
      <c r="J3" s="516"/>
    </row>
    <row r="4" spans="1:10" s="647" customFormat="1" ht="18" customHeight="1">
      <c r="A4" s="593"/>
      <c r="B4" s="1028" t="s">
        <v>1205</v>
      </c>
      <c r="C4" s="1028"/>
      <c r="D4" s="1028"/>
      <c r="E4" s="1028"/>
      <c r="F4" s="1028"/>
      <c r="G4" s="1028"/>
      <c r="H4" s="1028"/>
      <c r="I4" s="1028"/>
      <c r="J4" s="593"/>
    </row>
    <row r="5" spans="1:10" s="647" customFormat="1" ht="18" customHeight="1">
      <c r="A5" s="593"/>
      <c r="B5" s="762" t="s">
        <v>387</v>
      </c>
      <c r="C5" s="1029" t="s">
        <v>1167</v>
      </c>
      <c r="D5" s="1029"/>
      <c r="E5" s="1030" t="s">
        <v>388</v>
      </c>
      <c r="F5" s="1030"/>
      <c r="G5" s="1029" t="s">
        <v>428</v>
      </c>
      <c r="H5" s="1029"/>
      <c r="I5" s="1029"/>
      <c r="J5" s="593"/>
    </row>
    <row r="6" spans="1:10" s="647" customFormat="1" ht="18" customHeight="1">
      <c r="A6" s="593"/>
      <c r="B6" s="762" t="s">
        <v>389</v>
      </c>
      <c r="C6" s="1029" t="s">
        <v>1383</v>
      </c>
      <c r="D6" s="1029"/>
      <c r="E6" s="1030" t="s">
        <v>435</v>
      </c>
      <c r="F6" s="1030"/>
      <c r="G6" s="1032">
        <v>3117458</v>
      </c>
      <c r="H6" s="1032"/>
      <c r="I6" s="1032"/>
      <c r="J6" s="593"/>
    </row>
    <row r="7" spans="1:10" s="647" customFormat="1" ht="18" customHeight="1">
      <c r="A7" s="593"/>
      <c r="B7" s="762" t="s">
        <v>412</v>
      </c>
      <c r="C7" s="1029" t="s">
        <v>1204</v>
      </c>
      <c r="D7" s="1029"/>
      <c r="E7" s="1030" t="s">
        <v>436</v>
      </c>
      <c r="F7" s="1030"/>
      <c r="G7" s="1032">
        <v>3117458</v>
      </c>
      <c r="H7" s="1032"/>
      <c r="I7" s="1032"/>
      <c r="J7" s="593"/>
    </row>
    <row r="8" spans="1:10" s="647" customFormat="1" ht="18" customHeight="1">
      <c r="A8" s="593"/>
      <c r="B8" s="1031" t="s">
        <v>437</v>
      </c>
      <c r="C8" s="1031"/>
      <c r="D8" s="1031"/>
      <c r="E8" s="1031"/>
      <c r="F8" s="1031"/>
      <c r="G8" s="1031"/>
      <c r="H8" s="1031"/>
      <c r="I8" s="765" t="s">
        <v>390</v>
      </c>
      <c r="J8" s="593"/>
    </row>
    <row r="9" spans="1:10" s="647" customFormat="1" ht="18" customHeight="1">
      <c r="A9" s="593"/>
      <c r="B9" s="763" t="s">
        <v>166</v>
      </c>
      <c r="C9" s="763" t="s">
        <v>391</v>
      </c>
      <c r="D9" s="763" t="s">
        <v>392</v>
      </c>
      <c r="E9" s="763" t="s">
        <v>168</v>
      </c>
      <c r="F9" s="763" t="s">
        <v>393</v>
      </c>
      <c r="G9" s="763" t="s">
        <v>394</v>
      </c>
      <c r="H9" s="763" t="s">
        <v>395</v>
      </c>
      <c r="I9" s="763" t="s">
        <v>396</v>
      </c>
      <c r="J9" s="593"/>
    </row>
    <row r="10" spans="1:10" s="647" customFormat="1" ht="18" customHeight="1">
      <c r="A10" s="593"/>
      <c r="B10" s="722" t="s">
        <v>636</v>
      </c>
      <c r="C10" s="711">
        <v>21100</v>
      </c>
      <c r="D10" s="771" t="s">
        <v>399</v>
      </c>
      <c r="E10" s="711">
        <v>1355726</v>
      </c>
      <c r="F10" s="722" t="s">
        <v>405</v>
      </c>
      <c r="G10" s="722" t="s">
        <v>1206</v>
      </c>
      <c r="H10" s="722" t="s">
        <v>438</v>
      </c>
      <c r="I10" s="722" t="s">
        <v>1082</v>
      </c>
      <c r="J10" s="593"/>
    </row>
    <row r="11" spans="1:10" s="647" customFormat="1" ht="18" customHeight="1">
      <c r="A11" s="593"/>
      <c r="B11" s="722" t="s">
        <v>638</v>
      </c>
      <c r="C11" s="711">
        <v>-21100</v>
      </c>
      <c r="D11" s="771" t="s">
        <v>399</v>
      </c>
      <c r="E11" s="711">
        <v>1376826</v>
      </c>
      <c r="F11" s="722" t="s">
        <v>405</v>
      </c>
      <c r="G11" s="722" t="s">
        <v>1206</v>
      </c>
      <c r="H11" s="722" t="s">
        <v>438</v>
      </c>
      <c r="I11" s="722" t="s">
        <v>1082</v>
      </c>
      <c r="J11" s="593"/>
    </row>
    <row r="12" spans="1:10" s="647" customFormat="1" ht="18" customHeight="1">
      <c r="A12" s="593"/>
      <c r="B12" s="763" t="s">
        <v>639</v>
      </c>
      <c r="C12" s="764">
        <v>17500</v>
      </c>
      <c r="D12" s="698" t="s">
        <v>399</v>
      </c>
      <c r="E12" s="764">
        <v>1359326</v>
      </c>
      <c r="F12" s="763" t="s">
        <v>405</v>
      </c>
      <c r="G12" s="763" t="s">
        <v>1206</v>
      </c>
      <c r="H12" s="763" t="s">
        <v>438</v>
      </c>
      <c r="I12" s="763" t="s">
        <v>399</v>
      </c>
      <c r="J12" s="593"/>
    </row>
    <row r="13" spans="1:10" s="647" customFormat="1" ht="18" customHeight="1">
      <c r="A13" s="593"/>
      <c r="B13" s="763" t="s">
        <v>640</v>
      </c>
      <c r="C13" s="764">
        <v>4420</v>
      </c>
      <c r="D13" s="698" t="s">
        <v>399</v>
      </c>
      <c r="E13" s="764">
        <v>1354906</v>
      </c>
      <c r="F13" s="763" t="s">
        <v>405</v>
      </c>
      <c r="G13" s="763" t="s">
        <v>1207</v>
      </c>
      <c r="H13" s="763" t="s">
        <v>438</v>
      </c>
      <c r="I13" s="763" t="s">
        <v>399</v>
      </c>
      <c r="J13" s="593"/>
    </row>
    <row r="14" spans="1:10" s="647" customFormat="1" ht="18" customHeight="1">
      <c r="A14" s="593"/>
      <c r="B14" s="763" t="s">
        <v>642</v>
      </c>
      <c r="C14" s="764">
        <v>25000</v>
      </c>
      <c r="D14" s="698" t="s">
        <v>399</v>
      </c>
      <c r="E14" s="764">
        <v>1329906</v>
      </c>
      <c r="F14" s="763" t="s">
        <v>405</v>
      </c>
      <c r="G14" s="763" t="s">
        <v>1208</v>
      </c>
      <c r="H14" s="763" t="s">
        <v>438</v>
      </c>
      <c r="I14" s="763" t="s">
        <v>399</v>
      </c>
      <c r="J14" s="593"/>
    </row>
    <row r="15" spans="1:10" s="647" customFormat="1" ht="18" customHeight="1">
      <c r="A15" s="593"/>
      <c r="B15" s="763" t="s">
        <v>643</v>
      </c>
      <c r="C15" s="764">
        <v>30000</v>
      </c>
      <c r="D15" s="698" t="s">
        <v>399</v>
      </c>
      <c r="E15" s="764">
        <v>1299906</v>
      </c>
      <c r="F15" s="763" t="s">
        <v>405</v>
      </c>
      <c r="G15" s="763" t="s">
        <v>1209</v>
      </c>
      <c r="H15" s="763" t="s">
        <v>438</v>
      </c>
      <c r="I15" s="763" t="s">
        <v>399</v>
      </c>
      <c r="J15" s="593"/>
    </row>
    <row r="16" spans="1:10" s="647" customFormat="1" ht="18" customHeight="1">
      <c r="A16" s="593"/>
      <c r="B16" s="763" t="s">
        <v>645</v>
      </c>
      <c r="C16" s="764">
        <v>22000</v>
      </c>
      <c r="D16" s="698" t="s">
        <v>399</v>
      </c>
      <c r="E16" s="764">
        <v>1277906</v>
      </c>
      <c r="F16" s="763" t="s">
        <v>405</v>
      </c>
      <c r="G16" s="763" t="s">
        <v>1210</v>
      </c>
      <c r="H16" s="763" t="s">
        <v>438</v>
      </c>
      <c r="I16" s="763" t="s">
        <v>399</v>
      </c>
      <c r="J16" s="593"/>
    </row>
    <row r="17" spans="1:10" s="647" customFormat="1" ht="18" customHeight="1">
      <c r="A17" s="593"/>
      <c r="B17" s="763" t="s">
        <v>647</v>
      </c>
      <c r="C17" s="764">
        <v>80500</v>
      </c>
      <c r="D17" s="698" t="s">
        <v>399</v>
      </c>
      <c r="E17" s="764">
        <v>1197406</v>
      </c>
      <c r="F17" s="763" t="s">
        <v>445</v>
      </c>
      <c r="G17" s="763" t="s">
        <v>1211</v>
      </c>
      <c r="H17" s="763" t="s">
        <v>438</v>
      </c>
      <c r="I17" s="763" t="s">
        <v>648</v>
      </c>
      <c r="J17" s="593"/>
    </row>
    <row r="18" spans="1:10" s="647" customFormat="1" ht="18" customHeight="1">
      <c r="A18" s="593"/>
      <c r="B18" s="763" t="s">
        <v>649</v>
      </c>
      <c r="C18" s="764">
        <v>6000</v>
      </c>
      <c r="D18" s="698" t="s">
        <v>399</v>
      </c>
      <c r="E18" s="764">
        <v>1191406</v>
      </c>
      <c r="F18" s="763" t="s">
        <v>405</v>
      </c>
      <c r="G18" s="763" t="s">
        <v>1207</v>
      </c>
      <c r="H18" s="763" t="s">
        <v>438</v>
      </c>
      <c r="I18" s="763" t="s">
        <v>399</v>
      </c>
      <c r="J18" s="593"/>
    </row>
    <row r="19" spans="1:10" s="647" customFormat="1" ht="18" customHeight="1">
      <c r="A19" s="593"/>
      <c r="B19" s="763" t="s">
        <v>650</v>
      </c>
      <c r="C19" s="764">
        <v>62000</v>
      </c>
      <c r="D19" s="698" t="s">
        <v>399</v>
      </c>
      <c r="E19" s="764">
        <v>1129406</v>
      </c>
      <c r="F19" s="763" t="s">
        <v>405</v>
      </c>
      <c r="G19" s="763" t="s">
        <v>1212</v>
      </c>
      <c r="H19" s="763" t="s">
        <v>438</v>
      </c>
      <c r="I19" s="763" t="s">
        <v>399</v>
      </c>
      <c r="J19" s="593"/>
    </row>
    <row r="20" spans="1:10" s="647" customFormat="1" ht="18" customHeight="1">
      <c r="A20" s="593"/>
      <c r="B20" s="763" t="s">
        <v>652</v>
      </c>
      <c r="C20" s="764"/>
      <c r="D20" s="764">
        <v>407000</v>
      </c>
      <c r="E20" s="764">
        <v>1536406</v>
      </c>
      <c r="F20" s="763" t="s">
        <v>408</v>
      </c>
      <c r="G20" s="763" t="s">
        <v>1213</v>
      </c>
      <c r="H20" s="763" t="s">
        <v>521</v>
      </c>
      <c r="I20" s="763" t="s">
        <v>399</v>
      </c>
      <c r="J20" s="593"/>
    </row>
    <row r="21" spans="1:10" s="647" customFormat="1" ht="18" customHeight="1">
      <c r="A21" s="593"/>
      <c r="B21" s="763" t="s">
        <v>653</v>
      </c>
      <c r="C21" s="764">
        <v>27000</v>
      </c>
      <c r="D21" s="764"/>
      <c r="E21" s="764">
        <v>1509406</v>
      </c>
      <c r="F21" s="763" t="s">
        <v>405</v>
      </c>
      <c r="G21" s="763" t="s">
        <v>1214</v>
      </c>
      <c r="H21" s="763" t="s">
        <v>438</v>
      </c>
      <c r="I21" s="763" t="s">
        <v>399</v>
      </c>
      <c r="J21" s="593"/>
    </row>
    <row r="22" spans="1:10" s="647" customFormat="1" ht="18" customHeight="1">
      <c r="A22" s="593"/>
      <c r="B22" s="763" t="s">
        <v>655</v>
      </c>
      <c r="C22" s="764">
        <v>41300</v>
      </c>
      <c r="D22" s="764"/>
      <c r="E22" s="764">
        <v>1468106</v>
      </c>
      <c r="F22" s="763" t="s">
        <v>405</v>
      </c>
      <c r="G22" s="763" t="s">
        <v>1215</v>
      </c>
      <c r="H22" s="763" t="s">
        <v>438</v>
      </c>
      <c r="I22" s="763" t="s">
        <v>399</v>
      </c>
      <c r="J22" s="593"/>
    </row>
    <row r="23" spans="1:10" s="647" customFormat="1" ht="18" customHeight="1">
      <c r="A23" s="593"/>
      <c r="B23" s="763" t="s">
        <v>657</v>
      </c>
      <c r="C23" s="764">
        <v>50000</v>
      </c>
      <c r="D23" s="764"/>
      <c r="E23" s="764">
        <v>1418106</v>
      </c>
      <c r="F23" s="763" t="s">
        <v>405</v>
      </c>
      <c r="G23" s="763" t="s">
        <v>1216</v>
      </c>
      <c r="H23" s="763" t="s">
        <v>438</v>
      </c>
      <c r="I23" s="763" t="s">
        <v>399</v>
      </c>
      <c r="J23" s="593"/>
    </row>
    <row r="24" spans="1:10" s="647" customFormat="1" ht="18" customHeight="1">
      <c r="A24" s="593"/>
      <c r="B24" s="763" t="s">
        <v>658</v>
      </c>
      <c r="C24" s="764">
        <v>154500</v>
      </c>
      <c r="D24" s="764"/>
      <c r="E24" s="764">
        <v>1263606</v>
      </c>
      <c r="F24" s="763" t="s">
        <v>439</v>
      </c>
      <c r="G24" s="763" t="s">
        <v>1217</v>
      </c>
      <c r="H24" s="763" t="s">
        <v>438</v>
      </c>
      <c r="I24" s="763" t="s">
        <v>660</v>
      </c>
      <c r="J24" s="593"/>
    </row>
    <row r="25" spans="1:10" s="647" customFormat="1" ht="18" customHeight="1">
      <c r="A25" s="593"/>
      <c r="B25" s="763" t="s">
        <v>661</v>
      </c>
      <c r="C25" s="764">
        <v>231000</v>
      </c>
      <c r="D25" s="764"/>
      <c r="E25" s="764">
        <v>1032606</v>
      </c>
      <c r="F25" s="763" t="s">
        <v>400</v>
      </c>
      <c r="G25" s="763" t="s">
        <v>1218</v>
      </c>
      <c r="H25" s="763" t="s">
        <v>438</v>
      </c>
      <c r="I25" s="763" t="s">
        <v>663</v>
      </c>
      <c r="J25" s="593"/>
    </row>
    <row r="26" spans="1:10" s="647" customFormat="1" ht="18" customHeight="1">
      <c r="A26" s="593"/>
      <c r="B26" s="763" t="s">
        <v>664</v>
      </c>
      <c r="C26" s="764">
        <v>120000</v>
      </c>
      <c r="D26" s="764"/>
      <c r="E26" s="764">
        <v>912606</v>
      </c>
      <c r="F26" s="763" t="s">
        <v>400</v>
      </c>
      <c r="G26" s="763" t="s">
        <v>1219</v>
      </c>
      <c r="H26" s="763" t="s">
        <v>438</v>
      </c>
      <c r="I26" s="763" t="s">
        <v>666</v>
      </c>
      <c r="J26" s="593"/>
    </row>
    <row r="27" spans="1:10" s="647" customFormat="1" ht="18" customHeight="1">
      <c r="A27" s="593"/>
      <c r="B27" s="763" t="s">
        <v>667</v>
      </c>
      <c r="C27" s="764">
        <v>240500</v>
      </c>
      <c r="D27" s="764"/>
      <c r="E27" s="764">
        <v>672106</v>
      </c>
      <c r="F27" s="763" t="s">
        <v>440</v>
      </c>
      <c r="G27" s="763" t="s">
        <v>1220</v>
      </c>
      <c r="H27" s="763" t="s">
        <v>438</v>
      </c>
      <c r="I27" s="763" t="s">
        <v>669</v>
      </c>
      <c r="J27" s="593"/>
    </row>
    <row r="28" spans="1:10" s="647" customFormat="1" ht="18" customHeight="1">
      <c r="A28" s="593"/>
      <c r="B28" s="763" t="s">
        <v>670</v>
      </c>
      <c r="C28" s="764">
        <v>150500</v>
      </c>
      <c r="D28" s="764"/>
      <c r="E28" s="764">
        <v>521606</v>
      </c>
      <c r="F28" s="763" t="s">
        <v>515</v>
      </c>
      <c r="G28" s="763" t="s">
        <v>1221</v>
      </c>
      <c r="H28" s="763" t="s">
        <v>438</v>
      </c>
      <c r="I28" s="763" t="s">
        <v>672</v>
      </c>
      <c r="J28" s="593"/>
    </row>
    <row r="29" spans="1:10" s="647" customFormat="1" ht="18" customHeight="1">
      <c r="A29" s="593"/>
      <c r="B29" s="763" t="s">
        <v>673</v>
      </c>
      <c r="C29" s="764">
        <v>8000</v>
      </c>
      <c r="D29" s="764"/>
      <c r="E29" s="764">
        <v>513606</v>
      </c>
      <c r="F29" s="763" t="s">
        <v>405</v>
      </c>
      <c r="G29" s="763" t="s">
        <v>1222</v>
      </c>
      <c r="H29" s="763" t="s">
        <v>438</v>
      </c>
      <c r="I29" s="763" t="s">
        <v>399</v>
      </c>
      <c r="J29" s="593"/>
    </row>
    <row r="30" spans="1:10" s="647" customFormat="1" ht="18" customHeight="1">
      <c r="A30" s="593"/>
      <c r="B30" s="763" t="s">
        <v>675</v>
      </c>
      <c r="C30" s="764">
        <v>30000</v>
      </c>
      <c r="D30" s="764"/>
      <c r="E30" s="764">
        <v>483606</v>
      </c>
      <c r="F30" s="763" t="s">
        <v>405</v>
      </c>
      <c r="G30" s="763" t="s">
        <v>1223</v>
      </c>
      <c r="H30" s="763" t="s">
        <v>438</v>
      </c>
      <c r="I30" s="763" t="s">
        <v>399</v>
      </c>
      <c r="J30" s="593"/>
    </row>
    <row r="31" spans="1:10" s="647" customFormat="1" ht="18" customHeight="1">
      <c r="A31" s="593"/>
      <c r="B31" s="763" t="s">
        <v>676</v>
      </c>
      <c r="C31" s="764">
        <v>144000</v>
      </c>
      <c r="D31" s="764"/>
      <c r="E31" s="764">
        <v>339606</v>
      </c>
      <c r="F31" s="763" t="s">
        <v>405</v>
      </c>
      <c r="G31" s="763" t="s">
        <v>1224</v>
      </c>
      <c r="H31" s="763" t="s">
        <v>438</v>
      </c>
      <c r="I31" s="763" t="s">
        <v>399</v>
      </c>
      <c r="J31" s="593"/>
    </row>
    <row r="32" spans="1:10" s="647" customFormat="1" ht="18" customHeight="1">
      <c r="A32" s="593"/>
      <c r="B32" s="763" t="s">
        <v>678</v>
      </c>
      <c r="C32" s="764">
        <v>1000</v>
      </c>
      <c r="D32" s="764"/>
      <c r="E32" s="764">
        <v>338606</v>
      </c>
      <c r="F32" s="763" t="s">
        <v>405</v>
      </c>
      <c r="G32" s="763" t="s">
        <v>1225</v>
      </c>
      <c r="H32" s="763" t="s">
        <v>438</v>
      </c>
      <c r="I32" s="763" t="s">
        <v>399</v>
      </c>
      <c r="J32" s="593"/>
    </row>
    <row r="33" spans="1:10" s="647" customFormat="1" ht="18" customHeight="1">
      <c r="A33" s="593"/>
      <c r="B33" s="763" t="s">
        <v>680</v>
      </c>
      <c r="C33" s="764">
        <v>50000</v>
      </c>
      <c r="D33" s="764"/>
      <c r="E33" s="764">
        <v>288606</v>
      </c>
      <c r="F33" s="763" t="s">
        <v>405</v>
      </c>
      <c r="G33" s="763" t="s">
        <v>1216</v>
      </c>
      <c r="H33" s="763" t="s">
        <v>438</v>
      </c>
      <c r="I33" s="763" t="s">
        <v>399</v>
      </c>
      <c r="J33" s="593"/>
    </row>
    <row r="34" spans="1:10" s="647" customFormat="1" ht="18" customHeight="1">
      <c r="A34" s="593"/>
      <c r="B34" s="763" t="s">
        <v>681</v>
      </c>
      <c r="C34" s="764">
        <v>12500</v>
      </c>
      <c r="D34" s="764"/>
      <c r="E34" s="764">
        <v>276106</v>
      </c>
      <c r="F34" s="763" t="s">
        <v>405</v>
      </c>
      <c r="G34" s="763" t="s">
        <v>1227</v>
      </c>
      <c r="H34" s="763" t="s">
        <v>438</v>
      </c>
      <c r="I34" s="763" t="s">
        <v>399</v>
      </c>
      <c r="J34" s="593"/>
    </row>
    <row r="35" spans="1:10" s="647" customFormat="1" ht="18" customHeight="1">
      <c r="A35" s="593"/>
      <c r="B35" s="763" t="s">
        <v>682</v>
      </c>
      <c r="C35" s="764">
        <v>25400</v>
      </c>
      <c r="D35" s="764"/>
      <c r="E35" s="764">
        <v>250706</v>
      </c>
      <c r="F35" s="763" t="s">
        <v>405</v>
      </c>
      <c r="G35" s="763" t="s">
        <v>1228</v>
      </c>
      <c r="H35" s="763" t="s">
        <v>438</v>
      </c>
      <c r="I35" s="763" t="s">
        <v>399</v>
      </c>
      <c r="J35" s="593"/>
    </row>
    <row r="36" spans="1:10" s="647" customFormat="1" ht="18" customHeight="1">
      <c r="A36" s="593"/>
      <c r="B36" s="763" t="s">
        <v>684</v>
      </c>
      <c r="C36" s="764">
        <v>97500</v>
      </c>
      <c r="D36" s="764"/>
      <c r="E36" s="764">
        <v>153206</v>
      </c>
      <c r="F36" s="763" t="s">
        <v>405</v>
      </c>
      <c r="G36" s="763" t="s">
        <v>1226</v>
      </c>
      <c r="H36" s="763" t="s">
        <v>438</v>
      </c>
      <c r="I36" s="763" t="s">
        <v>399</v>
      </c>
      <c r="J36" s="593"/>
    </row>
    <row r="37" spans="1:10" s="647" customFormat="1" ht="18" customHeight="1">
      <c r="A37" s="593"/>
      <c r="B37" s="763" t="s">
        <v>686</v>
      </c>
      <c r="C37" s="764">
        <v>60000</v>
      </c>
      <c r="D37" s="764"/>
      <c r="E37" s="764">
        <v>93206</v>
      </c>
      <c r="F37" s="763" t="s">
        <v>405</v>
      </c>
      <c r="G37" s="763" t="s">
        <v>687</v>
      </c>
      <c r="H37" s="763" t="s">
        <v>438</v>
      </c>
      <c r="I37" s="763" t="s">
        <v>399</v>
      </c>
      <c r="J37" s="593"/>
    </row>
    <row r="38" spans="1:10" s="647" customFormat="1" ht="18" customHeight="1">
      <c r="A38" s="593"/>
      <c r="B38" s="763" t="s">
        <v>688</v>
      </c>
      <c r="C38" s="764">
        <v>8000</v>
      </c>
      <c r="D38" s="764"/>
      <c r="E38" s="764">
        <v>85206</v>
      </c>
      <c r="F38" s="763" t="s">
        <v>405</v>
      </c>
      <c r="G38" s="763" t="s">
        <v>1229</v>
      </c>
      <c r="H38" s="763" t="s">
        <v>438</v>
      </c>
      <c r="I38" s="763" t="s">
        <v>399</v>
      </c>
      <c r="J38" s="593"/>
    </row>
    <row r="39" spans="1:10" s="647" customFormat="1" ht="18" customHeight="1">
      <c r="A39" s="593"/>
      <c r="B39" s="763" t="s">
        <v>689</v>
      </c>
      <c r="C39" s="764">
        <v>8000</v>
      </c>
      <c r="D39" s="764"/>
      <c r="E39" s="764">
        <v>77206</v>
      </c>
      <c r="F39" s="763" t="s">
        <v>405</v>
      </c>
      <c r="G39" s="763" t="s">
        <v>1230</v>
      </c>
      <c r="H39" s="763" t="s">
        <v>438</v>
      </c>
      <c r="I39" s="763" t="s">
        <v>399</v>
      </c>
      <c r="J39" s="593"/>
    </row>
    <row r="40" spans="1:10" s="647" customFormat="1" ht="18" customHeight="1">
      <c r="A40" s="593"/>
      <c r="B40" s="763" t="s">
        <v>691</v>
      </c>
      <c r="C40" s="764">
        <v>45000</v>
      </c>
      <c r="D40" s="764"/>
      <c r="E40" s="764">
        <v>32206</v>
      </c>
      <c r="F40" s="763" t="s">
        <v>405</v>
      </c>
      <c r="G40" s="763" t="s">
        <v>1231</v>
      </c>
      <c r="H40" s="763" t="s">
        <v>438</v>
      </c>
      <c r="I40" s="763" t="s">
        <v>399</v>
      </c>
      <c r="J40" s="593"/>
    </row>
    <row r="41" spans="1:10" s="647" customFormat="1" ht="18" customHeight="1">
      <c r="A41" s="593"/>
      <c r="B41" s="763" t="s">
        <v>693</v>
      </c>
      <c r="C41" s="764">
        <v>29000</v>
      </c>
      <c r="D41" s="764"/>
      <c r="E41" s="764">
        <v>3206</v>
      </c>
      <c r="F41" s="763" t="s">
        <v>405</v>
      </c>
      <c r="G41" s="763" t="s">
        <v>1232</v>
      </c>
      <c r="H41" s="763" t="s">
        <v>438</v>
      </c>
      <c r="I41" s="763" t="s">
        <v>399</v>
      </c>
      <c r="J41" s="593"/>
    </row>
    <row r="42" spans="1:10" s="647" customFormat="1" ht="18" customHeight="1">
      <c r="A42" s="593"/>
      <c r="B42" s="763" t="s">
        <v>695</v>
      </c>
      <c r="C42" s="764"/>
      <c r="D42" s="764">
        <v>550000</v>
      </c>
      <c r="E42" s="764">
        <v>553206</v>
      </c>
      <c r="F42" s="763" t="s">
        <v>696</v>
      </c>
      <c r="G42" s="763" t="s">
        <v>1233</v>
      </c>
      <c r="H42" s="763" t="s">
        <v>698</v>
      </c>
      <c r="I42" s="763" t="s">
        <v>399</v>
      </c>
      <c r="J42" s="593"/>
    </row>
    <row r="43" spans="1:10" s="647" customFormat="1" ht="18" customHeight="1">
      <c r="A43" s="593"/>
      <c r="B43" s="763" t="s">
        <v>699</v>
      </c>
      <c r="C43" s="764">
        <v>18000</v>
      </c>
      <c r="D43" s="764"/>
      <c r="E43" s="764">
        <v>535206</v>
      </c>
      <c r="F43" s="763" t="s">
        <v>405</v>
      </c>
      <c r="G43" s="763" t="s">
        <v>1262</v>
      </c>
      <c r="H43" s="763" t="s">
        <v>438</v>
      </c>
      <c r="I43" s="763" t="s">
        <v>399</v>
      </c>
      <c r="J43" s="593"/>
    </row>
    <row r="44" spans="1:10" s="647" customFormat="1" ht="18" customHeight="1">
      <c r="A44" s="593"/>
      <c r="B44" s="763" t="s">
        <v>700</v>
      </c>
      <c r="C44" s="764">
        <v>17000</v>
      </c>
      <c r="D44" s="764"/>
      <c r="E44" s="764">
        <v>518206</v>
      </c>
      <c r="F44" s="763" t="s">
        <v>400</v>
      </c>
      <c r="G44" s="763" t="s">
        <v>1256</v>
      </c>
      <c r="H44" s="763" t="s">
        <v>438</v>
      </c>
      <c r="I44" s="763" t="s">
        <v>701</v>
      </c>
      <c r="J44" s="593"/>
    </row>
    <row r="45" spans="1:10" s="647" customFormat="1" ht="18" customHeight="1">
      <c r="A45" s="593"/>
      <c r="B45" s="763" t="s">
        <v>702</v>
      </c>
      <c r="C45" s="764">
        <v>12000</v>
      </c>
      <c r="D45" s="764"/>
      <c r="E45" s="764">
        <v>506206</v>
      </c>
      <c r="F45" s="763" t="s">
        <v>405</v>
      </c>
      <c r="G45" s="763" t="s">
        <v>1257</v>
      </c>
      <c r="H45" s="763" t="s">
        <v>438</v>
      </c>
      <c r="I45" s="763" t="s">
        <v>399</v>
      </c>
      <c r="J45" s="593"/>
    </row>
    <row r="46" spans="1:10" s="647" customFormat="1" ht="18" customHeight="1">
      <c r="A46" s="593"/>
      <c r="B46" s="763" t="s">
        <v>703</v>
      </c>
      <c r="C46" s="764">
        <v>38000</v>
      </c>
      <c r="D46" s="764"/>
      <c r="E46" s="764">
        <v>468206</v>
      </c>
      <c r="F46" s="763" t="s">
        <v>405</v>
      </c>
      <c r="G46" s="763" t="s">
        <v>1261</v>
      </c>
      <c r="H46" s="763" t="s">
        <v>438</v>
      </c>
      <c r="I46" s="763" t="s">
        <v>399</v>
      </c>
      <c r="J46" s="593"/>
    </row>
    <row r="47" spans="1:10" s="647" customFormat="1" ht="18" customHeight="1">
      <c r="A47" s="593"/>
      <c r="B47" s="763" t="s">
        <v>705</v>
      </c>
      <c r="C47" s="764">
        <v>6500</v>
      </c>
      <c r="D47" s="764"/>
      <c r="E47" s="764">
        <v>461706</v>
      </c>
      <c r="F47" s="763" t="s">
        <v>405</v>
      </c>
      <c r="G47" s="763" t="s">
        <v>1260</v>
      </c>
      <c r="H47" s="763" t="s">
        <v>438</v>
      </c>
      <c r="I47" s="763" t="s">
        <v>399</v>
      </c>
      <c r="J47" s="593"/>
    </row>
    <row r="48" spans="1:10" s="647" customFormat="1" ht="18" customHeight="1">
      <c r="A48" s="593"/>
      <c r="B48" s="763" t="s">
        <v>707</v>
      </c>
      <c r="C48" s="764"/>
      <c r="D48" s="764">
        <v>660000</v>
      </c>
      <c r="E48" s="764">
        <v>1121706</v>
      </c>
      <c r="F48" s="763" t="s">
        <v>406</v>
      </c>
      <c r="G48" s="763" t="s">
        <v>1258</v>
      </c>
      <c r="H48" s="763" t="s">
        <v>520</v>
      </c>
      <c r="I48" s="763" t="s">
        <v>399</v>
      </c>
      <c r="J48" s="593"/>
    </row>
    <row r="49" spans="1:10" s="647" customFormat="1" ht="18" customHeight="1">
      <c r="A49" s="593"/>
      <c r="B49" s="763" t="s">
        <v>708</v>
      </c>
      <c r="C49" s="764">
        <v>8500</v>
      </c>
      <c r="D49" s="764"/>
      <c r="E49" s="764">
        <v>1113206</v>
      </c>
      <c r="F49" s="763" t="s">
        <v>405</v>
      </c>
      <c r="G49" s="763" t="s">
        <v>1259</v>
      </c>
      <c r="H49" s="763" t="s">
        <v>438</v>
      </c>
      <c r="I49" s="763" t="s">
        <v>399</v>
      </c>
      <c r="J49" s="593"/>
    </row>
    <row r="50" spans="1:10" s="647" customFormat="1" ht="18" customHeight="1">
      <c r="A50" s="593"/>
      <c r="B50" s="763" t="s">
        <v>709</v>
      </c>
      <c r="C50" s="764">
        <v>190000</v>
      </c>
      <c r="D50" s="764"/>
      <c r="E50" s="764">
        <v>923206</v>
      </c>
      <c r="F50" s="763" t="s">
        <v>405</v>
      </c>
      <c r="G50" s="763" t="s">
        <v>1263</v>
      </c>
      <c r="H50" s="763" t="s">
        <v>438</v>
      </c>
      <c r="I50" s="763" t="s">
        <v>399</v>
      </c>
      <c r="J50" s="593"/>
    </row>
    <row r="51" spans="1:10" s="647" customFormat="1" ht="18" customHeight="1">
      <c r="A51" s="593"/>
      <c r="B51" s="763" t="s">
        <v>711</v>
      </c>
      <c r="C51" s="764">
        <v>30000</v>
      </c>
      <c r="D51" s="764"/>
      <c r="E51" s="764">
        <v>893206</v>
      </c>
      <c r="F51" s="763" t="s">
        <v>405</v>
      </c>
      <c r="G51" s="763" t="s">
        <v>1264</v>
      </c>
      <c r="H51" s="763" t="s">
        <v>438</v>
      </c>
      <c r="I51" s="763" t="s">
        <v>399</v>
      </c>
      <c r="J51" s="593"/>
    </row>
    <row r="52" spans="1:10" s="647" customFormat="1" ht="18" customHeight="1">
      <c r="A52" s="593"/>
      <c r="B52" s="763" t="s">
        <v>712</v>
      </c>
      <c r="C52" s="764">
        <v>21010</v>
      </c>
      <c r="D52" s="764"/>
      <c r="E52" s="764">
        <v>872196</v>
      </c>
      <c r="F52" s="763" t="s">
        <v>405</v>
      </c>
      <c r="G52" s="763" t="s">
        <v>1265</v>
      </c>
      <c r="H52" s="763" t="s">
        <v>438</v>
      </c>
      <c r="I52" s="763" t="s">
        <v>399</v>
      </c>
      <c r="J52" s="593"/>
    </row>
    <row r="53" spans="1:10" s="647" customFormat="1" ht="18" customHeight="1">
      <c r="A53" s="593"/>
      <c r="B53" s="763" t="s">
        <v>713</v>
      </c>
      <c r="C53" s="764">
        <v>7000</v>
      </c>
      <c r="D53" s="764"/>
      <c r="E53" s="764">
        <v>865196</v>
      </c>
      <c r="F53" s="763" t="s">
        <v>405</v>
      </c>
      <c r="G53" s="763" t="s">
        <v>1266</v>
      </c>
      <c r="H53" s="763" t="s">
        <v>438</v>
      </c>
      <c r="I53" s="763" t="s">
        <v>399</v>
      </c>
      <c r="J53" s="593"/>
    </row>
    <row r="54" spans="1:10" s="647" customFormat="1" ht="18" customHeight="1">
      <c r="A54" s="593"/>
      <c r="B54" s="763" t="s">
        <v>715</v>
      </c>
      <c r="C54" s="764">
        <v>8000</v>
      </c>
      <c r="D54" s="764"/>
      <c r="E54" s="764">
        <v>857196</v>
      </c>
      <c r="F54" s="763" t="s">
        <v>405</v>
      </c>
      <c r="G54" s="763" t="s">
        <v>1267</v>
      </c>
      <c r="H54" s="763" t="s">
        <v>438</v>
      </c>
      <c r="I54" s="763" t="s">
        <v>399</v>
      </c>
      <c r="J54" s="593"/>
    </row>
    <row r="55" spans="1:10" s="647" customFormat="1" ht="18" customHeight="1">
      <c r="A55" s="593"/>
      <c r="B55" s="722" t="s">
        <v>717</v>
      </c>
      <c r="C55" s="711"/>
      <c r="D55" s="711">
        <v>1650000</v>
      </c>
      <c r="E55" s="711">
        <v>2507196</v>
      </c>
      <c r="F55" s="722" t="s">
        <v>406</v>
      </c>
      <c r="G55" s="722" t="s">
        <v>1268</v>
      </c>
      <c r="H55" s="722" t="s">
        <v>718</v>
      </c>
      <c r="I55" s="722" t="s">
        <v>1081</v>
      </c>
      <c r="J55" s="593"/>
    </row>
    <row r="56" spans="1:10" s="647" customFormat="1" ht="18" customHeight="1">
      <c r="A56" s="593"/>
      <c r="B56" s="722" t="s">
        <v>719</v>
      </c>
      <c r="C56" s="711">
        <v>1400500</v>
      </c>
      <c r="D56" s="711"/>
      <c r="E56" s="711">
        <v>1106696</v>
      </c>
      <c r="F56" s="722" t="s">
        <v>439</v>
      </c>
      <c r="G56" s="722" t="s">
        <v>1269</v>
      </c>
      <c r="H56" s="722" t="s">
        <v>438</v>
      </c>
      <c r="I56" s="722" t="s">
        <v>1270</v>
      </c>
      <c r="J56" s="593"/>
    </row>
    <row r="57" spans="1:10" s="647" customFormat="1" ht="18" customHeight="1">
      <c r="A57" s="593"/>
      <c r="B57" s="763" t="s">
        <v>720</v>
      </c>
      <c r="C57" s="764">
        <v>4400</v>
      </c>
      <c r="D57" s="764"/>
      <c r="E57" s="764">
        <v>1102296</v>
      </c>
      <c r="F57" s="763" t="s">
        <v>405</v>
      </c>
      <c r="G57" s="763" t="s">
        <v>721</v>
      </c>
      <c r="H57" s="763" t="s">
        <v>438</v>
      </c>
      <c r="I57" s="763" t="s">
        <v>399</v>
      </c>
      <c r="J57" s="593"/>
    </row>
    <row r="58" spans="1:10" s="647" customFormat="1" ht="18" customHeight="1">
      <c r="A58" s="593"/>
      <c r="B58" s="763" t="s">
        <v>722</v>
      </c>
      <c r="C58" s="764">
        <v>29920</v>
      </c>
      <c r="D58" s="764"/>
      <c r="E58" s="764">
        <v>1072376</v>
      </c>
      <c r="F58" s="763" t="s">
        <v>405</v>
      </c>
      <c r="G58" s="811" t="s">
        <v>1265</v>
      </c>
      <c r="H58" s="763" t="s">
        <v>438</v>
      </c>
      <c r="I58" s="763" t="s">
        <v>399</v>
      </c>
      <c r="J58" s="593"/>
    </row>
    <row r="59" spans="1:10" s="647" customFormat="1" ht="18" customHeight="1">
      <c r="A59" s="593"/>
      <c r="B59" s="763" t="s">
        <v>723</v>
      </c>
      <c r="C59" s="764">
        <v>251690</v>
      </c>
      <c r="D59" s="764"/>
      <c r="E59" s="764">
        <v>820686</v>
      </c>
      <c r="F59" s="763" t="s">
        <v>498</v>
      </c>
      <c r="G59" s="763" t="s">
        <v>724</v>
      </c>
      <c r="H59" s="763" t="s">
        <v>438</v>
      </c>
      <c r="I59" s="763" t="s">
        <v>399</v>
      </c>
      <c r="J59" s="593"/>
    </row>
    <row r="60" spans="1:10" s="647" customFormat="1" ht="18" customHeight="1">
      <c r="A60" s="593"/>
      <c r="B60" s="763" t="s">
        <v>725</v>
      </c>
      <c r="C60" s="764">
        <v>5300</v>
      </c>
      <c r="D60" s="764"/>
      <c r="E60" s="764">
        <v>815386</v>
      </c>
      <c r="F60" s="763" t="s">
        <v>405</v>
      </c>
      <c r="G60" s="763" t="s">
        <v>524</v>
      </c>
      <c r="H60" s="763" t="s">
        <v>438</v>
      </c>
      <c r="I60" s="763" t="s">
        <v>399</v>
      </c>
      <c r="J60" s="593"/>
    </row>
    <row r="61" spans="1:10" s="647" customFormat="1" ht="18" customHeight="1">
      <c r="A61" s="593"/>
      <c r="B61" s="763" t="s">
        <v>726</v>
      </c>
      <c r="C61" s="764">
        <v>10800</v>
      </c>
      <c r="D61" s="764"/>
      <c r="E61" s="764">
        <v>804586</v>
      </c>
      <c r="F61" s="763" t="s">
        <v>405</v>
      </c>
      <c r="G61" s="763" t="s">
        <v>524</v>
      </c>
      <c r="H61" s="763" t="s">
        <v>438</v>
      </c>
      <c r="I61" s="763" t="s">
        <v>399</v>
      </c>
      <c r="J61" s="593"/>
    </row>
    <row r="62" spans="1:10" s="647" customFormat="1" ht="18" customHeight="1">
      <c r="A62" s="593"/>
      <c r="B62" s="763" t="s">
        <v>727</v>
      </c>
      <c r="C62" s="764">
        <v>4900</v>
      </c>
      <c r="D62" s="764"/>
      <c r="E62" s="764">
        <v>799686</v>
      </c>
      <c r="F62" s="763" t="s">
        <v>405</v>
      </c>
      <c r="G62" s="763" t="s">
        <v>524</v>
      </c>
      <c r="H62" s="763" t="s">
        <v>438</v>
      </c>
      <c r="I62" s="763" t="s">
        <v>399</v>
      </c>
      <c r="J62" s="593"/>
    </row>
    <row r="63" spans="1:10" s="647" customFormat="1" ht="18" customHeight="1">
      <c r="A63" s="593"/>
      <c r="B63" s="763" t="s">
        <v>728</v>
      </c>
      <c r="C63" s="764">
        <v>8200</v>
      </c>
      <c r="D63" s="764"/>
      <c r="E63" s="764">
        <v>791486</v>
      </c>
      <c r="F63" s="763" t="s">
        <v>405</v>
      </c>
      <c r="G63" s="763" t="s">
        <v>1271</v>
      </c>
      <c r="H63" s="763" t="s">
        <v>438</v>
      </c>
      <c r="I63" s="763" t="s">
        <v>399</v>
      </c>
      <c r="J63" s="593"/>
    </row>
    <row r="64" spans="1:10" s="647" customFormat="1" ht="18" customHeight="1">
      <c r="A64" s="593"/>
      <c r="B64" s="763" t="s">
        <v>729</v>
      </c>
      <c r="C64" s="764">
        <v>9900</v>
      </c>
      <c r="D64" s="764"/>
      <c r="E64" s="764">
        <v>781586</v>
      </c>
      <c r="F64" s="763" t="s">
        <v>405</v>
      </c>
      <c r="G64" s="763" t="s">
        <v>1272</v>
      </c>
      <c r="H64" s="763" t="s">
        <v>438</v>
      </c>
      <c r="I64" s="763" t="s">
        <v>399</v>
      </c>
      <c r="J64" s="593"/>
    </row>
    <row r="65" spans="1:10" s="647" customFormat="1" ht="18" customHeight="1">
      <c r="A65" s="593"/>
      <c r="B65" s="763" t="s">
        <v>730</v>
      </c>
      <c r="C65" s="764">
        <v>6500</v>
      </c>
      <c r="D65" s="764"/>
      <c r="E65" s="764">
        <v>775086</v>
      </c>
      <c r="F65" s="763" t="s">
        <v>405</v>
      </c>
      <c r="G65" s="763" t="s">
        <v>513</v>
      </c>
      <c r="H65" s="763" t="s">
        <v>438</v>
      </c>
      <c r="I65" s="763" t="s">
        <v>399</v>
      </c>
      <c r="J65" s="593"/>
    </row>
    <row r="66" spans="1:10" s="647" customFormat="1" ht="18" customHeight="1">
      <c r="A66" s="593"/>
      <c r="B66" s="763" t="s">
        <v>731</v>
      </c>
      <c r="C66" s="764">
        <v>4200</v>
      </c>
      <c r="D66" s="764"/>
      <c r="E66" s="764">
        <v>770886</v>
      </c>
      <c r="F66" s="763" t="s">
        <v>405</v>
      </c>
      <c r="G66" s="763" t="s">
        <v>1273</v>
      </c>
      <c r="H66" s="763" t="s">
        <v>438</v>
      </c>
      <c r="I66" s="763" t="s">
        <v>399</v>
      </c>
      <c r="J66" s="593"/>
    </row>
    <row r="67" spans="1:10" s="647" customFormat="1" ht="18" customHeight="1">
      <c r="A67" s="593"/>
      <c r="B67" s="763" t="s">
        <v>732</v>
      </c>
      <c r="C67" s="764">
        <v>30000</v>
      </c>
      <c r="D67" s="764"/>
      <c r="E67" s="764">
        <v>740886</v>
      </c>
      <c r="F67" s="763" t="s">
        <v>405</v>
      </c>
      <c r="G67" s="763" t="s">
        <v>1274</v>
      </c>
      <c r="H67" s="763" t="s">
        <v>438</v>
      </c>
      <c r="I67" s="763" t="s">
        <v>399</v>
      </c>
      <c r="J67" s="593"/>
    </row>
    <row r="68" spans="1:10" s="647" customFormat="1" ht="18" customHeight="1">
      <c r="A68" s="593"/>
      <c r="B68" s="722" t="s">
        <v>733</v>
      </c>
      <c r="C68" s="711"/>
      <c r="D68" s="711">
        <v>1400000</v>
      </c>
      <c r="E68" s="711">
        <v>2140886</v>
      </c>
      <c r="F68" s="722" t="s">
        <v>406</v>
      </c>
      <c r="G68" s="722" t="s">
        <v>1275</v>
      </c>
      <c r="H68" s="722" t="s">
        <v>520</v>
      </c>
      <c r="I68" s="722" t="s">
        <v>1098</v>
      </c>
      <c r="J68" s="593"/>
    </row>
    <row r="69" spans="1:10" s="647" customFormat="1" ht="18" customHeight="1">
      <c r="A69" s="593"/>
      <c r="B69" s="763" t="s">
        <v>734</v>
      </c>
      <c r="C69" s="764">
        <v>8500</v>
      </c>
      <c r="D69" s="764"/>
      <c r="E69" s="764">
        <v>2132386</v>
      </c>
      <c r="F69" s="763" t="s">
        <v>405</v>
      </c>
      <c r="G69" s="763" t="s">
        <v>492</v>
      </c>
      <c r="H69" s="763" t="s">
        <v>438</v>
      </c>
      <c r="I69" s="763" t="s">
        <v>399</v>
      </c>
      <c r="J69" s="593"/>
    </row>
    <row r="70" spans="1:10" s="647" customFormat="1" ht="18" customHeight="1">
      <c r="A70" s="593"/>
      <c r="B70" s="722" t="s">
        <v>735</v>
      </c>
      <c r="C70" s="711">
        <v>1650500</v>
      </c>
      <c r="D70" s="711"/>
      <c r="E70" s="711">
        <v>481886</v>
      </c>
      <c r="F70" s="722" t="s">
        <v>439</v>
      </c>
      <c r="G70" s="722" t="s">
        <v>1276</v>
      </c>
      <c r="H70" s="722" t="s">
        <v>438</v>
      </c>
      <c r="I70" s="722" t="s">
        <v>736</v>
      </c>
      <c r="J70" s="593"/>
    </row>
    <row r="71" spans="1:10" s="647" customFormat="1" ht="18" customHeight="1">
      <c r="A71" s="593"/>
      <c r="B71" s="763" t="s">
        <v>737</v>
      </c>
      <c r="C71" s="764">
        <v>5000</v>
      </c>
      <c r="D71" s="764"/>
      <c r="E71" s="764">
        <v>476886</v>
      </c>
      <c r="F71" s="763" t="s">
        <v>405</v>
      </c>
      <c r="G71" s="763" t="s">
        <v>1277</v>
      </c>
      <c r="H71" s="763" t="s">
        <v>438</v>
      </c>
      <c r="I71" s="763" t="s">
        <v>399</v>
      </c>
      <c r="J71" s="593"/>
    </row>
    <row r="72" spans="1:10" s="647" customFormat="1" ht="18" customHeight="1">
      <c r="A72" s="593"/>
      <c r="B72" s="763" t="s">
        <v>738</v>
      </c>
      <c r="C72" s="764">
        <v>50000</v>
      </c>
      <c r="D72" s="764"/>
      <c r="E72" s="764">
        <v>426886</v>
      </c>
      <c r="F72" s="763" t="s">
        <v>405</v>
      </c>
      <c r="G72" s="763" t="s">
        <v>1278</v>
      </c>
      <c r="H72" s="763" t="s">
        <v>438</v>
      </c>
      <c r="I72" s="763" t="s">
        <v>399</v>
      </c>
      <c r="J72" s="593"/>
    </row>
    <row r="73" spans="1:10" s="647" customFormat="1" ht="18" customHeight="1">
      <c r="A73" s="593"/>
      <c r="B73" s="763" t="s">
        <v>739</v>
      </c>
      <c r="C73" s="764">
        <v>149120</v>
      </c>
      <c r="D73" s="764"/>
      <c r="E73" s="764">
        <v>277766</v>
      </c>
      <c r="F73" s="763" t="s">
        <v>443</v>
      </c>
      <c r="G73" s="763" t="s">
        <v>1279</v>
      </c>
      <c r="H73" s="763" t="s">
        <v>740</v>
      </c>
      <c r="I73" s="763" t="s">
        <v>399</v>
      </c>
      <c r="J73" s="593"/>
    </row>
    <row r="74" spans="1:10" s="647" customFormat="1" ht="18" customHeight="1">
      <c r="A74" s="593"/>
      <c r="B74" s="763" t="s">
        <v>741</v>
      </c>
      <c r="C74" s="764"/>
      <c r="D74" s="764">
        <v>3701500</v>
      </c>
      <c r="E74" s="764">
        <v>3979266</v>
      </c>
      <c r="F74" s="763" t="s">
        <v>404</v>
      </c>
      <c r="G74" s="763" t="s">
        <v>1280</v>
      </c>
      <c r="H74" s="763" t="s">
        <v>521</v>
      </c>
      <c r="I74" s="763" t="s">
        <v>399</v>
      </c>
      <c r="J74" s="593"/>
    </row>
    <row r="75" spans="1:10" s="647" customFormat="1" ht="18" customHeight="1">
      <c r="A75" s="593"/>
      <c r="B75" s="763" t="s">
        <v>742</v>
      </c>
      <c r="C75" s="764"/>
      <c r="D75" s="764">
        <v>1331000</v>
      </c>
      <c r="E75" s="764">
        <v>5310266</v>
      </c>
      <c r="F75" s="763" t="s">
        <v>403</v>
      </c>
      <c r="G75" s="763" t="s">
        <v>1281</v>
      </c>
      <c r="H75" s="763" t="s">
        <v>493</v>
      </c>
      <c r="I75" s="763" t="s">
        <v>399</v>
      </c>
      <c r="J75" s="593"/>
    </row>
    <row r="76" spans="1:10" s="647" customFormat="1" ht="18" customHeight="1">
      <c r="A76" s="593"/>
      <c r="B76" s="763" t="s">
        <v>743</v>
      </c>
      <c r="C76" s="764">
        <v>8000</v>
      </c>
      <c r="D76" s="764"/>
      <c r="E76" s="764">
        <v>5302266</v>
      </c>
      <c r="F76" s="763" t="s">
        <v>405</v>
      </c>
      <c r="G76" s="763" t="s">
        <v>1282</v>
      </c>
      <c r="H76" s="763" t="s">
        <v>438</v>
      </c>
      <c r="I76" s="763" t="s">
        <v>399</v>
      </c>
      <c r="J76" s="593"/>
    </row>
    <row r="77" spans="1:10" s="647" customFormat="1" ht="18" customHeight="1">
      <c r="A77" s="593"/>
      <c r="B77" s="763" t="s">
        <v>744</v>
      </c>
      <c r="C77" s="764">
        <v>16000</v>
      </c>
      <c r="D77" s="764"/>
      <c r="E77" s="764">
        <v>5286266</v>
      </c>
      <c r="F77" s="763" t="s">
        <v>405</v>
      </c>
      <c r="G77" s="763" t="s">
        <v>1283</v>
      </c>
      <c r="H77" s="763" t="s">
        <v>438</v>
      </c>
      <c r="I77" s="763" t="s">
        <v>399</v>
      </c>
      <c r="J77" s="593"/>
    </row>
    <row r="78" spans="1:10" s="647" customFormat="1" ht="18" customHeight="1">
      <c r="A78" s="593"/>
      <c r="B78" s="763" t="s">
        <v>745</v>
      </c>
      <c r="C78" s="764">
        <v>6000</v>
      </c>
      <c r="D78" s="764"/>
      <c r="E78" s="764">
        <v>5280266</v>
      </c>
      <c r="F78" s="763" t="s">
        <v>405</v>
      </c>
      <c r="G78" s="763" t="s">
        <v>1284</v>
      </c>
      <c r="H78" s="763" t="s">
        <v>438</v>
      </c>
      <c r="I78" s="763" t="s">
        <v>399</v>
      </c>
      <c r="J78" s="593"/>
    </row>
    <row r="79" spans="1:10" s="647" customFormat="1" ht="18" customHeight="1">
      <c r="A79" s="593"/>
      <c r="B79" s="763" t="s">
        <v>746</v>
      </c>
      <c r="C79" s="764">
        <v>2000</v>
      </c>
      <c r="D79" s="764"/>
      <c r="E79" s="764">
        <v>5278266</v>
      </c>
      <c r="F79" s="763" t="s">
        <v>405</v>
      </c>
      <c r="G79" s="763" t="s">
        <v>1285</v>
      </c>
      <c r="H79" s="763" t="s">
        <v>438</v>
      </c>
      <c r="I79" s="763" t="s">
        <v>399</v>
      </c>
      <c r="J79" s="593"/>
    </row>
    <row r="80" spans="1:10" s="647" customFormat="1" ht="18" customHeight="1">
      <c r="A80" s="593"/>
      <c r="B80" s="763" t="s">
        <v>747</v>
      </c>
      <c r="C80" s="764"/>
      <c r="D80" s="764">
        <v>443850</v>
      </c>
      <c r="E80" s="764">
        <v>5722116</v>
      </c>
      <c r="F80" s="763" t="s">
        <v>400</v>
      </c>
      <c r="G80" s="763" t="s">
        <v>1286</v>
      </c>
      <c r="H80" s="763" t="s">
        <v>748</v>
      </c>
      <c r="I80" s="763" t="s">
        <v>399</v>
      </c>
      <c r="J80" s="593"/>
    </row>
    <row r="81" spans="1:10" s="647" customFormat="1" ht="18" customHeight="1">
      <c r="A81" s="593"/>
      <c r="B81" s="763" t="s">
        <v>749</v>
      </c>
      <c r="C81" s="764"/>
      <c r="D81" s="764">
        <v>1848000</v>
      </c>
      <c r="E81" s="764">
        <v>7570116</v>
      </c>
      <c r="F81" s="763" t="s">
        <v>750</v>
      </c>
      <c r="G81" s="763" t="s">
        <v>1287</v>
      </c>
      <c r="H81" s="763" t="s">
        <v>751</v>
      </c>
      <c r="I81" s="763" t="s">
        <v>399</v>
      </c>
      <c r="J81" s="593"/>
    </row>
    <row r="82" spans="1:10" s="647" customFormat="1" ht="18" customHeight="1">
      <c r="A82" s="593"/>
      <c r="B82" s="763" t="s">
        <v>752</v>
      </c>
      <c r="C82" s="764">
        <v>4400</v>
      </c>
      <c r="D82" s="764"/>
      <c r="E82" s="764">
        <v>7565716</v>
      </c>
      <c r="F82" s="763" t="s">
        <v>753</v>
      </c>
      <c r="G82" s="763" t="s">
        <v>1288</v>
      </c>
      <c r="H82" s="763" t="s">
        <v>438</v>
      </c>
      <c r="I82" s="763" t="s">
        <v>399</v>
      </c>
      <c r="J82" s="593"/>
    </row>
    <row r="83" spans="1:10" s="647" customFormat="1" ht="18" customHeight="1">
      <c r="A83" s="593"/>
      <c r="B83" s="763" t="s">
        <v>754</v>
      </c>
      <c r="C83" s="764">
        <v>2000500</v>
      </c>
      <c r="D83" s="764"/>
      <c r="E83" s="764">
        <v>5565216</v>
      </c>
      <c r="F83" s="763" t="s">
        <v>755</v>
      </c>
      <c r="G83" s="763" t="s">
        <v>1289</v>
      </c>
      <c r="H83" s="763" t="s">
        <v>438</v>
      </c>
      <c r="I83" s="763" t="s">
        <v>399</v>
      </c>
      <c r="J83" s="593"/>
    </row>
    <row r="84" spans="1:10" s="647" customFormat="1" ht="18" customHeight="1">
      <c r="A84" s="593"/>
      <c r="B84" s="763" t="s">
        <v>756</v>
      </c>
      <c r="C84" s="764">
        <v>1400000</v>
      </c>
      <c r="D84" s="764"/>
      <c r="E84" s="764">
        <v>4165216</v>
      </c>
      <c r="F84" s="763" t="s">
        <v>498</v>
      </c>
      <c r="G84" s="763" t="s">
        <v>1290</v>
      </c>
      <c r="H84" s="763" t="s">
        <v>438</v>
      </c>
      <c r="I84" s="763" t="s">
        <v>399</v>
      </c>
      <c r="J84" s="593"/>
    </row>
    <row r="85" spans="1:10" s="647" customFormat="1" ht="18" customHeight="1">
      <c r="A85" s="593"/>
      <c r="B85" s="763" t="s">
        <v>757</v>
      </c>
      <c r="C85" s="764">
        <v>840500</v>
      </c>
      <c r="D85" s="764"/>
      <c r="E85" s="764">
        <v>3324716</v>
      </c>
      <c r="F85" s="763" t="s">
        <v>500</v>
      </c>
      <c r="G85" s="763" t="s">
        <v>1291</v>
      </c>
      <c r="H85" s="763" t="s">
        <v>438</v>
      </c>
      <c r="I85" s="763" t="s">
        <v>399</v>
      </c>
      <c r="J85" s="593"/>
    </row>
    <row r="86" spans="1:10" s="647" customFormat="1" ht="18" customHeight="1">
      <c r="A86" s="593"/>
      <c r="B86" s="763" t="s">
        <v>758</v>
      </c>
      <c r="C86" s="764">
        <v>1900</v>
      </c>
      <c r="D86" s="764"/>
      <c r="E86" s="764">
        <v>3322816</v>
      </c>
      <c r="F86" s="763" t="s">
        <v>405</v>
      </c>
      <c r="G86" s="763" t="s">
        <v>1292</v>
      </c>
      <c r="H86" s="763" t="s">
        <v>438</v>
      </c>
      <c r="I86" s="763" t="s">
        <v>399</v>
      </c>
      <c r="J86" s="593"/>
    </row>
    <row r="87" spans="1:10" s="647" customFormat="1" ht="18" customHeight="1">
      <c r="A87" s="593"/>
      <c r="B87" s="763" t="s">
        <v>759</v>
      </c>
      <c r="C87" s="764">
        <v>57000</v>
      </c>
      <c r="D87" s="764"/>
      <c r="E87" s="764">
        <v>3265816</v>
      </c>
      <c r="F87" s="763" t="s">
        <v>405</v>
      </c>
      <c r="G87" s="763" t="s">
        <v>1293</v>
      </c>
      <c r="H87" s="763" t="s">
        <v>438</v>
      </c>
      <c r="I87" s="763" t="s">
        <v>399</v>
      </c>
      <c r="J87" s="593"/>
    </row>
    <row r="88" spans="1:10" s="647" customFormat="1" ht="18" customHeight="1">
      <c r="A88" s="593"/>
      <c r="B88" s="763" t="s">
        <v>760</v>
      </c>
      <c r="C88" s="764">
        <v>8000</v>
      </c>
      <c r="D88" s="764"/>
      <c r="E88" s="764">
        <v>3257816</v>
      </c>
      <c r="F88" s="763" t="s">
        <v>405</v>
      </c>
      <c r="G88" s="763" t="s">
        <v>1294</v>
      </c>
      <c r="H88" s="763" t="s">
        <v>438</v>
      </c>
      <c r="I88" s="763" t="s">
        <v>399</v>
      </c>
      <c r="J88" s="593"/>
    </row>
    <row r="89" spans="1:10" s="647" customFormat="1" ht="18" customHeight="1">
      <c r="A89" s="593"/>
      <c r="B89" s="763" t="s">
        <v>761</v>
      </c>
      <c r="C89" s="764">
        <v>30000</v>
      </c>
      <c r="D89" s="764"/>
      <c r="E89" s="764">
        <v>3227816</v>
      </c>
      <c r="F89" s="763" t="s">
        <v>405</v>
      </c>
      <c r="G89" s="763" t="s">
        <v>1236</v>
      </c>
      <c r="H89" s="763" t="s">
        <v>438</v>
      </c>
      <c r="I89" s="763" t="s">
        <v>399</v>
      </c>
      <c r="J89" s="593"/>
    </row>
    <row r="90" spans="1:10" s="647" customFormat="1" ht="18" customHeight="1">
      <c r="A90" s="593"/>
      <c r="B90" s="763" t="s">
        <v>762</v>
      </c>
      <c r="C90" s="764">
        <v>1201000</v>
      </c>
      <c r="D90" s="764"/>
      <c r="E90" s="764">
        <v>2026816</v>
      </c>
      <c r="F90" s="763" t="s">
        <v>763</v>
      </c>
      <c r="G90" s="763" t="s">
        <v>1295</v>
      </c>
      <c r="H90" s="763" t="s">
        <v>764</v>
      </c>
      <c r="I90" s="763" t="s">
        <v>399</v>
      </c>
      <c r="J90" s="593"/>
    </row>
    <row r="91" spans="1:10" s="647" customFormat="1" ht="18" customHeight="1">
      <c r="A91" s="593"/>
      <c r="B91" s="763" t="s">
        <v>765</v>
      </c>
      <c r="C91" s="764">
        <v>6020</v>
      </c>
      <c r="D91" s="764"/>
      <c r="E91" s="764">
        <v>2020796</v>
      </c>
      <c r="F91" s="763" t="s">
        <v>405</v>
      </c>
      <c r="G91" s="763" t="s">
        <v>1296</v>
      </c>
      <c r="H91" s="763" t="s">
        <v>438</v>
      </c>
      <c r="I91" s="763" t="s">
        <v>399</v>
      </c>
      <c r="J91" s="593"/>
    </row>
    <row r="92" spans="1:10" s="647" customFormat="1" ht="18" customHeight="1">
      <c r="A92" s="593"/>
      <c r="B92" s="763" t="s">
        <v>766</v>
      </c>
      <c r="C92" s="764">
        <v>6440</v>
      </c>
      <c r="D92" s="764"/>
      <c r="E92" s="764">
        <v>2014356</v>
      </c>
      <c r="F92" s="763" t="s">
        <v>401</v>
      </c>
      <c r="G92" s="763" t="s">
        <v>402</v>
      </c>
      <c r="H92" s="763" t="s">
        <v>438</v>
      </c>
      <c r="I92" s="763" t="s">
        <v>399</v>
      </c>
      <c r="J92" s="593"/>
    </row>
    <row r="93" spans="1:10" s="647" customFormat="1" ht="18" customHeight="1">
      <c r="A93" s="593"/>
      <c r="B93" s="763" t="s">
        <v>767</v>
      </c>
      <c r="C93" s="764">
        <v>16000</v>
      </c>
      <c r="D93" s="764"/>
      <c r="E93" s="764">
        <v>1998356</v>
      </c>
      <c r="F93" s="763" t="s">
        <v>405</v>
      </c>
      <c r="G93" s="763" t="s">
        <v>1297</v>
      </c>
      <c r="H93" s="763" t="s">
        <v>438</v>
      </c>
      <c r="I93" s="763" t="s">
        <v>399</v>
      </c>
      <c r="J93" s="593"/>
    </row>
    <row r="94" spans="1:10" s="647" customFormat="1" ht="18" customHeight="1">
      <c r="A94" s="593"/>
      <c r="B94" s="763" t="s">
        <v>768</v>
      </c>
      <c r="C94" s="764">
        <v>33000</v>
      </c>
      <c r="D94" s="764"/>
      <c r="E94" s="764">
        <v>1965356</v>
      </c>
      <c r="F94" s="763" t="s">
        <v>405</v>
      </c>
      <c r="G94" s="763" t="s">
        <v>1298</v>
      </c>
      <c r="H94" s="763" t="s">
        <v>438</v>
      </c>
      <c r="I94" s="763" t="s">
        <v>399</v>
      </c>
      <c r="J94" s="593"/>
    </row>
    <row r="95" spans="1:10" s="647" customFormat="1" ht="18" customHeight="1">
      <c r="A95" s="593"/>
      <c r="B95" s="763" t="s">
        <v>769</v>
      </c>
      <c r="C95" s="764"/>
      <c r="D95" s="764">
        <v>4400000</v>
      </c>
      <c r="E95" s="764">
        <v>6365356</v>
      </c>
      <c r="F95" s="763" t="s">
        <v>407</v>
      </c>
      <c r="G95" s="763" t="s">
        <v>1299</v>
      </c>
      <c r="H95" s="763" t="s">
        <v>447</v>
      </c>
      <c r="I95" s="763" t="s">
        <v>399</v>
      </c>
      <c r="J95" s="593"/>
    </row>
    <row r="96" spans="1:10" s="647" customFormat="1" ht="18" customHeight="1">
      <c r="A96" s="593"/>
      <c r="B96" s="763" t="s">
        <v>770</v>
      </c>
      <c r="C96" s="764"/>
      <c r="D96" s="764">
        <v>610703</v>
      </c>
      <c r="E96" s="764">
        <v>6976059</v>
      </c>
      <c r="F96" s="763" t="s">
        <v>407</v>
      </c>
      <c r="G96" s="811" t="s">
        <v>1299</v>
      </c>
      <c r="H96" s="763" t="s">
        <v>447</v>
      </c>
      <c r="I96" s="763" t="s">
        <v>399</v>
      </c>
      <c r="J96" s="593"/>
    </row>
    <row r="97" spans="1:10" s="647" customFormat="1" ht="18" customHeight="1">
      <c r="A97" s="593"/>
      <c r="B97" s="763" t="s">
        <v>771</v>
      </c>
      <c r="C97" s="764"/>
      <c r="D97" s="764">
        <v>594000</v>
      </c>
      <c r="E97" s="764">
        <v>7570059</v>
      </c>
      <c r="F97" s="763" t="s">
        <v>407</v>
      </c>
      <c r="G97" s="811" t="s">
        <v>1299</v>
      </c>
      <c r="H97" s="763" t="s">
        <v>447</v>
      </c>
      <c r="I97" s="763" t="s">
        <v>399</v>
      </c>
      <c r="J97" s="593"/>
    </row>
    <row r="98" spans="1:10" s="647" customFormat="1" ht="18" customHeight="1">
      <c r="A98" s="593"/>
      <c r="B98" s="763" t="s">
        <v>772</v>
      </c>
      <c r="C98" s="764">
        <v>2582210</v>
      </c>
      <c r="D98" s="764"/>
      <c r="E98" s="764">
        <v>4987849</v>
      </c>
      <c r="F98" s="763" t="s">
        <v>440</v>
      </c>
      <c r="G98" s="763" t="s">
        <v>1300</v>
      </c>
      <c r="H98" s="763" t="s">
        <v>438</v>
      </c>
      <c r="I98" s="763" t="s">
        <v>399</v>
      </c>
      <c r="J98" s="593"/>
    </row>
    <row r="99" spans="1:10" s="647" customFormat="1" ht="18" customHeight="1">
      <c r="A99" s="593"/>
      <c r="B99" s="763" t="s">
        <v>773</v>
      </c>
      <c r="C99" s="764">
        <v>800500</v>
      </c>
      <c r="D99" s="764"/>
      <c r="E99" s="764">
        <v>4187349</v>
      </c>
      <c r="F99" s="763" t="s">
        <v>451</v>
      </c>
      <c r="G99" s="763" t="s">
        <v>1300</v>
      </c>
      <c r="H99" s="763" t="s">
        <v>438</v>
      </c>
      <c r="I99" s="763" t="s">
        <v>399</v>
      </c>
      <c r="J99" s="593"/>
    </row>
    <row r="100" spans="1:10" s="647" customFormat="1" ht="18" customHeight="1">
      <c r="A100" s="593"/>
      <c r="B100" s="763" t="s">
        <v>774</v>
      </c>
      <c r="C100" s="764">
        <v>1000500</v>
      </c>
      <c r="D100" s="764"/>
      <c r="E100" s="764">
        <v>3186849</v>
      </c>
      <c r="F100" s="763" t="s">
        <v>445</v>
      </c>
      <c r="G100" s="763" t="s">
        <v>1301</v>
      </c>
      <c r="H100" s="763" t="s">
        <v>438</v>
      </c>
      <c r="I100" s="763" t="s">
        <v>399</v>
      </c>
      <c r="J100" s="593"/>
    </row>
    <row r="101" spans="1:10" s="647" customFormat="1" ht="18" customHeight="1">
      <c r="A101" s="593"/>
      <c r="B101" s="763" t="s">
        <v>775</v>
      </c>
      <c r="C101" s="764">
        <v>7000</v>
      </c>
      <c r="D101" s="764"/>
      <c r="E101" s="764">
        <v>3179849</v>
      </c>
      <c r="F101" s="763" t="s">
        <v>405</v>
      </c>
      <c r="G101" s="763" t="s">
        <v>1302</v>
      </c>
      <c r="H101" s="763" t="s">
        <v>438</v>
      </c>
      <c r="I101" s="763" t="s">
        <v>399</v>
      </c>
      <c r="J101" s="593"/>
    </row>
    <row r="102" spans="1:10" s="647" customFormat="1" ht="18" customHeight="1">
      <c r="A102" s="593"/>
      <c r="B102" s="763" t="s">
        <v>776</v>
      </c>
      <c r="C102" s="764">
        <v>30000</v>
      </c>
      <c r="D102" s="764"/>
      <c r="E102" s="764">
        <v>3149849</v>
      </c>
      <c r="F102" s="763" t="s">
        <v>405</v>
      </c>
      <c r="G102" s="763" t="s">
        <v>1303</v>
      </c>
      <c r="H102" s="763" t="s">
        <v>438</v>
      </c>
      <c r="I102" s="763" t="s">
        <v>399</v>
      </c>
      <c r="J102" s="593"/>
    </row>
    <row r="103" spans="1:10" s="647" customFormat="1" ht="18" customHeight="1">
      <c r="A103" s="593"/>
      <c r="B103" s="763" t="s">
        <v>777</v>
      </c>
      <c r="C103" s="764">
        <v>5700</v>
      </c>
      <c r="D103" s="764"/>
      <c r="E103" s="764">
        <v>3144149</v>
      </c>
      <c r="F103" s="763" t="s">
        <v>405</v>
      </c>
      <c r="G103" s="763" t="s">
        <v>1304</v>
      </c>
      <c r="H103" s="763" t="s">
        <v>438</v>
      </c>
      <c r="I103" s="763" t="s">
        <v>399</v>
      </c>
      <c r="J103" s="593"/>
    </row>
    <row r="104" spans="1:10" s="647" customFormat="1" ht="18" customHeight="1">
      <c r="A104" s="593"/>
      <c r="B104" s="763" t="s">
        <v>778</v>
      </c>
      <c r="C104" s="764">
        <v>180500</v>
      </c>
      <c r="D104" s="764"/>
      <c r="E104" s="764">
        <v>2963649</v>
      </c>
      <c r="F104" s="763" t="s">
        <v>515</v>
      </c>
      <c r="G104" s="763" t="s">
        <v>1305</v>
      </c>
      <c r="H104" s="763" t="s">
        <v>438</v>
      </c>
      <c r="I104" s="763" t="s">
        <v>779</v>
      </c>
      <c r="J104" s="593"/>
    </row>
    <row r="105" spans="1:10" s="647" customFormat="1" ht="18" customHeight="1">
      <c r="A105" s="593"/>
      <c r="B105" s="763" t="s">
        <v>780</v>
      </c>
      <c r="C105" s="764">
        <v>250500</v>
      </c>
      <c r="D105" s="764"/>
      <c r="E105" s="764">
        <v>2713149</v>
      </c>
      <c r="F105" s="763" t="s">
        <v>440</v>
      </c>
      <c r="G105" s="763" t="s">
        <v>1306</v>
      </c>
      <c r="H105" s="763" t="s">
        <v>438</v>
      </c>
      <c r="I105" s="763" t="s">
        <v>781</v>
      </c>
      <c r="J105" s="593"/>
    </row>
    <row r="106" spans="1:10" s="647" customFormat="1" ht="18" customHeight="1">
      <c r="A106" s="593"/>
      <c r="B106" s="763" t="s">
        <v>782</v>
      </c>
      <c r="C106" s="764">
        <v>4500</v>
      </c>
      <c r="D106" s="764"/>
      <c r="E106" s="764">
        <v>2708649</v>
      </c>
      <c r="F106" s="763" t="s">
        <v>405</v>
      </c>
      <c r="G106" s="763" t="s">
        <v>1307</v>
      </c>
      <c r="H106" s="763" t="s">
        <v>438</v>
      </c>
      <c r="I106" s="763" t="s">
        <v>399</v>
      </c>
      <c r="J106" s="593"/>
    </row>
    <row r="107" spans="1:10" s="647" customFormat="1" ht="18" customHeight="1">
      <c r="A107" s="593"/>
      <c r="B107" s="763" t="s">
        <v>783</v>
      </c>
      <c r="C107" s="764">
        <v>7000</v>
      </c>
      <c r="D107" s="764"/>
      <c r="E107" s="764">
        <v>2701649</v>
      </c>
      <c r="F107" s="763" t="s">
        <v>405</v>
      </c>
      <c r="G107" s="763" t="s">
        <v>1308</v>
      </c>
      <c r="H107" s="763" t="s">
        <v>438</v>
      </c>
      <c r="I107" s="763" t="s">
        <v>399</v>
      </c>
      <c r="J107" s="593"/>
    </row>
    <row r="108" spans="1:10" s="647" customFormat="1" ht="18" customHeight="1">
      <c r="A108" s="593"/>
      <c r="B108" s="763" t="s">
        <v>784</v>
      </c>
      <c r="C108" s="764">
        <v>1280500</v>
      </c>
      <c r="D108" s="764"/>
      <c r="E108" s="764">
        <v>1421149</v>
      </c>
      <c r="F108" s="763" t="s">
        <v>452</v>
      </c>
      <c r="G108" s="763" t="s">
        <v>1309</v>
      </c>
      <c r="H108" s="763" t="s">
        <v>438</v>
      </c>
      <c r="I108" s="763" t="s">
        <v>399</v>
      </c>
      <c r="J108" s="593"/>
    </row>
    <row r="109" spans="1:10" s="647" customFormat="1" ht="18" customHeight="1">
      <c r="A109" s="593"/>
      <c r="B109" s="763" t="s">
        <v>785</v>
      </c>
      <c r="C109" s="764">
        <v>1300000</v>
      </c>
      <c r="D109" s="764"/>
      <c r="E109" s="764">
        <v>121149</v>
      </c>
      <c r="F109" s="763" t="s">
        <v>400</v>
      </c>
      <c r="G109" s="763" t="s">
        <v>1310</v>
      </c>
      <c r="H109" s="763" t="s">
        <v>438</v>
      </c>
      <c r="I109" s="763" t="s">
        <v>399</v>
      </c>
      <c r="J109" s="593"/>
    </row>
    <row r="110" spans="1:10" s="647" customFormat="1" ht="18" customHeight="1">
      <c r="A110" s="593"/>
      <c r="B110" s="763" t="s">
        <v>786</v>
      </c>
      <c r="C110" s="764">
        <v>21010</v>
      </c>
      <c r="D110" s="764"/>
      <c r="E110" s="764">
        <v>100139</v>
      </c>
      <c r="F110" s="763" t="s">
        <v>405</v>
      </c>
      <c r="G110" s="763" t="s">
        <v>1265</v>
      </c>
      <c r="H110" s="763" t="s">
        <v>438</v>
      </c>
      <c r="I110" s="763" t="s">
        <v>399</v>
      </c>
      <c r="J110" s="593"/>
    </row>
    <row r="111" spans="1:10" s="647" customFormat="1" ht="18" customHeight="1">
      <c r="A111" s="593"/>
      <c r="B111" s="763" t="s">
        <v>787</v>
      </c>
      <c r="C111" s="764">
        <v>17320</v>
      </c>
      <c r="D111" s="764"/>
      <c r="E111" s="764">
        <v>82819</v>
      </c>
      <c r="F111" s="763" t="s">
        <v>405</v>
      </c>
      <c r="G111" s="763" t="s">
        <v>1311</v>
      </c>
      <c r="H111" s="763" t="s">
        <v>438</v>
      </c>
      <c r="I111" s="763" t="s">
        <v>399</v>
      </c>
      <c r="J111" s="593"/>
    </row>
    <row r="112" spans="1:10" s="647" customFormat="1" ht="18" customHeight="1">
      <c r="A112" s="593"/>
      <c r="B112" s="763" t="s">
        <v>788</v>
      </c>
      <c r="C112" s="764">
        <v>8000</v>
      </c>
      <c r="D112" s="764"/>
      <c r="E112" s="764">
        <v>74819</v>
      </c>
      <c r="F112" s="763" t="s">
        <v>405</v>
      </c>
      <c r="G112" s="763" t="s">
        <v>1312</v>
      </c>
      <c r="H112" s="763" t="s">
        <v>438</v>
      </c>
      <c r="I112" s="763" t="s">
        <v>399</v>
      </c>
      <c r="J112" s="593"/>
    </row>
    <row r="113" spans="1:10" s="647" customFormat="1" ht="18" customHeight="1">
      <c r="A113" s="593"/>
      <c r="B113" s="763" t="s">
        <v>789</v>
      </c>
      <c r="C113" s="764">
        <v>8000</v>
      </c>
      <c r="D113" s="764"/>
      <c r="E113" s="764">
        <v>66819</v>
      </c>
      <c r="F113" s="763" t="s">
        <v>405</v>
      </c>
      <c r="G113" s="763" t="s">
        <v>1313</v>
      </c>
      <c r="H113" s="763" t="s">
        <v>438</v>
      </c>
      <c r="I113" s="763" t="s">
        <v>399</v>
      </c>
      <c r="J113" s="593"/>
    </row>
    <row r="114" spans="1:10" s="647" customFormat="1" ht="18" customHeight="1">
      <c r="A114" s="593"/>
      <c r="B114" s="763" t="s">
        <v>790</v>
      </c>
      <c r="C114" s="764">
        <v>50000</v>
      </c>
      <c r="D114" s="764"/>
      <c r="E114" s="764">
        <v>16819</v>
      </c>
      <c r="F114" s="763" t="s">
        <v>405</v>
      </c>
      <c r="G114" s="763" t="s">
        <v>1278</v>
      </c>
      <c r="H114" s="763" t="s">
        <v>438</v>
      </c>
      <c r="I114" s="763" t="s">
        <v>399</v>
      </c>
      <c r="J114" s="593"/>
    </row>
    <row r="115" spans="1:10" s="647" customFormat="1" ht="18" customHeight="1">
      <c r="A115" s="593"/>
      <c r="B115" s="763" t="s">
        <v>791</v>
      </c>
      <c r="C115" s="764"/>
      <c r="D115" s="764">
        <v>1100000</v>
      </c>
      <c r="E115" s="764">
        <v>1116819</v>
      </c>
      <c r="F115" s="763" t="s">
        <v>406</v>
      </c>
      <c r="G115" s="763" t="s">
        <v>1275</v>
      </c>
      <c r="H115" s="763" t="s">
        <v>520</v>
      </c>
      <c r="I115" s="763" t="s">
        <v>399</v>
      </c>
      <c r="J115" s="593"/>
    </row>
    <row r="116" spans="1:10" s="647" customFormat="1" ht="18" customHeight="1">
      <c r="A116" s="593"/>
      <c r="B116" s="763" t="s">
        <v>792</v>
      </c>
      <c r="C116" s="764">
        <v>6600</v>
      </c>
      <c r="D116" s="764"/>
      <c r="E116" s="764">
        <v>1110219</v>
      </c>
      <c r="F116" s="763" t="s">
        <v>405</v>
      </c>
      <c r="G116" s="763" t="s">
        <v>1314</v>
      </c>
      <c r="H116" s="763" t="s">
        <v>438</v>
      </c>
      <c r="I116" s="763" t="s">
        <v>399</v>
      </c>
      <c r="J116" s="593"/>
    </row>
    <row r="117" spans="1:10" s="647" customFormat="1" ht="18" customHeight="1">
      <c r="A117" s="593"/>
      <c r="B117" s="763" t="s">
        <v>793</v>
      </c>
      <c r="C117" s="764">
        <v>3200</v>
      </c>
      <c r="D117" s="764"/>
      <c r="E117" s="764">
        <v>1107019</v>
      </c>
      <c r="F117" s="763" t="s">
        <v>405</v>
      </c>
      <c r="G117" s="763" t="s">
        <v>1315</v>
      </c>
      <c r="H117" s="763" t="s">
        <v>438</v>
      </c>
      <c r="I117" s="763" t="s">
        <v>399</v>
      </c>
      <c r="J117" s="593"/>
    </row>
    <row r="118" spans="1:10" s="647" customFormat="1" ht="18" customHeight="1">
      <c r="A118" s="593"/>
      <c r="B118" s="763" t="s">
        <v>794</v>
      </c>
      <c r="C118" s="764">
        <v>155000</v>
      </c>
      <c r="D118" s="764"/>
      <c r="E118" s="764">
        <v>952019</v>
      </c>
      <c r="F118" s="763" t="s">
        <v>795</v>
      </c>
      <c r="G118" s="763" t="s">
        <v>1316</v>
      </c>
      <c r="H118" s="763" t="s">
        <v>796</v>
      </c>
      <c r="I118" s="763" t="s">
        <v>399</v>
      </c>
      <c r="J118" s="593"/>
    </row>
    <row r="119" spans="1:10" s="647" customFormat="1" ht="18" customHeight="1">
      <c r="A119" s="593"/>
      <c r="B119" s="763" t="s">
        <v>797</v>
      </c>
      <c r="C119" s="764">
        <v>8500</v>
      </c>
      <c r="D119" s="764"/>
      <c r="E119" s="764">
        <v>943519</v>
      </c>
      <c r="F119" s="763" t="s">
        <v>405</v>
      </c>
      <c r="G119" s="763" t="s">
        <v>1317</v>
      </c>
      <c r="H119" s="763" t="s">
        <v>438</v>
      </c>
      <c r="I119" s="763" t="s">
        <v>399</v>
      </c>
      <c r="J119" s="593"/>
    </row>
    <row r="120" spans="1:10" s="647" customFormat="1" ht="18" customHeight="1">
      <c r="A120" s="593"/>
      <c r="B120" s="763" t="s">
        <v>798</v>
      </c>
      <c r="C120" s="764">
        <v>2500</v>
      </c>
      <c r="D120" s="764"/>
      <c r="E120" s="764">
        <v>941019</v>
      </c>
      <c r="F120" s="763" t="s">
        <v>405</v>
      </c>
      <c r="G120" s="811" t="s">
        <v>1317</v>
      </c>
      <c r="H120" s="763" t="s">
        <v>438</v>
      </c>
      <c r="I120" s="763" t="s">
        <v>399</v>
      </c>
      <c r="J120" s="593"/>
    </row>
    <row r="121" spans="1:10" s="647" customFormat="1" ht="18" customHeight="1">
      <c r="A121" s="593"/>
      <c r="B121" s="763" t="s">
        <v>799</v>
      </c>
      <c r="C121" s="764">
        <v>50000</v>
      </c>
      <c r="D121" s="764"/>
      <c r="E121" s="764">
        <v>891019</v>
      </c>
      <c r="F121" s="763" t="s">
        <v>405</v>
      </c>
      <c r="G121" s="763" t="s">
        <v>1253</v>
      </c>
      <c r="H121" s="763" t="s">
        <v>438</v>
      </c>
      <c r="I121" s="763" t="s">
        <v>399</v>
      </c>
      <c r="J121" s="593"/>
    </row>
    <row r="122" spans="1:10" s="647" customFormat="1" ht="18" customHeight="1">
      <c r="A122" s="593"/>
      <c r="B122" s="763" t="s">
        <v>800</v>
      </c>
      <c r="C122" s="764">
        <v>30000</v>
      </c>
      <c r="D122" s="764"/>
      <c r="E122" s="764">
        <v>861019</v>
      </c>
      <c r="F122" s="763" t="s">
        <v>405</v>
      </c>
      <c r="G122" s="763" t="s">
        <v>1318</v>
      </c>
      <c r="H122" s="763" t="s">
        <v>438</v>
      </c>
      <c r="I122" s="763" t="s">
        <v>399</v>
      </c>
      <c r="J122" s="593"/>
    </row>
    <row r="123" spans="1:10" s="647" customFormat="1" ht="18" customHeight="1">
      <c r="A123" s="593"/>
      <c r="B123" s="763" t="s">
        <v>801</v>
      </c>
      <c r="C123" s="764">
        <v>20800</v>
      </c>
      <c r="D123" s="764"/>
      <c r="E123" s="764">
        <v>840219</v>
      </c>
      <c r="F123" s="763" t="s">
        <v>405</v>
      </c>
      <c r="G123" s="763" t="s">
        <v>1319</v>
      </c>
      <c r="H123" s="763" t="s">
        <v>438</v>
      </c>
      <c r="I123" s="763" t="s">
        <v>399</v>
      </c>
      <c r="J123" s="593"/>
    </row>
    <row r="124" spans="1:10" s="647" customFormat="1" ht="18" customHeight="1">
      <c r="A124" s="593"/>
      <c r="B124" s="763" t="s">
        <v>802</v>
      </c>
      <c r="C124" s="764">
        <v>30000</v>
      </c>
      <c r="D124" s="764"/>
      <c r="E124" s="764">
        <v>810219</v>
      </c>
      <c r="F124" s="763" t="s">
        <v>405</v>
      </c>
      <c r="G124" s="811" t="s">
        <v>1253</v>
      </c>
      <c r="H124" s="763" t="s">
        <v>438</v>
      </c>
      <c r="I124" s="763" t="s">
        <v>399</v>
      </c>
      <c r="J124" s="593"/>
    </row>
    <row r="125" spans="1:10" s="647" customFormat="1" ht="18" customHeight="1">
      <c r="A125" s="593"/>
      <c r="B125" s="763" t="s">
        <v>803</v>
      </c>
      <c r="C125" s="764"/>
      <c r="D125" s="764">
        <v>316250</v>
      </c>
      <c r="E125" s="764">
        <v>1126469</v>
      </c>
      <c r="F125" s="763" t="s">
        <v>804</v>
      </c>
      <c r="G125" s="763" t="s">
        <v>1320</v>
      </c>
      <c r="H125" s="763" t="s">
        <v>575</v>
      </c>
      <c r="I125" s="763" t="s">
        <v>399</v>
      </c>
      <c r="J125" s="593"/>
    </row>
    <row r="126" spans="1:10" s="647" customFormat="1" ht="18" customHeight="1">
      <c r="A126" s="593"/>
      <c r="B126" s="763" t="s">
        <v>805</v>
      </c>
      <c r="C126" s="764"/>
      <c r="D126" s="764">
        <v>100000</v>
      </c>
      <c r="E126" s="764">
        <v>1226469</v>
      </c>
      <c r="F126" s="763" t="s">
        <v>696</v>
      </c>
      <c r="G126" s="763" t="s">
        <v>806</v>
      </c>
      <c r="H126" s="763" t="s">
        <v>807</v>
      </c>
      <c r="I126" s="763" t="s">
        <v>399</v>
      </c>
      <c r="J126" s="593"/>
    </row>
    <row r="127" spans="1:10" s="647" customFormat="1" ht="18" customHeight="1">
      <c r="A127" s="593"/>
      <c r="B127" s="763" t="s">
        <v>808</v>
      </c>
      <c r="C127" s="764"/>
      <c r="D127" s="764">
        <v>140000</v>
      </c>
      <c r="E127" s="764">
        <v>1366469</v>
      </c>
      <c r="F127" s="763" t="s">
        <v>696</v>
      </c>
      <c r="G127" s="763" t="s">
        <v>809</v>
      </c>
      <c r="H127" s="763" t="s">
        <v>807</v>
      </c>
      <c r="I127" s="763" t="s">
        <v>399</v>
      </c>
      <c r="J127" s="593"/>
    </row>
    <row r="128" spans="1:10" s="647" customFormat="1" ht="18" customHeight="1">
      <c r="A128" s="593"/>
      <c r="B128" s="763" t="s">
        <v>810</v>
      </c>
      <c r="C128" s="764"/>
      <c r="D128" s="764">
        <v>3300000</v>
      </c>
      <c r="E128" s="764">
        <v>4666469</v>
      </c>
      <c r="F128" s="763" t="s">
        <v>404</v>
      </c>
      <c r="G128" s="763" t="s">
        <v>1321</v>
      </c>
      <c r="H128" s="763" t="s">
        <v>577</v>
      </c>
      <c r="I128" s="763" t="s">
        <v>399</v>
      </c>
      <c r="J128" s="593"/>
    </row>
    <row r="129" spans="1:10" s="647" customFormat="1" ht="18" customHeight="1">
      <c r="A129" s="593"/>
      <c r="B129" s="763" t="s">
        <v>811</v>
      </c>
      <c r="C129" s="764">
        <v>30000</v>
      </c>
      <c r="D129" s="764"/>
      <c r="E129" s="764">
        <v>4636469</v>
      </c>
      <c r="F129" s="763" t="s">
        <v>405</v>
      </c>
      <c r="G129" s="763" t="s">
        <v>1322</v>
      </c>
      <c r="H129" s="763" t="s">
        <v>438</v>
      </c>
      <c r="I129" s="763" t="s">
        <v>399</v>
      </c>
      <c r="J129" s="593"/>
    </row>
    <row r="130" spans="1:10" s="647" customFormat="1" ht="18" customHeight="1">
      <c r="A130" s="593"/>
      <c r="B130" s="763" t="s">
        <v>812</v>
      </c>
      <c r="C130" s="764">
        <v>11000</v>
      </c>
      <c r="D130" s="764"/>
      <c r="E130" s="764">
        <v>4625469</v>
      </c>
      <c r="F130" s="763" t="s">
        <v>409</v>
      </c>
      <c r="G130" s="763" t="s">
        <v>449</v>
      </c>
      <c r="H130" s="763" t="s">
        <v>450</v>
      </c>
      <c r="I130" s="763" t="s">
        <v>399</v>
      </c>
      <c r="J130" s="593"/>
    </row>
    <row r="131" spans="1:10" s="647" customFormat="1" ht="18" customHeight="1">
      <c r="A131" s="593"/>
      <c r="B131" s="763" t="s">
        <v>813</v>
      </c>
      <c r="C131" s="764">
        <v>30000</v>
      </c>
      <c r="D131" s="764"/>
      <c r="E131" s="764">
        <v>4595469</v>
      </c>
      <c r="F131" s="763" t="s">
        <v>405</v>
      </c>
      <c r="G131" s="811" t="s">
        <v>1253</v>
      </c>
      <c r="H131" s="763" t="s">
        <v>448</v>
      </c>
      <c r="I131" s="763" t="s">
        <v>399</v>
      </c>
      <c r="J131" s="593"/>
    </row>
    <row r="132" spans="1:10" s="647" customFormat="1" ht="18" customHeight="1">
      <c r="A132" s="593"/>
      <c r="B132" s="763" t="s">
        <v>814</v>
      </c>
      <c r="C132" s="764">
        <v>1214700</v>
      </c>
      <c r="D132" s="764"/>
      <c r="E132" s="764">
        <v>3380769</v>
      </c>
      <c r="F132" s="763" t="s">
        <v>452</v>
      </c>
      <c r="G132" s="763" t="s">
        <v>815</v>
      </c>
      <c r="H132" s="763" t="s">
        <v>448</v>
      </c>
      <c r="I132" s="763" t="s">
        <v>399</v>
      </c>
      <c r="J132" s="593"/>
    </row>
    <row r="133" spans="1:10" s="647" customFormat="1" ht="18" customHeight="1">
      <c r="A133" s="593"/>
      <c r="B133" s="763" t="s">
        <v>816</v>
      </c>
      <c r="C133" s="764">
        <v>3000</v>
      </c>
      <c r="D133" s="764"/>
      <c r="E133" s="764">
        <v>3377769</v>
      </c>
      <c r="F133" s="763" t="s">
        <v>405</v>
      </c>
      <c r="G133" s="763" t="s">
        <v>1323</v>
      </c>
      <c r="H133" s="763" t="s">
        <v>448</v>
      </c>
      <c r="I133" s="763" t="s">
        <v>399</v>
      </c>
      <c r="J133" s="593"/>
    </row>
    <row r="134" spans="1:10" s="647" customFormat="1" ht="18" customHeight="1">
      <c r="A134" s="593"/>
      <c r="B134" s="763" t="s">
        <v>817</v>
      </c>
      <c r="C134" s="764">
        <v>1700000</v>
      </c>
      <c r="D134" s="764"/>
      <c r="E134" s="764">
        <v>1677769</v>
      </c>
      <c r="F134" s="763" t="s">
        <v>400</v>
      </c>
      <c r="G134" s="763" t="s">
        <v>1324</v>
      </c>
      <c r="H134" s="763" t="s">
        <v>448</v>
      </c>
      <c r="I134" s="763" t="s">
        <v>399</v>
      </c>
      <c r="J134" s="593"/>
    </row>
    <row r="135" spans="1:10" s="647" customFormat="1" ht="18" customHeight="1">
      <c r="A135" s="593"/>
      <c r="B135" s="763" t="s">
        <v>818</v>
      </c>
      <c r="C135" s="764"/>
      <c r="D135" s="764">
        <v>2695300</v>
      </c>
      <c r="E135" s="764">
        <v>4373069</v>
      </c>
      <c r="F135" s="763" t="s">
        <v>408</v>
      </c>
      <c r="G135" s="763" t="s">
        <v>1325</v>
      </c>
      <c r="H135" s="763" t="s">
        <v>578</v>
      </c>
      <c r="I135" s="763" t="s">
        <v>399</v>
      </c>
      <c r="J135" s="593"/>
    </row>
    <row r="136" spans="1:10" s="647" customFormat="1" ht="18" customHeight="1">
      <c r="A136" s="593"/>
      <c r="B136" s="763" t="s">
        <v>819</v>
      </c>
      <c r="C136" s="764">
        <v>100000</v>
      </c>
      <c r="D136" s="764"/>
      <c r="E136" s="764">
        <v>4273069</v>
      </c>
      <c r="F136" s="763" t="s">
        <v>405</v>
      </c>
      <c r="G136" s="763" t="s">
        <v>1236</v>
      </c>
      <c r="H136" s="763" t="s">
        <v>448</v>
      </c>
      <c r="I136" s="763" t="s">
        <v>399</v>
      </c>
      <c r="J136" s="593"/>
    </row>
    <row r="137" spans="1:10" s="647" customFormat="1" ht="18" customHeight="1">
      <c r="A137" s="593"/>
      <c r="B137" s="763" t="s">
        <v>820</v>
      </c>
      <c r="C137" s="764">
        <v>207000</v>
      </c>
      <c r="D137" s="764"/>
      <c r="E137" s="764">
        <v>4066069</v>
      </c>
      <c r="F137" s="763" t="s">
        <v>405</v>
      </c>
      <c r="G137" s="763" t="s">
        <v>1326</v>
      </c>
      <c r="H137" s="763" t="s">
        <v>448</v>
      </c>
      <c r="I137" s="763" t="s">
        <v>399</v>
      </c>
      <c r="J137" s="593"/>
    </row>
    <row r="138" spans="1:10" s="647" customFormat="1" ht="18" customHeight="1">
      <c r="A138" s="593"/>
      <c r="B138" s="763" t="s">
        <v>821</v>
      </c>
      <c r="C138" s="764">
        <v>221000</v>
      </c>
      <c r="D138" s="764"/>
      <c r="E138" s="764">
        <v>3845069</v>
      </c>
      <c r="F138" s="763" t="s">
        <v>494</v>
      </c>
      <c r="G138" s="763" t="s">
        <v>1327</v>
      </c>
      <c r="H138" s="763" t="s">
        <v>822</v>
      </c>
      <c r="I138" s="763" t="s">
        <v>399</v>
      </c>
      <c r="J138" s="593"/>
    </row>
    <row r="139" spans="1:10" s="647" customFormat="1" ht="18" customHeight="1">
      <c r="A139" s="593"/>
      <c r="B139" s="763" t="s">
        <v>823</v>
      </c>
      <c r="C139" s="764">
        <v>13000</v>
      </c>
      <c r="D139" s="764"/>
      <c r="E139" s="764">
        <v>3832069</v>
      </c>
      <c r="F139" s="763" t="s">
        <v>405</v>
      </c>
      <c r="G139" s="763" t="s">
        <v>1296</v>
      </c>
      <c r="H139" s="763" t="s">
        <v>448</v>
      </c>
      <c r="I139" s="763" t="s">
        <v>399</v>
      </c>
      <c r="J139" s="593"/>
    </row>
    <row r="140" spans="1:10" s="647" customFormat="1" ht="18" customHeight="1">
      <c r="A140" s="593"/>
      <c r="B140" s="763" t="s">
        <v>824</v>
      </c>
      <c r="C140" s="764">
        <v>5700</v>
      </c>
      <c r="D140" s="764"/>
      <c r="E140" s="764">
        <v>3826369</v>
      </c>
      <c r="F140" s="763" t="s">
        <v>405</v>
      </c>
      <c r="G140" s="763" t="s">
        <v>1296</v>
      </c>
      <c r="H140" s="763" t="s">
        <v>448</v>
      </c>
      <c r="I140" s="763" t="s">
        <v>399</v>
      </c>
      <c r="J140" s="593"/>
    </row>
    <row r="141" spans="1:10" s="647" customFormat="1" ht="18" customHeight="1">
      <c r="A141" s="593"/>
      <c r="B141" s="763" t="s">
        <v>825</v>
      </c>
      <c r="C141" s="764">
        <v>16000</v>
      </c>
      <c r="D141" s="764"/>
      <c r="E141" s="764">
        <v>3810369</v>
      </c>
      <c r="F141" s="763" t="s">
        <v>405</v>
      </c>
      <c r="G141" s="763" t="s">
        <v>1328</v>
      </c>
      <c r="H141" s="763" t="s">
        <v>448</v>
      </c>
      <c r="I141" s="763" t="s">
        <v>399</v>
      </c>
      <c r="J141" s="593"/>
    </row>
    <row r="142" spans="1:10" s="647" customFormat="1" ht="18" customHeight="1">
      <c r="A142" s="593"/>
      <c r="B142" s="763" t="s">
        <v>826</v>
      </c>
      <c r="C142" s="764">
        <v>18000</v>
      </c>
      <c r="D142" s="764"/>
      <c r="E142" s="764">
        <v>3792369</v>
      </c>
      <c r="F142" s="763" t="s">
        <v>405</v>
      </c>
      <c r="G142" s="763" t="s">
        <v>1329</v>
      </c>
      <c r="H142" s="763" t="s">
        <v>448</v>
      </c>
      <c r="I142" s="763" t="s">
        <v>399</v>
      </c>
      <c r="J142" s="593"/>
    </row>
    <row r="143" spans="1:10" s="647" customFormat="1" ht="18" customHeight="1">
      <c r="A143" s="593"/>
      <c r="B143" s="763" t="s">
        <v>827</v>
      </c>
      <c r="C143" s="764">
        <v>7600</v>
      </c>
      <c r="D143" s="764"/>
      <c r="E143" s="764">
        <v>3784769</v>
      </c>
      <c r="F143" s="763" t="s">
        <v>405</v>
      </c>
      <c r="G143" s="763" t="s">
        <v>1330</v>
      </c>
      <c r="H143" s="763" t="s">
        <v>448</v>
      </c>
      <c r="I143" s="763" t="s">
        <v>399</v>
      </c>
      <c r="J143" s="593"/>
    </row>
    <row r="144" spans="1:10" s="647" customFormat="1" ht="18" customHeight="1">
      <c r="A144" s="593"/>
      <c r="B144" s="763" t="s">
        <v>828</v>
      </c>
      <c r="C144" s="764">
        <v>385500</v>
      </c>
      <c r="D144" s="764"/>
      <c r="E144" s="764">
        <v>3399269</v>
      </c>
      <c r="F144" s="763" t="s">
        <v>439</v>
      </c>
      <c r="G144" s="763" t="s">
        <v>1331</v>
      </c>
      <c r="H144" s="763" t="s">
        <v>448</v>
      </c>
      <c r="I144" s="794" t="s">
        <v>829</v>
      </c>
      <c r="J144" s="593"/>
    </row>
    <row r="145" spans="1:10" s="647" customFormat="1" ht="18" customHeight="1">
      <c r="A145" s="593"/>
      <c r="B145" s="763" t="s">
        <v>828</v>
      </c>
      <c r="C145" s="764">
        <v>66500</v>
      </c>
      <c r="D145" s="764"/>
      <c r="E145" s="764">
        <v>3332769</v>
      </c>
      <c r="F145" s="763" t="s">
        <v>439</v>
      </c>
      <c r="G145" s="763" t="s">
        <v>1332</v>
      </c>
      <c r="H145" s="763" t="s">
        <v>448</v>
      </c>
      <c r="I145" s="763" t="s">
        <v>830</v>
      </c>
      <c r="J145" s="593"/>
    </row>
    <row r="146" spans="1:10" s="647" customFormat="1" ht="18" customHeight="1">
      <c r="A146" s="593"/>
      <c r="B146" s="763" t="s">
        <v>831</v>
      </c>
      <c r="C146" s="764">
        <v>234500</v>
      </c>
      <c r="D146" s="764"/>
      <c r="E146" s="764">
        <v>3098269</v>
      </c>
      <c r="F146" s="763" t="s">
        <v>451</v>
      </c>
      <c r="G146" s="763" t="s">
        <v>1333</v>
      </c>
      <c r="H146" s="763" t="s">
        <v>448</v>
      </c>
      <c r="I146" s="763" t="s">
        <v>832</v>
      </c>
      <c r="J146" s="593"/>
    </row>
    <row r="147" spans="1:10" s="647" customFormat="1" ht="18" customHeight="1">
      <c r="A147" s="593"/>
      <c r="B147" s="763" t="s">
        <v>833</v>
      </c>
      <c r="C147" s="764">
        <v>407000</v>
      </c>
      <c r="D147" s="764"/>
      <c r="E147" s="764">
        <v>2691269</v>
      </c>
      <c r="F147" s="763" t="s">
        <v>400</v>
      </c>
      <c r="G147" s="763" t="s">
        <v>1334</v>
      </c>
      <c r="H147" s="763" t="s">
        <v>448</v>
      </c>
      <c r="I147" s="763" t="s">
        <v>834</v>
      </c>
      <c r="J147" s="593"/>
    </row>
    <row r="148" spans="1:10" s="647" customFormat="1" ht="18" customHeight="1">
      <c r="A148" s="593"/>
      <c r="B148" s="763" t="s">
        <v>835</v>
      </c>
      <c r="C148" s="764">
        <v>20000</v>
      </c>
      <c r="D148" s="764"/>
      <c r="E148" s="764">
        <v>2671269</v>
      </c>
      <c r="F148" s="763" t="s">
        <v>405</v>
      </c>
      <c r="G148" s="763" t="s">
        <v>1335</v>
      </c>
      <c r="H148" s="763" t="s">
        <v>448</v>
      </c>
      <c r="I148" s="763" t="s">
        <v>399</v>
      </c>
      <c r="J148" s="593"/>
    </row>
    <row r="149" spans="1:10" s="647" customFormat="1" ht="18" customHeight="1">
      <c r="A149" s="593"/>
      <c r="B149" s="763" t="s">
        <v>836</v>
      </c>
      <c r="C149" s="764">
        <v>19000</v>
      </c>
      <c r="D149" s="764"/>
      <c r="E149" s="764">
        <v>2652269</v>
      </c>
      <c r="F149" s="763" t="s">
        <v>405</v>
      </c>
      <c r="G149" s="763" t="s">
        <v>1336</v>
      </c>
      <c r="H149" s="763" t="s">
        <v>448</v>
      </c>
      <c r="I149" s="763" t="s">
        <v>399</v>
      </c>
      <c r="J149" s="593"/>
    </row>
    <row r="150" spans="1:10" s="647" customFormat="1" ht="18" customHeight="1">
      <c r="A150" s="593"/>
      <c r="B150" s="763" t="s">
        <v>837</v>
      </c>
      <c r="C150" s="764">
        <v>50000</v>
      </c>
      <c r="D150" s="764"/>
      <c r="E150" s="764">
        <v>2602269</v>
      </c>
      <c r="F150" s="763" t="s">
        <v>405</v>
      </c>
      <c r="G150" s="811" t="s">
        <v>1253</v>
      </c>
      <c r="H150" s="763" t="s">
        <v>448</v>
      </c>
      <c r="I150" s="763" t="s">
        <v>399</v>
      </c>
      <c r="J150" s="593"/>
    </row>
    <row r="151" spans="1:10" s="647" customFormat="1" ht="18" customHeight="1">
      <c r="A151" s="593"/>
      <c r="B151" s="763" t="s">
        <v>838</v>
      </c>
      <c r="C151" s="764">
        <v>30500</v>
      </c>
      <c r="D151" s="764"/>
      <c r="E151" s="764">
        <v>2571769</v>
      </c>
      <c r="F151" s="763" t="s">
        <v>440</v>
      </c>
      <c r="G151" s="763" t="s">
        <v>1220</v>
      </c>
      <c r="H151" s="763" t="s">
        <v>448</v>
      </c>
      <c r="I151" s="794" t="s">
        <v>839</v>
      </c>
      <c r="J151" s="593"/>
    </row>
    <row r="152" spans="1:10" s="647" customFormat="1" ht="18" customHeight="1">
      <c r="A152" s="593"/>
      <c r="B152" s="763" t="s">
        <v>840</v>
      </c>
      <c r="C152" s="764">
        <v>660500</v>
      </c>
      <c r="D152" s="764"/>
      <c r="E152" s="764">
        <v>1911269</v>
      </c>
      <c r="F152" s="763" t="s">
        <v>445</v>
      </c>
      <c r="G152" s="763" t="s">
        <v>1337</v>
      </c>
      <c r="H152" s="763" t="s">
        <v>448</v>
      </c>
      <c r="I152" s="763" t="s">
        <v>841</v>
      </c>
      <c r="J152" s="593"/>
    </row>
    <row r="153" spans="1:10" s="647" customFormat="1" ht="18" customHeight="1">
      <c r="A153" s="593"/>
      <c r="B153" s="763" t="s">
        <v>842</v>
      </c>
      <c r="C153" s="764">
        <v>50000</v>
      </c>
      <c r="D153" s="764"/>
      <c r="E153" s="764">
        <v>1861269</v>
      </c>
      <c r="F153" s="763" t="s">
        <v>405</v>
      </c>
      <c r="G153" s="763" t="s">
        <v>1338</v>
      </c>
      <c r="H153" s="763" t="s">
        <v>448</v>
      </c>
      <c r="I153" s="763" t="s">
        <v>399</v>
      </c>
      <c r="J153" s="593"/>
    </row>
    <row r="154" spans="1:10" s="647" customFormat="1" ht="18" customHeight="1">
      <c r="A154" s="593"/>
      <c r="B154" s="763" t="s">
        <v>843</v>
      </c>
      <c r="C154" s="764">
        <v>7900</v>
      </c>
      <c r="D154" s="764"/>
      <c r="E154" s="764">
        <v>1853369</v>
      </c>
      <c r="F154" s="763" t="s">
        <v>405</v>
      </c>
      <c r="G154" s="763" t="s">
        <v>1339</v>
      </c>
      <c r="H154" s="763" t="s">
        <v>448</v>
      </c>
      <c r="I154" s="763" t="s">
        <v>399</v>
      </c>
      <c r="J154" s="593"/>
    </row>
    <row r="155" spans="1:10" s="647" customFormat="1" ht="18" customHeight="1">
      <c r="A155" s="593"/>
      <c r="B155" s="763" t="s">
        <v>844</v>
      </c>
      <c r="C155" s="764">
        <v>300000</v>
      </c>
      <c r="D155" s="764"/>
      <c r="E155" s="764">
        <v>1553369</v>
      </c>
      <c r="F155" s="763" t="s">
        <v>442</v>
      </c>
      <c r="G155" s="763" t="s">
        <v>1290</v>
      </c>
      <c r="H155" s="763" t="s">
        <v>845</v>
      </c>
      <c r="I155" s="763" t="s">
        <v>399</v>
      </c>
      <c r="J155" s="593"/>
    </row>
    <row r="156" spans="1:10" s="647" customFormat="1" ht="18" customHeight="1">
      <c r="A156" s="593"/>
      <c r="B156" s="763" t="s">
        <v>846</v>
      </c>
      <c r="C156" s="764">
        <v>7000</v>
      </c>
      <c r="D156" s="764"/>
      <c r="E156" s="764">
        <v>1546369</v>
      </c>
      <c r="F156" s="763" t="s">
        <v>405</v>
      </c>
      <c r="G156" s="763" t="s">
        <v>1340</v>
      </c>
      <c r="H156" s="763" t="s">
        <v>448</v>
      </c>
      <c r="I156" s="763" t="s">
        <v>399</v>
      </c>
      <c r="J156" s="593"/>
    </row>
    <row r="157" spans="1:10" s="647" customFormat="1" ht="18" customHeight="1">
      <c r="A157" s="593"/>
      <c r="B157" s="763" t="s">
        <v>847</v>
      </c>
      <c r="C157" s="764">
        <v>9000</v>
      </c>
      <c r="D157" s="764"/>
      <c r="E157" s="764">
        <v>1537369</v>
      </c>
      <c r="F157" s="763" t="s">
        <v>405</v>
      </c>
      <c r="G157" s="763" t="s">
        <v>1257</v>
      </c>
      <c r="H157" s="763" t="s">
        <v>448</v>
      </c>
      <c r="I157" s="763" t="s">
        <v>399</v>
      </c>
      <c r="J157" s="593"/>
    </row>
    <row r="158" spans="1:10" s="647" customFormat="1" ht="18" customHeight="1">
      <c r="A158" s="593"/>
      <c r="B158" s="763" t="s">
        <v>848</v>
      </c>
      <c r="C158" s="764">
        <v>4000</v>
      </c>
      <c r="D158" s="764"/>
      <c r="E158" s="764">
        <v>1533369</v>
      </c>
      <c r="F158" s="763" t="s">
        <v>405</v>
      </c>
      <c r="G158" s="763" t="s">
        <v>1341</v>
      </c>
      <c r="H158" s="763" t="s">
        <v>448</v>
      </c>
      <c r="I158" s="763" t="s">
        <v>399</v>
      </c>
      <c r="J158" s="593"/>
    </row>
    <row r="159" spans="1:10" s="647" customFormat="1" ht="18" customHeight="1">
      <c r="A159" s="593"/>
      <c r="B159" s="763" t="s">
        <v>849</v>
      </c>
      <c r="C159" s="764">
        <v>30000</v>
      </c>
      <c r="D159" s="764"/>
      <c r="E159" s="764">
        <v>1503369</v>
      </c>
      <c r="F159" s="763" t="s">
        <v>405</v>
      </c>
      <c r="G159" s="763" t="s">
        <v>1236</v>
      </c>
      <c r="H159" s="763" t="s">
        <v>448</v>
      </c>
      <c r="I159" s="763" t="s">
        <v>399</v>
      </c>
      <c r="J159" s="593"/>
    </row>
    <row r="160" spans="1:10" s="647" customFormat="1" ht="18" customHeight="1">
      <c r="A160" s="593"/>
      <c r="B160" s="763" t="s">
        <v>850</v>
      </c>
      <c r="C160" s="764"/>
      <c r="D160" s="764">
        <v>1100000</v>
      </c>
      <c r="E160" s="764">
        <v>2603369</v>
      </c>
      <c r="F160" s="763" t="s">
        <v>406</v>
      </c>
      <c r="G160" s="763" t="s">
        <v>1342</v>
      </c>
      <c r="H160" s="763" t="s">
        <v>599</v>
      </c>
      <c r="I160" s="763" t="s">
        <v>399</v>
      </c>
      <c r="J160" s="593"/>
    </row>
    <row r="161" spans="1:10" s="647" customFormat="1" ht="18" customHeight="1">
      <c r="A161" s="593"/>
      <c r="B161" s="763" t="s">
        <v>851</v>
      </c>
      <c r="C161" s="764"/>
      <c r="D161" s="764">
        <v>151800</v>
      </c>
      <c r="E161" s="764">
        <v>2755169</v>
      </c>
      <c r="F161" s="763" t="s">
        <v>406</v>
      </c>
      <c r="G161" s="811" t="s">
        <v>1342</v>
      </c>
      <c r="H161" s="763" t="s">
        <v>599</v>
      </c>
      <c r="I161" s="763" t="s">
        <v>399</v>
      </c>
      <c r="J161" s="593"/>
    </row>
    <row r="162" spans="1:10" s="647" customFormat="1" ht="18" customHeight="1">
      <c r="A162" s="593"/>
      <c r="B162" s="763" t="s">
        <v>852</v>
      </c>
      <c r="C162" s="764">
        <v>7700</v>
      </c>
      <c r="D162" s="764"/>
      <c r="E162" s="764">
        <v>2747469</v>
      </c>
      <c r="F162" s="763" t="s">
        <v>405</v>
      </c>
      <c r="G162" s="763" t="s">
        <v>1343</v>
      </c>
      <c r="H162" s="763" t="s">
        <v>448</v>
      </c>
      <c r="I162" s="763" t="s">
        <v>399</v>
      </c>
      <c r="J162" s="593"/>
    </row>
    <row r="163" spans="1:10" s="647" customFormat="1" ht="18" customHeight="1">
      <c r="A163" s="593"/>
      <c r="B163" s="763" t="s">
        <v>853</v>
      </c>
      <c r="C163" s="764">
        <v>81400</v>
      </c>
      <c r="D163" s="764"/>
      <c r="E163" s="764">
        <v>2666069</v>
      </c>
      <c r="F163" s="763" t="s">
        <v>409</v>
      </c>
      <c r="G163" s="763" t="s">
        <v>454</v>
      </c>
      <c r="H163" s="763" t="s">
        <v>450</v>
      </c>
      <c r="I163" s="763" t="s">
        <v>399</v>
      </c>
      <c r="J163" s="593"/>
    </row>
    <row r="164" spans="1:10" s="647" customFormat="1" ht="18" customHeight="1">
      <c r="A164" s="593"/>
      <c r="B164" s="763" t="s">
        <v>854</v>
      </c>
      <c r="C164" s="764">
        <v>202400</v>
      </c>
      <c r="D164" s="764"/>
      <c r="E164" s="764">
        <v>2463669</v>
      </c>
      <c r="F164" s="763" t="s">
        <v>409</v>
      </c>
      <c r="G164" s="763" t="s">
        <v>454</v>
      </c>
      <c r="H164" s="763" t="s">
        <v>450</v>
      </c>
      <c r="I164" s="763" t="s">
        <v>399</v>
      </c>
      <c r="J164" s="593"/>
    </row>
    <row r="165" spans="1:10" s="647" customFormat="1" ht="18" customHeight="1">
      <c r="A165" s="593"/>
      <c r="B165" s="763" t="s">
        <v>855</v>
      </c>
      <c r="C165" s="764">
        <v>44000</v>
      </c>
      <c r="D165" s="764"/>
      <c r="E165" s="764">
        <v>2419669</v>
      </c>
      <c r="F165" s="763" t="s">
        <v>409</v>
      </c>
      <c r="G165" s="763" t="s">
        <v>453</v>
      </c>
      <c r="H165" s="763" t="s">
        <v>450</v>
      </c>
      <c r="I165" s="763" t="s">
        <v>399</v>
      </c>
      <c r="J165" s="593"/>
    </row>
    <row r="166" spans="1:10" s="647" customFormat="1" ht="18" customHeight="1">
      <c r="A166" s="593"/>
      <c r="B166" s="722" t="s">
        <v>856</v>
      </c>
      <c r="C166" s="711">
        <v>40000</v>
      </c>
      <c r="D166" s="711"/>
      <c r="E166" s="711">
        <v>2379669</v>
      </c>
      <c r="F166" s="722" t="s">
        <v>405</v>
      </c>
      <c r="G166" s="722" t="s">
        <v>1255</v>
      </c>
      <c r="H166" s="722" t="s">
        <v>448</v>
      </c>
      <c r="I166" s="722" t="s">
        <v>1083</v>
      </c>
      <c r="J166" s="593"/>
    </row>
    <row r="167" spans="1:10" s="647" customFormat="1" ht="18" customHeight="1">
      <c r="A167" s="593"/>
      <c r="B167" s="763" t="s">
        <v>857</v>
      </c>
      <c r="C167" s="764">
        <v>38000</v>
      </c>
      <c r="D167" s="764"/>
      <c r="E167" s="764">
        <v>2341669</v>
      </c>
      <c r="F167" s="763" t="s">
        <v>405</v>
      </c>
      <c r="G167" s="763" t="s">
        <v>1255</v>
      </c>
      <c r="H167" s="763" t="s">
        <v>448</v>
      </c>
      <c r="I167" s="763" t="s">
        <v>399</v>
      </c>
      <c r="J167" s="593"/>
    </row>
    <row r="168" spans="1:10" s="647" customFormat="1" ht="18" customHeight="1">
      <c r="A168" s="593"/>
      <c r="B168" s="722" t="s">
        <v>858</v>
      </c>
      <c r="C168" s="711">
        <v>-40000</v>
      </c>
      <c r="D168" s="711"/>
      <c r="E168" s="711">
        <v>2381669</v>
      </c>
      <c r="F168" s="722" t="s">
        <v>405</v>
      </c>
      <c r="G168" s="722" t="s">
        <v>1255</v>
      </c>
      <c r="H168" s="722" t="s">
        <v>448</v>
      </c>
      <c r="I168" s="722" t="s">
        <v>1083</v>
      </c>
      <c r="J168" s="593"/>
    </row>
    <row r="169" spans="1:10" s="647" customFormat="1" ht="18" customHeight="1">
      <c r="A169" s="593"/>
      <c r="B169" s="763" t="s">
        <v>859</v>
      </c>
      <c r="C169" s="764">
        <v>5500</v>
      </c>
      <c r="D169" s="764"/>
      <c r="E169" s="764">
        <v>2376169</v>
      </c>
      <c r="F169" s="763" t="s">
        <v>405</v>
      </c>
      <c r="G169" s="763" t="s">
        <v>1254</v>
      </c>
      <c r="H169" s="763" t="s">
        <v>448</v>
      </c>
      <c r="I169" s="763" t="s">
        <v>399</v>
      </c>
      <c r="J169" s="593"/>
    </row>
    <row r="170" spans="1:10" s="647" customFormat="1" ht="18" customHeight="1">
      <c r="A170" s="593"/>
      <c r="B170" s="763" t="s">
        <v>860</v>
      </c>
      <c r="C170" s="764">
        <v>50000</v>
      </c>
      <c r="D170" s="764"/>
      <c r="E170" s="764">
        <v>2326169</v>
      </c>
      <c r="F170" s="763" t="s">
        <v>405</v>
      </c>
      <c r="G170" s="763" t="s">
        <v>1253</v>
      </c>
      <c r="H170" s="763" t="s">
        <v>448</v>
      </c>
      <c r="I170" s="763" t="s">
        <v>399</v>
      </c>
      <c r="J170" s="593"/>
    </row>
    <row r="171" spans="1:10" s="647" customFormat="1" ht="18" customHeight="1">
      <c r="A171" s="593"/>
      <c r="B171" s="763" t="s">
        <v>861</v>
      </c>
      <c r="C171" s="764">
        <v>9000</v>
      </c>
      <c r="D171" s="764"/>
      <c r="E171" s="764">
        <v>2317169</v>
      </c>
      <c r="F171" s="763" t="s">
        <v>405</v>
      </c>
      <c r="G171" s="763" t="s">
        <v>1252</v>
      </c>
      <c r="H171" s="763" t="s">
        <v>448</v>
      </c>
      <c r="I171" s="763" t="s">
        <v>399</v>
      </c>
      <c r="J171" s="593"/>
    </row>
    <row r="172" spans="1:10" s="647" customFormat="1" ht="18" customHeight="1">
      <c r="A172" s="593"/>
      <c r="B172" s="763" t="s">
        <v>862</v>
      </c>
      <c r="C172" s="764">
        <v>7500</v>
      </c>
      <c r="D172" s="764"/>
      <c r="E172" s="764">
        <v>2309669</v>
      </c>
      <c r="F172" s="763" t="s">
        <v>405</v>
      </c>
      <c r="G172" s="763" t="s">
        <v>1251</v>
      </c>
      <c r="H172" s="763" t="s">
        <v>448</v>
      </c>
      <c r="I172" s="763" t="s">
        <v>399</v>
      </c>
      <c r="J172" s="593"/>
    </row>
    <row r="173" spans="1:10" s="647" customFormat="1" ht="18" customHeight="1">
      <c r="A173" s="593"/>
      <c r="B173" s="763" t="s">
        <v>863</v>
      </c>
      <c r="C173" s="764"/>
      <c r="D173" s="764">
        <v>328900</v>
      </c>
      <c r="E173" s="764">
        <v>2638569</v>
      </c>
      <c r="F173" s="763" t="s">
        <v>804</v>
      </c>
      <c r="G173" s="763" t="s">
        <v>1250</v>
      </c>
      <c r="H173" s="763" t="s">
        <v>580</v>
      </c>
      <c r="I173" s="763" t="s">
        <v>399</v>
      </c>
      <c r="J173" s="593"/>
    </row>
    <row r="174" spans="1:10" s="647" customFormat="1" ht="18" customHeight="1">
      <c r="A174" s="593"/>
      <c r="B174" s="763" t="s">
        <v>864</v>
      </c>
      <c r="C174" s="764">
        <v>3050</v>
      </c>
      <c r="D174" s="764"/>
      <c r="E174" s="764">
        <v>2635519</v>
      </c>
      <c r="F174" s="763" t="s">
        <v>405</v>
      </c>
      <c r="G174" s="763" t="s">
        <v>1249</v>
      </c>
      <c r="H174" s="763" t="s">
        <v>448</v>
      </c>
      <c r="I174" s="763" t="s">
        <v>399</v>
      </c>
      <c r="J174" s="593"/>
    </row>
    <row r="175" spans="1:10" s="647" customFormat="1" ht="18" customHeight="1">
      <c r="A175" s="593"/>
      <c r="B175" s="763" t="s">
        <v>865</v>
      </c>
      <c r="C175" s="764">
        <v>30000</v>
      </c>
      <c r="D175" s="764"/>
      <c r="E175" s="764">
        <v>2605519</v>
      </c>
      <c r="F175" s="763" t="s">
        <v>405</v>
      </c>
      <c r="G175" s="763" t="s">
        <v>1216</v>
      </c>
      <c r="H175" s="763" t="s">
        <v>448</v>
      </c>
      <c r="I175" s="763" t="s">
        <v>399</v>
      </c>
      <c r="J175" s="593"/>
    </row>
    <row r="176" spans="1:10" s="647" customFormat="1" ht="18" customHeight="1">
      <c r="A176" s="593"/>
      <c r="B176" s="763" t="s">
        <v>866</v>
      </c>
      <c r="C176" s="764">
        <v>3000</v>
      </c>
      <c r="D176" s="764"/>
      <c r="E176" s="764">
        <v>2602519</v>
      </c>
      <c r="F176" s="763" t="s">
        <v>405</v>
      </c>
      <c r="G176" s="763" t="s">
        <v>1248</v>
      </c>
      <c r="H176" s="763" t="s">
        <v>448</v>
      </c>
      <c r="I176" s="763" t="s">
        <v>399</v>
      </c>
      <c r="J176" s="593"/>
    </row>
    <row r="177" spans="1:10" s="647" customFormat="1" ht="18" customHeight="1">
      <c r="A177" s="593"/>
      <c r="B177" s="763" t="s">
        <v>867</v>
      </c>
      <c r="C177" s="764">
        <v>3500</v>
      </c>
      <c r="D177" s="764"/>
      <c r="E177" s="764">
        <v>2599019</v>
      </c>
      <c r="F177" s="763" t="s">
        <v>405</v>
      </c>
      <c r="G177" s="763" t="s">
        <v>1247</v>
      </c>
      <c r="H177" s="763" t="s">
        <v>448</v>
      </c>
      <c r="I177" s="763" t="s">
        <v>399</v>
      </c>
      <c r="J177" s="593"/>
    </row>
    <row r="178" spans="1:10" s="647" customFormat="1" ht="18" customHeight="1">
      <c r="A178" s="593"/>
      <c r="B178" s="763" t="s">
        <v>868</v>
      </c>
      <c r="C178" s="764">
        <v>5600</v>
      </c>
      <c r="D178" s="764"/>
      <c r="E178" s="764">
        <v>2593419</v>
      </c>
      <c r="F178" s="763" t="s">
        <v>405</v>
      </c>
      <c r="G178" s="763" t="s">
        <v>1246</v>
      </c>
      <c r="H178" s="763" t="s">
        <v>448</v>
      </c>
      <c r="I178" s="763" t="s">
        <v>399</v>
      </c>
      <c r="J178" s="593"/>
    </row>
    <row r="179" spans="1:10" s="647" customFormat="1" ht="18" customHeight="1">
      <c r="A179" s="593"/>
      <c r="B179" s="763" t="s">
        <v>869</v>
      </c>
      <c r="C179" s="764">
        <v>45000</v>
      </c>
      <c r="D179" s="764"/>
      <c r="E179" s="764">
        <v>2548419</v>
      </c>
      <c r="F179" s="763" t="s">
        <v>405</v>
      </c>
      <c r="G179" s="763" t="s">
        <v>1245</v>
      </c>
      <c r="H179" s="763" t="s">
        <v>448</v>
      </c>
      <c r="I179" s="763" t="s">
        <v>399</v>
      </c>
      <c r="J179" s="593"/>
    </row>
    <row r="180" spans="1:10" s="647" customFormat="1" ht="18" customHeight="1">
      <c r="A180" s="593"/>
      <c r="B180" s="763" t="s">
        <v>870</v>
      </c>
      <c r="C180" s="764">
        <v>9050</v>
      </c>
      <c r="D180" s="764"/>
      <c r="E180" s="764">
        <v>2539369</v>
      </c>
      <c r="F180" s="763" t="s">
        <v>405</v>
      </c>
      <c r="G180" s="763" t="s">
        <v>1244</v>
      </c>
      <c r="H180" s="763" t="s">
        <v>448</v>
      </c>
      <c r="I180" s="763" t="s">
        <v>399</v>
      </c>
      <c r="J180" s="593"/>
    </row>
    <row r="181" spans="1:10" s="647" customFormat="1" ht="18" customHeight="1">
      <c r="A181" s="593"/>
      <c r="B181" s="763" t="s">
        <v>871</v>
      </c>
      <c r="C181" s="764">
        <v>737588</v>
      </c>
      <c r="D181" s="764"/>
      <c r="E181" s="764">
        <v>1801781</v>
      </c>
      <c r="F181" s="763" t="s">
        <v>596</v>
      </c>
      <c r="G181" s="763" t="s">
        <v>1243</v>
      </c>
      <c r="H181" s="763" t="s">
        <v>872</v>
      </c>
      <c r="I181" s="763" t="s">
        <v>399</v>
      </c>
      <c r="J181" s="593"/>
    </row>
    <row r="182" spans="1:10" s="647" customFormat="1" ht="18" customHeight="1">
      <c r="A182" s="593"/>
      <c r="B182" s="763" t="s">
        <v>873</v>
      </c>
      <c r="C182" s="764">
        <v>50000</v>
      </c>
      <c r="D182" s="764"/>
      <c r="E182" s="764">
        <v>1751781</v>
      </c>
      <c r="F182" s="763" t="s">
        <v>405</v>
      </c>
      <c r="G182" s="763" t="s">
        <v>1216</v>
      </c>
      <c r="H182" s="763" t="s">
        <v>448</v>
      </c>
      <c r="I182" s="763" t="s">
        <v>399</v>
      </c>
      <c r="J182" s="593"/>
    </row>
    <row r="183" spans="1:10" s="647" customFormat="1" ht="18" customHeight="1">
      <c r="A183" s="593"/>
      <c r="B183" s="763" t="s">
        <v>874</v>
      </c>
      <c r="C183" s="764">
        <v>10500</v>
      </c>
      <c r="D183" s="764"/>
      <c r="E183" s="764">
        <v>1741281</v>
      </c>
      <c r="F183" s="763" t="s">
        <v>405</v>
      </c>
      <c r="G183" s="811" t="s">
        <v>1241</v>
      </c>
      <c r="H183" s="763" t="s">
        <v>448</v>
      </c>
      <c r="I183" s="763" t="s">
        <v>399</v>
      </c>
      <c r="J183" s="593"/>
    </row>
    <row r="184" spans="1:10" s="647" customFormat="1" ht="18" customHeight="1">
      <c r="A184" s="593"/>
      <c r="B184" s="763" t="s">
        <v>875</v>
      </c>
      <c r="C184" s="764">
        <v>292600</v>
      </c>
      <c r="D184" s="764"/>
      <c r="E184" s="764">
        <v>1448681</v>
      </c>
      <c r="F184" s="763" t="s">
        <v>400</v>
      </c>
      <c r="G184" s="763" t="s">
        <v>1242</v>
      </c>
      <c r="H184" s="763" t="s">
        <v>448</v>
      </c>
      <c r="I184" s="763" t="s">
        <v>876</v>
      </c>
      <c r="J184" s="593"/>
    </row>
    <row r="185" spans="1:10" s="647" customFormat="1" ht="18" customHeight="1">
      <c r="A185" s="593"/>
      <c r="B185" s="763" t="s">
        <v>877</v>
      </c>
      <c r="C185" s="764">
        <v>30000</v>
      </c>
      <c r="D185" s="764"/>
      <c r="E185" s="764">
        <v>1418681</v>
      </c>
      <c r="F185" s="763" t="s">
        <v>405</v>
      </c>
      <c r="G185" s="763" t="s">
        <v>1241</v>
      </c>
      <c r="H185" s="763" t="s">
        <v>448</v>
      </c>
      <c r="I185" s="763" t="s">
        <v>399</v>
      </c>
      <c r="J185" s="593"/>
    </row>
    <row r="186" spans="1:10" s="647" customFormat="1" ht="18" customHeight="1">
      <c r="A186" s="593"/>
      <c r="B186" s="763" t="s">
        <v>878</v>
      </c>
      <c r="C186" s="764">
        <v>237000</v>
      </c>
      <c r="D186" s="764"/>
      <c r="E186" s="764">
        <v>1181681</v>
      </c>
      <c r="F186" s="763" t="s">
        <v>400</v>
      </c>
      <c r="G186" s="763" t="s">
        <v>1240</v>
      </c>
      <c r="H186" s="763" t="s">
        <v>448</v>
      </c>
      <c r="I186" s="763" t="s">
        <v>879</v>
      </c>
      <c r="J186" s="593"/>
    </row>
    <row r="187" spans="1:10" s="647" customFormat="1" ht="18" customHeight="1">
      <c r="A187" s="593"/>
      <c r="B187" s="763" t="s">
        <v>880</v>
      </c>
      <c r="C187" s="764">
        <v>3000</v>
      </c>
      <c r="D187" s="764"/>
      <c r="E187" s="764">
        <v>1178681</v>
      </c>
      <c r="F187" s="763" t="s">
        <v>405</v>
      </c>
      <c r="G187" s="811" t="s">
        <v>1239</v>
      </c>
      <c r="H187" s="763" t="s">
        <v>448</v>
      </c>
      <c r="I187" s="763" t="s">
        <v>399</v>
      </c>
      <c r="J187" s="593"/>
    </row>
    <row r="188" spans="1:10" s="647" customFormat="1" ht="18" customHeight="1">
      <c r="A188" s="593"/>
      <c r="B188" s="763" t="s">
        <v>881</v>
      </c>
      <c r="C188" s="764">
        <v>3000</v>
      </c>
      <c r="D188" s="764"/>
      <c r="E188" s="764">
        <v>1175681</v>
      </c>
      <c r="F188" s="763" t="s">
        <v>405</v>
      </c>
      <c r="G188" s="763" t="s">
        <v>1239</v>
      </c>
      <c r="H188" s="763" t="s">
        <v>448</v>
      </c>
      <c r="I188" s="763" t="s">
        <v>399</v>
      </c>
      <c r="J188" s="593"/>
    </row>
    <row r="189" spans="1:10" s="647" customFormat="1" ht="18" customHeight="1">
      <c r="A189" s="593"/>
      <c r="B189" s="763" t="s">
        <v>882</v>
      </c>
      <c r="C189" s="764">
        <v>9000</v>
      </c>
      <c r="D189" s="764"/>
      <c r="E189" s="764">
        <v>1166681</v>
      </c>
      <c r="F189" s="763" t="s">
        <v>405</v>
      </c>
      <c r="G189" s="763" t="s">
        <v>1238</v>
      </c>
      <c r="H189" s="763" t="s">
        <v>448</v>
      </c>
      <c r="I189" s="763" t="s">
        <v>399</v>
      </c>
      <c r="J189" s="593"/>
    </row>
    <row r="190" spans="1:10" s="647" customFormat="1" ht="18" customHeight="1">
      <c r="A190" s="593"/>
      <c r="B190" s="763" t="s">
        <v>883</v>
      </c>
      <c r="C190" s="764">
        <v>171000</v>
      </c>
      <c r="D190" s="764"/>
      <c r="E190" s="764">
        <v>995681</v>
      </c>
      <c r="F190" s="763" t="s">
        <v>440</v>
      </c>
      <c r="G190" s="763" t="s">
        <v>1237</v>
      </c>
      <c r="H190" s="763" t="s">
        <v>448</v>
      </c>
      <c r="I190" s="763" t="s">
        <v>884</v>
      </c>
      <c r="J190" s="593"/>
    </row>
    <row r="191" spans="1:10" s="647" customFormat="1" ht="18" customHeight="1">
      <c r="A191" s="593"/>
      <c r="B191" s="763" t="s">
        <v>885</v>
      </c>
      <c r="C191" s="764">
        <v>30000</v>
      </c>
      <c r="D191" s="764"/>
      <c r="E191" s="764">
        <v>965681</v>
      </c>
      <c r="F191" s="763" t="s">
        <v>405</v>
      </c>
      <c r="G191" s="763" t="s">
        <v>1223</v>
      </c>
      <c r="H191" s="763" t="s">
        <v>448</v>
      </c>
      <c r="I191" s="763" t="s">
        <v>399</v>
      </c>
      <c r="J191" s="593"/>
    </row>
    <row r="192" spans="1:10" s="647" customFormat="1" ht="18" customHeight="1">
      <c r="A192" s="593"/>
      <c r="B192" s="763" t="s">
        <v>886</v>
      </c>
      <c r="C192" s="764">
        <v>30000</v>
      </c>
      <c r="D192" s="764"/>
      <c r="E192" s="764">
        <v>935681</v>
      </c>
      <c r="F192" s="763" t="s">
        <v>405</v>
      </c>
      <c r="G192" s="763" t="s">
        <v>1236</v>
      </c>
      <c r="H192" s="763" t="s">
        <v>448</v>
      </c>
      <c r="I192" s="763" t="s">
        <v>399</v>
      </c>
      <c r="J192" s="593"/>
    </row>
    <row r="193" spans="1:10" s="647" customFormat="1" ht="18" customHeight="1">
      <c r="A193" s="593"/>
      <c r="B193" s="722" t="s">
        <v>621</v>
      </c>
      <c r="C193" s="711"/>
      <c r="D193" s="711">
        <v>1</v>
      </c>
      <c r="E193" s="711">
        <v>935682</v>
      </c>
      <c r="F193" s="722" t="s">
        <v>400</v>
      </c>
      <c r="G193" s="722" t="s">
        <v>1234</v>
      </c>
      <c r="H193" s="722" t="s">
        <v>887</v>
      </c>
      <c r="I193" s="722" t="s">
        <v>888</v>
      </c>
      <c r="J193" s="593"/>
    </row>
    <row r="194" spans="1:10" s="647" customFormat="1" ht="18" customHeight="1">
      <c r="A194" s="593"/>
      <c r="B194" s="722" t="s">
        <v>623</v>
      </c>
      <c r="C194" s="711"/>
      <c r="D194" s="711">
        <v>13100000</v>
      </c>
      <c r="E194" s="711">
        <v>14035682</v>
      </c>
      <c r="F194" s="722" t="s">
        <v>400</v>
      </c>
      <c r="G194" s="722" t="s">
        <v>1234</v>
      </c>
      <c r="H194" s="722" t="s">
        <v>887</v>
      </c>
      <c r="I194" s="722" t="s">
        <v>888</v>
      </c>
      <c r="J194" s="593"/>
    </row>
    <row r="195" spans="1:10" s="647" customFormat="1" ht="18" customHeight="1">
      <c r="A195" s="593"/>
      <c r="B195" s="722" t="s">
        <v>889</v>
      </c>
      <c r="C195" s="711">
        <v>150000</v>
      </c>
      <c r="D195" s="711"/>
      <c r="E195" s="711">
        <v>13885682</v>
      </c>
      <c r="F195" s="722" t="s">
        <v>405</v>
      </c>
      <c r="G195" s="722" t="s">
        <v>1235</v>
      </c>
      <c r="H195" s="722" t="s">
        <v>448</v>
      </c>
      <c r="I195" s="722" t="s">
        <v>1083</v>
      </c>
      <c r="J195" s="593"/>
    </row>
    <row r="196" spans="1:10" s="647" customFormat="1" ht="18" customHeight="1">
      <c r="A196" s="593"/>
      <c r="B196" s="763" t="s">
        <v>890</v>
      </c>
      <c r="C196" s="764">
        <v>44491</v>
      </c>
      <c r="D196" s="764"/>
      <c r="E196" s="764">
        <v>13841191</v>
      </c>
      <c r="F196" s="763" t="s">
        <v>405</v>
      </c>
      <c r="G196" s="763" t="s">
        <v>1235</v>
      </c>
      <c r="H196" s="763" t="s">
        <v>448</v>
      </c>
      <c r="I196" s="763" t="s">
        <v>399</v>
      </c>
      <c r="J196" s="593"/>
    </row>
    <row r="197" spans="1:10" s="647" customFormat="1" ht="18" customHeight="1">
      <c r="A197" s="593"/>
      <c r="B197" s="722" t="s">
        <v>891</v>
      </c>
      <c r="C197" s="711">
        <v>-150000</v>
      </c>
      <c r="D197" s="711"/>
      <c r="E197" s="711">
        <v>13991191</v>
      </c>
      <c r="F197" s="722" t="s">
        <v>405</v>
      </c>
      <c r="G197" s="722" t="s">
        <v>1235</v>
      </c>
      <c r="H197" s="722" t="s">
        <v>448</v>
      </c>
      <c r="I197" s="722" t="s">
        <v>1083</v>
      </c>
      <c r="J197" s="593"/>
    </row>
    <row r="198" spans="1:10" s="647" customFormat="1" ht="18" customHeight="1">
      <c r="A198" s="593"/>
      <c r="B198" s="763" t="s">
        <v>892</v>
      </c>
      <c r="C198" s="764">
        <v>8000</v>
      </c>
      <c r="D198" s="764"/>
      <c r="E198" s="764">
        <v>13983191</v>
      </c>
      <c r="F198" s="763" t="s">
        <v>405</v>
      </c>
      <c r="G198" s="763" t="s">
        <v>1344</v>
      </c>
      <c r="H198" s="763" t="s">
        <v>448</v>
      </c>
      <c r="I198" s="763" t="s">
        <v>399</v>
      </c>
      <c r="J198" s="593"/>
    </row>
    <row r="199" spans="1:10" s="647" customFormat="1" ht="18" customHeight="1">
      <c r="A199" s="593"/>
      <c r="B199" s="763" t="s">
        <v>893</v>
      </c>
      <c r="C199" s="764">
        <v>8000</v>
      </c>
      <c r="D199" s="764"/>
      <c r="E199" s="764">
        <v>13975191</v>
      </c>
      <c r="F199" s="763" t="s">
        <v>405</v>
      </c>
      <c r="G199" s="763" t="s">
        <v>1345</v>
      </c>
      <c r="H199" s="763" t="s">
        <v>448</v>
      </c>
      <c r="I199" s="763" t="s">
        <v>399</v>
      </c>
      <c r="J199" s="593"/>
    </row>
    <row r="200" spans="1:10" s="647" customFormat="1" ht="18" customHeight="1">
      <c r="A200" s="593"/>
      <c r="B200" s="763" t="s">
        <v>894</v>
      </c>
      <c r="C200" s="764">
        <v>14000</v>
      </c>
      <c r="D200" s="764"/>
      <c r="E200" s="764">
        <v>13961191</v>
      </c>
      <c r="F200" s="763" t="s">
        <v>405</v>
      </c>
      <c r="G200" s="763" t="s">
        <v>895</v>
      </c>
      <c r="H200" s="763" t="s">
        <v>448</v>
      </c>
      <c r="I200" s="763" t="s">
        <v>399</v>
      </c>
      <c r="J200" s="593"/>
    </row>
    <row r="201" spans="1:10" s="647" customFormat="1" ht="18" customHeight="1">
      <c r="A201" s="593"/>
      <c r="B201" s="763" t="s">
        <v>896</v>
      </c>
      <c r="C201" s="764">
        <v>36000</v>
      </c>
      <c r="D201" s="764"/>
      <c r="E201" s="764">
        <v>13925191</v>
      </c>
      <c r="F201" s="763" t="s">
        <v>405</v>
      </c>
      <c r="G201" s="763" t="s">
        <v>1346</v>
      </c>
      <c r="H201" s="763" t="s">
        <v>448</v>
      </c>
      <c r="I201" s="763" t="s">
        <v>399</v>
      </c>
      <c r="J201" s="593"/>
    </row>
    <row r="202" spans="1:10" s="647" customFormat="1" ht="18" customHeight="1">
      <c r="A202" s="593"/>
      <c r="B202" s="763" t="s">
        <v>897</v>
      </c>
      <c r="C202" s="764">
        <v>17200</v>
      </c>
      <c r="D202" s="764"/>
      <c r="E202" s="764">
        <v>13907991</v>
      </c>
      <c r="F202" s="763" t="s">
        <v>405</v>
      </c>
      <c r="G202" s="763" t="s">
        <v>513</v>
      </c>
      <c r="H202" s="763" t="s">
        <v>448</v>
      </c>
      <c r="I202" s="763" t="s">
        <v>399</v>
      </c>
      <c r="J202" s="593"/>
    </row>
    <row r="203" spans="1:10" s="647" customFormat="1" ht="18" customHeight="1">
      <c r="A203" s="593"/>
      <c r="B203" s="763" t="s">
        <v>898</v>
      </c>
      <c r="C203" s="764">
        <v>22000</v>
      </c>
      <c r="D203" s="764"/>
      <c r="E203" s="764">
        <v>13885991</v>
      </c>
      <c r="F203" s="763" t="s">
        <v>405</v>
      </c>
      <c r="G203" s="763" t="s">
        <v>1347</v>
      </c>
      <c r="H203" s="763" t="s">
        <v>448</v>
      </c>
      <c r="I203" s="763" t="s">
        <v>399</v>
      </c>
      <c r="J203" s="593"/>
    </row>
    <row r="204" spans="1:10" s="647" customFormat="1" ht="18" customHeight="1">
      <c r="A204" s="593"/>
      <c r="B204" s="763" t="s">
        <v>899</v>
      </c>
      <c r="C204" s="764">
        <v>3200</v>
      </c>
      <c r="D204" s="764"/>
      <c r="E204" s="764">
        <v>13882791</v>
      </c>
      <c r="F204" s="763" t="s">
        <v>405</v>
      </c>
      <c r="G204" s="763" t="s">
        <v>1348</v>
      </c>
      <c r="H204" s="763" t="s">
        <v>448</v>
      </c>
      <c r="I204" s="763" t="s">
        <v>399</v>
      </c>
      <c r="J204" s="593"/>
    </row>
    <row r="205" spans="1:10" s="647" customFormat="1" ht="18" customHeight="1">
      <c r="A205" s="593"/>
      <c r="B205" s="763" t="s">
        <v>900</v>
      </c>
      <c r="C205" s="764">
        <v>17000</v>
      </c>
      <c r="D205" s="764"/>
      <c r="E205" s="764">
        <v>13865791</v>
      </c>
      <c r="F205" s="763" t="s">
        <v>405</v>
      </c>
      <c r="G205" s="811" t="s">
        <v>1347</v>
      </c>
      <c r="H205" s="763" t="s">
        <v>448</v>
      </c>
      <c r="I205" s="763" t="s">
        <v>399</v>
      </c>
      <c r="J205" s="593"/>
    </row>
    <row r="206" spans="1:10" s="647" customFormat="1" ht="18" customHeight="1">
      <c r="A206" s="593"/>
      <c r="B206" s="763" t="s">
        <v>901</v>
      </c>
      <c r="C206" s="764">
        <v>4850</v>
      </c>
      <c r="D206" s="764"/>
      <c r="E206" s="764">
        <v>13860941</v>
      </c>
      <c r="F206" s="763" t="s">
        <v>405</v>
      </c>
      <c r="G206" s="811" t="s">
        <v>1348</v>
      </c>
      <c r="H206" s="763" t="s">
        <v>448</v>
      </c>
      <c r="I206" s="763" t="s">
        <v>399</v>
      </c>
      <c r="J206" s="593"/>
    </row>
    <row r="207" spans="1:10" s="647" customFormat="1" ht="18" customHeight="1">
      <c r="A207" s="593"/>
      <c r="B207" s="763" t="s">
        <v>902</v>
      </c>
      <c r="C207" s="764">
        <v>9000</v>
      </c>
      <c r="D207" s="764"/>
      <c r="E207" s="764">
        <v>13851941</v>
      </c>
      <c r="F207" s="763" t="s">
        <v>405</v>
      </c>
      <c r="G207" s="763" t="s">
        <v>1349</v>
      </c>
      <c r="H207" s="763" t="s">
        <v>448</v>
      </c>
      <c r="I207" s="763" t="s">
        <v>399</v>
      </c>
      <c r="J207" s="593"/>
    </row>
    <row r="208" spans="1:10" s="647" customFormat="1" ht="18" customHeight="1">
      <c r="A208" s="593"/>
      <c r="B208" s="763" t="s">
        <v>903</v>
      </c>
      <c r="C208" s="764">
        <v>50000</v>
      </c>
      <c r="D208" s="764"/>
      <c r="E208" s="764">
        <v>13801941</v>
      </c>
      <c r="F208" s="763" t="s">
        <v>405</v>
      </c>
      <c r="G208" s="763" t="s">
        <v>1216</v>
      </c>
      <c r="H208" s="763" t="s">
        <v>448</v>
      </c>
      <c r="I208" s="763" t="s">
        <v>399</v>
      </c>
      <c r="J208" s="593"/>
    </row>
    <row r="209" spans="1:10" s="647" customFormat="1" ht="18" customHeight="1">
      <c r="A209" s="593"/>
      <c r="B209" s="763" t="s">
        <v>904</v>
      </c>
      <c r="C209" s="764">
        <v>8900</v>
      </c>
      <c r="D209" s="764"/>
      <c r="E209" s="764">
        <v>13793041</v>
      </c>
      <c r="F209" s="763" t="s">
        <v>405</v>
      </c>
      <c r="G209" s="763" t="s">
        <v>1350</v>
      </c>
      <c r="H209" s="763" t="s">
        <v>448</v>
      </c>
      <c r="I209" s="763" t="s">
        <v>399</v>
      </c>
      <c r="J209" s="593"/>
    </row>
    <row r="210" spans="1:10" s="647" customFormat="1" ht="18" customHeight="1">
      <c r="A210" s="593"/>
      <c r="B210" s="763" t="s">
        <v>905</v>
      </c>
      <c r="C210" s="764">
        <v>50000</v>
      </c>
      <c r="D210" s="764"/>
      <c r="E210" s="764">
        <v>13743041</v>
      </c>
      <c r="F210" s="763" t="s">
        <v>405</v>
      </c>
      <c r="G210" s="763" t="s">
        <v>1235</v>
      </c>
      <c r="H210" s="763" t="s">
        <v>448</v>
      </c>
      <c r="I210" s="763" t="s">
        <v>399</v>
      </c>
      <c r="J210" s="593"/>
    </row>
    <row r="211" spans="1:10" s="647" customFormat="1" ht="18" customHeight="1">
      <c r="A211" s="593"/>
      <c r="B211" s="763" t="s">
        <v>906</v>
      </c>
      <c r="C211" s="764">
        <v>5600</v>
      </c>
      <c r="D211" s="764"/>
      <c r="E211" s="764">
        <v>13737441</v>
      </c>
      <c r="F211" s="763" t="s">
        <v>405</v>
      </c>
      <c r="G211" s="763" t="s">
        <v>1296</v>
      </c>
      <c r="H211" s="763" t="s">
        <v>448</v>
      </c>
      <c r="I211" s="763" t="s">
        <v>399</v>
      </c>
      <c r="J211" s="593"/>
    </row>
    <row r="212" spans="1:10" s="647" customFormat="1" ht="18" customHeight="1">
      <c r="A212" s="593"/>
      <c r="B212" s="763" t="s">
        <v>907</v>
      </c>
      <c r="C212" s="764"/>
      <c r="D212" s="764">
        <v>300000</v>
      </c>
      <c r="E212" s="764">
        <v>14037441</v>
      </c>
      <c r="F212" s="763" t="s">
        <v>750</v>
      </c>
      <c r="G212" s="763" t="s">
        <v>1351</v>
      </c>
      <c r="H212" s="763" t="s">
        <v>909</v>
      </c>
      <c r="I212" s="763" t="s">
        <v>399</v>
      </c>
      <c r="J212" s="593"/>
    </row>
    <row r="213" spans="1:10" s="647" customFormat="1" ht="18" customHeight="1">
      <c r="A213" s="593"/>
      <c r="B213" s="763" t="s">
        <v>910</v>
      </c>
      <c r="C213" s="764">
        <v>8500</v>
      </c>
      <c r="D213" s="764"/>
      <c r="E213" s="764">
        <v>14028941</v>
      </c>
      <c r="F213" s="763" t="s">
        <v>405</v>
      </c>
      <c r="G213" s="763" t="s">
        <v>1352</v>
      </c>
      <c r="H213" s="763" t="s">
        <v>448</v>
      </c>
      <c r="I213" s="763" t="s">
        <v>399</v>
      </c>
      <c r="J213" s="593"/>
    </row>
    <row r="214" spans="1:10" s="647" customFormat="1" ht="18" customHeight="1">
      <c r="A214" s="593"/>
      <c r="B214" s="763" t="s">
        <v>911</v>
      </c>
      <c r="C214" s="764">
        <v>1000</v>
      </c>
      <c r="D214" s="764"/>
      <c r="E214" s="764">
        <v>14027941</v>
      </c>
      <c r="F214" s="763" t="s">
        <v>405</v>
      </c>
      <c r="G214" s="811" t="s">
        <v>1352</v>
      </c>
      <c r="H214" s="763" t="s">
        <v>448</v>
      </c>
      <c r="I214" s="763" t="s">
        <v>399</v>
      </c>
      <c r="J214" s="593"/>
    </row>
    <row r="215" spans="1:10" s="647" customFormat="1" ht="18" customHeight="1">
      <c r="A215" s="593"/>
      <c r="B215" s="763" t="s">
        <v>912</v>
      </c>
      <c r="C215" s="764">
        <v>18000</v>
      </c>
      <c r="D215" s="764"/>
      <c r="E215" s="764">
        <v>14009941</v>
      </c>
      <c r="F215" s="763" t="s">
        <v>405</v>
      </c>
      <c r="G215" s="763" t="s">
        <v>1262</v>
      </c>
      <c r="H215" s="763" t="s">
        <v>448</v>
      </c>
      <c r="I215" s="763" t="s">
        <v>399</v>
      </c>
      <c r="J215" s="593"/>
    </row>
    <row r="216" spans="1:10" s="647" customFormat="1" ht="18" customHeight="1">
      <c r="A216" s="593"/>
      <c r="B216" s="763" t="s">
        <v>913</v>
      </c>
      <c r="C216" s="764">
        <v>8000</v>
      </c>
      <c r="D216" s="764"/>
      <c r="E216" s="764">
        <v>14001941</v>
      </c>
      <c r="F216" s="763" t="s">
        <v>405</v>
      </c>
      <c r="G216" s="763" t="s">
        <v>1353</v>
      </c>
      <c r="H216" s="763" t="s">
        <v>448</v>
      </c>
      <c r="I216" s="763" t="s">
        <v>399</v>
      </c>
      <c r="J216" s="593"/>
    </row>
    <row r="217" spans="1:10" s="647" customFormat="1" ht="18" customHeight="1">
      <c r="A217" s="593"/>
      <c r="B217" s="763" t="s">
        <v>914</v>
      </c>
      <c r="C217" s="764">
        <v>7500</v>
      </c>
      <c r="D217" s="764"/>
      <c r="E217" s="764">
        <v>13994441</v>
      </c>
      <c r="F217" s="763" t="s">
        <v>405</v>
      </c>
      <c r="G217" s="763" t="s">
        <v>1350</v>
      </c>
      <c r="H217" s="763" t="s">
        <v>448</v>
      </c>
      <c r="I217" s="763" t="s">
        <v>399</v>
      </c>
      <c r="J217" s="593"/>
    </row>
    <row r="218" spans="1:10" s="647" customFormat="1" ht="18" customHeight="1">
      <c r="A218" s="593"/>
      <c r="B218" s="763" t="s">
        <v>915</v>
      </c>
      <c r="C218" s="764"/>
      <c r="D218" s="764">
        <v>23859000</v>
      </c>
      <c r="E218" s="764">
        <v>37853441</v>
      </c>
      <c r="F218" s="763" t="s">
        <v>404</v>
      </c>
      <c r="G218" s="763" t="s">
        <v>1354</v>
      </c>
      <c r="H218" s="763" t="s">
        <v>600</v>
      </c>
      <c r="I218" s="763" t="s">
        <v>399</v>
      </c>
      <c r="J218" s="593"/>
    </row>
    <row r="219" spans="1:10" s="647" customFormat="1" ht="18" customHeight="1">
      <c r="A219" s="593"/>
      <c r="B219" s="763" t="s">
        <v>916</v>
      </c>
      <c r="C219" s="764">
        <v>18334600</v>
      </c>
      <c r="D219" s="764"/>
      <c r="E219" s="764">
        <v>19518841</v>
      </c>
      <c r="F219" s="763" t="s">
        <v>917</v>
      </c>
      <c r="G219" s="763" t="s">
        <v>918</v>
      </c>
      <c r="H219" s="763" t="s">
        <v>448</v>
      </c>
      <c r="I219" s="763" t="s">
        <v>399</v>
      </c>
      <c r="J219" s="593"/>
    </row>
    <row r="220" spans="1:10" s="647" customFormat="1" ht="18" customHeight="1">
      <c r="A220" s="593"/>
      <c r="B220" s="763" t="s">
        <v>919</v>
      </c>
      <c r="C220" s="764">
        <v>103120</v>
      </c>
      <c r="D220" s="764"/>
      <c r="E220" s="764">
        <v>19415721</v>
      </c>
      <c r="F220" s="763" t="s">
        <v>445</v>
      </c>
      <c r="G220" s="763" t="s">
        <v>1301</v>
      </c>
      <c r="H220" s="763" t="s">
        <v>448</v>
      </c>
      <c r="I220" s="763" t="s">
        <v>920</v>
      </c>
      <c r="J220" s="593"/>
    </row>
    <row r="221" spans="1:10" s="647" customFormat="1" ht="18" customHeight="1">
      <c r="A221" s="593"/>
      <c r="B221" s="763" t="s">
        <v>921</v>
      </c>
      <c r="C221" s="764">
        <v>3000000</v>
      </c>
      <c r="D221" s="764"/>
      <c r="E221" s="764">
        <v>16415721</v>
      </c>
      <c r="F221" s="763" t="s">
        <v>400</v>
      </c>
      <c r="G221" s="763" t="s">
        <v>1355</v>
      </c>
      <c r="H221" s="763" t="s">
        <v>448</v>
      </c>
      <c r="I221" s="763" t="s">
        <v>399</v>
      </c>
      <c r="J221" s="593"/>
    </row>
    <row r="222" spans="1:10" s="647" customFormat="1" ht="18" customHeight="1">
      <c r="A222" s="593"/>
      <c r="B222" s="763" t="s">
        <v>922</v>
      </c>
      <c r="C222" s="764">
        <v>2560470</v>
      </c>
      <c r="D222" s="764"/>
      <c r="E222" s="764">
        <v>13855251</v>
      </c>
      <c r="F222" s="763" t="s">
        <v>445</v>
      </c>
      <c r="G222" s="763" t="s">
        <v>1355</v>
      </c>
      <c r="H222" s="763" t="s">
        <v>448</v>
      </c>
      <c r="I222" s="763" t="s">
        <v>399</v>
      </c>
      <c r="J222" s="593"/>
    </row>
    <row r="223" spans="1:10" s="647" customFormat="1" ht="18" customHeight="1">
      <c r="A223" s="593"/>
      <c r="B223" s="763" t="s">
        <v>923</v>
      </c>
      <c r="C223" s="764">
        <v>1727000</v>
      </c>
      <c r="D223" s="764"/>
      <c r="E223" s="764">
        <v>12128251</v>
      </c>
      <c r="F223" s="763" t="s">
        <v>400</v>
      </c>
      <c r="G223" s="763" t="s">
        <v>1356</v>
      </c>
      <c r="H223" s="763" t="s">
        <v>448</v>
      </c>
      <c r="I223" s="763" t="s">
        <v>399</v>
      </c>
      <c r="J223" s="593"/>
    </row>
    <row r="224" spans="1:10" s="647" customFormat="1" ht="18" customHeight="1">
      <c r="A224" s="593"/>
      <c r="B224" s="763" t="s">
        <v>924</v>
      </c>
      <c r="C224" s="764">
        <v>1600000</v>
      </c>
      <c r="D224" s="764"/>
      <c r="E224" s="764">
        <v>10528251</v>
      </c>
      <c r="F224" s="763" t="s">
        <v>400</v>
      </c>
      <c r="G224" s="763" t="s">
        <v>1357</v>
      </c>
      <c r="H224" s="763" t="s">
        <v>448</v>
      </c>
      <c r="I224" s="763" t="s">
        <v>399</v>
      </c>
      <c r="J224" s="593"/>
    </row>
    <row r="225" spans="1:10" s="647" customFormat="1" ht="18" customHeight="1">
      <c r="A225" s="593"/>
      <c r="B225" s="763" t="s">
        <v>925</v>
      </c>
      <c r="C225" s="764">
        <v>2090500</v>
      </c>
      <c r="D225" s="764"/>
      <c r="E225" s="764">
        <v>8437751</v>
      </c>
      <c r="F225" s="763" t="s">
        <v>452</v>
      </c>
      <c r="G225" s="763" t="s">
        <v>926</v>
      </c>
      <c r="H225" s="763" t="s">
        <v>448</v>
      </c>
      <c r="I225" s="763" t="s">
        <v>927</v>
      </c>
      <c r="J225" s="593"/>
    </row>
    <row r="226" spans="1:10" s="647" customFormat="1" ht="18" customHeight="1">
      <c r="A226" s="593"/>
      <c r="B226" s="763" t="s">
        <v>928</v>
      </c>
      <c r="C226" s="764">
        <v>3001000</v>
      </c>
      <c r="D226" s="764"/>
      <c r="E226" s="764">
        <v>5436751</v>
      </c>
      <c r="F226" s="763" t="s">
        <v>929</v>
      </c>
      <c r="G226" s="763" t="s">
        <v>1358</v>
      </c>
      <c r="H226" s="763" t="s">
        <v>930</v>
      </c>
      <c r="I226" s="763" t="s">
        <v>399</v>
      </c>
      <c r="J226" s="593"/>
    </row>
    <row r="227" spans="1:10" s="647" customFormat="1" ht="18" customHeight="1">
      <c r="A227" s="593"/>
      <c r="B227" s="763" t="s">
        <v>931</v>
      </c>
      <c r="C227" s="764">
        <v>40000</v>
      </c>
      <c r="D227" s="764"/>
      <c r="E227" s="764">
        <v>5396751</v>
      </c>
      <c r="F227" s="763" t="s">
        <v>405</v>
      </c>
      <c r="G227" s="763" t="s">
        <v>1223</v>
      </c>
      <c r="H227" s="763" t="s">
        <v>448</v>
      </c>
      <c r="I227" s="763" t="s">
        <v>399</v>
      </c>
      <c r="J227" s="593"/>
    </row>
    <row r="228" spans="1:10" s="647" customFormat="1" ht="18" customHeight="1">
      <c r="A228" s="593"/>
      <c r="B228" s="763" t="s">
        <v>932</v>
      </c>
      <c r="C228" s="764">
        <v>147620</v>
      </c>
      <c r="D228" s="764"/>
      <c r="E228" s="764">
        <v>5249131</v>
      </c>
      <c r="F228" s="763" t="s">
        <v>409</v>
      </c>
      <c r="G228" s="763" t="s">
        <v>1359</v>
      </c>
      <c r="H228" s="763" t="s">
        <v>450</v>
      </c>
      <c r="I228" s="763" t="s">
        <v>399</v>
      </c>
      <c r="J228" s="593"/>
    </row>
    <row r="229" spans="1:10" s="647" customFormat="1" ht="18" customHeight="1">
      <c r="A229" s="593"/>
      <c r="B229" s="763" t="s">
        <v>933</v>
      </c>
      <c r="C229" s="764">
        <v>36000</v>
      </c>
      <c r="D229" s="764"/>
      <c r="E229" s="764">
        <v>5213131</v>
      </c>
      <c r="F229" s="763" t="s">
        <v>405</v>
      </c>
      <c r="G229" s="763" t="s">
        <v>1360</v>
      </c>
      <c r="H229" s="763" t="s">
        <v>448</v>
      </c>
      <c r="I229" s="763" t="s">
        <v>399</v>
      </c>
      <c r="J229" s="593"/>
    </row>
    <row r="230" spans="1:10" s="647" customFormat="1" ht="18" customHeight="1">
      <c r="A230" s="593"/>
      <c r="B230" s="763" t="s">
        <v>934</v>
      </c>
      <c r="C230" s="764">
        <v>4200</v>
      </c>
      <c r="D230" s="764"/>
      <c r="E230" s="764">
        <v>5208931</v>
      </c>
      <c r="F230" s="763" t="s">
        <v>405</v>
      </c>
      <c r="G230" s="763" t="s">
        <v>524</v>
      </c>
      <c r="H230" s="763" t="s">
        <v>448</v>
      </c>
      <c r="I230" s="763" t="s">
        <v>399</v>
      </c>
      <c r="J230" s="593"/>
    </row>
    <row r="231" spans="1:10" s="647" customFormat="1" ht="18" customHeight="1">
      <c r="A231" s="593"/>
      <c r="B231" s="763" t="s">
        <v>935</v>
      </c>
      <c r="C231" s="764">
        <v>8300</v>
      </c>
      <c r="D231" s="764"/>
      <c r="E231" s="764">
        <v>5200631</v>
      </c>
      <c r="F231" s="763" t="s">
        <v>405</v>
      </c>
      <c r="G231" s="763" t="s">
        <v>1361</v>
      </c>
      <c r="H231" s="763" t="s">
        <v>448</v>
      </c>
      <c r="I231" s="763" t="s">
        <v>399</v>
      </c>
      <c r="J231" s="593"/>
    </row>
    <row r="232" spans="1:10" s="647" customFormat="1" ht="18" customHeight="1">
      <c r="A232" s="593"/>
      <c r="B232" s="763" t="s">
        <v>936</v>
      </c>
      <c r="C232" s="764">
        <v>9000</v>
      </c>
      <c r="D232" s="764"/>
      <c r="E232" s="764">
        <v>5191631</v>
      </c>
      <c r="F232" s="763" t="s">
        <v>405</v>
      </c>
      <c r="G232" s="763" t="s">
        <v>1340</v>
      </c>
      <c r="H232" s="763" t="s">
        <v>448</v>
      </c>
      <c r="I232" s="763" t="s">
        <v>399</v>
      </c>
      <c r="J232" s="593"/>
    </row>
    <row r="233" spans="1:10" s="647" customFormat="1" ht="18" customHeight="1">
      <c r="A233" s="593"/>
      <c r="B233" s="763" t="s">
        <v>937</v>
      </c>
      <c r="C233" s="764">
        <v>33000</v>
      </c>
      <c r="D233" s="764"/>
      <c r="E233" s="764">
        <v>5158631</v>
      </c>
      <c r="F233" s="763" t="s">
        <v>405</v>
      </c>
      <c r="G233" s="763" t="s">
        <v>1362</v>
      </c>
      <c r="H233" s="763" t="s">
        <v>448</v>
      </c>
      <c r="I233" s="763" t="s">
        <v>399</v>
      </c>
      <c r="J233" s="593"/>
    </row>
    <row r="234" spans="1:10" s="647" customFormat="1" ht="18" customHeight="1">
      <c r="A234" s="593"/>
      <c r="B234" s="763" t="s">
        <v>938</v>
      </c>
      <c r="C234" s="764">
        <v>11430</v>
      </c>
      <c r="D234" s="764"/>
      <c r="E234" s="764">
        <v>5147201</v>
      </c>
      <c r="F234" s="763" t="s">
        <v>405</v>
      </c>
      <c r="G234" s="763" t="s">
        <v>495</v>
      </c>
      <c r="H234" s="763" t="s">
        <v>448</v>
      </c>
      <c r="I234" s="763" t="s">
        <v>399</v>
      </c>
      <c r="J234" s="593"/>
    </row>
    <row r="235" spans="1:10" s="647" customFormat="1" ht="18" customHeight="1">
      <c r="A235" s="593"/>
      <c r="B235" s="763" t="s">
        <v>939</v>
      </c>
      <c r="C235" s="764">
        <v>4780</v>
      </c>
      <c r="D235" s="764"/>
      <c r="E235" s="764">
        <v>5142421</v>
      </c>
      <c r="F235" s="763" t="s">
        <v>405</v>
      </c>
      <c r="G235" s="763" t="s">
        <v>495</v>
      </c>
      <c r="H235" s="763" t="s">
        <v>448</v>
      </c>
      <c r="I235" s="763" t="s">
        <v>399</v>
      </c>
      <c r="J235" s="593"/>
    </row>
    <row r="236" spans="1:10" s="647" customFormat="1" ht="18" customHeight="1">
      <c r="A236" s="593"/>
      <c r="B236" s="763" t="s">
        <v>940</v>
      </c>
      <c r="C236" s="764">
        <v>18020</v>
      </c>
      <c r="D236" s="764"/>
      <c r="E236" s="764">
        <v>5124401</v>
      </c>
      <c r="F236" s="763" t="s">
        <v>405</v>
      </c>
      <c r="G236" s="763" t="s">
        <v>1363</v>
      </c>
      <c r="H236" s="763" t="s">
        <v>448</v>
      </c>
      <c r="I236" s="763" t="s">
        <v>399</v>
      </c>
      <c r="J236" s="593"/>
    </row>
    <row r="237" spans="1:10" s="647" customFormat="1" ht="18" customHeight="1">
      <c r="A237" s="593"/>
      <c r="B237" s="763" t="s">
        <v>941</v>
      </c>
      <c r="C237" s="764">
        <v>6600</v>
      </c>
      <c r="D237" s="764"/>
      <c r="E237" s="764">
        <v>5117801</v>
      </c>
      <c r="F237" s="763" t="s">
        <v>405</v>
      </c>
      <c r="G237" s="763" t="s">
        <v>1364</v>
      </c>
      <c r="H237" s="763" t="s">
        <v>448</v>
      </c>
      <c r="I237" s="763" t="s">
        <v>399</v>
      </c>
      <c r="J237" s="593"/>
    </row>
    <row r="238" spans="1:10" s="647" customFormat="1" ht="18" customHeight="1">
      <c r="A238" s="593"/>
      <c r="B238" s="763" t="s">
        <v>942</v>
      </c>
      <c r="C238" s="764">
        <v>500000</v>
      </c>
      <c r="D238" s="764"/>
      <c r="E238" s="764">
        <v>4617801</v>
      </c>
      <c r="F238" s="763" t="s">
        <v>498</v>
      </c>
      <c r="G238" s="763" t="s">
        <v>1290</v>
      </c>
      <c r="H238" s="763" t="s">
        <v>448</v>
      </c>
      <c r="I238" s="763" t="s">
        <v>943</v>
      </c>
      <c r="J238" s="593"/>
    </row>
    <row r="239" spans="1:10" s="647" customFormat="1" ht="18" customHeight="1">
      <c r="A239" s="593"/>
      <c r="B239" s="763" t="s">
        <v>944</v>
      </c>
      <c r="C239" s="764">
        <v>90690</v>
      </c>
      <c r="D239" s="764"/>
      <c r="E239" s="764">
        <v>4527111</v>
      </c>
      <c r="F239" s="763" t="s">
        <v>456</v>
      </c>
      <c r="G239" s="763" t="s">
        <v>1365</v>
      </c>
      <c r="H239" s="763" t="s">
        <v>457</v>
      </c>
      <c r="I239" s="763" t="s">
        <v>399</v>
      </c>
      <c r="J239" s="593"/>
    </row>
    <row r="240" spans="1:10" s="647" customFormat="1" ht="18" customHeight="1">
      <c r="A240" s="593"/>
      <c r="B240" s="763" t="s">
        <v>946</v>
      </c>
      <c r="C240" s="764">
        <v>6570</v>
      </c>
      <c r="D240" s="764"/>
      <c r="E240" s="764">
        <v>4520541</v>
      </c>
      <c r="F240" s="763" t="s">
        <v>456</v>
      </c>
      <c r="G240" s="811" t="s">
        <v>1365</v>
      </c>
      <c r="H240" s="763" t="s">
        <v>457</v>
      </c>
      <c r="I240" s="763" t="s">
        <v>399</v>
      </c>
      <c r="J240" s="593"/>
    </row>
    <row r="241" spans="1:10" s="647" customFormat="1" ht="18" customHeight="1">
      <c r="A241" s="593"/>
      <c r="B241" s="763" t="s">
        <v>948</v>
      </c>
      <c r="C241" s="764">
        <v>5600</v>
      </c>
      <c r="D241" s="764"/>
      <c r="E241" s="764">
        <v>4514941</v>
      </c>
      <c r="F241" s="763" t="s">
        <v>405</v>
      </c>
      <c r="G241" s="763" t="s">
        <v>524</v>
      </c>
      <c r="H241" s="763" t="s">
        <v>448</v>
      </c>
      <c r="I241" s="763" t="s">
        <v>399</v>
      </c>
      <c r="J241" s="593"/>
    </row>
    <row r="242" spans="1:10" s="647" customFormat="1" ht="18" customHeight="1">
      <c r="A242" s="593"/>
      <c r="B242" s="763" t="s">
        <v>949</v>
      </c>
      <c r="C242" s="764">
        <v>839520</v>
      </c>
      <c r="D242" s="764"/>
      <c r="E242" s="764">
        <v>3675421</v>
      </c>
      <c r="F242" s="763" t="s">
        <v>498</v>
      </c>
      <c r="G242" s="763" t="s">
        <v>1366</v>
      </c>
      <c r="H242" s="763" t="s">
        <v>448</v>
      </c>
      <c r="I242" s="763" t="s">
        <v>399</v>
      </c>
      <c r="J242" s="593"/>
    </row>
    <row r="243" spans="1:10" s="647" customFormat="1" ht="18" customHeight="1">
      <c r="A243" s="593"/>
      <c r="B243" s="763" t="s">
        <v>950</v>
      </c>
      <c r="C243" s="764">
        <v>3000</v>
      </c>
      <c r="D243" s="764"/>
      <c r="E243" s="764">
        <v>3672421</v>
      </c>
      <c r="F243" s="763" t="s">
        <v>405</v>
      </c>
      <c r="G243" s="763" t="s">
        <v>1341</v>
      </c>
      <c r="H243" s="763" t="s">
        <v>448</v>
      </c>
      <c r="I243" s="763" t="s">
        <v>399</v>
      </c>
      <c r="J243" s="593"/>
    </row>
    <row r="244" spans="1:10" s="647" customFormat="1" ht="18" customHeight="1">
      <c r="A244" s="593"/>
      <c r="B244" s="763" t="s">
        <v>951</v>
      </c>
      <c r="C244" s="764">
        <v>7000</v>
      </c>
      <c r="D244" s="764"/>
      <c r="E244" s="764">
        <v>3665421</v>
      </c>
      <c r="F244" s="763" t="s">
        <v>405</v>
      </c>
      <c r="G244" s="763" t="s">
        <v>952</v>
      </c>
      <c r="H244" s="763" t="s">
        <v>448</v>
      </c>
      <c r="I244" s="763" t="s">
        <v>399</v>
      </c>
      <c r="J244" s="593"/>
    </row>
    <row r="245" spans="1:10" s="647" customFormat="1" ht="18" customHeight="1">
      <c r="A245" s="593"/>
      <c r="B245" s="763" t="s">
        <v>953</v>
      </c>
      <c r="C245" s="764">
        <v>7600</v>
      </c>
      <c r="D245" s="764"/>
      <c r="E245" s="764">
        <v>3657821</v>
      </c>
      <c r="F245" s="763" t="s">
        <v>405</v>
      </c>
      <c r="G245" s="763" t="s">
        <v>1343</v>
      </c>
      <c r="H245" s="763" t="s">
        <v>448</v>
      </c>
      <c r="I245" s="763" t="s">
        <v>399</v>
      </c>
      <c r="J245" s="593"/>
    </row>
    <row r="246" spans="1:10" s="647" customFormat="1" ht="18" customHeight="1">
      <c r="A246" s="593"/>
      <c r="B246" s="763" t="s">
        <v>954</v>
      </c>
      <c r="C246" s="764">
        <v>16000</v>
      </c>
      <c r="D246" s="764"/>
      <c r="E246" s="764">
        <v>3641821</v>
      </c>
      <c r="F246" s="763" t="s">
        <v>405</v>
      </c>
      <c r="G246" s="763" t="s">
        <v>1367</v>
      </c>
      <c r="H246" s="763" t="s">
        <v>448</v>
      </c>
      <c r="I246" s="763" t="s">
        <v>399</v>
      </c>
      <c r="J246" s="593"/>
    </row>
    <row r="247" spans="1:10" s="647" customFormat="1" ht="18" customHeight="1">
      <c r="A247" s="593"/>
      <c r="B247" s="763" t="s">
        <v>955</v>
      </c>
      <c r="C247" s="764">
        <v>7500</v>
      </c>
      <c r="D247" s="764"/>
      <c r="E247" s="764">
        <v>3634321</v>
      </c>
      <c r="F247" s="763" t="s">
        <v>405</v>
      </c>
      <c r="G247" s="763" t="s">
        <v>1368</v>
      </c>
      <c r="H247" s="763" t="s">
        <v>448</v>
      </c>
      <c r="I247" s="763" t="s">
        <v>399</v>
      </c>
      <c r="J247" s="593"/>
    </row>
    <row r="248" spans="1:10" s="647" customFormat="1" ht="18" customHeight="1">
      <c r="A248" s="593"/>
      <c r="B248" s="763" t="s">
        <v>956</v>
      </c>
      <c r="C248" s="764">
        <v>50000</v>
      </c>
      <c r="D248" s="764"/>
      <c r="E248" s="764">
        <v>3584321</v>
      </c>
      <c r="F248" s="763" t="s">
        <v>405</v>
      </c>
      <c r="G248" s="763" t="s">
        <v>1216</v>
      </c>
      <c r="H248" s="763" t="s">
        <v>448</v>
      </c>
      <c r="I248" s="763" t="s">
        <v>399</v>
      </c>
      <c r="J248" s="593"/>
    </row>
    <row r="249" spans="1:10" s="647" customFormat="1" ht="18" customHeight="1">
      <c r="A249" s="593"/>
      <c r="B249" s="763" t="s">
        <v>957</v>
      </c>
      <c r="C249" s="764">
        <v>1320000</v>
      </c>
      <c r="D249" s="764"/>
      <c r="E249" s="764">
        <v>2264321</v>
      </c>
      <c r="F249" s="763" t="s">
        <v>498</v>
      </c>
      <c r="G249" s="763" t="s">
        <v>1351</v>
      </c>
      <c r="H249" s="763" t="s">
        <v>448</v>
      </c>
      <c r="I249" s="763" t="s">
        <v>958</v>
      </c>
      <c r="J249" s="593"/>
    </row>
    <row r="250" spans="1:10" s="647" customFormat="1" ht="18" customHeight="1">
      <c r="A250" s="593"/>
      <c r="B250" s="763" t="s">
        <v>959</v>
      </c>
      <c r="C250" s="764">
        <v>3500</v>
      </c>
      <c r="D250" s="764"/>
      <c r="E250" s="764">
        <v>2260821</v>
      </c>
      <c r="F250" s="763" t="s">
        <v>405</v>
      </c>
      <c r="G250" s="763" t="s">
        <v>1369</v>
      </c>
      <c r="H250" s="763" t="s">
        <v>448</v>
      </c>
      <c r="I250" s="763" t="s">
        <v>399</v>
      </c>
      <c r="J250" s="593"/>
    </row>
    <row r="251" spans="1:10" s="647" customFormat="1" ht="18" customHeight="1">
      <c r="A251" s="593"/>
      <c r="B251" s="763" t="s">
        <v>960</v>
      </c>
      <c r="C251" s="764">
        <v>4000</v>
      </c>
      <c r="D251" s="764"/>
      <c r="E251" s="764">
        <v>2256821</v>
      </c>
      <c r="F251" s="763" t="s">
        <v>405</v>
      </c>
      <c r="G251" s="811" t="s">
        <v>1369</v>
      </c>
      <c r="H251" s="763" t="s">
        <v>448</v>
      </c>
      <c r="I251" s="763" t="s">
        <v>399</v>
      </c>
      <c r="J251" s="593"/>
    </row>
    <row r="252" spans="1:10" s="647" customFormat="1" ht="18" customHeight="1">
      <c r="A252" s="593"/>
      <c r="B252" s="763" t="s">
        <v>961</v>
      </c>
      <c r="C252" s="764">
        <v>9000</v>
      </c>
      <c r="D252" s="764"/>
      <c r="E252" s="764">
        <v>2247821</v>
      </c>
      <c r="F252" s="763" t="s">
        <v>405</v>
      </c>
      <c r="G252" s="763" t="s">
        <v>1370</v>
      </c>
      <c r="H252" s="763" t="s">
        <v>448</v>
      </c>
      <c r="I252" s="763" t="s">
        <v>399</v>
      </c>
      <c r="J252" s="593"/>
    </row>
    <row r="253" spans="1:10" s="647" customFormat="1" ht="18" customHeight="1">
      <c r="A253" s="593"/>
      <c r="B253" s="722" t="s">
        <v>962</v>
      </c>
      <c r="C253" s="711"/>
      <c r="D253" s="711">
        <v>3222987</v>
      </c>
      <c r="E253" s="711">
        <v>5470808</v>
      </c>
      <c r="F253" s="722" t="s">
        <v>410</v>
      </c>
      <c r="G253" s="722" t="s">
        <v>1371</v>
      </c>
      <c r="H253" s="722" t="s">
        <v>963</v>
      </c>
      <c r="I253" s="722" t="s">
        <v>964</v>
      </c>
      <c r="J253" s="593"/>
    </row>
    <row r="254" spans="1:10" s="647" customFormat="1" ht="18" customHeight="1">
      <c r="A254" s="593"/>
      <c r="B254" s="763" t="s">
        <v>965</v>
      </c>
      <c r="C254" s="764">
        <v>40000</v>
      </c>
      <c r="D254" s="764"/>
      <c r="E254" s="764">
        <v>5430808</v>
      </c>
      <c r="F254" s="763" t="s">
        <v>405</v>
      </c>
      <c r="G254" s="763" t="s">
        <v>966</v>
      </c>
      <c r="H254" s="763" t="s">
        <v>448</v>
      </c>
      <c r="I254" s="763" t="s">
        <v>399</v>
      </c>
      <c r="J254" s="593"/>
    </row>
    <row r="255" spans="1:10" s="647" customFormat="1" ht="18" customHeight="1">
      <c r="A255" s="593"/>
      <c r="B255" s="763" t="s">
        <v>967</v>
      </c>
      <c r="C255" s="764"/>
      <c r="D255" s="764">
        <v>627000</v>
      </c>
      <c r="E255" s="764">
        <v>6057808</v>
      </c>
      <c r="F255" s="763" t="s">
        <v>408</v>
      </c>
      <c r="G255" s="763" t="s">
        <v>1213</v>
      </c>
      <c r="H255" s="763" t="s">
        <v>501</v>
      </c>
      <c r="I255" s="763" t="s">
        <v>399</v>
      </c>
      <c r="J255" s="593"/>
    </row>
    <row r="256" spans="1:10" s="647" customFormat="1" ht="18" customHeight="1">
      <c r="A256" s="593"/>
      <c r="B256" s="763" t="s">
        <v>968</v>
      </c>
      <c r="C256" s="764">
        <v>2500</v>
      </c>
      <c r="D256" s="764"/>
      <c r="E256" s="764">
        <v>6055308</v>
      </c>
      <c r="F256" s="763" t="s">
        <v>405</v>
      </c>
      <c r="G256" s="763" t="s">
        <v>1323</v>
      </c>
      <c r="H256" s="763" t="s">
        <v>448</v>
      </c>
      <c r="I256" s="763" t="s">
        <v>399</v>
      </c>
      <c r="J256" s="593"/>
    </row>
    <row r="257" spans="1:10" s="647" customFormat="1" ht="18" customHeight="1">
      <c r="A257" s="593"/>
      <c r="B257" s="763" t="s">
        <v>969</v>
      </c>
      <c r="C257" s="764">
        <v>111000</v>
      </c>
      <c r="D257" s="764"/>
      <c r="E257" s="764">
        <v>5944308</v>
      </c>
      <c r="F257" s="763" t="s">
        <v>494</v>
      </c>
      <c r="G257" s="763" t="s">
        <v>1373</v>
      </c>
      <c r="H257" s="763" t="s">
        <v>497</v>
      </c>
      <c r="I257" s="763" t="s">
        <v>399</v>
      </c>
      <c r="J257" s="593"/>
    </row>
    <row r="258" spans="1:10" s="647" customFormat="1" ht="18" customHeight="1">
      <c r="A258" s="593"/>
      <c r="B258" s="763" t="s">
        <v>970</v>
      </c>
      <c r="C258" s="764">
        <v>166000</v>
      </c>
      <c r="D258" s="764"/>
      <c r="E258" s="764">
        <v>5778308</v>
      </c>
      <c r="F258" s="763" t="s">
        <v>494</v>
      </c>
      <c r="G258" s="763" t="s">
        <v>1372</v>
      </c>
      <c r="H258" s="763" t="s">
        <v>497</v>
      </c>
      <c r="I258" s="763" t="s">
        <v>399</v>
      </c>
      <c r="J258" s="593"/>
    </row>
    <row r="259" spans="1:10" s="647" customFormat="1" ht="18" customHeight="1">
      <c r="A259" s="593"/>
      <c r="B259" s="763" t="s">
        <v>971</v>
      </c>
      <c r="C259" s="764">
        <v>171000</v>
      </c>
      <c r="D259" s="764"/>
      <c r="E259" s="764">
        <v>5607308</v>
      </c>
      <c r="F259" s="763" t="s">
        <v>494</v>
      </c>
      <c r="G259" s="763" t="s">
        <v>1374</v>
      </c>
      <c r="H259" s="763" t="s">
        <v>497</v>
      </c>
      <c r="I259" s="763" t="s">
        <v>399</v>
      </c>
      <c r="J259" s="593"/>
    </row>
    <row r="260" spans="1:10" s="647" customFormat="1" ht="18" customHeight="1">
      <c r="A260" s="593"/>
      <c r="B260" s="763" t="s">
        <v>972</v>
      </c>
      <c r="C260" s="764">
        <v>121000</v>
      </c>
      <c r="D260" s="764"/>
      <c r="E260" s="764">
        <v>5486308</v>
      </c>
      <c r="F260" s="763" t="s">
        <v>494</v>
      </c>
      <c r="G260" s="763" t="s">
        <v>1373</v>
      </c>
      <c r="H260" s="763" t="s">
        <v>497</v>
      </c>
      <c r="I260" s="763" t="s">
        <v>399</v>
      </c>
      <c r="J260" s="593"/>
    </row>
    <row r="261" spans="1:10" s="647" customFormat="1" ht="18" customHeight="1">
      <c r="A261" s="593"/>
      <c r="B261" s="763" t="s">
        <v>973</v>
      </c>
      <c r="C261" s="764">
        <v>2000</v>
      </c>
      <c r="D261" s="764"/>
      <c r="E261" s="764">
        <v>5484308</v>
      </c>
      <c r="F261" s="763" t="s">
        <v>405</v>
      </c>
      <c r="G261" s="763" t="s">
        <v>598</v>
      </c>
      <c r="H261" s="763" t="s">
        <v>448</v>
      </c>
      <c r="I261" s="763" t="s">
        <v>399</v>
      </c>
      <c r="J261" s="593"/>
    </row>
    <row r="262" spans="1:10" s="647" customFormat="1" ht="18" customHeight="1">
      <c r="A262" s="593"/>
      <c r="B262" s="763" t="s">
        <v>974</v>
      </c>
      <c r="C262" s="764">
        <v>440500</v>
      </c>
      <c r="D262" s="764"/>
      <c r="E262" s="764">
        <v>5043808</v>
      </c>
      <c r="F262" s="763" t="s">
        <v>439</v>
      </c>
      <c r="G262" s="763" t="s">
        <v>1375</v>
      </c>
      <c r="H262" s="763" t="s">
        <v>448</v>
      </c>
      <c r="I262" s="763" t="s">
        <v>975</v>
      </c>
      <c r="J262" s="593"/>
    </row>
    <row r="263" spans="1:10" s="647" customFormat="1" ht="18" customHeight="1">
      <c r="A263" s="593"/>
      <c r="B263" s="763" t="s">
        <v>976</v>
      </c>
      <c r="C263" s="764">
        <v>220000</v>
      </c>
      <c r="D263" s="764"/>
      <c r="E263" s="764">
        <v>4823808</v>
      </c>
      <c r="F263" s="763" t="s">
        <v>400</v>
      </c>
      <c r="G263" s="763" t="s">
        <v>1376</v>
      </c>
      <c r="H263" s="763" t="s">
        <v>448</v>
      </c>
      <c r="I263" s="763" t="s">
        <v>977</v>
      </c>
      <c r="J263" s="593"/>
    </row>
    <row r="264" spans="1:10" s="647" customFormat="1" ht="18" customHeight="1">
      <c r="A264" s="593"/>
      <c r="B264" s="763" t="s">
        <v>976</v>
      </c>
      <c r="C264" s="764">
        <v>44500</v>
      </c>
      <c r="D264" s="764"/>
      <c r="E264" s="764">
        <v>4779308</v>
      </c>
      <c r="F264" s="763" t="s">
        <v>445</v>
      </c>
      <c r="G264" s="763" t="s">
        <v>1377</v>
      </c>
      <c r="H264" s="763" t="s">
        <v>448</v>
      </c>
      <c r="I264" s="763" t="s">
        <v>581</v>
      </c>
      <c r="J264" s="593"/>
    </row>
    <row r="265" spans="1:10" s="647" customFormat="1" ht="18" customHeight="1">
      <c r="A265" s="593"/>
      <c r="B265" s="763" t="s">
        <v>978</v>
      </c>
      <c r="C265" s="764">
        <v>8500</v>
      </c>
      <c r="D265" s="764"/>
      <c r="E265" s="764">
        <v>4770808</v>
      </c>
      <c r="F265" s="763" t="s">
        <v>405</v>
      </c>
      <c r="G265" s="763" t="s">
        <v>1317</v>
      </c>
      <c r="H265" s="763" t="s">
        <v>448</v>
      </c>
      <c r="I265" s="763" t="s">
        <v>399</v>
      </c>
      <c r="J265" s="593"/>
    </row>
    <row r="266" spans="1:10" s="647" customFormat="1" ht="18" customHeight="1">
      <c r="A266" s="593"/>
      <c r="B266" s="763" t="s">
        <v>979</v>
      </c>
      <c r="C266" s="764">
        <v>40000</v>
      </c>
      <c r="D266" s="764"/>
      <c r="E266" s="764">
        <v>4730808</v>
      </c>
      <c r="F266" s="763" t="s">
        <v>405</v>
      </c>
      <c r="G266" s="763" t="s">
        <v>1216</v>
      </c>
      <c r="H266" s="763" t="s">
        <v>448</v>
      </c>
      <c r="I266" s="763" t="s">
        <v>399</v>
      </c>
      <c r="J266" s="593"/>
    </row>
    <row r="267" spans="1:10" s="647" customFormat="1" ht="18" customHeight="1">
      <c r="A267" s="593"/>
      <c r="B267" s="763" t="s">
        <v>980</v>
      </c>
      <c r="C267" s="764">
        <v>8000</v>
      </c>
      <c r="D267" s="764"/>
      <c r="E267" s="764">
        <v>4722808</v>
      </c>
      <c r="F267" s="763" t="s">
        <v>405</v>
      </c>
      <c r="G267" s="763" t="s">
        <v>1378</v>
      </c>
      <c r="H267" s="763" t="s">
        <v>448</v>
      </c>
      <c r="I267" s="763" t="s">
        <v>399</v>
      </c>
      <c r="J267" s="593"/>
    </row>
    <row r="268" spans="1:10" s="647" customFormat="1" ht="18" customHeight="1">
      <c r="A268" s="593"/>
      <c r="B268" s="763" t="s">
        <v>981</v>
      </c>
      <c r="C268" s="764"/>
      <c r="D268" s="764">
        <v>1672000</v>
      </c>
      <c r="E268" s="764">
        <v>6394808</v>
      </c>
      <c r="F268" s="763" t="s">
        <v>407</v>
      </c>
      <c r="G268" s="763" t="s">
        <v>1379</v>
      </c>
      <c r="H268" s="763" t="s">
        <v>516</v>
      </c>
      <c r="I268" s="763" t="s">
        <v>399</v>
      </c>
      <c r="J268" s="593"/>
    </row>
    <row r="269" spans="1:10" s="647" customFormat="1" ht="18" customHeight="1">
      <c r="A269" s="593"/>
      <c r="B269" s="763" t="s">
        <v>982</v>
      </c>
      <c r="C269" s="764">
        <v>30000</v>
      </c>
      <c r="D269" s="764"/>
      <c r="E269" s="764">
        <v>6364808</v>
      </c>
      <c r="F269" s="763" t="s">
        <v>405</v>
      </c>
      <c r="G269" s="763" t="s">
        <v>1236</v>
      </c>
      <c r="H269" s="763" t="s">
        <v>448</v>
      </c>
      <c r="I269" s="763" t="s">
        <v>399</v>
      </c>
      <c r="J269" s="593"/>
    </row>
    <row r="270" spans="1:10" s="647" customFormat="1" ht="18" customHeight="1">
      <c r="A270" s="593"/>
      <c r="B270" s="763" t="s">
        <v>983</v>
      </c>
      <c r="C270" s="764"/>
      <c r="D270" s="764">
        <v>645150</v>
      </c>
      <c r="E270" s="764">
        <v>7009958</v>
      </c>
      <c r="F270" s="763" t="s">
        <v>406</v>
      </c>
      <c r="G270" s="763" t="s">
        <v>1380</v>
      </c>
      <c r="H270" s="763" t="s">
        <v>984</v>
      </c>
      <c r="I270" s="763" t="s">
        <v>399</v>
      </c>
      <c r="J270" s="593"/>
    </row>
    <row r="271" spans="1:10" s="647" customFormat="1" ht="18" customHeight="1">
      <c r="A271" s="593"/>
      <c r="B271" s="763" t="s">
        <v>985</v>
      </c>
      <c r="C271" s="764">
        <v>330000</v>
      </c>
      <c r="D271" s="764"/>
      <c r="E271" s="764">
        <v>6679958</v>
      </c>
      <c r="F271" s="763" t="s">
        <v>458</v>
      </c>
      <c r="G271" s="763" t="s">
        <v>1381</v>
      </c>
      <c r="H271" s="763" t="s">
        <v>459</v>
      </c>
      <c r="I271" s="763" t="s">
        <v>399</v>
      </c>
      <c r="J271" s="593"/>
    </row>
    <row r="272" spans="1:10" s="647" customFormat="1" ht="18" customHeight="1">
      <c r="A272" s="593"/>
      <c r="B272" s="763" t="s">
        <v>986</v>
      </c>
      <c r="C272" s="764">
        <v>1210500</v>
      </c>
      <c r="D272" s="764"/>
      <c r="E272" s="764">
        <v>5469458</v>
      </c>
      <c r="F272" s="763" t="s">
        <v>499</v>
      </c>
      <c r="G272" s="763" t="s">
        <v>1281</v>
      </c>
      <c r="H272" s="763" t="s">
        <v>448</v>
      </c>
      <c r="I272" s="763" t="s">
        <v>987</v>
      </c>
      <c r="J272" s="593"/>
    </row>
    <row r="273" spans="1:10" s="647" customFormat="1" ht="18" customHeight="1">
      <c r="A273" s="593"/>
      <c r="B273" s="763" t="s">
        <v>988</v>
      </c>
      <c r="C273" s="764">
        <v>2090500</v>
      </c>
      <c r="D273" s="764"/>
      <c r="E273" s="711">
        <v>3378958</v>
      </c>
      <c r="F273" s="763" t="s">
        <v>500</v>
      </c>
      <c r="G273" s="763" t="s">
        <v>1382</v>
      </c>
      <c r="H273" s="763" t="s">
        <v>448</v>
      </c>
      <c r="I273" s="763" t="s">
        <v>989</v>
      </c>
      <c r="J273" s="593"/>
    </row>
    <row r="274" spans="1:10" s="647" customFormat="1" ht="51.75" customHeight="1">
      <c r="A274" s="593"/>
      <c r="B274" s="1026" t="s">
        <v>397</v>
      </c>
      <c r="C274" s="1026"/>
      <c r="D274" s="1026"/>
      <c r="E274" s="1026"/>
      <c r="F274" s="1026"/>
      <c r="G274" s="1026"/>
      <c r="H274" s="1026"/>
      <c r="I274" s="1026"/>
      <c r="J274" s="593"/>
    </row>
  </sheetData>
  <mergeCells count="13">
    <mergeCell ref="B8:H8"/>
    <mergeCell ref="B274:I274"/>
    <mergeCell ref="B3:G3"/>
    <mergeCell ref="B4:I4"/>
    <mergeCell ref="C5:D5"/>
    <mergeCell ref="E5:F5"/>
    <mergeCell ref="G5:I5"/>
    <mergeCell ref="C6:D6"/>
    <mergeCell ref="E6:F6"/>
    <mergeCell ref="G6:I6"/>
    <mergeCell ref="C7:D7"/>
    <mergeCell ref="E7:F7"/>
    <mergeCell ref="G7:I7"/>
  </mergeCells>
  <phoneticPr fontId="19" type="noConversion"/>
  <printOptions horizontalCentered="1"/>
  <pageMargins left="0.31496062992125984" right="0.31496062992125984" top="0.74803149606299213" bottom="0.74803149606299213" header="0.31496062992125984" footer="0.31496062992125984"/>
  <pageSetup paperSize="9" scale="69" fitToHeight="0"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1"/>
  <sheetViews>
    <sheetView topLeftCell="B1" workbookViewId="0">
      <selection activeCell="C6" sqref="C6:D6"/>
    </sheetView>
  </sheetViews>
  <sheetFormatPr defaultRowHeight="16.5"/>
  <cols>
    <col min="1" max="1" width="7.75" style="487" hidden="1" customWidth="1"/>
    <col min="2" max="2" width="16.875" style="487" customWidth="1"/>
    <col min="3" max="5" width="13.25" style="487" customWidth="1"/>
    <col min="6" max="6" width="9.125" style="487" customWidth="1"/>
    <col min="7" max="7" width="11.125" style="487" customWidth="1"/>
    <col min="8" max="8" width="13" style="487" customWidth="1"/>
    <col min="9" max="9" width="13.125" style="487" customWidth="1"/>
    <col min="10" max="11" width="7.75" style="487" hidden="1" customWidth="1"/>
    <col min="12" max="256" width="9" style="487"/>
    <col min="257" max="257" width="0" style="487" hidden="1" customWidth="1"/>
    <col min="258" max="258" width="16.875" style="487" customWidth="1"/>
    <col min="259" max="261" width="13.25" style="487" customWidth="1"/>
    <col min="262" max="262" width="9.125" style="487" customWidth="1"/>
    <col min="263" max="263" width="11.125" style="487" customWidth="1"/>
    <col min="264" max="264" width="13" style="487" customWidth="1"/>
    <col min="265" max="265" width="13.125" style="487" customWidth="1"/>
    <col min="266" max="267" width="0" style="487" hidden="1" customWidth="1"/>
    <col min="268" max="512" width="9" style="487"/>
    <col min="513" max="513" width="0" style="487" hidden="1" customWidth="1"/>
    <col min="514" max="514" width="16.875" style="487" customWidth="1"/>
    <col min="515" max="517" width="13.25" style="487" customWidth="1"/>
    <col min="518" max="518" width="9.125" style="487" customWidth="1"/>
    <col min="519" max="519" width="11.125" style="487" customWidth="1"/>
    <col min="520" max="520" width="13" style="487" customWidth="1"/>
    <col min="521" max="521" width="13.125" style="487" customWidth="1"/>
    <col min="522" max="523" width="0" style="487" hidden="1" customWidth="1"/>
    <col min="524" max="768" width="9" style="487"/>
    <col min="769" max="769" width="0" style="487" hidden="1" customWidth="1"/>
    <col min="770" max="770" width="16.875" style="487" customWidth="1"/>
    <col min="771" max="773" width="13.25" style="487" customWidth="1"/>
    <col min="774" max="774" width="9.125" style="487" customWidth="1"/>
    <col min="775" max="775" width="11.125" style="487" customWidth="1"/>
    <col min="776" max="776" width="13" style="487" customWidth="1"/>
    <col min="777" max="777" width="13.125" style="487" customWidth="1"/>
    <col min="778" max="779" width="0" style="487" hidden="1" customWidth="1"/>
    <col min="780" max="1024" width="9" style="487"/>
    <col min="1025" max="1025" width="0" style="487" hidden="1" customWidth="1"/>
    <col min="1026" max="1026" width="16.875" style="487" customWidth="1"/>
    <col min="1027" max="1029" width="13.25" style="487" customWidth="1"/>
    <col min="1030" max="1030" width="9.125" style="487" customWidth="1"/>
    <col min="1031" max="1031" width="11.125" style="487" customWidth="1"/>
    <col min="1032" max="1032" width="13" style="487" customWidth="1"/>
    <col min="1033" max="1033" width="13.125" style="487" customWidth="1"/>
    <col min="1034" max="1035" width="0" style="487" hidden="1" customWidth="1"/>
    <col min="1036" max="1280" width="9" style="487"/>
    <col min="1281" max="1281" width="0" style="487" hidden="1" customWidth="1"/>
    <col min="1282" max="1282" width="16.875" style="487" customWidth="1"/>
    <col min="1283" max="1285" width="13.25" style="487" customWidth="1"/>
    <col min="1286" max="1286" width="9.125" style="487" customWidth="1"/>
    <col min="1287" max="1287" width="11.125" style="487" customWidth="1"/>
    <col min="1288" max="1288" width="13" style="487" customWidth="1"/>
    <col min="1289" max="1289" width="13.125" style="487" customWidth="1"/>
    <col min="1290" max="1291" width="0" style="487" hidden="1" customWidth="1"/>
    <col min="1292" max="1536" width="9" style="487"/>
    <col min="1537" max="1537" width="0" style="487" hidden="1" customWidth="1"/>
    <col min="1538" max="1538" width="16.875" style="487" customWidth="1"/>
    <col min="1539" max="1541" width="13.25" style="487" customWidth="1"/>
    <col min="1542" max="1542" width="9.125" style="487" customWidth="1"/>
    <col min="1543" max="1543" width="11.125" style="487" customWidth="1"/>
    <col min="1544" max="1544" width="13" style="487" customWidth="1"/>
    <col min="1545" max="1545" width="13.125" style="487" customWidth="1"/>
    <col min="1546" max="1547" width="0" style="487" hidden="1" customWidth="1"/>
    <col min="1548" max="1792" width="9" style="487"/>
    <col min="1793" max="1793" width="0" style="487" hidden="1" customWidth="1"/>
    <col min="1794" max="1794" width="16.875" style="487" customWidth="1"/>
    <col min="1795" max="1797" width="13.25" style="487" customWidth="1"/>
    <col min="1798" max="1798" width="9.125" style="487" customWidth="1"/>
    <col min="1799" max="1799" width="11.125" style="487" customWidth="1"/>
    <col min="1800" max="1800" width="13" style="487" customWidth="1"/>
    <col min="1801" max="1801" width="13.125" style="487" customWidth="1"/>
    <col min="1802" max="1803" width="0" style="487" hidden="1" customWidth="1"/>
    <col min="1804" max="2048" width="9" style="487"/>
    <col min="2049" max="2049" width="0" style="487" hidden="1" customWidth="1"/>
    <col min="2050" max="2050" width="16.875" style="487" customWidth="1"/>
    <col min="2051" max="2053" width="13.25" style="487" customWidth="1"/>
    <col min="2054" max="2054" width="9.125" style="487" customWidth="1"/>
    <col min="2055" max="2055" width="11.125" style="487" customWidth="1"/>
    <col min="2056" max="2056" width="13" style="487" customWidth="1"/>
    <col min="2057" max="2057" width="13.125" style="487" customWidth="1"/>
    <col min="2058" max="2059" width="0" style="487" hidden="1" customWidth="1"/>
    <col min="2060" max="2304" width="9" style="487"/>
    <col min="2305" max="2305" width="0" style="487" hidden="1" customWidth="1"/>
    <col min="2306" max="2306" width="16.875" style="487" customWidth="1"/>
    <col min="2307" max="2309" width="13.25" style="487" customWidth="1"/>
    <col min="2310" max="2310" width="9.125" style="487" customWidth="1"/>
    <col min="2311" max="2311" width="11.125" style="487" customWidth="1"/>
    <col min="2312" max="2312" width="13" style="487" customWidth="1"/>
    <col min="2313" max="2313" width="13.125" style="487" customWidth="1"/>
    <col min="2314" max="2315" width="0" style="487" hidden="1" customWidth="1"/>
    <col min="2316" max="2560" width="9" style="487"/>
    <col min="2561" max="2561" width="0" style="487" hidden="1" customWidth="1"/>
    <col min="2562" max="2562" width="16.875" style="487" customWidth="1"/>
    <col min="2563" max="2565" width="13.25" style="487" customWidth="1"/>
    <col min="2566" max="2566" width="9.125" style="487" customWidth="1"/>
    <col min="2567" max="2567" width="11.125" style="487" customWidth="1"/>
    <col min="2568" max="2568" width="13" style="487" customWidth="1"/>
    <col min="2569" max="2569" width="13.125" style="487" customWidth="1"/>
    <col min="2570" max="2571" width="0" style="487" hidden="1" customWidth="1"/>
    <col min="2572" max="2816" width="9" style="487"/>
    <col min="2817" max="2817" width="0" style="487" hidden="1" customWidth="1"/>
    <col min="2818" max="2818" width="16.875" style="487" customWidth="1"/>
    <col min="2819" max="2821" width="13.25" style="487" customWidth="1"/>
    <col min="2822" max="2822" width="9.125" style="487" customWidth="1"/>
    <col min="2823" max="2823" width="11.125" style="487" customWidth="1"/>
    <col min="2824" max="2824" width="13" style="487" customWidth="1"/>
    <col min="2825" max="2825" width="13.125" style="487" customWidth="1"/>
    <col min="2826" max="2827" width="0" style="487" hidden="1" customWidth="1"/>
    <col min="2828" max="3072" width="9" style="487"/>
    <col min="3073" max="3073" width="0" style="487" hidden="1" customWidth="1"/>
    <col min="3074" max="3074" width="16.875" style="487" customWidth="1"/>
    <col min="3075" max="3077" width="13.25" style="487" customWidth="1"/>
    <col min="3078" max="3078" width="9.125" style="487" customWidth="1"/>
    <col min="3079" max="3079" width="11.125" style="487" customWidth="1"/>
    <col min="3080" max="3080" width="13" style="487" customWidth="1"/>
    <col min="3081" max="3081" width="13.125" style="487" customWidth="1"/>
    <col min="3082" max="3083" width="0" style="487" hidden="1" customWidth="1"/>
    <col min="3084" max="3328" width="9" style="487"/>
    <col min="3329" max="3329" width="0" style="487" hidden="1" customWidth="1"/>
    <col min="3330" max="3330" width="16.875" style="487" customWidth="1"/>
    <col min="3331" max="3333" width="13.25" style="487" customWidth="1"/>
    <col min="3334" max="3334" width="9.125" style="487" customWidth="1"/>
    <col min="3335" max="3335" width="11.125" style="487" customWidth="1"/>
    <col min="3336" max="3336" width="13" style="487" customWidth="1"/>
    <col min="3337" max="3337" width="13.125" style="487" customWidth="1"/>
    <col min="3338" max="3339" width="0" style="487" hidden="1" customWidth="1"/>
    <col min="3340" max="3584" width="9" style="487"/>
    <col min="3585" max="3585" width="0" style="487" hidden="1" customWidth="1"/>
    <col min="3586" max="3586" width="16.875" style="487" customWidth="1"/>
    <col min="3587" max="3589" width="13.25" style="487" customWidth="1"/>
    <col min="3590" max="3590" width="9.125" style="487" customWidth="1"/>
    <col min="3591" max="3591" width="11.125" style="487" customWidth="1"/>
    <col min="3592" max="3592" width="13" style="487" customWidth="1"/>
    <col min="3593" max="3593" width="13.125" style="487" customWidth="1"/>
    <col min="3594" max="3595" width="0" style="487" hidden="1" customWidth="1"/>
    <col min="3596" max="3840" width="9" style="487"/>
    <col min="3841" max="3841" width="0" style="487" hidden="1" customWidth="1"/>
    <col min="3842" max="3842" width="16.875" style="487" customWidth="1"/>
    <col min="3843" max="3845" width="13.25" style="487" customWidth="1"/>
    <col min="3846" max="3846" width="9.125" style="487" customWidth="1"/>
    <col min="3847" max="3847" width="11.125" style="487" customWidth="1"/>
    <col min="3848" max="3848" width="13" style="487" customWidth="1"/>
    <col min="3849" max="3849" width="13.125" style="487" customWidth="1"/>
    <col min="3850" max="3851" width="0" style="487" hidden="1" customWidth="1"/>
    <col min="3852" max="4096" width="9" style="487"/>
    <col min="4097" max="4097" width="0" style="487" hidden="1" customWidth="1"/>
    <col min="4098" max="4098" width="16.875" style="487" customWidth="1"/>
    <col min="4099" max="4101" width="13.25" style="487" customWidth="1"/>
    <col min="4102" max="4102" width="9.125" style="487" customWidth="1"/>
    <col min="4103" max="4103" width="11.125" style="487" customWidth="1"/>
    <col min="4104" max="4104" width="13" style="487" customWidth="1"/>
    <col min="4105" max="4105" width="13.125" style="487" customWidth="1"/>
    <col min="4106" max="4107" width="0" style="487" hidden="1" customWidth="1"/>
    <col min="4108" max="4352" width="9" style="487"/>
    <col min="4353" max="4353" width="0" style="487" hidden="1" customWidth="1"/>
    <col min="4354" max="4354" width="16.875" style="487" customWidth="1"/>
    <col min="4355" max="4357" width="13.25" style="487" customWidth="1"/>
    <col min="4358" max="4358" width="9.125" style="487" customWidth="1"/>
    <col min="4359" max="4359" width="11.125" style="487" customWidth="1"/>
    <col min="4360" max="4360" width="13" style="487" customWidth="1"/>
    <col min="4361" max="4361" width="13.125" style="487" customWidth="1"/>
    <col min="4362" max="4363" width="0" style="487" hidden="1" customWidth="1"/>
    <col min="4364" max="4608" width="9" style="487"/>
    <col min="4609" max="4609" width="0" style="487" hidden="1" customWidth="1"/>
    <col min="4610" max="4610" width="16.875" style="487" customWidth="1"/>
    <col min="4611" max="4613" width="13.25" style="487" customWidth="1"/>
    <col min="4614" max="4614" width="9.125" style="487" customWidth="1"/>
    <col min="4615" max="4615" width="11.125" style="487" customWidth="1"/>
    <col min="4616" max="4616" width="13" style="487" customWidth="1"/>
    <col min="4617" max="4617" width="13.125" style="487" customWidth="1"/>
    <col min="4618" max="4619" width="0" style="487" hidden="1" customWidth="1"/>
    <col min="4620" max="4864" width="9" style="487"/>
    <col min="4865" max="4865" width="0" style="487" hidden="1" customWidth="1"/>
    <col min="4866" max="4866" width="16.875" style="487" customWidth="1"/>
    <col min="4867" max="4869" width="13.25" style="487" customWidth="1"/>
    <col min="4870" max="4870" width="9.125" style="487" customWidth="1"/>
    <col min="4871" max="4871" width="11.125" style="487" customWidth="1"/>
    <col min="4872" max="4872" width="13" style="487" customWidth="1"/>
    <col min="4873" max="4873" width="13.125" style="487" customWidth="1"/>
    <col min="4874" max="4875" width="0" style="487" hidden="1" customWidth="1"/>
    <col min="4876" max="5120" width="9" style="487"/>
    <col min="5121" max="5121" width="0" style="487" hidden="1" customWidth="1"/>
    <col min="5122" max="5122" width="16.875" style="487" customWidth="1"/>
    <col min="5123" max="5125" width="13.25" style="487" customWidth="1"/>
    <col min="5126" max="5126" width="9.125" style="487" customWidth="1"/>
    <col min="5127" max="5127" width="11.125" style="487" customWidth="1"/>
    <col min="5128" max="5128" width="13" style="487" customWidth="1"/>
    <col min="5129" max="5129" width="13.125" style="487" customWidth="1"/>
    <col min="5130" max="5131" width="0" style="487" hidden="1" customWidth="1"/>
    <col min="5132" max="5376" width="9" style="487"/>
    <col min="5377" max="5377" width="0" style="487" hidden="1" customWidth="1"/>
    <col min="5378" max="5378" width="16.875" style="487" customWidth="1"/>
    <col min="5379" max="5381" width="13.25" style="487" customWidth="1"/>
    <col min="5382" max="5382" width="9.125" style="487" customWidth="1"/>
    <col min="5383" max="5383" width="11.125" style="487" customWidth="1"/>
    <col min="5384" max="5384" width="13" style="487" customWidth="1"/>
    <col min="5385" max="5385" width="13.125" style="487" customWidth="1"/>
    <col min="5386" max="5387" width="0" style="487" hidden="1" customWidth="1"/>
    <col min="5388" max="5632" width="9" style="487"/>
    <col min="5633" max="5633" width="0" style="487" hidden="1" customWidth="1"/>
    <col min="5634" max="5634" width="16.875" style="487" customWidth="1"/>
    <col min="5635" max="5637" width="13.25" style="487" customWidth="1"/>
    <col min="5638" max="5638" width="9.125" style="487" customWidth="1"/>
    <col min="5639" max="5639" width="11.125" style="487" customWidth="1"/>
    <col min="5640" max="5640" width="13" style="487" customWidth="1"/>
    <col min="5641" max="5641" width="13.125" style="487" customWidth="1"/>
    <col min="5642" max="5643" width="0" style="487" hidden="1" customWidth="1"/>
    <col min="5644" max="5888" width="9" style="487"/>
    <col min="5889" max="5889" width="0" style="487" hidden="1" customWidth="1"/>
    <col min="5890" max="5890" width="16.875" style="487" customWidth="1"/>
    <col min="5891" max="5893" width="13.25" style="487" customWidth="1"/>
    <col min="5894" max="5894" width="9.125" style="487" customWidth="1"/>
    <col min="5895" max="5895" width="11.125" style="487" customWidth="1"/>
    <col min="5896" max="5896" width="13" style="487" customWidth="1"/>
    <col min="5897" max="5897" width="13.125" style="487" customWidth="1"/>
    <col min="5898" max="5899" width="0" style="487" hidden="1" customWidth="1"/>
    <col min="5900" max="6144" width="9" style="487"/>
    <col min="6145" max="6145" width="0" style="487" hidden="1" customWidth="1"/>
    <col min="6146" max="6146" width="16.875" style="487" customWidth="1"/>
    <col min="6147" max="6149" width="13.25" style="487" customWidth="1"/>
    <col min="6150" max="6150" width="9.125" style="487" customWidth="1"/>
    <col min="6151" max="6151" width="11.125" style="487" customWidth="1"/>
    <col min="6152" max="6152" width="13" style="487" customWidth="1"/>
    <col min="6153" max="6153" width="13.125" style="487" customWidth="1"/>
    <col min="6154" max="6155" width="0" style="487" hidden="1" customWidth="1"/>
    <col min="6156" max="6400" width="9" style="487"/>
    <col min="6401" max="6401" width="0" style="487" hidden="1" customWidth="1"/>
    <col min="6402" max="6402" width="16.875" style="487" customWidth="1"/>
    <col min="6403" max="6405" width="13.25" style="487" customWidth="1"/>
    <col min="6406" max="6406" width="9.125" style="487" customWidth="1"/>
    <col min="6407" max="6407" width="11.125" style="487" customWidth="1"/>
    <col min="6408" max="6408" width="13" style="487" customWidth="1"/>
    <col min="6409" max="6409" width="13.125" style="487" customWidth="1"/>
    <col min="6410" max="6411" width="0" style="487" hidden="1" customWidth="1"/>
    <col min="6412" max="6656" width="9" style="487"/>
    <col min="6657" max="6657" width="0" style="487" hidden="1" customWidth="1"/>
    <col min="6658" max="6658" width="16.875" style="487" customWidth="1"/>
    <col min="6659" max="6661" width="13.25" style="487" customWidth="1"/>
    <col min="6662" max="6662" width="9.125" style="487" customWidth="1"/>
    <col min="6663" max="6663" width="11.125" style="487" customWidth="1"/>
    <col min="6664" max="6664" width="13" style="487" customWidth="1"/>
    <col min="6665" max="6665" width="13.125" style="487" customWidth="1"/>
    <col min="6666" max="6667" width="0" style="487" hidden="1" customWidth="1"/>
    <col min="6668" max="6912" width="9" style="487"/>
    <col min="6913" max="6913" width="0" style="487" hidden="1" customWidth="1"/>
    <col min="6914" max="6914" width="16.875" style="487" customWidth="1"/>
    <col min="6915" max="6917" width="13.25" style="487" customWidth="1"/>
    <col min="6918" max="6918" width="9.125" style="487" customWidth="1"/>
    <col min="6919" max="6919" width="11.125" style="487" customWidth="1"/>
    <col min="6920" max="6920" width="13" style="487" customWidth="1"/>
    <col min="6921" max="6921" width="13.125" style="487" customWidth="1"/>
    <col min="6922" max="6923" width="0" style="487" hidden="1" customWidth="1"/>
    <col min="6924" max="7168" width="9" style="487"/>
    <col min="7169" max="7169" width="0" style="487" hidden="1" customWidth="1"/>
    <col min="7170" max="7170" width="16.875" style="487" customWidth="1"/>
    <col min="7171" max="7173" width="13.25" style="487" customWidth="1"/>
    <col min="7174" max="7174" width="9.125" style="487" customWidth="1"/>
    <col min="7175" max="7175" width="11.125" style="487" customWidth="1"/>
    <col min="7176" max="7176" width="13" style="487" customWidth="1"/>
    <col min="7177" max="7177" width="13.125" style="487" customWidth="1"/>
    <col min="7178" max="7179" width="0" style="487" hidden="1" customWidth="1"/>
    <col min="7180" max="7424" width="9" style="487"/>
    <col min="7425" max="7425" width="0" style="487" hidden="1" customWidth="1"/>
    <col min="7426" max="7426" width="16.875" style="487" customWidth="1"/>
    <col min="7427" max="7429" width="13.25" style="487" customWidth="1"/>
    <col min="7430" max="7430" width="9.125" style="487" customWidth="1"/>
    <col min="7431" max="7431" width="11.125" style="487" customWidth="1"/>
    <col min="7432" max="7432" width="13" style="487" customWidth="1"/>
    <col min="7433" max="7433" width="13.125" style="487" customWidth="1"/>
    <col min="7434" max="7435" width="0" style="487" hidden="1" customWidth="1"/>
    <col min="7436" max="7680" width="9" style="487"/>
    <col min="7681" max="7681" width="0" style="487" hidden="1" customWidth="1"/>
    <col min="7682" max="7682" width="16.875" style="487" customWidth="1"/>
    <col min="7683" max="7685" width="13.25" style="487" customWidth="1"/>
    <col min="7686" max="7686" width="9.125" style="487" customWidth="1"/>
    <col min="7687" max="7687" width="11.125" style="487" customWidth="1"/>
    <col min="7688" max="7688" width="13" style="487" customWidth="1"/>
    <col min="7689" max="7689" width="13.125" style="487" customWidth="1"/>
    <col min="7690" max="7691" width="0" style="487" hidden="1" customWidth="1"/>
    <col min="7692" max="7936" width="9" style="487"/>
    <col min="7937" max="7937" width="0" style="487" hidden="1" customWidth="1"/>
    <col min="7938" max="7938" width="16.875" style="487" customWidth="1"/>
    <col min="7939" max="7941" width="13.25" style="487" customWidth="1"/>
    <col min="7942" max="7942" width="9.125" style="487" customWidth="1"/>
    <col min="7943" max="7943" width="11.125" style="487" customWidth="1"/>
    <col min="7944" max="7944" width="13" style="487" customWidth="1"/>
    <col min="7945" max="7945" width="13.125" style="487" customWidth="1"/>
    <col min="7946" max="7947" width="0" style="487" hidden="1" customWidth="1"/>
    <col min="7948" max="8192" width="9" style="487"/>
    <col min="8193" max="8193" width="0" style="487" hidden="1" customWidth="1"/>
    <col min="8194" max="8194" width="16.875" style="487" customWidth="1"/>
    <col min="8195" max="8197" width="13.25" style="487" customWidth="1"/>
    <col min="8198" max="8198" width="9.125" style="487" customWidth="1"/>
    <col min="8199" max="8199" width="11.125" style="487" customWidth="1"/>
    <col min="8200" max="8200" width="13" style="487" customWidth="1"/>
    <col min="8201" max="8201" width="13.125" style="487" customWidth="1"/>
    <col min="8202" max="8203" width="0" style="487" hidden="1" customWidth="1"/>
    <col min="8204" max="8448" width="9" style="487"/>
    <col min="8449" max="8449" width="0" style="487" hidden="1" customWidth="1"/>
    <col min="8450" max="8450" width="16.875" style="487" customWidth="1"/>
    <col min="8451" max="8453" width="13.25" style="487" customWidth="1"/>
    <col min="8454" max="8454" width="9.125" style="487" customWidth="1"/>
    <col min="8455" max="8455" width="11.125" style="487" customWidth="1"/>
    <col min="8456" max="8456" width="13" style="487" customWidth="1"/>
    <col min="8457" max="8457" width="13.125" style="487" customWidth="1"/>
    <col min="8458" max="8459" width="0" style="487" hidden="1" customWidth="1"/>
    <col min="8460" max="8704" width="9" style="487"/>
    <col min="8705" max="8705" width="0" style="487" hidden="1" customWidth="1"/>
    <col min="8706" max="8706" width="16.875" style="487" customWidth="1"/>
    <col min="8707" max="8709" width="13.25" style="487" customWidth="1"/>
    <col min="8710" max="8710" width="9.125" style="487" customWidth="1"/>
    <col min="8711" max="8711" width="11.125" style="487" customWidth="1"/>
    <col min="8712" max="8712" width="13" style="487" customWidth="1"/>
    <col min="8713" max="8713" width="13.125" style="487" customWidth="1"/>
    <col min="8714" max="8715" width="0" style="487" hidden="1" customWidth="1"/>
    <col min="8716" max="8960" width="9" style="487"/>
    <col min="8961" max="8961" width="0" style="487" hidden="1" customWidth="1"/>
    <col min="8962" max="8962" width="16.875" style="487" customWidth="1"/>
    <col min="8963" max="8965" width="13.25" style="487" customWidth="1"/>
    <col min="8966" max="8966" width="9.125" style="487" customWidth="1"/>
    <col min="8967" max="8967" width="11.125" style="487" customWidth="1"/>
    <col min="8968" max="8968" width="13" style="487" customWidth="1"/>
    <col min="8969" max="8969" width="13.125" style="487" customWidth="1"/>
    <col min="8970" max="8971" width="0" style="487" hidden="1" customWidth="1"/>
    <col min="8972" max="9216" width="9" style="487"/>
    <col min="9217" max="9217" width="0" style="487" hidden="1" customWidth="1"/>
    <col min="9218" max="9218" width="16.875" style="487" customWidth="1"/>
    <col min="9219" max="9221" width="13.25" style="487" customWidth="1"/>
    <col min="9222" max="9222" width="9.125" style="487" customWidth="1"/>
    <col min="9223" max="9223" width="11.125" style="487" customWidth="1"/>
    <col min="9224" max="9224" width="13" style="487" customWidth="1"/>
    <col min="9225" max="9225" width="13.125" style="487" customWidth="1"/>
    <col min="9226" max="9227" width="0" style="487" hidden="1" customWidth="1"/>
    <col min="9228" max="9472" width="9" style="487"/>
    <col min="9473" max="9473" width="0" style="487" hidden="1" customWidth="1"/>
    <col min="9474" max="9474" width="16.875" style="487" customWidth="1"/>
    <col min="9475" max="9477" width="13.25" style="487" customWidth="1"/>
    <col min="9478" max="9478" width="9.125" style="487" customWidth="1"/>
    <col min="9479" max="9479" width="11.125" style="487" customWidth="1"/>
    <col min="9480" max="9480" width="13" style="487" customWidth="1"/>
    <col min="9481" max="9481" width="13.125" style="487" customWidth="1"/>
    <col min="9482" max="9483" width="0" style="487" hidden="1" customWidth="1"/>
    <col min="9484" max="9728" width="9" style="487"/>
    <col min="9729" max="9729" width="0" style="487" hidden="1" customWidth="1"/>
    <col min="9730" max="9730" width="16.875" style="487" customWidth="1"/>
    <col min="9731" max="9733" width="13.25" style="487" customWidth="1"/>
    <col min="9734" max="9734" width="9.125" style="487" customWidth="1"/>
    <col min="9735" max="9735" width="11.125" style="487" customWidth="1"/>
    <col min="9736" max="9736" width="13" style="487" customWidth="1"/>
    <col min="9737" max="9737" width="13.125" style="487" customWidth="1"/>
    <col min="9738" max="9739" width="0" style="487" hidden="1" customWidth="1"/>
    <col min="9740" max="9984" width="9" style="487"/>
    <col min="9985" max="9985" width="0" style="487" hidden="1" customWidth="1"/>
    <col min="9986" max="9986" width="16.875" style="487" customWidth="1"/>
    <col min="9987" max="9989" width="13.25" style="487" customWidth="1"/>
    <col min="9990" max="9990" width="9.125" style="487" customWidth="1"/>
    <col min="9991" max="9991" width="11.125" style="487" customWidth="1"/>
    <col min="9992" max="9992" width="13" style="487" customWidth="1"/>
    <col min="9993" max="9993" width="13.125" style="487" customWidth="1"/>
    <col min="9994" max="9995" width="0" style="487" hidden="1" customWidth="1"/>
    <col min="9996" max="10240" width="9" style="487"/>
    <col min="10241" max="10241" width="0" style="487" hidden="1" customWidth="1"/>
    <col min="10242" max="10242" width="16.875" style="487" customWidth="1"/>
    <col min="10243" max="10245" width="13.25" style="487" customWidth="1"/>
    <col min="10246" max="10246" width="9.125" style="487" customWidth="1"/>
    <col min="10247" max="10247" width="11.125" style="487" customWidth="1"/>
    <col min="10248" max="10248" width="13" style="487" customWidth="1"/>
    <col min="10249" max="10249" width="13.125" style="487" customWidth="1"/>
    <col min="10250" max="10251" width="0" style="487" hidden="1" customWidth="1"/>
    <col min="10252" max="10496" width="9" style="487"/>
    <col min="10497" max="10497" width="0" style="487" hidden="1" customWidth="1"/>
    <col min="10498" max="10498" width="16.875" style="487" customWidth="1"/>
    <col min="10499" max="10501" width="13.25" style="487" customWidth="1"/>
    <col min="10502" max="10502" width="9.125" style="487" customWidth="1"/>
    <col min="10503" max="10503" width="11.125" style="487" customWidth="1"/>
    <col min="10504" max="10504" width="13" style="487" customWidth="1"/>
    <col min="10505" max="10505" width="13.125" style="487" customWidth="1"/>
    <col min="10506" max="10507" width="0" style="487" hidden="1" customWidth="1"/>
    <col min="10508" max="10752" width="9" style="487"/>
    <col min="10753" max="10753" width="0" style="487" hidden="1" customWidth="1"/>
    <col min="10754" max="10754" width="16.875" style="487" customWidth="1"/>
    <col min="10755" max="10757" width="13.25" style="487" customWidth="1"/>
    <col min="10758" max="10758" width="9.125" style="487" customWidth="1"/>
    <col min="10759" max="10759" width="11.125" style="487" customWidth="1"/>
    <col min="10760" max="10760" width="13" style="487" customWidth="1"/>
    <col min="10761" max="10761" width="13.125" style="487" customWidth="1"/>
    <col min="10762" max="10763" width="0" style="487" hidden="1" customWidth="1"/>
    <col min="10764" max="11008" width="9" style="487"/>
    <col min="11009" max="11009" width="0" style="487" hidden="1" customWidth="1"/>
    <col min="11010" max="11010" width="16.875" style="487" customWidth="1"/>
    <col min="11011" max="11013" width="13.25" style="487" customWidth="1"/>
    <col min="11014" max="11014" width="9.125" style="487" customWidth="1"/>
    <col min="11015" max="11015" width="11.125" style="487" customWidth="1"/>
    <col min="11016" max="11016" width="13" style="487" customWidth="1"/>
    <col min="11017" max="11017" width="13.125" style="487" customWidth="1"/>
    <col min="11018" max="11019" width="0" style="487" hidden="1" customWidth="1"/>
    <col min="11020" max="11264" width="9" style="487"/>
    <col min="11265" max="11265" width="0" style="487" hidden="1" customWidth="1"/>
    <col min="11266" max="11266" width="16.875" style="487" customWidth="1"/>
    <col min="11267" max="11269" width="13.25" style="487" customWidth="1"/>
    <col min="11270" max="11270" width="9.125" style="487" customWidth="1"/>
    <col min="11271" max="11271" width="11.125" style="487" customWidth="1"/>
    <col min="11272" max="11272" width="13" style="487" customWidth="1"/>
    <col min="11273" max="11273" width="13.125" style="487" customWidth="1"/>
    <col min="11274" max="11275" width="0" style="487" hidden="1" customWidth="1"/>
    <col min="11276" max="11520" width="9" style="487"/>
    <col min="11521" max="11521" width="0" style="487" hidden="1" customWidth="1"/>
    <col min="11522" max="11522" width="16.875" style="487" customWidth="1"/>
    <col min="11523" max="11525" width="13.25" style="487" customWidth="1"/>
    <col min="11526" max="11526" width="9.125" style="487" customWidth="1"/>
    <col min="11527" max="11527" width="11.125" style="487" customWidth="1"/>
    <col min="11528" max="11528" width="13" style="487" customWidth="1"/>
    <col min="11529" max="11529" width="13.125" style="487" customWidth="1"/>
    <col min="11530" max="11531" width="0" style="487" hidden="1" customWidth="1"/>
    <col min="11532" max="11776" width="9" style="487"/>
    <col min="11777" max="11777" width="0" style="487" hidden="1" customWidth="1"/>
    <col min="11778" max="11778" width="16.875" style="487" customWidth="1"/>
    <col min="11779" max="11781" width="13.25" style="487" customWidth="1"/>
    <col min="11782" max="11782" width="9.125" style="487" customWidth="1"/>
    <col min="11783" max="11783" width="11.125" style="487" customWidth="1"/>
    <col min="11784" max="11784" width="13" style="487" customWidth="1"/>
    <col min="11785" max="11785" width="13.125" style="487" customWidth="1"/>
    <col min="11786" max="11787" width="0" style="487" hidden="1" customWidth="1"/>
    <col min="11788" max="12032" width="9" style="487"/>
    <col min="12033" max="12033" width="0" style="487" hidden="1" customWidth="1"/>
    <col min="12034" max="12034" width="16.875" style="487" customWidth="1"/>
    <col min="12035" max="12037" width="13.25" style="487" customWidth="1"/>
    <col min="12038" max="12038" width="9.125" style="487" customWidth="1"/>
    <col min="12039" max="12039" width="11.125" style="487" customWidth="1"/>
    <col min="12040" max="12040" width="13" style="487" customWidth="1"/>
    <col min="12041" max="12041" width="13.125" style="487" customWidth="1"/>
    <col min="12042" max="12043" width="0" style="487" hidden="1" customWidth="1"/>
    <col min="12044" max="12288" width="9" style="487"/>
    <col min="12289" max="12289" width="0" style="487" hidden="1" customWidth="1"/>
    <col min="12290" max="12290" width="16.875" style="487" customWidth="1"/>
    <col min="12291" max="12293" width="13.25" style="487" customWidth="1"/>
    <col min="12294" max="12294" width="9.125" style="487" customWidth="1"/>
    <col min="12295" max="12295" width="11.125" style="487" customWidth="1"/>
    <col min="12296" max="12296" width="13" style="487" customWidth="1"/>
    <col min="12297" max="12297" width="13.125" style="487" customWidth="1"/>
    <col min="12298" max="12299" width="0" style="487" hidden="1" customWidth="1"/>
    <col min="12300" max="12544" width="9" style="487"/>
    <col min="12545" max="12545" width="0" style="487" hidden="1" customWidth="1"/>
    <col min="12546" max="12546" width="16.875" style="487" customWidth="1"/>
    <col min="12547" max="12549" width="13.25" style="487" customWidth="1"/>
    <col min="12550" max="12550" width="9.125" style="487" customWidth="1"/>
    <col min="12551" max="12551" width="11.125" style="487" customWidth="1"/>
    <col min="12552" max="12552" width="13" style="487" customWidth="1"/>
    <col min="12553" max="12553" width="13.125" style="487" customWidth="1"/>
    <col min="12554" max="12555" width="0" style="487" hidden="1" customWidth="1"/>
    <col min="12556" max="12800" width="9" style="487"/>
    <col min="12801" max="12801" width="0" style="487" hidden="1" customWidth="1"/>
    <col min="12802" max="12802" width="16.875" style="487" customWidth="1"/>
    <col min="12803" max="12805" width="13.25" style="487" customWidth="1"/>
    <col min="12806" max="12806" width="9.125" style="487" customWidth="1"/>
    <col min="12807" max="12807" width="11.125" style="487" customWidth="1"/>
    <col min="12808" max="12808" width="13" style="487" customWidth="1"/>
    <col min="12809" max="12809" width="13.125" style="487" customWidth="1"/>
    <col min="12810" max="12811" width="0" style="487" hidden="1" customWidth="1"/>
    <col min="12812" max="13056" width="9" style="487"/>
    <col min="13057" max="13057" width="0" style="487" hidden="1" customWidth="1"/>
    <col min="13058" max="13058" width="16.875" style="487" customWidth="1"/>
    <col min="13059" max="13061" width="13.25" style="487" customWidth="1"/>
    <col min="13062" max="13062" width="9.125" style="487" customWidth="1"/>
    <col min="13063" max="13063" width="11.125" style="487" customWidth="1"/>
    <col min="13064" max="13064" width="13" style="487" customWidth="1"/>
    <col min="13065" max="13065" width="13.125" style="487" customWidth="1"/>
    <col min="13066" max="13067" width="0" style="487" hidden="1" customWidth="1"/>
    <col min="13068" max="13312" width="9" style="487"/>
    <col min="13313" max="13313" width="0" style="487" hidden="1" customWidth="1"/>
    <col min="13314" max="13314" width="16.875" style="487" customWidth="1"/>
    <col min="13315" max="13317" width="13.25" style="487" customWidth="1"/>
    <col min="13318" max="13318" width="9.125" style="487" customWidth="1"/>
    <col min="13319" max="13319" width="11.125" style="487" customWidth="1"/>
    <col min="13320" max="13320" width="13" style="487" customWidth="1"/>
    <col min="13321" max="13321" width="13.125" style="487" customWidth="1"/>
    <col min="13322" max="13323" width="0" style="487" hidden="1" customWidth="1"/>
    <col min="13324" max="13568" width="9" style="487"/>
    <col min="13569" max="13569" width="0" style="487" hidden="1" customWidth="1"/>
    <col min="13570" max="13570" width="16.875" style="487" customWidth="1"/>
    <col min="13571" max="13573" width="13.25" style="487" customWidth="1"/>
    <col min="13574" max="13574" width="9.125" style="487" customWidth="1"/>
    <col min="13575" max="13575" width="11.125" style="487" customWidth="1"/>
    <col min="13576" max="13576" width="13" style="487" customWidth="1"/>
    <col min="13577" max="13577" width="13.125" style="487" customWidth="1"/>
    <col min="13578" max="13579" width="0" style="487" hidden="1" customWidth="1"/>
    <col min="13580" max="13824" width="9" style="487"/>
    <col min="13825" max="13825" width="0" style="487" hidden="1" customWidth="1"/>
    <col min="13826" max="13826" width="16.875" style="487" customWidth="1"/>
    <col min="13827" max="13829" width="13.25" style="487" customWidth="1"/>
    <col min="13830" max="13830" width="9.125" style="487" customWidth="1"/>
    <col min="13831" max="13831" width="11.125" style="487" customWidth="1"/>
    <col min="13832" max="13832" width="13" style="487" customWidth="1"/>
    <col min="13833" max="13833" width="13.125" style="487" customWidth="1"/>
    <col min="13834" max="13835" width="0" style="487" hidden="1" customWidth="1"/>
    <col min="13836" max="14080" width="9" style="487"/>
    <col min="14081" max="14081" width="0" style="487" hidden="1" customWidth="1"/>
    <col min="14082" max="14082" width="16.875" style="487" customWidth="1"/>
    <col min="14083" max="14085" width="13.25" style="487" customWidth="1"/>
    <col min="14086" max="14086" width="9.125" style="487" customWidth="1"/>
    <col min="14087" max="14087" width="11.125" style="487" customWidth="1"/>
    <col min="14088" max="14088" width="13" style="487" customWidth="1"/>
    <col min="14089" max="14089" width="13.125" style="487" customWidth="1"/>
    <col min="14090" max="14091" width="0" style="487" hidden="1" customWidth="1"/>
    <col min="14092" max="14336" width="9" style="487"/>
    <col min="14337" max="14337" width="0" style="487" hidden="1" customWidth="1"/>
    <col min="14338" max="14338" width="16.875" style="487" customWidth="1"/>
    <col min="14339" max="14341" width="13.25" style="487" customWidth="1"/>
    <col min="14342" max="14342" width="9.125" style="487" customWidth="1"/>
    <col min="14343" max="14343" width="11.125" style="487" customWidth="1"/>
    <col min="14344" max="14344" width="13" style="487" customWidth="1"/>
    <col min="14345" max="14345" width="13.125" style="487" customWidth="1"/>
    <col min="14346" max="14347" width="0" style="487" hidden="1" customWidth="1"/>
    <col min="14348" max="14592" width="9" style="487"/>
    <col min="14593" max="14593" width="0" style="487" hidden="1" customWidth="1"/>
    <col min="14594" max="14594" width="16.875" style="487" customWidth="1"/>
    <col min="14595" max="14597" width="13.25" style="487" customWidth="1"/>
    <col min="14598" max="14598" width="9.125" style="487" customWidth="1"/>
    <col min="14599" max="14599" width="11.125" style="487" customWidth="1"/>
    <col min="14600" max="14600" width="13" style="487" customWidth="1"/>
    <col min="14601" max="14601" width="13.125" style="487" customWidth="1"/>
    <col min="14602" max="14603" width="0" style="487" hidden="1" customWidth="1"/>
    <col min="14604" max="14848" width="9" style="487"/>
    <col min="14849" max="14849" width="0" style="487" hidden="1" customWidth="1"/>
    <col min="14850" max="14850" width="16.875" style="487" customWidth="1"/>
    <col min="14851" max="14853" width="13.25" style="487" customWidth="1"/>
    <col min="14854" max="14854" width="9.125" style="487" customWidth="1"/>
    <col min="14855" max="14855" width="11.125" style="487" customWidth="1"/>
    <col min="14856" max="14856" width="13" style="487" customWidth="1"/>
    <col min="14857" max="14857" width="13.125" style="487" customWidth="1"/>
    <col min="14858" max="14859" width="0" style="487" hidden="1" customWidth="1"/>
    <col min="14860" max="15104" width="9" style="487"/>
    <col min="15105" max="15105" width="0" style="487" hidden="1" customWidth="1"/>
    <col min="15106" max="15106" width="16.875" style="487" customWidth="1"/>
    <col min="15107" max="15109" width="13.25" style="487" customWidth="1"/>
    <col min="15110" max="15110" width="9.125" style="487" customWidth="1"/>
    <col min="15111" max="15111" width="11.125" style="487" customWidth="1"/>
    <col min="15112" max="15112" width="13" style="487" customWidth="1"/>
    <col min="15113" max="15113" width="13.125" style="487" customWidth="1"/>
    <col min="15114" max="15115" width="0" style="487" hidden="1" customWidth="1"/>
    <col min="15116" max="15360" width="9" style="487"/>
    <col min="15361" max="15361" width="0" style="487" hidden="1" customWidth="1"/>
    <col min="15362" max="15362" width="16.875" style="487" customWidth="1"/>
    <col min="15363" max="15365" width="13.25" style="487" customWidth="1"/>
    <col min="15366" max="15366" width="9.125" style="487" customWidth="1"/>
    <col min="15367" max="15367" width="11.125" style="487" customWidth="1"/>
    <col min="15368" max="15368" width="13" style="487" customWidth="1"/>
    <col min="15369" max="15369" width="13.125" style="487" customWidth="1"/>
    <col min="15370" max="15371" width="0" style="487" hidden="1" customWidth="1"/>
    <col min="15372" max="15616" width="9" style="487"/>
    <col min="15617" max="15617" width="0" style="487" hidden="1" customWidth="1"/>
    <col min="15618" max="15618" width="16.875" style="487" customWidth="1"/>
    <col min="15619" max="15621" width="13.25" style="487" customWidth="1"/>
    <col min="15622" max="15622" width="9.125" style="487" customWidth="1"/>
    <col min="15623" max="15623" width="11.125" style="487" customWidth="1"/>
    <col min="15624" max="15624" width="13" style="487" customWidth="1"/>
    <col min="15625" max="15625" width="13.125" style="487" customWidth="1"/>
    <col min="15626" max="15627" width="0" style="487" hidden="1" customWidth="1"/>
    <col min="15628" max="15872" width="9" style="487"/>
    <col min="15873" max="15873" width="0" style="487" hidden="1" customWidth="1"/>
    <col min="15874" max="15874" width="16.875" style="487" customWidth="1"/>
    <col min="15875" max="15877" width="13.25" style="487" customWidth="1"/>
    <col min="15878" max="15878" width="9.125" style="487" customWidth="1"/>
    <col min="15879" max="15879" width="11.125" style="487" customWidth="1"/>
    <col min="15880" max="15880" width="13" style="487" customWidth="1"/>
    <col min="15881" max="15881" width="13.125" style="487" customWidth="1"/>
    <col min="15882" max="15883" width="0" style="487" hidden="1" customWidth="1"/>
    <col min="15884" max="16128" width="9" style="487"/>
    <col min="16129" max="16129" width="0" style="487" hidden="1" customWidth="1"/>
    <col min="16130" max="16130" width="16.875" style="487" customWidth="1"/>
    <col min="16131" max="16133" width="13.25" style="487" customWidth="1"/>
    <col min="16134" max="16134" width="9.125" style="487" customWidth="1"/>
    <col min="16135" max="16135" width="11.125" style="487" customWidth="1"/>
    <col min="16136" max="16136" width="13" style="487" customWidth="1"/>
    <col min="16137" max="16137" width="13.125" style="487" customWidth="1"/>
    <col min="16138" max="16139" width="0" style="487" hidden="1" customWidth="1"/>
    <col min="16140" max="16384" width="9" style="487"/>
  </cols>
  <sheetData>
    <row r="1" spans="1:10">
      <c r="B1" s="741" t="s">
        <v>525</v>
      </c>
    </row>
    <row r="3" spans="1:10" ht="26.25">
      <c r="A3" s="516"/>
      <c r="B3" s="1027" t="s">
        <v>434</v>
      </c>
      <c r="C3" s="1027"/>
      <c r="D3" s="1027"/>
      <c r="E3" s="1027"/>
      <c r="F3" s="1027"/>
      <c r="G3" s="1027"/>
      <c r="H3" s="516"/>
      <c r="I3" s="516"/>
      <c r="J3" s="516"/>
    </row>
    <row r="4" spans="1:10" s="647" customFormat="1" ht="18" customHeight="1">
      <c r="A4" s="593"/>
      <c r="B4" s="1028" t="s">
        <v>1384</v>
      </c>
      <c r="C4" s="1028"/>
      <c r="D4" s="1028"/>
      <c r="E4" s="1028"/>
      <c r="F4" s="1028"/>
      <c r="G4" s="1028"/>
      <c r="H4" s="1028"/>
      <c r="I4" s="1028"/>
      <c r="J4" s="593"/>
    </row>
    <row r="5" spans="1:10" s="647" customFormat="1" ht="18" customHeight="1">
      <c r="A5" s="593"/>
      <c r="B5" s="762" t="s">
        <v>387</v>
      </c>
      <c r="C5" s="1029" t="s">
        <v>1169</v>
      </c>
      <c r="D5" s="1029"/>
      <c r="E5" s="1030" t="s">
        <v>388</v>
      </c>
      <c r="F5" s="1030"/>
      <c r="G5" s="1029" t="s">
        <v>428</v>
      </c>
      <c r="H5" s="1029"/>
      <c r="I5" s="1029"/>
      <c r="J5" s="593"/>
    </row>
    <row r="6" spans="1:10" s="647" customFormat="1" ht="18" customHeight="1">
      <c r="A6" s="593"/>
      <c r="B6" s="762" t="s">
        <v>389</v>
      </c>
      <c r="C6" s="1029" t="s">
        <v>1383</v>
      </c>
      <c r="D6" s="1029"/>
      <c r="E6" s="1030" t="s">
        <v>435</v>
      </c>
      <c r="F6" s="1030"/>
      <c r="G6" s="1032">
        <v>801</v>
      </c>
      <c r="H6" s="1032"/>
      <c r="I6" s="1032"/>
      <c r="J6" s="593"/>
    </row>
    <row r="7" spans="1:10" s="647" customFormat="1" ht="18" customHeight="1">
      <c r="A7" s="593"/>
      <c r="B7" s="762" t="s">
        <v>412</v>
      </c>
      <c r="C7" s="1029" t="s">
        <v>1385</v>
      </c>
      <c r="D7" s="1029"/>
      <c r="E7" s="1030" t="s">
        <v>436</v>
      </c>
      <c r="F7" s="1030"/>
      <c r="G7" s="1032">
        <v>801</v>
      </c>
      <c r="H7" s="1032"/>
      <c r="I7" s="1032"/>
      <c r="J7" s="593"/>
    </row>
    <row r="8" spans="1:10" s="647" customFormat="1" ht="18" customHeight="1">
      <c r="A8" s="593"/>
      <c r="B8" s="1031" t="s">
        <v>437</v>
      </c>
      <c r="C8" s="1031"/>
      <c r="D8" s="1031"/>
      <c r="E8" s="1031"/>
      <c r="F8" s="1031"/>
      <c r="G8" s="1031"/>
      <c r="H8" s="1031"/>
      <c r="I8" s="765" t="s">
        <v>390</v>
      </c>
      <c r="J8" s="593"/>
    </row>
    <row r="9" spans="1:10" s="647" customFormat="1" ht="18" customHeight="1">
      <c r="A9" s="593"/>
      <c r="B9" s="763" t="s">
        <v>166</v>
      </c>
      <c r="C9" s="763" t="s">
        <v>391</v>
      </c>
      <c r="D9" s="763" t="s">
        <v>392</v>
      </c>
      <c r="E9" s="763" t="s">
        <v>168</v>
      </c>
      <c r="F9" s="763" t="s">
        <v>393</v>
      </c>
      <c r="G9" s="763" t="s">
        <v>394</v>
      </c>
      <c r="H9" s="763" t="s">
        <v>395</v>
      </c>
      <c r="I9" s="763" t="s">
        <v>396</v>
      </c>
      <c r="J9" s="593"/>
    </row>
    <row r="10" spans="1:10" s="647" customFormat="1" ht="18" customHeight="1">
      <c r="A10" s="593"/>
      <c r="B10" s="763" t="s">
        <v>991</v>
      </c>
      <c r="C10" s="698" t="s">
        <v>399</v>
      </c>
      <c r="D10" s="764">
        <v>1</v>
      </c>
      <c r="E10" s="711">
        <v>801</v>
      </c>
      <c r="F10" s="763" t="s">
        <v>594</v>
      </c>
      <c r="G10" s="763" t="s">
        <v>399</v>
      </c>
      <c r="H10" s="763" t="s">
        <v>992</v>
      </c>
      <c r="I10" s="763" t="s">
        <v>399</v>
      </c>
      <c r="J10" s="593"/>
    </row>
    <row r="11" spans="1:10" s="647" customFormat="1" ht="47.25" customHeight="1">
      <c r="A11" s="593"/>
      <c r="B11" s="1026" t="s">
        <v>397</v>
      </c>
      <c r="C11" s="1026"/>
      <c r="D11" s="1026"/>
      <c r="E11" s="1026"/>
      <c r="F11" s="1026"/>
      <c r="G11" s="1026"/>
      <c r="H11" s="1026"/>
      <c r="I11" s="1026"/>
      <c r="J11" s="593"/>
    </row>
  </sheetData>
  <mergeCells count="13">
    <mergeCell ref="B3:G3"/>
    <mergeCell ref="B4:I4"/>
    <mergeCell ref="B8:H8"/>
    <mergeCell ref="B11:I11"/>
    <mergeCell ref="C5:D5"/>
    <mergeCell ref="G5:I5"/>
    <mergeCell ref="C6:D6"/>
    <mergeCell ref="G6:I6"/>
    <mergeCell ref="C7:D7"/>
    <mergeCell ref="G7:I7"/>
    <mergeCell ref="E7:F7"/>
    <mergeCell ref="E6:F6"/>
    <mergeCell ref="E5:F5"/>
  </mergeCells>
  <phoneticPr fontId="11" type="noConversion"/>
  <printOptions horizontalCentered="1"/>
  <pageMargins left="0.31496062992125984" right="0.31496062992125984" top="0.55118110236220474" bottom="0.35433070866141736" header="0.31496062992125984" footer="0.31496062992125984"/>
  <pageSetup paperSize="9" fitToHeight="0"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4"/>
  <sheetViews>
    <sheetView workbookViewId="0">
      <selection activeCell="K27" sqref="K27"/>
    </sheetView>
  </sheetViews>
  <sheetFormatPr defaultRowHeight="16.5"/>
  <cols>
    <col min="1" max="1" width="4.25" style="766" customWidth="1"/>
    <col min="2" max="2" width="19.25" style="766" customWidth="1"/>
    <col min="3" max="3" width="9.5" style="766" customWidth="1"/>
    <col min="4" max="5" width="11.125" style="766" customWidth="1"/>
    <col min="6" max="7" width="13.125" style="766" customWidth="1"/>
    <col min="8" max="8" width="10" style="766" customWidth="1"/>
    <col min="9" max="9" width="18.25" style="766" customWidth="1"/>
    <col min="10" max="256" width="9" style="766"/>
    <col min="257" max="257" width="4.25" style="766" customWidth="1"/>
    <col min="258" max="258" width="19.25" style="766" customWidth="1"/>
    <col min="259" max="259" width="9.5" style="766" customWidth="1"/>
    <col min="260" max="261" width="11.125" style="766" customWidth="1"/>
    <col min="262" max="263" width="13.125" style="766" customWidth="1"/>
    <col min="264" max="264" width="10" style="766" customWidth="1"/>
    <col min="265" max="265" width="18.25" style="766" customWidth="1"/>
    <col min="266" max="512" width="9" style="766"/>
    <col min="513" max="513" width="4.25" style="766" customWidth="1"/>
    <col min="514" max="514" width="19.25" style="766" customWidth="1"/>
    <col min="515" max="515" width="9.5" style="766" customWidth="1"/>
    <col min="516" max="517" width="11.125" style="766" customWidth="1"/>
    <col min="518" max="519" width="13.125" style="766" customWidth="1"/>
    <col min="520" max="520" width="10" style="766" customWidth="1"/>
    <col min="521" max="521" width="18.25" style="766" customWidth="1"/>
    <col min="522" max="768" width="9" style="766"/>
    <col min="769" max="769" width="4.25" style="766" customWidth="1"/>
    <col min="770" max="770" width="19.25" style="766" customWidth="1"/>
    <col min="771" max="771" width="9.5" style="766" customWidth="1"/>
    <col min="772" max="773" width="11.125" style="766" customWidth="1"/>
    <col min="774" max="775" width="13.125" style="766" customWidth="1"/>
    <col min="776" max="776" width="10" style="766" customWidth="1"/>
    <col min="777" max="777" width="18.25" style="766" customWidth="1"/>
    <col min="778" max="1024" width="9" style="766"/>
    <col min="1025" max="1025" width="4.25" style="766" customWidth="1"/>
    <col min="1026" max="1026" width="19.25" style="766" customWidth="1"/>
    <col min="1027" max="1027" width="9.5" style="766" customWidth="1"/>
    <col min="1028" max="1029" width="11.125" style="766" customWidth="1"/>
    <col min="1030" max="1031" width="13.125" style="766" customWidth="1"/>
    <col min="1032" max="1032" width="10" style="766" customWidth="1"/>
    <col min="1033" max="1033" width="18.25" style="766" customWidth="1"/>
    <col min="1034" max="1280" width="9" style="766"/>
    <col min="1281" max="1281" width="4.25" style="766" customWidth="1"/>
    <col min="1282" max="1282" width="19.25" style="766" customWidth="1"/>
    <col min="1283" max="1283" width="9.5" style="766" customWidth="1"/>
    <col min="1284" max="1285" width="11.125" style="766" customWidth="1"/>
    <col min="1286" max="1287" width="13.125" style="766" customWidth="1"/>
    <col min="1288" max="1288" width="10" style="766" customWidth="1"/>
    <col min="1289" max="1289" width="18.25" style="766" customWidth="1"/>
    <col min="1290" max="1536" width="9" style="766"/>
    <col min="1537" max="1537" width="4.25" style="766" customWidth="1"/>
    <col min="1538" max="1538" width="19.25" style="766" customWidth="1"/>
    <col min="1539" max="1539" width="9.5" style="766" customWidth="1"/>
    <col min="1540" max="1541" width="11.125" style="766" customWidth="1"/>
    <col min="1542" max="1543" width="13.125" style="766" customWidth="1"/>
    <col min="1544" max="1544" width="10" style="766" customWidth="1"/>
    <col min="1545" max="1545" width="18.25" style="766" customWidth="1"/>
    <col min="1546" max="1792" width="9" style="766"/>
    <col min="1793" max="1793" width="4.25" style="766" customWidth="1"/>
    <col min="1794" max="1794" width="19.25" style="766" customWidth="1"/>
    <col min="1795" max="1795" width="9.5" style="766" customWidth="1"/>
    <col min="1796" max="1797" width="11.125" style="766" customWidth="1"/>
    <col min="1798" max="1799" width="13.125" style="766" customWidth="1"/>
    <col min="1800" max="1800" width="10" style="766" customWidth="1"/>
    <col min="1801" max="1801" width="18.25" style="766" customWidth="1"/>
    <col min="1802" max="2048" width="9" style="766"/>
    <col min="2049" max="2049" width="4.25" style="766" customWidth="1"/>
    <col min="2050" max="2050" width="19.25" style="766" customWidth="1"/>
    <col min="2051" max="2051" width="9.5" style="766" customWidth="1"/>
    <col min="2052" max="2053" width="11.125" style="766" customWidth="1"/>
    <col min="2054" max="2055" width="13.125" style="766" customWidth="1"/>
    <col min="2056" max="2056" width="10" style="766" customWidth="1"/>
    <col min="2057" max="2057" width="18.25" style="766" customWidth="1"/>
    <col min="2058" max="2304" width="9" style="766"/>
    <col min="2305" max="2305" width="4.25" style="766" customWidth="1"/>
    <col min="2306" max="2306" width="19.25" style="766" customWidth="1"/>
    <col min="2307" max="2307" width="9.5" style="766" customWidth="1"/>
    <col min="2308" max="2309" width="11.125" style="766" customWidth="1"/>
    <col min="2310" max="2311" width="13.125" style="766" customWidth="1"/>
    <col min="2312" max="2312" width="10" style="766" customWidth="1"/>
    <col min="2313" max="2313" width="18.25" style="766" customWidth="1"/>
    <col min="2314" max="2560" width="9" style="766"/>
    <col min="2561" max="2561" width="4.25" style="766" customWidth="1"/>
    <col min="2562" max="2562" width="19.25" style="766" customWidth="1"/>
    <col min="2563" max="2563" width="9.5" style="766" customWidth="1"/>
    <col min="2564" max="2565" width="11.125" style="766" customWidth="1"/>
    <col min="2566" max="2567" width="13.125" style="766" customWidth="1"/>
    <col min="2568" max="2568" width="10" style="766" customWidth="1"/>
    <col min="2569" max="2569" width="18.25" style="766" customWidth="1"/>
    <col min="2570" max="2816" width="9" style="766"/>
    <col min="2817" max="2817" width="4.25" style="766" customWidth="1"/>
    <col min="2818" max="2818" width="19.25" style="766" customWidth="1"/>
    <col min="2819" max="2819" width="9.5" style="766" customWidth="1"/>
    <col min="2820" max="2821" width="11.125" style="766" customWidth="1"/>
    <col min="2822" max="2823" width="13.125" style="766" customWidth="1"/>
    <col min="2824" max="2824" width="10" style="766" customWidth="1"/>
    <col min="2825" max="2825" width="18.25" style="766" customWidth="1"/>
    <col min="2826" max="3072" width="9" style="766"/>
    <col min="3073" max="3073" width="4.25" style="766" customWidth="1"/>
    <col min="3074" max="3074" width="19.25" style="766" customWidth="1"/>
    <col min="3075" max="3075" width="9.5" style="766" customWidth="1"/>
    <col min="3076" max="3077" width="11.125" style="766" customWidth="1"/>
    <col min="3078" max="3079" width="13.125" style="766" customWidth="1"/>
    <col min="3080" max="3080" width="10" style="766" customWidth="1"/>
    <col min="3081" max="3081" width="18.25" style="766" customWidth="1"/>
    <col min="3082" max="3328" width="9" style="766"/>
    <col min="3329" max="3329" width="4.25" style="766" customWidth="1"/>
    <col min="3330" max="3330" width="19.25" style="766" customWidth="1"/>
    <col min="3331" max="3331" width="9.5" style="766" customWidth="1"/>
    <col min="3332" max="3333" width="11.125" style="766" customWidth="1"/>
    <col min="3334" max="3335" width="13.125" style="766" customWidth="1"/>
    <col min="3336" max="3336" width="10" style="766" customWidth="1"/>
    <col min="3337" max="3337" width="18.25" style="766" customWidth="1"/>
    <col min="3338" max="3584" width="9" style="766"/>
    <col min="3585" max="3585" width="4.25" style="766" customWidth="1"/>
    <col min="3586" max="3586" width="19.25" style="766" customWidth="1"/>
    <col min="3587" max="3587" width="9.5" style="766" customWidth="1"/>
    <col min="3588" max="3589" width="11.125" style="766" customWidth="1"/>
    <col min="3590" max="3591" width="13.125" style="766" customWidth="1"/>
    <col min="3592" max="3592" width="10" style="766" customWidth="1"/>
    <col min="3593" max="3593" width="18.25" style="766" customWidth="1"/>
    <col min="3594" max="3840" width="9" style="766"/>
    <col min="3841" max="3841" width="4.25" style="766" customWidth="1"/>
    <col min="3842" max="3842" width="19.25" style="766" customWidth="1"/>
    <col min="3843" max="3843" width="9.5" style="766" customWidth="1"/>
    <col min="3844" max="3845" width="11.125" style="766" customWidth="1"/>
    <col min="3846" max="3847" width="13.125" style="766" customWidth="1"/>
    <col min="3848" max="3848" width="10" style="766" customWidth="1"/>
    <col min="3849" max="3849" width="18.25" style="766" customWidth="1"/>
    <col min="3850" max="4096" width="9" style="766"/>
    <col min="4097" max="4097" width="4.25" style="766" customWidth="1"/>
    <col min="4098" max="4098" width="19.25" style="766" customWidth="1"/>
    <col min="4099" max="4099" width="9.5" style="766" customWidth="1"/>
    <col min="4100" max="4101" width="11.125" style="766" customWidth="1"/>
    <col min="4102" max="4103" width="13.125" style="766" customWidth="1"/>
    <col min="4104" max="4104" width="10" style="766" customWidth="1"/>
    <col min="4105" max="4105" width="18.25" style="766" customWidth="1"/>
    <col min="4106" max="4352" width="9" style="766"/>
    <col min="4353" max="4353" width="4.25" style="766" customWidth="1"/>
    <col min="4354" max="4354" width="19.25" style="766" customWidth="1"/>
    <col min="4355" max="4355" width="9.5" style="766" customWidth="1"/>
    <col min="4356" max="4357" width="11.125" style="766" customWidth="1"/>
    <col min="4358" max="4359" width="13.125" style="766" customWidth="1"/>
    <col min="4360" max="4360" width="10" style="766" customWidth="1"/>
    <col min="4361" max="4361" width="18.25" style="766" customWidth="1"/>
    <col min="4362" max="4608" width="9" style="766"/>
    <col min="4609" max="4609" width="4.25" style="766" customWidth="1"/>
    <col min="4610" max="4610" width="19.25" style="766" customWidth="1"/>
    <col min="4611" max="4611" width="9.5" style="766" customWidth="1"/>
    <col min="4612" max="4613" width="11.125" style="766" customWidth="1"/>
    <col min="4614" max="4615" width="13.125" style="766" customWidth="1"/>
    <col min="4616" max="4616" width="10" style="766" customWidth="1"/>
    <col min="4617" max="4617" width="18.25" style="766" customWidth="1"/>
    <col min="4618" max="4864" width="9" style="766"/>
    <col min="4865" max="4865" width="4.25" style="766" customWidth="1"/>
    <col min="4866" max="4866" width="19.25" style="766" customWidth="1"/>
    <col min="4867" max="4867" width="9.5" style="766" customWidth="1"/>
    <col min="4868" max="4869" width="11.125" style="766" customWidth="1"/>
    <col min="4870" max="4871" width="13.125" style="766" customWidth="1"/>
    <col min="4872" max="4872" width="10" style="766" customWidth="1"/>
    <col min="4873" max="4873" width="18.25" style="766" customWidth="1"/>
    <col min="4874" max="5120" width="9" style="766"/>
    <col min="5121" max="5121" width="4.25" style="766" customWidth="1"/>
    <col min="5122" max="5122" width="19.25" style="766" customWidth="1"/>
    <col min="5123" max="5123" width="9.5" style="766" customWidth="1"/>
    <col min="5124" max="5125" width="11.125" style="766" customWidth="1"/>
    <col min="5126" max="5127" width="13.125" style="766" customWidth="1"/>
    <col min="5128" max="5128" width="10" style="766" customWidth="1"/>
    <col min="5129" max="5129" width="18.25" style="766" customWidth="1"/>
    <col min="5130" max="5376" width="9" style="766"/>
    <col min="5377" max="5377" width="4.25" style="766" customWidth="1"/>
    <col min="5378" max="5378" width="19.25" style="766" customWidth="1"/>
    <col min="5379" max="5379" width="9.5" style="766" customWidth="1"/>
    <col min="5380" max="5381" width="11.125" style="766" customWidth="1"/>
    <col min="5382" max="5383" width="13.125" style="766" customWidth="1"/>
    <col min="5384" max="5384" width="10" style="766" customWidth="1"/>
    <col min="5385" max="5385" width="18.25" style="766" customWidth="1"/>
    <col min="5386" max="5632" width="9" style="766"/>
    <col min="5633" max="5633" width="4.25" style="766" customWidth="1"/>
    <col min="5634" max="5634" width="19.25" style="766" customWidth="1"/>
    <col min="5635" max="5635" width="9.5" style="766" customWidth="1"/>
    <col min="5636" max="5637" width="11.125" style="766" customWidth="1"/>
    <col min="5638" max="5639" width="13.125" style="766" customWidth="1"/>
    <col min="5640" max="5640" width="10" style="766" customWidth="1"/>
    <col min="5641" max="5641" width="18.25" style="766" customWidth="1"/>
    <col min="5642" max="5888" width="9" style="766"/>
    <col min="5889" max="5889" width="4.25" style="766" customWidth="1"/>
    <col min="5890" max="5890" width="19.25" style="766" customWidth="1"/>
    <col min="5891" max="5891" width="9.5" style="766" customWidth="1"/>
    <col min="5892" max="5893" width="11.125" style="766" customWidth="1"/>
    <col min="5894" max="5895" width="13.125" style="766" customWidth="1"/>
    <col min="5896" max="5896" width="10" style="766" customWidth="1"/>
    <col min="5897" max="5897" width="18.25" style="766" customWidth="1"/>
    <col min="5898" max="6144" width="9" style="766"/>
    <col min="6145" max="6145" width="4.25" style="766" customWidth="1"/>
    <col min="6146" max="6146" width="19.25" style="766" customWidth="1"/>
    <col min="6147" max="6147" width="9.5" style="766" customWidth="1"/>
    <col min="6148" max="6149" width="11.125" style="766" customWidth="1"/>
    <col min="6150" max="6151" width="13.125" style="766" customWidth="1"/>
    <col min="6152" max="6152" width="10" style="766" customWidth="1"/>
    <col min="6153" max="6153" width="18.25" style="766" customWidth="1"/>
    <col min="6154" max="6400" width="9" style="766"/>
    <col min="6401" max="6401" width="4.25" style="766" customWidth="1"/>
    <col min="6402" max="6402" width="19.25" style="766" customWidth="1"/>
    <col min="6403" max="6403" width="9.5" style="766" customWidth="1"/>
    <col min="6404" max="6405" width="11.125" style="766" customWidth="1"/>
    <col min="6406" max="6407" width="13.125" style="766" customWidth="1"/>
    <col min="6408" max="6408" width="10" style="766" customWidth="1"/>
    <col min="6409" max="6409" width="18.25" style="766" customWidth="1"/>
    <col min="6410" max="6656" width="9" style="766"/>
    <col min="6657" max="6657" width="4.25" style="766" customWidth="1"/>
    <col min="6658" max="6658" width="19.25" style="766" customWidth="1"/>
    <col min="6659" max="6659" width="9.5" style="766" customWidth="1"/>
    <col min="6660" max="6661" width="11.125" style="766" customWidth="1"/>
    <col min="6662" max="6663" width="13.125" style="766" customWidth="1"/>
    <col min="6664" max="6664" width="10" style="766" customWidth="1"/>
    <col min="6665" max="6665" width="18.25" style="766" customWidth="1"/>
    <col min="6666" max="6912" width="9" style="766"/>
    <col min="6913" max="6913" width="4.25" style="766" customWidth="1"/>
    <col min="6914" max="6914" width="19.25" style="766" customWidth="1"/>
    <col min="6915" max="6915" width="9.5" style="766" customWidth="1"/>
    <col min="6916" max="6917" width="11.125" style="766" customWidth="1"/>
    <col min="6918" max="6919" width="13.125" style="766" customWidth="1"/>
    <col min="6920" max="6920" width="10" style="766" customWidth="1"/>
    <col min="6921" max="6921" width="18.25" style="766" customWidth="1"/>
    <col min="6922" max="7168" width="9" style="766"/>
    <col min="7169" max="7169" width="4.25" style="766" customWidth="1"/>
    <col min="7170" max="7170" width="19.25" style="766" customWidth="1"/>
    <col min="7171" max="7171" width="9.5" style="766" customWidth="1"/>
    <col min="7172" max="7173" width="11.125" style="766" customWidth="1"/>
    <col min="7174" max="7175" width="13.125" style="766" customWidth="1"/>
    <col min="7176" max="7176" width="10" style="766" customWidth="1"/>
    <col min="7177" max="7177" width="18.25" style="766" customWidth="1"/>
    <col min="7178" max="7424" width="9" style="766"/>
    <col min="7425" max="7425" width="4.25" style="766" customWidth="1"/>
    <col min="7426" max="7426" width="19.25" style="766" customWidth="1"/>
    <col min="7427" max="7427" width="9.5" style="766" customWidth="1"/>
    <col min="7428" max="7429" width="11.125" style="766" customWidth="1"/>
    <col min="7430" max="7431" width="13.125" style="766" customWidth="1"/>
    <col min="7432" max="7432" width="10" style="766" customWidth="1"/>
    <col min="7433" max="7433" width="18.25" style="766" customWidth="1"/>
    <col min="7434" max="7680" width="9" style="766"/>
    <col min="7681" max="7681" width="4.25" style="766" customWidth="1"/>
    <col min="7682" max="7682" width="19.25" style="766" customWidth="1"/>
    <col min="7683" max="7683" width="9.5" style="766" customWidth="1"/>
    <col min="7684" max="7685" width="11.125" style="766" customWidth="1"/>
    <col min="7686" max="7687" width="13.125" style="766" customWidth="1"/>
    <col min="7688" max="7688" width="10" style="766" customWidth="1"/>
    <col min="7689" max="7689" width="18.25" style="766" customWidth="1"/>
    <col min="7690" max="7936" width="9" style="766"/>
    <col min="7937" max="7937" width="4.25" style="766" customWidth="1"/>
    <col min="7938" max="7938" width="19.25" style="766" customWidth="1"/>
    <col min="7939" max="7939" width="9.5" style="766" customWidth="1"/>
    <col min="7940" max="7941" width="11.125" style="766" customWidth="1"/>
    <col min="7942" max="7943" width="13.125" style="766" customWidth="1"/>
    <col min="7944" max="7944" width="10" style="766" customWidth="1"/>
    <col min="7945" max="7945" width="18.25" style="766" customWidth="1"/>
    <col min="7946" max="8192" width="9" style="766"/>
    <col min="8193" max="8193" width="4.25" style="766" customWidth="1"/>
    <col min="8194" max="8194" width="19.25" style="766" customWidth="1"/>
    <col min="8195" max="8195" width="9.5" style="766" customWidth="1"/>
    <col min="8196" max="8197" width="11.125" style="766" customWidth="1"/>
    <col min="8198" max="8199" width="13.125" style="766" customWidth="1"/>
    <col min="8200" max="8200" width="10" style="766" customWidth="1"/>
    <col min="8201" max="8201" width="18.25" style="766" customWidth="1"/>
    <col min="8202" max="8448" width="9" style="766"/>
    <col min="8449" max="8449" width="4.25" style="766" customWidth="1"/>
    <col min="8450" max="8450" width="19.25" style="766" customWidth="1"/>
    <col min="8451" max="8451" width="9.5" style="766" customWidth="1"/>
    <col min="8452" max="8453" width="11.125" style="766" customWidth="1"/>
    <col min="8454" max="8455" width="13.125" style="766" customWidth="1"/>
    <col min="8456" max="8456" width="10" style="766" customWidth="1"/>
    <col min="8457" max="8457" width="18.25" style="766" customWidth="1"/>
    <col min="8458" max="8704" width="9" style="766"/>
    <col min="8705" max="8705" width="4.25" style="766" customWidth="1"/>
    <col min="8706" max="8706" width="19.25" style="766" customWidth="1"/>
    <col min="8707" max="8707" width="9.5" style="766" customWidth="1"/>
    <col min="8708" max="8709" width="11.125" style="766" customWidth="1"/>
    <col min="8710" max="8711" width="13.125" style="766" customWidth="1"/>
    <col min="8712" max="8712" width="10" style="766" customWidth="1"/>
    <col min="8713" max="8713" width="18.25" style="766" customWidth="1"/>
    <col min="8714" max="8960" width="9" style="766"/>
    <col min="8961" max="8961" width="4.25" style="766" customWidth="1"/>
    <col min="8962" max="8962" width="19.25" style="766" customWidth="1"/>
    <col min="8963" max="8963" width="9.5" style="766" customWidth="1"/>
    <col min="8964" max="8965" width="11.125" style="766" customWidth="1"/>
    <col min="8966" max="8967" width="13.125" style="766" customWidth="1"/>
    <col min="8968" max="8968" width="10" style="766" customWidth="1"/>
    <col min="8969" max="8969" width="18.25" style="766" customWidth="1"/>
    <col min="8970" max="9216" width="9" style="766"/>
    <col min="9217" max="9217" width="4.25" style="766" customWidth="1"/>
    <col min="9218" max="9218" width="19.25" style="766" customWidth="1"/>
    <col min="9219" max="9219" width="9.5" style="766" customWidth="1"/>
    <col min="9220" max="9221" width="11.125" style="766" customWidth="1"/>
    <col min="9222" max="9223" width="13.125" style="766" customWidth="1"/>
    <col min="9224" max="9224" width="10" style="766" customWidth="1"/>
    <col min="9225" max="9225" width="18.25" style="766" customWidth="1"/>
    <col min="9226" max="9472" width="9" style="766"/>
    <col min="9473" max="9473" width="4.25" style="766" customWidth="1"/>
    <col min="9474" max="9474" width="19.25" style="766" customWidth="1"/>
    <col min="9475" max="9475" width="9.5" style="766" customWidth="1"/>
    <col min="9476" max="9477" width="11.125" style="766" customWidth="1"/>
    <col min="9478" max="9479" width="13.125" style="766" customWidth="1"/>
    <col min="9480" max="9480" width="10" style="766" customWidth="1"/>
    <col min="9481" max="9481" width="18.25" style="766" customWidth="1"/>
    <col min="9482" max="9728" width="9" style="766"/>
    <col min="9729" max="9729" width="4.25" style="766" customWidth="1"/>
    <col min="9730" max="9730" width="19.25" style="766" customWidth="1"/>
    <col min="9731" max="9731" width="9.5" style="766" customWidth="1"/>
    <col min="9732" max="9733" width="11.125" style="766" customWidth="1"/>
    <col min="9734" max="9735" width="13.125" style="766" customWidth="1"/>
    <col min="9736" max="9736" width="10" style="766" customWidth="1"/>
    <col min="9737" max="9737" width="18.25" style="766" customWidth="1"/>
    <col min="9738" max="9984" width="9" style="766"/>
    <col min="9985" max="9985" width="4.25" style="766" customWidth="1"/>
    <col min="9986" max="9986" width="19.25" style="766" customWidth="1"/>
    <col min="9987" max="9987" width="9.5" style="766" customWidth="1"/>
    <col min="9988" max="9989" width="11.125" style="766" customWidth="1"/>
    <col min="9990" max="9991" width="13.125" style="766" customWidth="1"/>
    <col min="9992" max="9992" width="10" style="766" customWidth="1"/>
    <col min="9993" max="9993" width="18.25" style="766" customWidth="1"/>
    <col min="9994" max="10240" width="9" style="766"/>
    <col min="10241" max="10241" width="4.25" style="766" customWidth="1"/>
    <col min="10242" max="10242" width="19.25" style="766" customWidth="1"/>
    <col min="10243" max="10243" width="9.5" style="766" customWidth="1"/>
    <col min="10244" max="10245" width="11.125" style="766" customWidth="1"/>
    <col min="10246" max="10247" width="13.125" style="766" customWidth="1"/>
    <col min="10248" max="10248" width="10" style="766" customWidth="1"/>
    <col min="10249" max="10249" width="18.25" style="766" customWidth="1"/>
    <col min="10250" max="10496" width="9" style="766"/>
    <col min="10497" max="10497" width="4.25" style="766" customWidth="1"/>
    <col min="10498" max="10498" width="19.25" style="766" customWidth="1"/>
    <col min="10499" max="10499" width="9.5" style="766" customWidth="1"/>
    <col min="10500" max="10501" width="11.125" style="766" customWidth="1"/>
    <col min="10502" max="10503" width="13.125" style="766" customWidth="1"/>
    <col min="10504" max="10504" width="10" style="766" customWidth="1"/>
    <col min="10505" max="10505" width="18.25" style="766" customWidth="1"/>
    <col min="10506" max="10752" width="9" style="766"/>
    <col min="10753" max="10753" width="4.25" style="766" customWidth="1"/>
    <col min="10754" max="10754" width="19.25" style="766" customWidth="1"/>
    <col min="10755" max="10755" width="9.5" style="766" customWidth="1"/>
    <col min="10756" max="10757" width="11.125" style="766" customWidth="1"/>
    <col min="10758" max="10759" width="13.125" style="766" customWidth="1"/>
    <col min="10760" max="10760" width="10" style="766" customWidth="1"/>
    <col min="10761" max="10761" width="18.25" style="766" customWidth="1"/>
    <col min="10762" max="11008" width="9" style="766"/>
    <col min="11009" max="11009" width="4.25" style="766" customWidth="1"/>
    <col min="11010" max="11010" width="19.25" style="766" customWidth="1"/>
    <col min="11011" max="11011" width="9.5" style="766" customWidth="1"/>
    <col min="11012" max="11013" width="11.125" style="766" customWidth="1"/>
    <col min="11014" max="11015" width="13.125" style="766" customWidth="1"/>
    <col min="11016" max="11016" width="10" style="766" customWidth="1"/>
    <col min="11017" max="11017" width="18.25" style="766" customWidth="1"/>
    <col min="11018" max="11264" width="9" style="766"/>
    <col min="11265" max="11265" width="4.25" style="766" customWidth="1"/>
    <col min="11266" max="11266" width="19.25" style="766" customWidth="1"/>
    <col min="11267" max="11267" width="9.5" style="766" customWidth="1"/>
    <col min="11268" max="11269" width="11.125" style="766" customWidth="1"/>
    <col min="11270" max="11271" width="13.125" style="766" customWidth="1"/>
    <col min="11272" max="11272" width="10" style="766" customWidth="1"/>
    <col min="11273" max="11273" width="18.25" style="766" customWidth="1"/>
    <col min="11274" max="11520" width="9" style="766"/>
    <col min="11521" max="11521" width="4.25" style="766" customWidth="1"/>
    <col min="11522" max="11522" width="19.25" style="766" customWidth="1"/>
    <col min="11523" max="11523" width="9.5" style="766" customWidth="1"/>
    <col min="11524" max="11525" width="11.125" style="766" customWidth="1"/>
    <col min="11526" max="11527" width="13.125" style="766" customWidth="1"/>
    <col min="11528" max="11528" width="10" style="766" customWidth="1"/>
    <col min="11529" max="11529" width="18.25" style="766" customWidth="1"/>
    <col min="11530" max="11776" width="9" style="766"/>
    <col min="11777" max="11777" width="4.25" style="766" customWidth="1"/>
    <col min="11778" max="11778" width="19.25" style="766" customWidth="1"/>
    <col min="11779" max="11779" width="9.5" style="766" customWidth="1"/>
    <col min="11780" max="11781" width="11.125" style="766" customWidth="1"/>
    <col min="11782" max="11783" width="13.125" style="766" customWidth="1"/>
    <col min="11784" max="11784" width="10" style="766" customWidth="1"/>
    <col min="11785" max="11785" width="18.25" style="766" customWidth="1"/>
    <col min="11786" max="12032" width="9" style="766"/>
    <col min="12033" max="12033" width="4.25" style="766" customWidth="1"/>
    <col min="12034" max="12034" width="19.25" style="766" customWidth="1"/>
    <col min="12035" max="12035" width="9.5" style="766" customWidth="1"/>
    <col min="12036" max="12037" width="11.125" style="766" customWidth="1"/>
    <col min="12038" max="12039" width="13.125" style="766" customWidth="1"/>
    <col min="12040" max="12040" width="10" style="766" customWidth="1"/>
    <col min="12041" max="12041" width="18.25" style="766" customWidth="1"/>
    <col min="12042" max="12288" width="9" style="766"/>
    <col min="12289" max="12289" width="4.25" style="766" customWidth="1"/>
    <col min="12290" max="12290" width="19.25" style="766" customWidth="1"/>
    <col min="12291" max="12291" width="9.5" style="766" customWidth="1"/>
    <col min="12292" max="12293" width="11.125" style="766" customWidth="1"/>
    <col min="12294" max="12295" width="13.125" style="766" customWidth="1"/>
    <col min="12296" max="12296" width="10" style="766" customWidth="1"/>
    <col min="12297" max="12297" width="18.25" style="766" customWidth="1"/>
    <col min="12298" max="12544" width="9" style="766"/>
    <col min="12545" max="12545" width="4.25" style="766" customWidth="1"/>
    <col min="12546" max="12546" width="19.25" style="766" customWidth="1"/>
    <col min="12547" max="12547" width="9.5" style="766" customWidth="1"/>
    <col min="12548" max="12549" width="11.125" style="766" customWidth="1"/>
    <col min="12550" max="12551" width="13.125" style="766" customWidth="1"/>
    <col min="12552" max="12552" width="10" style="766" customWidth="1"/>
    <col min="12553" max="12553" width="18.25" style="766" customWidth="1"/>
    <col min="12554" max="12800" width="9" style="766"/>
    <col min="12801" max="12801" width="4.25" style="766" customWidth="1"/>
    <col min="12802" max="12802" width="19.25" style="766" customWidth="1"/>
    <col min="12803" max="12803" width="9.5" style="766" customWidth="1"/>
    <col min="12804" max="12805" width="11.125" style="766" customWidth="1"/>
    <col min="12806" max="12807" width="13.125" style="766" customWidth="1"/>
    <col min="12808" max="12808" width="10" style="766" customWidth="1"/>
    <col min="12809" max="12809" width="18.25" style="766" customWidth="1"/>
    <col min="12810" max="13056" width="9" style="766"/>
    <col min="13057" max="13057" width="4.25" style="766" customWidth="1"/>
    <col min="13058" max="13058" width="19.25" style="766" customWidth="1"/>
    <col min="13059" max="13059" width="9.5" style="766" customWidth="1"/>
    <col min="13060" max="13061" width="11.125" style="766" customWidth="1"/>
    <col min="13062" max="13063" width="13.125" style="766" customWidth="1"/>
    <col min="13064" max="13064" width="10" style="766" customWidth="1"/>
    <col min="13065" max="13065" width="18.25" style="766" customWidth="1"/>
    <col min="13066" max="13312" width="9" style="766"/>
    <col min="13313" max="13313" width="4.25" style="766" customWidth="1"/>
    <col min="13314" max="13314" width="19.25" style="766" customWidth="1"/>
    <col min="13315" max="13315" width="9.5" style="766" customWidth="1"/>
    <col min="13316" max="13317" width="11.125" style="766" customWidth="1"/>
    <col min="13318" max="13319" width="13.125" style="766" customWidth="1"/>
    <col min="13320" max="13320" width="10" style="766" customWidth="1"/>
    <col min="13321" max="13321" width="18.25" style="766" customWidth="1"/>
    <col min="13322" max="13568" width="9" style="766"/>
    <col min="13569" max="13569" width="4.25" style="766" customWidth="1"/>
    <col min="13570" max="13570" width="19.25" style="766" customWidth="1"/>
    <col min="13571" max="13571" width="9.5" style="766" customWidth="1"/>
    <col min="13572" max="13573" width="11.125" style="766" customWidth="1"/>
    <col min="13574" max="13575" width="13.125" style="766" customWidth="1"/>
    <col min="13576" max="13576" width="10" style="766" customWidth="1"/>
    <col min="13577" max="13577" width="18.25" style="766" customWidth="1"/>
    <col min="13578" max="13824" width="9" style="766"/>
    <col min="13825" max="13825" width="4.25" style="766" customWidth="1"/>
    <col min="13826" max="13826" width="19.25" style="766" customWidth="1"/>
    <col min="13827" max="13827" width="9.5" style="766" customWidth="1"/>
    <col min="13828" max="13829" width="11.125" style="766" customWidth="1"/>
    <col min="13830" max="13831" width="13.125" style="766" customWidth="1"/>
    <col min="13832" max="13832" width="10" style="766" customWidth="1"/>
    <col min="13833" max="13833" width="18.25" style="766" customWidth="1"/>
    <col min="13834" max="14080" width="9" style="766"/>
    <col min="14081" max="14081" width="4.25" style="766" customWidth="1"/>
    <col min="14082" max="14082" width="19.25" style="766" customWidth="1"/>
    <col min="14083" max="14083" width="9.5" style="766" customWidth="1"/>
    <col min="14084" max="14085" width="11.125" style="766" customWidth="1"/>
    <col min="14086" max="14087" width="13.125" style="766" customWidth="1"/>
    <col min="14088" max="14088" width="10" style="766" customWidth="1"/>
    <col min="14089" max="14089" width="18.25" style="766" customWidth="1"/>
    <col min="14090" max="14336" width="9" style="766"/>
    <col min="14337" max="14337" width="4.25" style="766" customWidth="1"/>
    <col min="14338" max="14338" width="19.25" style="766" customWidth="1"/>
    <col min="14339" max="14339" width="9.5" style="766" customWidth="1"/>
    <col min="14340" max="14341" width="11.125" style="766" customWidth="1"/>
    <col min="14342" max="14343" width="13.125" style="766" customWidth="1"/>
    <col min="14344" max="14344" width="10" style="766" customWidth="1"/>
    <col min="14345" max="14345" width="18.25" style="766" customWidth="1"/>
    <col min="14346" max="14592" width="9" style="766"/>
    <col min="14593" max="14593" width="4.25" style="766" customWidth="1"/>
    <col min="14594" max="14594" width="19.25" style="766" customWidth="1"/>
    <col min="14595" max="14595" width="9.5" style="766" customWidth="1"/>
    <col min="14596" max="14597" width="11.125" style="766" customWidth="1"/>
    <col min="14598" max="14599" width="13.125" style="766" customWidth="1"/>
    <col min="14600" max="14600" width="10" style="766" customWidth="1"/>
    <col min="14601" max="14601" width="18.25" style="766" customWidth="1"/>
    <col min="14602" max="14848" width="9" style="766"/>
    <col min="14849" max="14849" width="4.25" style="766" customWidth="1"/>
    <col min="14850" max="14850" width="19.25" style="766" customWidth="1"/>
    <col min="14851" max="14851" width="9.5" style="766" customWidth="1"/>
    <col min="14852" max="14853" width="11.125" style="766" customWidth="1"/>
    <col min="14854" max="14855" width="13.125" style="766" customWidth="1"/>
    <col min="14856" max="14856" width="10" style="766" customWidth="1"/>
    <col min="14857" max="14857" width="18.25" style="766" customWidth="1"/>
    <col min="14858" max="15104" width="9" style="766"/>
    <col min="15105" max="15105" width="4.25" style="766" customWidth="1"/>
    <col min="15106" max="15106" width="19.25" style="766" customWidth="1"/>
    <col min="15107" max="15107" width="9.5" style="766" customWidth="1"/>
    <col min="15108" max="15109" width="11.125" style="766" customWidth="1"/>
    <col min="15110" max="15111" width="13.125" style="766" customWidth="1"/>
    <col min="15112" max="15112" width="10" style="766" customWidth="1"/>
    <col min="15113" max="15113" width="18.25" style="766" customWidth="1"/>
    <col min="15114" max="15360" width="9" style="766"/>
    <col min="15361" max="15361" width="4.25" style="766" customWidth="1"/>
    <col min="15362" max="15362" width="19.25" style="766" customWidth="1"/>
    <col min="15363" max="15363" width="9.5" style="766" customWidth="1"/>
    <col min="15364" max="15365" width="11.125" style="766" customWidth="1"/>
    <col min="15366" max="15367" width="13.125" style="766" customWidth="1"/>
    <col min="15368" max="15368" width="10" style="766" customWidth="1"/>
    <col min="15369" max="15369" width="18.25" style="766" customWidth="1"/>
    <col min="15370" max="15616" width="9" style="766"/>
    <col min="15617" max="15617" width="4.25" style="766" customWidth="1"/>
    <col min="15618" max="15618" width="19.25" style="766" customWidth="1"/>
    <col min="15619" max="15619" width="9.5" style="766" customWidth="1"/>
    <col min="15620" max="15621" width="11.125" style="766" customWidth="1"/>
    <col min="15622" max="15623" width="13.125" style="766" customWidth="1"/>
    <col min="15624" max="15624" width="10" style="766" customWidth="1"/>
    <col min="15625" max="15625" width="18.25" style="766" customWidth="1"/>
    <col min="15626" max="15872" width="9" style="766"/>
    <col min="15873" max="15873" width="4.25" style="766" customWidth="1"/>
    <col min="15874" max="15874" width="19.25" style="766" customWidth="1"/>
    <col min="15875" max="15875" width="9.5" style="766" customWidth="1"/>
    <col min="15876" max="15877" width="11.125" style="766" customWidth="1"/>
    <col min="15878" max="15879" width="13.125" style="766" customWidth="1"/>
    <col min="15880" max="15880" width="10" style="766" customWidth="1"/>
    <col min="15881" max="15881" width="18.25" style="766" customWidth="1"/>
    <col min="15882" max="16128" width="9" style="766"/>
    <col min="16129" max="16129" width="4.25" style="766" customWidth="1"/>
    <col min="16130" max="16130" width="19.25" style="766" customWidth="1"/>
    <col min="16131" max="16131" width="9.5" style="766" customWidth="1"/>
    <col min="16132" max="16133" width="11.125" style="766" customWidth="1"/>
    <col min="16134" max="16135" width="13.125" style="766" customWidth="1"/>
    <col min="16136" max="16136" width="10" style="766" customWidth="1"/>
    <col min="16137" max="16137" width="18.25" style="766" customWidth="1"/>
    <col min="16138" max="16384" width="9" style="766"/>
  </cols>
  <sheetData>
    <row r="1" spans="1:9">
      <c r="A1" s="1060" t="s">
        <v>1020</v>
      </c>
      <c r="B1" s="1060"/>
    </row>
    <row r="3" spans="1:9">
      <c r="A3" s="1061" t="s">
        <v>399</v>
      </c>
      <c r="B3" s="1062"/>
      <c r="C3" s="1062"/>
      <c r="D3" s="1062"/>
      <c r="E3" s="1062"/>
      <c r="F3" s="1062"/>
      <c r="G3" s="1062"/>
      <c r="H3" s="1062"/>
      <c r="I3" s="1062"/>
    </row>
    <row r="4" spans="1:9">
      <c r="A4" s="1061" t="s">
        <v>537</v>
      </c>
      <c r="B4" s="1062"/>
      <c r="C4" s="1062"/>
      <c r="D4" s="1062"/>
      <c r="E4" s="1062"/>
      <c r="F4" s="1062"/>
      <c r="G4" s="1062"/>
      <c r="H4" s="1062"/>
      <c r="I4" s="1062"/>
    </row>
    <row r="5" spans="1:9" s="690" customFormat="1" ht="18" customHeight="1">
      <c r="A5" s="1063" t="s">
        <v>399</v>
      </c>
      <c r="B5" s="1064"/>
      <c r="C5" s="1049"/>
      <c r="D5" s="1049"/>
      <c r="E5" s="1042"/>
      <c r="F5" s="1041"/>
      <c r="G5" s="1035" t="s">
        <v>993</v>
      </c>
      <c r="H5" s="1042"/>
      <c r="I5" s="1044"/>
    </row>
    <row r="6" spans="1:9" s="690" customFormat="1" ht="18" customHeight="1">
      <c r="A6" s="1033" t="s">
        <v>387</v>
      </c>
      <c r="B6" s="1065"/>
      <c r="C6" s="1040" t="s">
        <v>1171</v>
      </c>
      <c r="D6" s="1042"/>
      <c r="E6" s="1041"/>
      <c r="F6" s="1066"/>
      <c r="G6" s="1067"/>
      <c r="H6" s="1068"/>
      <c r="I6" s="1037"/>
    </row>
    <row r="7" spans="1:9" s="690" customFormat="1" ht="18" customHeight="1">
      <c r="A7" s="1033" t="s">
        <v>412</v>
      </c>
      <c r="B7" s="1071"/>
      <c r="C7" s="1040" t="s">
        <v>994</v>
      </c>
      <c r="D7" s="1038"/>
      <c r="E7" s="1072"/>
      <c r="F7" s="1073"/>
      <c r="G7" s="1050"/>
      <c r="H7" s="1073"/>
      <c r="I7" s="1037"/>
    </row>
    <row r="8" spans="1:9" s="690" customFormat="1" ht="18" customHeight="1">
      <c r="A8" s="1033" t="s">
        <v>539</v>
      </c>
      <c r="B8" s="1069"/>
      <c r="C8" s="1040" t="s">
        <v>540</v>
      </c>
      <c r="D8" s="1049"/>
      <c r="E8" s="1038"/>
      <c r="F8" s="1047"/>
      <c r="G8" s="1070"/>
      <c r="H8" s="1051"/>
      <c r="I8" s="1037"/>
    </row>
    <row r="9" spans="1:9" s="690" customFormat="1" ht="18" customHeight="1">
      <c r="A9" s="1063" t="s">
        <v>399</v>
      </c>
      <c r="B9" s="1050"/>
      <c r="C9" s="1040" t="s">
        <v>399</v>
      </c>
      <c r="D9" s="1051"/>
      <c r="E9" s="1036"/>
      <c r="F9" s="767" t="s">
        <v>399</v>
      </c>
      <c r="G9" s="1040" t="s">
        <v>399</v>
      </c>
      <c r="H9" s="1038"/>
      <c r="I9" s="1038"/>
    </row>
    <row r="10" spans="1:9" s="690" customFormat="1" ht="18" customHeight="1">
      <c r="A10" s="1033" t="s">
        <v>388</v>
      </c>
      <c r="B10" s="1045"/>
      <c r="C10" s="1040" t="s">
        <v>541</v>
      </c>
      <c r="D10" s="1049"/>
      <c r="E10" s="1037"/>
      <c r="F10" s="691" t="s">
        <v>460</v>
      </c>
      <c r="G10" s="1035" t="s">
        <v>543</v>
      </c>
      <c r="H10" s="1050"/>
      <c r="I10" s="1037"/>
    </row>
    <row r="11" spans="1:9" s="690" customFormat="1" ht="18" customHeight="1">
      <c r="A11" s="1033" t="s">
        <v>387</v>
      </c>
      <c r="B11" s="1046"/>
      <c r="C11" s="1040" t="s">
        <v>538</v>
      </c>
      <c r="D11" s="1047"/>
      <c r="E11" s="1037"/>
      <c r="F11" s="691" t="s">
        <v>542</v>
      </c>
      <c r="G11" s="1035" t="s">
        <v>543</v>
      </c>
      <c r="H11" s="1048"/>
      <c r="I11" s="1037"/>
    </row>
    <row r="12" spans="1:9" s="690" customFormat="1" ht="18" customHeight="1">
      <c r="A12" s="1033" t="s">
        <v>544</v>
      </c>
      <c r="B12" s="1039"/>
      <c r="C12" s="1040" t="s">
        <v>1386</v>
      </c>
      <c r="D12" s="1041"/>
      <c r="E12" s="1037"/>
      <c r="F12" s="691" t="s">
        <v>545</v>
      </c>
      <c r="G12" s="1035" t="s">
        <v>543</v>
      </c>
      <c r="H12" s="1042"/>
      <c r="I12" s="1037"/>
    </row>
    <row r="13" spans="1:9" s="690" customFormat="1" ht="18" customHeight="1">
      <c r="A13" s="1033" t="s">
        <v>461</v>
      </c>
      <c r="B13" s="1043"/>
      <c r="C13" s="1040" t="s">
        <v>1387</v>
      </c>
      <c r="D13" s="1044"/>
      <c r="E13" s="1037"/>
      <c r="F13" s="691" t="s">
        <v>546</v>
      </c>
      <c r="G13" s="1035" t="s">
        <v>543</v>
      </c>
      <c r="H13" s="1041"/>
      <c r="I13" s="1037"/>
    </row>
    <row r="14" spans="1:9" s="690" customFormat="1" ht="18" customHeight="1">
      <c r="A14" s="1033" t="s">
        <v>547</v>
      </c>
      <c r="B14" s="1034"/>
      <c r="C14" s="1035" t="s">
        <v>543</v>
      </c>
      <c r="D14" s="1036"/>
      <c r="E14" s="1037"/>
      <c r="F14" s="691" t="s">
        <v>548</v>
      </c>
      <c r="G14" s="1035" t="s">
        <v>543</v>
      </c>
      <c r="H14" s="1038"/>
      <c r="I14" s="1037"/>
    </row>
    <row r="15" spans="1:9" s="690" customFormat="1" ht="18" customHeight="1"/>
    <row r="16" spans="1:9" s="690" customFormat="1" ht="18" customHeight="1">
      <c r="A16" s="692" t="s">
        <v>170</v>
      </c>
      <c r="B16" s="693" t="s">
        <v>166</v>
      </c>
      <c r="C16" s="693" t="s">
        <v>75</v>
      </c>
      <c r="D16" s="693" t="s">
        <v>549</v>
      </c>
      <c r="E16" s="693" t="s">
        <v>550</v>
      </c>
      <c r="F16" s="693" t="s">
        <v>551</v>
      </c>
      <c r="G16" s="693" t="s">
        <v>411</v>
      </c>
      <c r="H16" s="693" t="s">
        <v>552</v>
      </c>
      <c r="I16" s="693" t="s">
        <v>553</v>
      </c>
    </row>
    <row r="17" spans="1:9" s="690" customFormat="1" ht="18" customHeight="1">
      <c r="A17" s="694" t="s">
        <v>398</v>
      </c>
      <c r="B17" s="695" t="s">
        <v>995</v>
      </c>
      <c r="C17" s="695" t="s">
        <v>996</v>
      </c>
      <c r="D17" s="696" t="s">
        <v>554</v>
      </c>
      <c r="E17" s="696" t="s">
        <v>997</v>
      </c>
      <c r="F17" s="697" t="s">
        <v>998</v>
      </c>
      <c r="G17" s="696" t="s">
        <v>999</v>
      </c>
      <c r="H17" s="695" t="s">
        <v>555</v>
      </c>
      <c r="I17" s="695" t="s">
        <v>399</v>
      </c>
    </row>
    <row r="18" spans="1:9" s="690" customFormat="1" ht="18" customHeight="1">
      <c r="A18" s="694" t="s">
        <v>526</v>
      </c>
      <c r="B18" s="695" t="s">
        <v>1000</v>
      </c>
      <c r="C18" s="695" t="s">
        <v>996</v>
      </c>
      <c r="D18" s="696" t="s">
        <v>554</v>
      </c>
      <c r="E18" s="696" t="s">
        <v>1001</v>
      </c>
      <c r="F18" s="697" t="s">
        <v>1002</v>
      </c>
      <c r="G18" s="696" t="s">
        <v>1003</v>
      </c>
      <c r="H18" s="695" t="s">
        <v>555</v>
      </c>
      <c r="I18" s="695" t="s">
        <v>399</v>
      </c>
    </row>
    <row r="19" spans="1:9" s="690" customFormat="1" ht="18" customHeight="1">
      <c r="A19" s="694" t="s">
        <v>527</v>
      </c>
      <c r="B19" s="695" t="s">
        <v>1004</v>
      </c>
      <c r="C19" s="695" t="s">
        <v>1005</v>
      </c>
      <c r="D19" s="696" t="s">
        <v>554</v>
      </c>
      <c r="E19" s="696" t="s">
        <v>1006</v>
      </c>
      <c r="F19" s="697" t="s">
        <v>998</v>
      </c>
      <c r="G19" s="696" t="s">
        <v>1007</v>
      </c>
      <c r="H19" s="695" t="s">
        <v>555</v>
      </c>
      <c r="I19" s="695" t="s">
        <v>399</v>
      </c>
    </row>
    <row r="20" spans="1:9" s="690" customFormat="1" ht="18" customHeight="1">
      <c r="A20" s="694" t="s">
        <v>1008</v>
      </c>
      <c r="B20" s="695" t="s">
        <v>1009</v>
      </c>
      <c r="C20" s="695" t="s">
        <v>1005</v>
      </c>
      <c r="D20" s="696" t="s">
        <v>554</v>
      </c>
      <c r="E20" s="696" t="s">
        <v>1010</v>
      </c>
      <c r="F20" s="697" t="s">
        <v>1002</v>
      </c>
      <c r="G20" s="696" t="s">
        <v>582</v>
      </c>
      <c r="H20" s="695" t="s">
        <v>555</v>
      </c>
      <c r="I20" s="695" t="s">
        <v>399</v>
      </c>
    </row>
    <row r="21" spans="1:9" s="690" customFormat="1" ht="18" customHeight="1">
      <c r="A21" s="694" t="s">
        <v>1011</v>
      </c>
      <c r="B21" s="772" t="s">
        <v>1012</v>
      </c>
      <c r="C21" s="772" t="s">
        <v>1013</v>
      </c>
      <c r="D21" s="712" t="s">
        <v>554</v>
      </c>
      <c r="E21" s="712" t="s">
        <v>1014</v>
      </c>
      <c r="F21" s="773" t="s">
        <v>1388</v>
      </c>
      <c r="G21" s="712" t="s">
        <v>1015</v>
      </c>
      <c r="H21" s="772" t="s">
        <v>555</v>
      </c>
      <c r="I21" s="772" t="s">
        <v>622</v>
      </c>
    </row>
    <row r="22" spans="1:9" s="690" customFormat="1" ht="18" customHeight="1">
      <c r="A22" s="694" t="s">
        <v>1016</v>
      </c>
      <c r="B22" s="695" t="s">
        <v>1012</v>
      </c>
      <c r="C22" s="695" t="s">
        <v>1017</v>
      </c>
      <c r="D22" s="696" t="s">
        <v>554</v>
      </c>
      <c r="E22" s="696" t="s">
        <v>1015</v>
      </c>
      <c r="F22" s="697" t="s">
        <v>1388</v>
      </c>
      <c r="G22" s="712" t="s">
        <v>554</v>
      </c>
      <c r="H22" s="695" t="s">
        <v>555</v>
      </c>
      <c r="I22" s="695" t="s">
        <v>399</v>
      </c>
    </row>
    <row r="23" spans="1:9" s="690" customFormat="1" ht="18" customHeight="1"/>
    <row r="24" spans="1:9" s="690" customFormat="1" ht="18" customHeight="1">
      <c r="A24" s="1052" t="s">
        <v>1018</v>
      </c>
      <c r="B24" s="1053"/>
      <c r="C24" s="1054"/>
      <c r="D24" s="1055"/>
      <c r="E24" s="1056"/>
      <c r="F24" s="1057" t="s">
        <v>1019</v>
      </c>
      <c r="G24" s="1058"/>
      <c r="H24" s="1058"/>
      <c r="I24" s="1059"/>
    </row>
  </sheetData>
  <mergeCells count="31">
    <mergeCell ref="C9:E9"/>
    <mergeCell ref="G9:I9"/>
    <mergeCell ref="A24:E24"/>
    <mergeCell ref="F24:I24"/>
    <mergeCell ref="A1:B1"/>
    <mergeCell ref="A3:I3"/>
    <mergeCell ref="A5:F5"/>
    <mergeCell ref="G5:I5"/>
    <mergeCell ref="A6:B6"/>
    <mergeCell ref="C6:I6"/>
    <mergeCell ref="A4:I4"/>
    <mergeCell ref="A8:B8"/>
    <mergeCell ref="C8:I8"/>
    <mergeCell ref="A7:B7"/>
    <mergeCell ref="C7:I7"/>
    <mergeCell ref="A9:B9"/>
    <mergeCell ref="A10:B10"/>
    <mergeCell ref="A11:B11"/>
    <mergeCell ref="C11:E11"/>
    <mergeCell ref="G11:I11"/>
    <mergeCell ref="C10:E10"/>
    <mergeCell ref="G10:I10"/>
    <mergeCell ref="A14:B14"/>
    <mergeCell ref="C14:E14"/>
    <mergeCell ref="G14:I14"/>
    <mergeCell ref="A12:B12"/>
    <mergeCell ref="C12:E12"/>
    <mergeCell ref="G12:I12"/>
    <mergeCell ref="A13:B13"/>
    <mergeCell ref="C13:E13"/>
    <mergeCell ref="G13:I13"/>
  </mergeCells>
  <phoneticPr fontId="11" type="noConversion"/>
  <printOptions horizontalCentered="1"/>
  <pageMargins left="0.51181102362204722" right="0.51181102362204722" top="0.74803149606299213" bottom="0.74803149606299213" header="0.31496062992125984" footer="0.31496062992125984"/>
  <pageSetup paperSize="9" fitToHeight="0"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8"/>
  <sheetViews>
    <sheetView workbookViewId="0">
      <selection activeCell="L26" sqref="L26"/>
    </sheetView>
  </sheetViews>
  <sheetFormatPr defaultRowHeight="16.5"/>
  <cols>
    <col min="1" max="1" width="4.75" style="774" customWidth="1"/>
    <col min="2" max="2" width="20" style="774" customWidth="1"/>
    <col min="3" max="3" width="27.25" style="774" customWidth="1"/>
    <col min="4" max="4" width="10.25" style="774" customWidth="1"/>
    <col min="5" max="5" width="12.5" style="774" customWidth="1"/>
    <col min="6" max="6" width="10.25" style="774" customWidth="1"/>
    <col min="7" max="16384" width="9" style="774"/>
  </cols>
  <sheetData>
    <row r="1" spans="1:6">
      <c r="A1" s="1075" t="s">
        <v>1025</v>
      </c>
      <c r="B1" s="1076"/>
    </row>
    <row r="3" spans="1:6" ht="21.75">
      <c r="A3" s="1074" t="s">
        <v>1021</v>
      </c>
      <c r="B3" s="1074"/>
      <c r="C3" s="1074"/>
      <c r="D3" s="1074"/>
      <c r="E3" s="1074"/>
      <c r="F3" s="1074"/>
    </row>
    <row r="4" spans="1:6">
      <c r="A4" s="775"/>
      <c r="B4" s="775"/>
      <c r="C4" s="775"/>
      <c r="D4" s="775"/>
      <c r="E4" s="775"/>
      <c r="F4" s="775"/>
    </row>
    <row r="5" spans="1:6" ht="18" customHeight="1">
      <c r="A5" s="776" t="s">
        <v>1022</v>
      </c>
      <c r="B5" s="776"/>
      <c r="C5" s="775"/>
      <c r="D5" s="775"/>
      <c r="E5" s="775"/>
      <c r="F5" s="775"/>
    </row>
    <row r="6" spans="1:6" ht="18" customHeight="1">
      <c r="A6" s="775"/>
      <c r="B6" s="775"/>
      <c r="C6" s="775"/>
      <c r="D6" s="775"/>
      <c r="E6" s="775"/>
      <c r="F6" s="775"/>
    </row>
    <row r="7" spans="1:6" ht="18" customHeight="1">
      <c r="A7" s="777" t="s">
        <v>170</v>
      </c>
      <c r="B7" s="778" t="s">
        <v>387</v>
      </c>
      <c r="C7" s="778" t="s">
        <v>1023</v>
      </c>
      <c r="D7" s="778" t="s">
        <v>503</v>
      </c>
      <c r="E7" s="778" t="s">
        <v>502</v>
      </c>
      <c r="F7" s="778" t="s">
        <v>504</v>
      </c>
    </row>
    <row r="8" spans="1:6" ht="18" customHeight="1">
      <c r="A8" s="779">
        <v>1</v>
      </c>
      <c r="B8" s="639" t="s">
        <v>1173</v>
      </c>
      <c r="C8" s="780" t="s">
        <v>1024</v>
      </c>
      <c r="D8" s="781"/>
      <c r="E8" s="782">
        <v>43172</v>
      </c>
      <c r="F8" s="783">
        <v>1000</v>
      </c>
    </row>
  </sheetData>
  <mergeCells count="2">
    <mergeCell ref="A3:F3"/>
    <mergeCell ref="A1:B1"/>
  </mergeCells>
  <phoneticPr fontId="11" type="noConversion"/>
  <printOptions horizontalCentered="1"/>
  <pageMargins left="0.51181102362204722" right="0.51181102362204722" top="0.74803149606299213" bottom="0.74803149606299213" header="0.31496062992125984" footer="0.31496062992125984"/>
  <pageSetup paperSize="9" fitToHeight="0"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10"/>
  <sheetViews>
    <sheetView workbookViewId="0">
      <selection activeCell="G23" sqref="G23"/>
    </sheetView>
  </sheetViews>
  <sheetFormatPr defaultRowHeight="16.5"/>
  <cols>
    <col min="1" max="1" width="26.25" style="768" bestFit="1" customWidth="1"/>
    <col min="2" max="2" width="19.5" style="768" customWidth="1"/>
    <col min="3" max="4" width="16.625" style="768" bestFit="1" customWidth="1"/>
    <col min="5" max="5" width="15.75" style="768" customWidth="1"/>
    <col min="6" max="8" width="13.125" style="768" bestFit="1" customWidth="1"/>
    <col min="9" max="256" width="9" style="768"/>
    <col min="257" max="257" width="26.25" style="768" bestFit="1" customWidth="1"/>
    <col min="258" max="258" width="15.75" style="768" bestFit="1" customWidth="1"/>
    <col min="259" max="260" width="16.625" style="768" bestFit="1" customWidth="1"/>
    <col min="261" max="264" width="13.125" style="768" bestFit="1" customWidth="1"/>
    <col min="265" max="512" width="9" style="768"/>
    <col min="513" max="513" width="26.25" style="768" bestFit="1" customWidth="1"/>
    <col min="514" max="514" width="15.75" style="768" bestFit="1" customWidth="1"/>
    <col min="515" max="516" width="16.625" style="768" bestFit="1" customWidth="1"/>
    <col min="517" max="520" width="13.125" style="768" bestFit="1" customWidth="1"/>
    <col min="521" max="768" width="9" style="768"/>
    <col min="769" max="769" width="26.25" style="768" bestFit="1" customWidth="1"/>
    <col min="770" max="770" width="15.75" style="768" bestFit="1" customWidth="1"/>
    <col min="771" max="772" width="16.625" style="768" bestFit="1" customWidth="1"/>
    <col min="773" max="776" width="13.125" style="768" bestFit="1" customWidth="1"/>
    <col min="777" max="1024" width="9" style="768"/>
    <col min="1025" max="1025" width="26.25" style="768" bestFit="1" customWidth="1"/>
    <col min="1026" max="1026" width="15.75" style="768" bestFit="1" customWidth="1"/>
    <col min="1027" max="1028" width="16.625" style="768" bestFit="1" customWidth="1"/>
    <col min="1029" max="1032" width="13.125" style="768" bestFit="1" customWidth="1"/>
    <col min="1033" max="1280" width="9" style="768"/>
    <col min="1281" max="1281" width="26.25" style="768" bestFit="1" customWidth="1"/>
    <col min="1282" max="1282" width="15.75" style="768" bestFit="1" customWidth="1"/>
    <col min="1283" max="1284" width="16.625" style="768" bestFit="1" customWidth="1"/>
    <col min="1285" max="1288" width="13.125" style="768" bestFit="1" customWidth="1"/>
    <col min="1289" max="1536" width="9" style="768"/>
    <col min="1537" max="1537" width="26.25" style="768" bestFit="1" customWidth="1"/>
    <col min="1538" max="1538" width="15.75" style="768" bestFit="1" customWidth="1"/>
    <col min="1539" max="1540" width="16.625" style="768" bestFit="1" customWidth="1"/>
    <col min="1541" max="1544" width="13.125" style="768" bestFit="1" customWidth="1"/>
    <col min="1545" max="1792" width="9" style="768"/>
    <col min="1793" max="1793" width="26.25" style="768" bestFit="1" customWidth="1"/>
    <col min="1794" max="1794" width="15.75" style="768" bestFit="1" customWidth="1"/>
    <col min="1795" max="1796" width="16.625" style="768" bestFit="1" customWidth="1"/>
    <col min="1797" max="1800" width="13.125" style="768" bestFit="1" customWidth="1"/>
    <col min="1801" max="2048" width="9" style="768"/>
    <col min="2049" max="2049" width="26.25" style="768" bestFit="1" customWidth="1"/>
    <col min="2050" max="2050" width="15.75" style="768" bestFit="1" customWidth="1"/>
    <col min="2051" max="2052" width="16.625" style="768" bestFit="1" customWidth="1"/>
    <col min="2053" max="2056" width="13.125" style="768" bestFit="1" customWidth="1"/>
    <col min="2057" max="2304" width="9" style="768"/>
    <col min="2305" max="2305" width="26.25" style="768" bestFit="1" customWidth="1"/>
    <col min="2306" max="2306" width="15.75" style="768" bestFit="1" customWidth="1"/>
    <col min="2307" max="2308" width="16.625" style="768" bestFit="1" customWidth="1"/>
    <col min="2309" max="2312" width="13.125" style="768" bestFit="1" customWidth="1"/>
    <col min="2313" max="2560" width="9" style="768"/>
    <col min="2561" max="2561" width="26.25" style="768" bestFit="1" customWidth="1"/>
    <col min="2562" max="2562" width="15.75" style="768" bestFit="1" customWidth="1"/>
    <col min="2563" max="2564" width="16.625" style="768" bestFit="1" customWidth="1"/>
    <col min="2565" max="2568" width="13.125" style="768" bestFit="1" customWidth="1"/>
    <col min="2569" max="2816" width="9" style="768"/>
    <col min="2817" max="2817" width="26.25" style="768" bestFit="1" customWidth="1"/>
    <col min="2818" max="2818" width="15.75" style="768" bestFit="1" customWidth="1"/>
    <col min="2819" max="2820" width="16.625" style="768" bestFit="1" customWidth="1"/>
    <col min="2821" max="2824" width="13.125" style="768" bestFit="1" customWidth="1"/>
    <col min="2825" max="3072" width="9" style="768"/>
    <col min="3073" max="3073" width="26.25" style="768" bestFit="1" customWidth="1"/>
    <col min="3074" max="3074" width="15.75" style="768" bestFit="1" customWidth="1"/>
    <col min="3075" max="3076" width="16.625" style="768" bestFit="1" customWidth="1"/>
    <col min="3077" max="3080" width="13.125" style="768" bestFit="1" customWidth="1"/>
    <col min="3081" max="3328" width="9" style="768"/>
    <col min="3329" max="3329" width="26.25" style="768" bestFit="1" customWidth="1"/>
    <col min="3330" max="3330" width="15.75" style="768" bestFit="1" customWidth="1"/>
    <col min="3331" max="3332" width="16.625" style="768" bestFit="1" customWidth="1"/>
    <col min="3333" max="3336" width="13.125" style="768" bestFit="1" customWidth="1"/>
    <col min="3337" max="3584" width="9" style="768"/>
    <col min="3585" max="3585" width="26.25" style="768" bestFit="1" customWidth="1"/>
    <col min="3586" max="3586" width="15.75" style="768" bestFit="1" customWidth="1"/>
    <col min="3587" max="3588" width="16.625" style="768" bestFit="1" customWidth="1"/>
    <col min="3589" max="3592" width="13.125" style="768" bestFit="1" customWidth="1"/>
    <col min="3593" max="3840" width="9" style="768"/>
    <col min="3841" max="3841" width="26.25" style="768" bestFit="1" customWidth="1"/>
    <col min="3842" max="3842" width="15.75" style="768" bestFit="1" customWidth="1"/>
    <col min="3843" max="3844" width="16.625" style="768" bestFit="1" customWidth="1"/>
    <col min="3845" max="3848" width="13.125" style="768" bestFit="1" customWidth="1"/>
    <col min="3849" max="4096" width="9" style="768"/>
    <col min="4097" max="4097" width="26.25" style="768" bestFit="1" customWidth="1"/>
    <col min="4098" max="4098" width="15.75" style="768" bestFit="1" customWidth="1"/>
    <col min="4099" max="4100" width="16.625" style="768" bestFit="1" customWidth="1"/>
    <col min="4101" max="4104" width="13.125" style="768" bestFit="1" customWidth="1"/>
    <col min="4105" max="4352" width="9" style="768"/>
    <col min="4353" max="4353" width="26.25" style="768" bestFit="1" customWidth="1"/>
    <col min="4354" max="4354" width="15.75" style="768" bestFit="1" customWidth="1"/>
    <col min="4355" max="4356" width="16.625" style="768" bestFit="1" customWidth="1"/>
    <col min="4357" max="4360" width="13.125" style="768" bestFit="1" customWidth="1"/>
    <col min="4361" max="4608" width="9" style="768"/>
    <col min="4609" max="4609" width="26.25" style="768" bestFit="1" customWidth="1"/>
    <col min="4610" max="4610" width="15.75" style="768" bestFit="1" customWidth="1"/>
    <col min="4611" max="4612" width="16.625" style="768" bestFit="1" customWidth="1"/>
    <col min="4613" max="4616" width="13.125" style="768" bestFit="1" customWidth="1"/>
    <col min="4617" max="4864" width="9" style="768"/>
    <col min="4865" max="4865" width="26.25" style="768" bestFit="1" customWidth="1"/>
    <col min="4866" max="4866" width="15.75" style="768" bestFit="1" customWidth="1"/>
    <col min="4867" max="4868" width="16.625" style="768" bestFit="1" customWidth="1"/>
    <col min="4869" max="4872" width="13.125" style="768" bestFit="1" customWidth="1"/>
    <col min="4873" max="5120" width="9" style="768"/>
    <col min="5121" max="5121" width="26.25" style="768" bestFit="1" customWidth="1"/>
    <col min="5122" max="5122" width="15.75" style="768" bestFit="1" customWidth="1"/>
    <col min="5123" max="5124" width="16.625" style="768" bestFit="1" customWidth="1"/>
    <col min="5125" max="5128" width="13.125" style="768" bestFit="1" customWidth="1"/>
    <col min="5129" max="5376" width="9" style="768"/>
    <col min="5377" max="5377" width="26.25" style="768" bestFit="1" customWidth="1"/>
    <col min="5378" max="5378" width="15.75" style="768" bestFit="1" customWidth="1"/>
    <col min="5379" max="5380" width="16.625" style="768" bestFit="1" customWidth="1"/>
    <col min="5381" max="5384" width="13.125" style="768" bestFit="1" customWidth="1"/>
    <col min="5385" max="5632" width="9" style="768"/>
    <col min="5633" max="5633" width="26.25" style="768" bestFit="1" customWidth="1"/>
    <col min="5634" max="5634" width="15.75" style="768" bestFit="1" customWidth="1"/>
    <col min="5635" max="5636" width="16.625" style="768" bestFit="1" customWidth="1"/>
    <col min="5637" max="5640" width="13.125" style="768" bestFit="1" customWidth="1"/>
    <col min="5641" max="5888" width="9" style="768"/>
    <col min="5889" max="5889" width="26.25" style="768" bestFit="1" customWidth="1"/>
    <col min="5890" max="5890" width="15.75" style="768" bestFit="1" customWidth="1"/>
    <col min="5891" max="5892" width="16.625" style="768" bestFit="1" customWidth="1"/>
    <col min="5893" max="5896" width="13.125" style="768" bestFit="1" customWidth="1"/>
    <col min="5897" max="6144" width="9" style="768"/>
    <col min="6145" max="6145" width="26.25" style="768" bestFit="1" customWidth="1"/>
    <col min="6146" max="6146" width="15.75" style="768" bestFit="1" customWidth="1"/>
    <col min="6147" max="6148" width="16.625" style="768" bestFit="1" customWidth="1"/>
    <col min="6149" max="6152" width="13.125" style="768" bestFit="1" customWidth="1"/>
    <col min="6153" max="6400" width="9" style="768"/>
    <col min="6401" max="6401" width="26.25" style="768" bestFit="1" customWidth="1"/>
    <col min="6402" max="6402" width="15.75" style="768" bestFit="1" customWidth="1"/>
    <col min="6403" max="6404" width="16.625" style="768" bestFit="1" customWidth="1"/>
    <col min="6405" max="6408" width="13.125" style="768" bestFit="1" customWidth="1"/>
    <col min="6409" max="6656" width="9" style="768"/>
    <col min="6657" max="6657" width="26.25" style="768" bestFit="1" customWidth="1"/>
    <col min="6658" max="6658" width="15.75" style="768" bestFit="1" customWidth="1"/>
    <col min="6659" max="6660" width="16.625" style="768" bestFit="1" customWidth="1"/>
    <col min="6661" max="6664" width="13.125" style="768" bestFit="1" customWidth="1"/>
    <col min="6665" max="6912" width="9" style="768"/>
    <col min="6913" max="6913" width="26.25" style="768" bestFit="1" customWidth="1"/>
    <col min="6914" max="6914" width="15.75" style="768" bestFit="1" customWidth="1"/>
    <col min="6915" max="6916" width="16.625" style="768" bestFit="1" customWidth="1"/>
    <col min="6917" max="6920" width="13.125" style="768" bestFit="1" customWidth="1"/>
    <col min="6921" max="7168" width="9" style="768"/>
    <col min="7169" max="7169" width="26.25" style="768" bestFit="1" customWidth="1"/>
    <col min="7170" max="7170" width="15.75" style="768" bestFit="1" customWidth="1"/>
    <col min="7171" max="7172" width="16.625" style="768" bestFit="1" customWidth="1"/>
    <col min="7173" max="7176" width="13.125" style="768" bestFit="1" customWidth="1"/>
    <col min="7177" max="7424" width="9" style="768"/>
    <col min="7425" max="7425" width="26.25" style="768" bestFit="1" customWidth="1"/>
    <col min="7426" max="7426" width="15.75" style="768" bestFit="1" customWidth="1"/>
    <col min="7427" max="7428" width="16.625" style="768" bestFit="1" customWidth="1"/>
    <col min="7429" max="7432" width="13.125" style="768" bestFit="1" customWidth="1"/>
    <col min="7433" max="7680" width="9" style="768"/>
    <col min="7681" max="7681" width="26.25" style="768" bestFit="1" customWidth="1"/>
    <col min="7682" max="7682" width="15.75" style="768" bestFit="1" customWidth="1"/>
    <col min="7683" max="7684" width="16.625" style="768" bestFit="1" customWidth="1"/>
    <col min="7685" max="7688" width="13.125" style="768" bestFit="1" customWidth="1"/>
    <col min="7689" max="7936" width="9" style="768"/>
    <col min="7937" max="7937" width="26.25" style="768" bestFit="1" customWidth="1"/>
    <col min="7938" max="7938" width="15.75" style="768" bestFit="1" customWidth="1"/>
    <col min="7939" max="7940" width="16.625" style="768" bestFit="1" customWidth="1"/>
    <col min="7941" max="7944" width="13.125" style="768" bestFit="1" customWidth="1"/>
    <col min="7945" max="8192" width="9" style="768"/>
    <col min="8193" max="8193" width="26.25" style="768" bestFit="1" customWidth="1"/>
    <col min="8194" max="8194" width="15.75" style="768" bestFit="1" customWidth="1"/>
    <col min="8195" max="8196" width="16.625" style="768" bestFit="1" customWidth="1"/>
    <col min="8197" max="8200" width="13.125" style="768" bestFit="1" customWidth="1"/>
    <col min="8201" max="8448" width="9" style="768"/>
    <col min="8449" max="8449" width="26.25" style="768" bestFit="1" customWidth="1"/>
    <col min="8450" max="8450" width="15.75" style="768" bestFit="1" customWidth="1"/>
    <col min="8451" max="8452" width="16.625" style="768" bestFit="1" customWidth="1"/>
    <col min="8453" max="8456" width="13.125" style="768" bestFit="1" customWidth="1"/>
    <col min="8457" max="8704" width="9" style="768"/>
    <col min="8705" max="8705" width="26.25" style="768" bestFit="1" customWidth="1"/>
    <col min="8706" max="8706" width="15.75" style="768" bestFit="1" customWidth="1"/>
    <col min="8707" max="8708" width="16.625" style="768" bestFit="1" customWidth="1"/>
    <col min="8709" max="8712" width="13.125" style="768" bestFit="1" customWidth="1"/>
    <col min="8713" max="8960" width="9" style="768"/>
    <col min="8961" max="8961" width="26.25" style="768" bestFit="1" customWidth="1"/>
    <col min="8962" max="8962" width="15.75" style="768" bestFit="1" customWidth="1"/>
    <col min="8963" max="8964" width="16.625" style="768" bestFit="1" customWidth="1"/>
    <col min="8965" max="8968" width="13.125" style="768" bestFit="1" customWidth="1"/>
    <col min="8969" max="9216" width="9" style="768"/>
    <col min="9217" max="9217" width="26.25" style="768" bestFit="1" customWidth="1"/>
    <col min="9218" max="9218" width="15.75" style="768" bestFit="1" customWidth="1"/>
    <col min="9219" max="9220" width="16.625" style="768" bestFit="1" customWidth="1"/>
    <col min="9221" max="9224" width="13.125" style="768" bestFit="1" customWidth="1"/>
    <col min="9225" max="9472" width="9" style="768"/>
    <col min="9473" max="9473" width="26.25" style="768" bestFit="1" customWidth="1"/>
    <col min="9474" max="9474" width="15.75" style="768" bestFit="1" customWidth="1"/>
    <col min="9475" max="9476" width="16.625" style="768" bestFit="1" customWidth="1"/>
    <col min="9477" max="9480" width="13.125" style="768" bestFit="1" customWidth="1"/>
    <col min="9481" max="9728" width="9" style="768"/>
    <col min="9729" max="9729" width="26.25" style="768" bestFit="1" customWidth="1"/>
    <col min="9730" max="9730" width="15.75" style="768" bestFit="1" customWidth="1"/>
    <col min="9731" max="9732" width="16.625" style="768" bestFit="1" customWidth="1"/>
    <col min="9733" max="9736" width="13.125" style="768" bestFit="1" customWidth="1"/>
    <col min="9737" max="9984" width="9" style="768"/>
    <col min="9985" max="9985" width="26.25" style="768" bestFit="1" customWidth="1"/>
    <col min="9986" max="9986" width="15.75" style="768" bestFit="1" customWidth="1"/>
    <col min="9987" max="9988" width="16.625" style="768" bestFit="1" customWidth="1"/>
    <col min="9989" max="9992" width="13.125" style="768" bestFit="1" customWidth="1"/>
    <col min="9993" max="10240" width="9" style="768"/>
    <col min="10241" max="10241" width="26.25" style="768" bestFit="1" customWidth="1"/>
    <col min="10242" max="10242" width="15.75" style="768" bestFit="1" customWidth="1"/>
    <col min="10243" max="10244" width="16.625" style="768" bestFit="1" customWidth="1"/>
    <col min="10245" max="10248" width="13.125" style="768" bestFit="1" customWidth="1"/>
    <col min="10249" max="10496" width="9" style="768"/>
    <col min="10497" max="10497" width="26.25" style="768" bestFit="1" customWidth="1"/>
    <col min="10498" max="10498" width="15.75" style="768" bestFit="1" customWidth="1"/>
    <col min="10499" max="10500" width="16.625" style="768" bestFit="1" customWidth="1"/>
    <col min="10501" max="10504" width="13.125" style="768" bestFit="1" customWidth="1"/>
    <col min="10505" max="10752" width="9" style="768"/>
    <col min="10753" max="10753" width="26.25" style="768" bestFit="1" customWidth="1"/>
    <col min="10754" max="10754" width="15.75" style="768" bestFit="1" customWidth="1"/>
    <col min="10755" max="10756" width="16.625" style="768" bestFit="1" customWidth="1"/>
    <col min="10757" max="10760" width="13.125" style="768" bestFit="1" customWidth="1"/>
    <col min="10761" max="11008" width="9" style="768"/>
    <col min="11009" max="11009" width="26.25" style="768" bestFit="1" customWidth="1"/>
    <col min="11010" max="11010" width="15.75" style="768" bestFit="1" customWidth="1"/>
    <col min="11011" max="11012" width="16.625" style="768" bestFit="1" customWidth="1"/>
    <col min="11013" max="11016" width="13.125" style="768" bestFit="1" customWidth="1"/>
    <col min="11017" max="11264" width="9" style="768"/>
    <col min="11265" max="11265" width="26.25" style="768" bestFit="1" customWidth="1"/>
    <col min="11266" max="11266" width="15.75" style="768" bestFit="1" customWidth="1"/>
    <col min="11267" max="11268" width="16.625" style="768" bestFit="1" customWidth="1"/>
    <col min="11269" max="11272" width="13.125" style="768" bestFit="1" customWidth="1"/>
    <col min="11273" max="11520" width="9" style="768"/>
    <col min="11521" max="11521" width="26.25" style="768" bestFit="1" customWidth="1"/>
    <col min="11522" max="11522" width="15.75" style="768" bestFit="1" customWidth="1"/>
    <col min="11523" max="11524" width="16.625" style="768" bestFit="1" customWidth="1"/>
    <col min="11525" max="11528" width="13.125" style="768" bestFit="1" customWidth="1"/>
    <col min="11529" max="11776" width="9" style="768"/>
    <col min="11777" max="11777" width="26.25" style="768" bestFit="1" customWidth="1"/>
    <col min="11778" max="11778" width="15.75" style="768" bestFit="1" customWidth="1"/>
    <col min="11779" max="11780" width="16.625" style="768" bestFit="1" customWidth="1"/>
    <col min="11781" max="11784" width="13.125" style="768" bestFit="1" customWidth="1"/>
    <col min="11785" max="12032" width="9" style="768"/>
    <col min="12033" max="12033" width="26.25" style="768" bestFit="1" customWidth="1"/>
    <col min="12034" max="12034" width="15.75" style="768" bestFit="1" customWidth="1"/>
    <col min="12035" max="12036" width="16.625" style="768" bestFit="1" customWidth="1"/>
    <col min="12037" max="12040" width="13.125" style="768" bestFit="1" customWidth="1"/>
    <col min="12041" max="12288" width="9" style="768"/>
    <col min="12289" max="12289" width="26.25" style="768" bestFit="1" customWidth="1"/>
    <col min="12290" max="12290" width="15.75" style="768" bestFit="1" customWidth="1"/>
    <col min="12291" max="12292" width="16.625" style="768" bestFit="1" customWidth="1"/>
    <col min="12293" max="12296" width="13.125" style="768" bestFit="1" customWidth="1"/>
    <col min="12297" max="12544" width="9" style="768"/>
    <col min="12545" max="12545" width="26.25" style="768" bestFit="1" customWidth="1"/>
    <col min="12546" max="12546" width="15.75" style="768" bestFit="1" customWidth="1"/>
    <col min="12547" max="12548" width="16.625" style="768" bestFit="1" customWidth="1"/>
    <col min="12549" max="12552" width="13.125" style="768" bestFit="1" customWidth="1"/>
    <col min="12553" max="12800" width="9" style="768"/>
    <col min="12801" max="12801" width="26.25" style="768" bestFit="1" customWidth="1"/>
    <col min="12802" max="12802" width="15.75" style="768" bestFit="1" customWidth="1"/>
    <col min="12803" max="12804" width="16.625" style="768" bestFit="1" customWidth="1"/>
    <col min="12805" max="12808" width="13.125" style="768" bestFit="1" customWidth="1"/>
    <col min="12809" max="13056" width="9" style="768"/>
    <col min="13057" max="13057" width="26.25" style="768" bestFit="1" customWidth="1"/>
    <col min="13058" max="13058" width="15.75" style="768" bestFit="1" customWidth="1"/>
    <col min="13059" max="13060" width="16.625" style="768" bestFit="1" customWidth="1"/>
    <col min="13061" max="13064" width="13.125" style="768" bestFit="1" customWidth="1"/>
    <col min="13065" max="13312" width="9" style="768"/>
    <col min="13313" max="13313" width="26.25" style="768" bestFit="1" customWidth="1"/>
    <col min="13314" max="13314" width="15.75" style="768" bestFit="1" customWidth="1"/>
    <col min="13315" max="13316" width="16.625" style="768" bestFit="1" customWidth="1"/>
    <col min="13317" max="13320" width="13.125" style="768" bestFit="1" customWidth="1"/>
    <col min="13321" max="13568" width="9" style="768"/>
    <col min="13569" max="13569" width="26.25" style="768" bestFit="1" customWidth="1"/>
    <col min="13570" max="13570" width="15.75" style="768" bestFit="1" customWidth="1"/>
    <col min="13571" max="13572" width="16.625" style="768" bestFit="1" customWidth="1"/>
    <col min="13573" max="13576" width="13.125" style="768" bestFit="1" customWidth="1"/>
    <col min="13577" max="13824" width="9" style="768"/>
    <col min="13825" max="13825" width="26.25" style="768" bestFit="1" customWidth="1"/>
    <col min="13826" max="13826" width="15.75" style="768" bestFit="1" customWidth="1"/>
    <col min="13827" max="13828" width="16.625" style="768" bestFit="1" customWidth="1"/>
    <col min="13829" max="13832" width="13.125" style="768" bestFit="1" customWidth="1"/>
    <col min="13833" max="14080" width="9" style="768"/>
    <col min="14081" max="14081" width="26.25" style="768" bestFit="1" customWidth="1"/>
    <col min="14082" max="14082" width="15.75" style="768" bestFit="1" customWidth="1"/>
    <col min="14083" max="14084" width="16.625" style="768" bestFit="1" customWidth="1"/>
    <col min="14085" max="14088" width="13.125" style="768" bestFit="1" customWidth="1"/>
    <col min="14089" max="14336" width="9" style="768"/>
    <col min="14337" max="14337" width="26.25" style="768" bestFit="1" customWidth="1"/>
    <col min="14338" max="14338" width="15.75" style="768" bestFit="1" customWidth="1"/>
    <col min="14339" max="14340" width="16.625" style="768" bestFit="1" customWidth="1"/>
    <col min="14341" max="14344" width="13.125" style="768" bestFit="1" customWidth="1"/>
    <col min="14345" max="14592" width="9" style="768"/>
    <col min="14593" max="14593" width="26.25" style="768" bestFit="1" customWidth="1"/>
    <col min="14594" max="14594" width="15.75" style="768" bestFit="1" customWidth="1"/>
    <col min="14595" max="14596" width="16.625" style="768" bestFit="1" customWidth="1"/>
    <col min="14597" max="14600" width="13.125" style="768" bestFit="1" customWidth="1"/>
    <col min="14601" max="14848" width="9" style="768"/>
    <col min="14849" max="14849" width="26.25" style="768" bestFit="1" customWidth="1"/>
    <col min="14850" max="14850" width="15.75" style="768" bestFit="1" customWidth="1"/>
    <col min="14851" max="14852" width="16.625" style="768" bestFit="1" customWidth="1"/>
    <col min="14853" max="14856" width="13.125" style="768" bestFit="1" customWidth="1"/>
    <col min="14857" max="15104" width="9" style="768"/>
    <col min="15105" max="15105" width="26.25" style="768" bestFit="1" customWidth="1"/>
    <col min="15106" max="15106" width="15.75" style="768" bestFit="1" customWidth="1"/>
    <col min="15107" max="15108" width="16.625" style="768" bestFit="1" customWidth="1"/>
    <col min="15109" max="15112" width="13.125" style="768" bestFit="1" customWidth="1"/>
    <col min="15113" max="15360" width="9" style="768"/>
    <col min="15361" max="15361" width="26.25" style="768" bestFit="1" customWidth="1"/>
    <col min="15362" max="15362" width="15.75" style="768" bestFit="1" customWidth="1"/>
    <col min="15363" max="15364" width="16.625" style="768" bestFit="1" customWidth="1"/>
    <col min="15365" max="15368" width="13.125" style="768" bestFit="1" customWidth="1"/>
    <col min="15369" max="15616" width="9" style="768"/>
    <col min="15617" max="15617" width="26.25" style="768" bestFit="1" customWidth="1"/>
    <col min="15618" max="15618" width="15.75" style="768" bestFit="1" customWidth="1"/>
    <col min="15619" max="15620" width="16.625" style="768" bestFit="1" customWidth="1"/>
    <col min="15621" max="15624" width="13.125" style="768" bestFit="1" customWidth="1"/>
    <col min="15625" max="15872" width="9" style="768"/>
    <col min="15873" max="15873" width="26.25" style="768" bestFit="1" customWidth="1"/>
    <col min="15874" max="15874" width="15.75" style="768" bestFit="1" customWidth="1"/>
    <col min="15875" max="15876" width="16.625" style="768" bestFit="1" customWidth="1"/>
    <col min="15877" max="15880" width="13.125" style="768" bestFit="1" customWidth="1"/>
    <col min="15881" max="16128" width="9" style="768"/>
    <col min="16129" max="16129" width="26.25" style="768" bestFit="1" customWidth="1"/>
    <col min="16130" max="16130" width="15.75" style="768" bestFit="1" customWidth="1"/>
    <col min="16131" max="16132" width="16.625" style="768" bestFit="1" customWidth="1"/>
    <col min="16133" max="16136" width="13.125" style="768" bestFit="1" customWidth="1"/>
    <col min="16137" max="16384" width="9" style="768"/>
  </cols>
  <sheetData>
    <row r="1" spans="1:6">
      <c r="A1" s="768" t="s">
        <v>1027</v>
      </c>
    </row>
    <row r="3" spans="1:6">
      <c r="A3" s="1077" t="s">
        <v>528</v>
      </c>
      <c r="B3" s="1078"/>
      <c r="C3" s="1078"/>
      <c r="D3" s="1078"/>
    </row>
    <row r="5" spans="1:6" ht="18" customHeight="1">
      <c r="A5" s="784" t="s">
        <v>1026</v>
      </c>
    </row>
    <row r="6" spans="1:6" ht="18" customHeight="1"/>
    <row r="7" spans="1:6" ht="18" customHeight="1">
      <c r="A7" s="784" t="s">
        <v>529</v>
      </c>
    </row>
    <row r="8" spans="1:6" ht="18" customHeight="1">
      <c r="A8" s="785" t="s">
        <v>530</v>
      </c>
      <c r="B8" s="785" t="s">
        <v>387</v>
      </c>
      <c r="C8" s="785" t="s">
        <v>531</v>
      </c>
      <c r="D8" s="785" t="s">
        <v>502</v>
      </c>
      <c r="E8" s="785" t="s">
        <v>532</v>
      </c>
      <c r="F8" s="785" t="s">
        <v>411</v>
      </c>
    </row>
    <row r="9" spans="1:6" ht="18" customHeight="1">
      <c r="A9" s="788" t="s">
        <v>533</v>
      </c>
      <c r="B9" s="639" t="s">
        <v>1174</v>
      </c>
      <c r="C9" s="788" t="s">
        <v>399</v>
      </c>
      <c r="D9" s="788" t="s">
        <v>534</v>
      </c>
      <c r="E9" s="788" t="s">
        <v>535</v>
      </c>
      <c r="F9" s="786" t="s">
        <v>536</v>
      </c>
    </row>
    <row r="10" spans="1:6" ht="18" customHeight="1">
      <c r="A10" s="1079" t="s">
        <v>175</v>
      </c>
      <c r="B10" s="1080"/>
      <c r="C10" s="1080"/>
      <c r="D10" s="1080"/>
      <c r="E10" s="1081"/>
      <c r="F10" s="787" t="s">
        <v>536</v>
      </c>
    </row>
  </sheetData>
  <mergeCells count="2">
    <mergeCell ref="A3:D3"/>
    <mergeCell ref="A10:E10"/>
  </mergeCells>
  <phoneticPr fontId="11" type="noConversion"/>
  <printOptions horizontalCentered="1"/>
  <pageMargins left="0.51181102362204722" right="0.51181102362204722" top="0.74803149606299213" bottom="0.74803149606299213" header="0.31496062992125984" footer="0.31496062992125984"/>
  <pageSetup paperSize="9" fitToHeight="0"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10"/>
  <sheetViews>
    <sheetView workbookViewId="0">
      <selection activeCell="A5" sqref="A5:F5"/>
    </sheetView>
  </sheetViews>
  <sheetFormatPr defaultRowHeight="11.25"/>
  <cols>
    <col min="1" max="1" width="4.375" style="742" customWidth="1"/>
    <col min="2" max="2" width="19.5" style="742" customWidth="1"/>
    <col min="3" max="4" width="8.375" style="742" customWidth="1"/>
    <col min="5" max="5" width="12.5" style="742" customWidth="1"/>
    <col min="6" max="6" width="11.25" style="742" customWidth="1"/>
    <col min="7" max="7" width="14.125" style="742" customWidth="1"/>
    <col min="8" max="9" width="9.75" style="742" customWidth="1"/>
    <col min="10" max="10" width="14.125" style="742" customWidth="1"/>
    <col min="11" max="11" width="9.875" style="742" customWidth="1"/>
    <col min="12" max="12" width="18.625" style="742" customWidth="1"/>
    <col min="13" max="16384" width="9" style="742"/>
  </cols>
  <sheetData>
    <row r="1" spans="1:12" ht="18" customHeight="1">
      <c r="A1" s="1089" t="s">
        <v>1044</v>
      </c>
      <c r="B1" s="1090"/>
    </row>
    <row r="2" spans="1:12" ht="18" customHeight="1" thickBot="1"/>
    <row r="3" spans="1:12" ht="18" customHeight="1" thickTop="1" thickBot="1">
      <c r="A3" s="1091" t="s">
        <v>1028</v>
      </c>
      <c r="B3" s="1092"/>
      <c r="C3" s="1092"/>
      <c r="D3" s="1092"/>
      <c r="E3" s="1092"/>
      <c r="F3" s="1092"/>
      <c r="G3" s="1092"/>
      <c r="H3" s="1092"/>
      <c r="I3" s="1092"/>
      <c r="J3" s="1092"/>
      <c r="K3" s="1092"/>
      <c r="L3" s="1093"/>
    </row>
    <row r="4" spans="1:12" ht="18" customHeight="1">
      <c r="A4" s="1094" t="s">
        <v>1183</v>
      </c>
      <c r="B4" s="1095"/>
      <c r="C4" s="1095"/>
      <c r="D4" s="1095"/>
      <c r="E4" s="1095"/>
      <c r="F4" s="1096"/>
      <c r="G4" s="1094" t="s">
        <v>1029</v>
      </c>
      <c r="H4" s="1095"/>
      <c r="I4" s="1095"/>
      <c r="J4" s="1095"/>
      <c r="K4" s="1095"/>
      <c r="L4" s="1096"/>
    </row>
    <row r="5" spans="1:12" ht="18" customHeight="1">
      <c r="A5" s="1082" t="s">
        <v>1389</v>
      </c>
      <c r="B5" s="1083"/>
      <c r="C5" s="1083"/>
      <c r="D5" s="1083"/>
      <c r="E5" s="1083"/>
      <c r="F5" s="1084"/>
      <c r="G5" s="1082" t="s">
        <v>1030</v>
      </c>
      <c r="H5" s="1085"/>
      <c r="I5" s="1085"/>
      <c r="J5" s="1085"/>
      <c r="K5" s="1085"/>
      <c r="L5" s="1084"/>
    </row>
    <row r="6" spans="1:12" ht="18" customHeight="1">
      <c r="A6" s="1082" t="s">
        <v>1031</v>
      </c>
      <c r="B6" s="1083"/>
      <c r="C6" s="1083"/>
      <c r="D6" s="1083"/>
      <c r="E6" s="1083"/>
      <c r="F6" s="1084"/>
      <c r="G6" s="1082" t="s">
        <v>1032</v>
      </c>
      <c r="H6" s="1085"/>
      <c r="I6" s="1085"/>
      <c r="J6" s="1085"/>
      <c r="K6" s="1085"/>
      <c r="L6" s="1084"/>
    </row>
    <row r="7" spans="1:12" ht="18" customHeight="1" thickBot="1">
      <c r="A7" s="1086" t="s">
        <v>1033</v>
      </c>
      <c r="B7" s="1087"/>
      <c r="C7" s="1087"/>
      <c r="D7" s="1087"/>
      <c r="E7" s="1087"/>
      <c r="F7" s="1088"/>
      <c r="G7" s="1086" t="s">
        <v>1034</v>
      </c>
      <c r="H7" s="1087"/>
      <c r="I7" s="1087"/>
      <c r="J7" s="1087"/>
      <c r="K7" s="1087"/>
      <c r="L7" s="1088"/>
    </row>
    <row r="8" spans="1:12" ht="18" customHeight="1" thickBot="1">
      <c r="A8" s="743" t="s">
        <v>170</v>
      </c>
      <c r="B8" s="744" t="s">
        <v>166</v>
      </c>
      <c r="C8" s="744" t="s">
        <v>171</v>
      </c>
      <c r="D8" s="744" t="s">
        <v>172</v>
      </c>
      <c r="E8" s="744" t="s">
        <v>1035</v>
      </c>
      <c r="F8" s="744" t="s">
        <v>393</v>
      </c>
      <c r="G8" s="744" t="s">
        <v>1036</v>
      </c>
      <c r="H8" s="744" t="s">
        <v>1037</v>
      </c>
      <c r="I8" s="744" t="s">
        <v>1038</v>
      </c>
      <c r="J8" s="744" t="s">
        <v>1039</v>
      </c>
      <c r="K8" s="744" t="s">
        <v>1040</v>
      </c>
      <c r="L8" s="744" t="s">
        <v>1041</v>
      </c>
    </row>
    <row r="9" spans="1:12" ht="18" customHeight="1" thickBot="1">
      <c r="A9" s="745">
        <v>1</v>
      </c>
      <c r="B9" s="746" t="s">
        <v>1042</v>
      </c>
      <c r="C9" s="789">
        <v>0</v>
      </c>
      <c r="D9" s="789">
        <v>0</v>
      </c>
      <c r="E9" s="747">
        <v>179</v>
      </c>
      <c r="F9" s="746" t="s">
        <v>1043</v>
      </c>
      <c r="G9" s="746"/>
      <c r="H9" s="746"/>
      <c r="I9" s="746" t="s">
        <v>462</v>
      </c>
      <c r="J9" s="789">
        <v>0</v>
      </c>
      <c r="K9" s="746"/>
      <c r="L9" s="746"/>
    </row>
    <row r="10" spans="1:12" ht="18" customHeight="1" thickBot="1">
      <c r="A10" s="745"/>
      <c r="B10" s="790" t="s">
        <v>175</v>
      </c>
      <c r="C10" s="791">
        <v>0</v>
      </c>
      <c r="D10" s="791">
        <v>0</v>
      </c>
      <c r="E10" s="749"/>
      <c r="F10" s="749"/>
      <c r="G10" s="749"/>
      <c r="H10" s="749"/>
      <c r="I10" s="749"/>
      <c r="J10" s="749"/>
      <c r="K10" s="749"/>
      <c r="L10" s="749"/>
    </row>
  </sheetData>
  <mergeCells count="10">
    <mergeCell ref="A6:F6"/>
    <mergeCell ref="G6:L6"/>
    <mergeCell ref="A7:F7"/>
    <mergeCell ref="G7:L7"/>
    <mergeCell ref="A1:B1"/>
    <mergeCell ref="A3:L3"/>
    <mergeCell ref="A4:F4"/>
    <mergeCell ref="G4:L4"/>
    <mergeCell ref="A5:F5"/>
    <mergeCell ref="G5:L5"/>
  </mergeCells>
  <phoneticPr fontId="11" type="noConversion"/>
  <printOptions horizontalCentered="1"/>
  <pageMargins left="0.51181102362204722" right="0.51181102362204722" top="0.74803149606299213" bottom="0.74803149606299213" header="0.31496062992125984" footer="0.31496062992125984"/>
  <pageSetup paperSize="9" scale="89" fitToHeight="0"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6"/>
  <sheetViews>
    <sheetView workbookViewId="0">
      <selection activeCell="G25" sqref="G25"/>
    </sheetView>
  </sheetViews>
  <sheetFormatPr defaultRowHeight="11.25"/>
  <cols>
    <col min="1" max="1" width="4.375" style="742" customWidth="1"/>
    <col min="2" max="2" width="10.75" style="742" customWidth="1"/>
    <col min="3" max="3" width="24.25" style="742" customWidth="1"/>
    <col min="4" max="4" width="18.125" style="742" customWidth="1"/>
    <col min="5" max="7" width="13" style="742" customWidth="1"/>
    <col min="8" max="8" width="14.125" style="742" customWidth="1"/>
    <col min="9" max="16384" width="9" style="742"/>
  </cols>
  <sheetData>
    <row r="1" spans="1:8" ht="18" customHeight="1">
      <c r="A1" s="1090" t="s">
        <v>1045</v>
      </c>
      <c r="B1" s="1090"/>
      <c r="C1" s="1090"/>
    </row>
    <row r="2" spans="1:8" ht="18" customHeight="1" thickBot="1"/>
    <row r="3" spans="1:8" ht="18" customHeight="1" thickTop="1" thickBot="1">
      <c r="A3" s="1091" t="s">
        <v>585</v>
      </c>
      <c r="B3" s="1092"/>
      <c r="C3" s="1092"/>
      <c r="D3" s="1092"/>
      <c r="E3" s="1092"/>
      <c r="F3" s="1092"/>
      <c r="G3" s="1092"/>
      <c r="H3" s="1093"/>
    </row>
    <row r="4" spans="1:8" ht="18" customHeight="1" thickBot="1">
      <c r="A4" s="743" t="s">
        <v>170</v>
      </c>
      <c r="B4" s="744" t="s">
        <v>583</v>
      </c>
      <c r="C4" s="744" t="s">
        <v>388</v>
      </c>
      <c r="D4" s="744" t="s">
        <v>387</v>
      </c>
      <c r="E4" s="744" t="s">
        <v>503</v>
      </c>
      <c r="F4" s="744" t="s">
        <v>66</v>
      </c>
      <c r="G4" s="744" t="s">
        <v>584</v>
      </c>
      <c r="H4" s="744" t="s">
        <v>411</v>
      </c>
    </row>
    <row r="5" spans="1:8" ht="18" customHeight="1" thickBot="1">
      <c r="A5" s="745">
        <v>1</v>
      </c>
      <c r="B5" s="792" t="s">
        <v>586</v>
      </c>
      <c r="C5" s="792" t="s">
        <v>587</v>
      </c>
      <c r="D5" s="792" t="s">
        <v>1390</v>
      </c>
      <c r="E5" s="792" t="s">
        <v>586</v>
      </c>
      <c r="F5" s="792" t="s">
        <v>588</v>
      </c>
      <c r="G5" s="792" t="s">
        <v>589</v>
      </c>
      <c r="H5" s="748">
        <v>5216558</v>
      </c>
    </row>
    <row r="6" spans="1:8" ht="18" customHeight="1" thickBot="1">
      <c r="A6" s="745"/>
      <c r="B6" s="749"/>
      <c r="C6" s="749"/>
      <c r="D6" s="749"/>
      <c r="E6" s="749"/>
      <c r="F6" s="749"/>
      <c r="G6" s="749"/>
      <c r="H6" s="750">
        <v>5216558</v>
      </c>
    </row>
  </sheetData>
  <mergeCells count="2">
    <mergeCell ref="A3:H3"/>
    <mergeCell ref="A1:C1"/>
  </mergeCells>
  <phoneticPr fontId="11" type="noConversion"/>
  <printOptions horizontalCentered="1"/>
  <pageMargins left="0.51181102362204722" right="0.51181102362204722" top="0.74803149606299213" bottom="0.74803149606299213" header="0.31496062992125984" footer="0.31496062992125984"/>
  <pageSetup paperSize="9" fitToHeight="0"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
  <sheetViews>
    <sheetView workbookViewId="0">
      <selection activeCell="I20" sqref="I20"/>
    </sheetView>
  </sheetViews>
  <sheetFormatPr defaultRowHeight="16.5"/>
  <cols>
    <col min="1" max="1" width="14.25" style="800" customWidth="1"/>
    <col min="2" max="7" width="14.25" style="797" customWidth="1"/>
    <col min="8" max="16384" width="9" style="797"/>
  </cols>
  <sheetData>
    <row r="1" spans="1:7" s="800" customFormat="1" ht="30" customHeight="1">
      <c r="A1" s="798"/>
      <c r="B1" s="798" t="s">
        <v>1184</v>
      </c>
      <c r="C1" s="798" t="s">
        <v>1185</v>
      </c>
      <c r="D1" s="798" t="s">
        <v>1186</v>
      </c>
      <c r="E1" s="799" t="s">
        <v>128</v>
      </c>
      <c r="F1" s="799" t="s">
        <v>1187</v>
      </c>
      <c r="G1" s="799" t="s">
        <v>1188</v>
      </c>
    </row>
    <row r="2" spans="1:7" ht="30" customHeight="1">
      <c r="A2" s="798" t="s">
        <v>420</v>
      </c>
      <c r="B2" s="801">
        <v>500780</v>
      </c>
      <c r="C2" s="802">
        <f>B2*50%</f>
        <v>250390</v>
      </c>
      <c r="D2" s="802">
        <f>B2*50%</f>
        <v>250390</v>
      </c>
      <c r="E2" s="803">
        <f>F2+G2</f>
        <v>6.6699999999999995E-2</v>
      </c>
      <c r="F2" s="804">
        <v>3.3349999999999998E-2</v>
      </c>
      <c r="G2" s="804">
        <v>3.3349999999999998E-2</v>
      </c>
    </row>
    <row r="3" spans="1:7" ht="30" customHeight="1">
      <c r="A3" s="798" t="s">
        <v>1189</v>
      </c>
      <c r="B3" s="801">
        <v>57640</v>
      </c>
      <c r="C3" s="802">
        <f>B3*50%</f>
        <v>28820</v>
      </c>
      <c r="D3" s="802">
        <f>B3*50%</f>
        <v>28820</v>
      </c>
      <c r="E3" s="803">
        <f t="shared" ref="E3:E6" si="0">F3+G3</f>
        <v>0.10249999999999999</v>
      </c>
      <c r="F3" s="804">
        <v>5.1249999999999997E-2</v>
      </c>
      <c r="G3" s="804">
        <v>5.1249999999999997E-2</v>
      </c>
    </row>
    <row r="4" spans="1:7" ht="30" customHeight="1">
      <c r="A4" s="798" t="s">
        <v>1190</v>
      </c>
      <c r="B4" s="802">
        <f>SUM(B2:B3)</f>
        <v>558420</v>
      </c>
      <c r="C4" s="802">
        <f t="shared" ref="C4:D4" si="1">SUM(C2:C3)</f>
        <v>279210</v>
      </c>
      <c r="D4" s="802">
        <f t="shared" si="1"/>
        <v>279210</v>
      </c>
      <c r="E4" s="803"/>
      <c r="F4" s="805"/>
      <c r="G4" s="805"/>
    </row>
    <row r="5" spans="1:7" ht="30" customHeight="1">
      <c r="A5" s="798" t="s">
        <v>421</v>
      </c>
      <c r="B5" s="801">
        <v>311840</v>
      </c>
      <c r="C5" s="802">
        <f>B5*50%</f>
        <v>155920</v>
      </c>
      <c r="D5" s="802">
        <f>B5*50%</f>
        <v>155920</v>
      </c>
      <c r="E5" s="803">
        <f t="shared" si="0"/>
        <v>0.09</v>
      </c>
      <c r="F5" s="805">
        <v>4.4999999999999998E-2</v>
      </c>
      <c r="G5" s="805">
        <v>4.4999999999999998E-2</v>
      </c>
    </row>
    <row r="6" spans="1:7" ht="30" customHeight="1">
      <c r="A6" s="798" t="s">
        <v>366</v>
      </c>
      <c r="B6" s="801">
        <v>75990</v>
      </c>
      <c r="C6" s="802">
        <f>B6*F6/E6</f>
        <v>43129.45945945946</v>
      </c>
      <c r="D6" s="802">
        <f>B6-C6</f>
        <v>32860.54054054054</v>
      </c>
      <c r="E6" s="803">
        <f t="shared" si="0"/>
        <v>1.8500000000000003E-2</v>
      </c>
      <c r="F6" s="805">
        <v>1.0500000000000001E-2</v>
      </c>
      <c r="G6" s="805">
        <v>8.0000000000000002E-3</v>
      </c>
    </row>
    <row r="7" spans="1:7" ht="30" customHeight="1">
      <c r="A7" s="798" t="s">
        <v>367</v>
      </c>
      <c r="B7" s="801">
        <v>36260</v>
      </c>
      <c r="C7" s="802">
        <f>B7</f>
        <v>36260</v>
      </c>
      <c r="D7" s="802">
        <v>0</v>
      </c>
      <c r="E7" s="803"/>
      <c r="F7" s="805">
        <v>1</v>
      </c>
      <c r="G7" s="805"/>
    </row>
    <row r="8" spans="1:7" ht="30" customHeight="1">
      <c r="A8" s="798" t="s">
        <v>128</v>
      </c>
      <c r="B8" s="802">
        <f>SUM(B5:B7)+B4</f>
        <v>982510</v>
      </c>
      <c r="C8" s="802">
        <f t="shared" ref="C8:D8" si="2">SUM(C5:C7)+C4</f>
        <v>514519.45945945947</v>
      </c>
      <c r="D8" s="802">
        <f t="shared" si="2"/>
        <v>467990.54054054053</v>
      </c>
      <c r="E8" s="806"/>
      <c r="F8" s="807"/>
      <c r="G8" s="807"/>
    </row>
    <row r="9" spans="1:7">
      <c r="B9" s="808"/>
      <c r="C9" s="808"/>
      <c r="D9" s="808"/>
      <c r="F9" s="809"/>
      <c r="G9" s="809"/>
    </row>
    <row r="10" spans="1:7">
      <c r="A10" s="796" t="s">
        <v>1193</v>
      </c>
      <c r="F10" s="809"/>
      <c r="G10" s="809"/>
    </row>
    <row r="11" spans="1:7">
      <c r="A11" s="810" t="s">
        <v>1192</v>
      </c>
      <c r="F11" s="809"/>
      <c r="G11" s="809"/>
    </row>
  </sheetData>
  <phoneticPr fontId="11"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38"/>
  <sheetViews>
    <sheetView workbookViewId="0">
      <selection activeCell="L17" sqref="L17"/>
    </sheetView>
  </sheetViews>
  <sheetFormatPr defaultRowHeight="16.5"/>
  <cols>
    <col min="1" max="1" width="18.375" customWidth="1"/>
    <col min="2" max="2" width="18.75" customWidth="1"/>
    <col min="3" max="3" width="5.625" customWidth="1"/>
    <col min="4" max="4" width="18.25" customWidth="1"/>
    <col min="5" max="5" width="20" customWidth="1"/>
  </cols>
  <sheetData>
    <row r="1" spans="1:5" ht="30" customHeight="1">
      <c r="A1" s="627" t="s">
        <v>484</v>
      </c>
      <c r="B1" s="628"/>
      <c r="C1" s="629"/>
      <c r="D1" s="630" t="s">
        <v>284</v>
      </c>
      <c r="E1" s="628"/>
    </row>
    <row r="2" spans="1:5" ht="30" customHeight="1">
      <c r="A2" s="630" t="s">
        <v>286</v>
      </c>
      <c r="B2" s="628"/>
      <c r="C2" s="629"/>
      <c r="D2" s="630" t="s">
        <v>482</v>
      </c>
      <c r="E2" s="628"/>
    </row>
    <row r="3" spans="1:5" ht="30" customHeight="1">
      <c r="A3" s="630" t="s">
        <v>342</v>
      </c>
      <c r="B3" s="628"/>
      <c r="C3" s="629"/>
      <c r="D3" s="630" t="s">
        <v>299</v>
      </c>
      <c r="E3" s="628"/>
    </row>
    <row r="4" spans="1:5" ht="30" customHeight="1">
      <c r="A4" s="630" t="s">
        <v>337</v>
      </c>
      <c r="B4" s="628"/>
      <c r="C4" s="629"/>
      <c r="D4" s="630" t="s">
        <v>330</v>
      </c>
      <c r="E4" s="628"/>
    </row>
    <row r="5" spans="1:5" ht="30" customHeight="1">
      <c r="A5" s="630" t="s">
        <v>285</v>
      </c>
      <c r="B5" s="628"/>
      <c r="C5" s="629"/>
      <c r="D5" s="630" t="s">
        <v>298</v>
      </c>
      <c r="E5" s="628"/>
    </row>
    <row r="6" spans="1:5" ht="30" customHeight="1">
      <c r="A6" s="630" t="s">
        <v>338</v>
      </c>
      <c r="B6" s="628"/>
      <c r="C6" s="629"/>
      <c r="D6" s="630" t="s">
        <v>483</v>
      </c>
      <c r="E6" s="628"/>
    </row>
    <row r="7" spans="1:5" ht="30" customHeight="1">
      <c r="A7" s="630" t="s">
        <v>339</v>
      </c>
      <c r="B7" s="628"/>
      <c r="C7" s="629"/>
      <c r="D7" s="630" t="s">
        <v>331</v>
      </c>
      <c r="E7" s="628"/>
    </row>
    <row r="8" spans="1:5" ht="30" customHeight="1">
      <c r="A8" s="630" t="s">
        <v>334</v>
      </c>
      <c r="B8" s="628"/>
      <c r="C8" s="629"/>
      <c r="D8" s="630" t="s">
        <v>296</v>
      </c>
      <c r="E8" s="628"/>
    </row>
    <row r="9" spans="1:5" ht="30" customHeight="1">
      <c r="A9" s="630" t="s">
        <v>333</v>
      </c>
      <c r="B9" s="628"/>
      <c r="C9" s="629"/>
      <c r="D9" s="631" t="s">
        <v>341</v>
      </c>
      <c r="E9" s="628"/>
    </row>
    <row r="10" spans="1:5" ht="30" customHeight="1">
      <c r="A10" s="630" t="s">
        <v>58</v>
      </c>
      <c r="B10" s="628"/>
      <c r="C10" s="629"/>
      <c r="D10" s="630" t="s">
        <v>61</v>
      </c>
      <c r="E10" s="628"/>
    </row>
    <row r="11" spans="1:5" ht="30" customHeight="1">
      <c r="A11" s="630" t="s">
        <v>426</v>
      </c>
      <c r="B11" s="628"/>
      <c r="C11" s="629"/>
      <c r="D11" s="630" t="s">
        <v>287</v>
      </c>
      <c r="E11" s="628"/>
    </row>
    <row r="12" spans="1:5" ht="30" customHeight="1">
      <c r="A12" s="630" t="s">
        <v>332</v>
      </c>
      <c r="B12" s="628"/>
      <c r="C12" s="629"/>
      <c r="D12" s="630" t="s">
        <v>297</v>
      </c>
      <c r="E12" s="628"/>
    </row>
    <row r="13" spans="1:5" ht="30" customHeight="1">
      <c r="A13" s="630" t="s">
        <v>345</v>
      </c>
      <c r="B13" s="628"/>
      <c r="C13" s="629"/>
      <c r="D13" s="630" t="s">
        <v>62</v>
      </c>
      <c r="E13" s="628"/>
    </row>
    <row r="14" spans="1:5" ht="30" customHeight="1">
      <c r="A14" s="630" t="s">
        <v>340</v>
      </c>
      <c r="B14" s="628"/>
      <c r="C14" s="629"/>
      <c r="D14" s="630" t="s">
        <v>283</v>
      </c>
      <c r="E14" s="628"/>
    </row>
    <row r="15" spans="1:5" ht="30" customHeight="1">
      <c r="A15" s="630" t="s">
        <v>295</v>
      </c>
      <c r="B15" s="628"/>
      <c r="C15" s="629"/>
      <c r="D15" s="630" t="s">
        <v>294</v>
      </c>
      <c r="E15" s="628"/>
    </row>
    <row r="16" spans="1:5" ht="30" customHeight="1">
      <c r="A16" s="630" t="s">
        <v>59</v>
      </c>
      <c r="B16" s="628"/>
      <c r="C16" s="629"/>
      <c r="D16" s="630" t="s">
        <v>57</v>
      </c>
      <c r="E16" s="632"/>
    </row>
    <row r="17" spans="1:5" ht="30" customHeight="1">
      <c r="A17" s="630" t="s">
        <v>346</v>
      </c>
      <c r="B17" s="628"/>
      <c r="C17" s="629"/>
      <c r="D17" s="629"/>
      <c r="E17" s="629"/>
    </row>
    <row r="18" spans="1:5" ht="30" customHeight="1">
      <c r="A18" s="630" t="s">
        <v>352</v>
      </c>
      <c r="B18" s="628"/>
      <c r="C18" s="629"/>
      <c r="D18" s="629"/>
      <c r="E18" s="629"/>
    </row>
    <row r="19" spans="1:5" ht="30" customHeight="1">
      <c r="A19" s="630" t="s">
        <v>481</v>
      </c>
      <c r="B19" s="628"/>
      <c r="C19" s="629"/>
      <c r="D19" s="629"/>
      <c r="E19" s="629"/>
    </row>
    <row r="20" spans="1:5" ht="30" customHeight="1">
      <c r="A20" s="630" t="s">
        <v>60</v>
      </c>
      <c r="B20" s="628"/>
      <c r="C20" s="629"/>
      <c r="D20" s="629"/>
      <c r="E20" s="629"/>
    </row>
    <row r="21" spans="1:5" ht="30" customHeight="1">
      <c r="A21" s="630" t="s">
        <v>293</v>
      </c>
      <c r="B21" s="628"/>
      <c r="C21" s="629"/>
      <c r="D21" s="629"/>
      <c r="E21" s="629"/>
    </row>
    <row r="22" spans="1:5" ht="30" customHeight="1">
      <c r="A22" s="630" t="s">
        <v>292</v>
      </c>
      <c r="B22" s="628"/>
      <c r="C22" s="629"/>
      <c r="D22" s="629"/>
      <c r="E22" s="629"/>
    </row>
    <row r="23" spans="1:5" ht="30" customHeight="1">
      <c r="A23" s="630" t="s">
        <v>300</v>
      </c>
      <c r="B23" s="628"/>
      <c r="C23" s="629"/>
      <c r="D23" s="629"/>
      <c r="E23" s="629"/>
    </row>
    <row r="24" spans="1:5" ht="30" customHeight="1"/>
    <row r="25" spans="1:5" ht="30" customHeight="1"/>
    <row r="26" spans="1:5" ht="30" customHeight="1"/>
    <row r="27" spans="1:5" ht="30" customHeight="1"/>
    <row r="28" spans="1:5" ht="30" customHeight="1"/>
    <row r="29" spans="1:5" ht="30" customHeight="1"/>
    <row r="30" spans="1:5" ht="30" customHeight="1"/>
    <row r="31" spans="1:5" ht="30" customHeight="1"/>
    <row r="32" spans="1:5" ht="30" customHeight="1"/>
    <row r="33" ht="30" customHeight="1"/>
    <row r="34" ht="30" customHeight="1"/>
    <row r="35" ht="30" customHeight="1"/>
    <row r="36" ht="30" customHeight="1"/>
    <row r="37" ht="30" customHeight="1"/>
    <row r="38" ht="30" customHeight="1"/>
  </sheetData>
  <phoneticPr fontId="11" type="noConversion"/>
  <pageMargins left="0.7" right="0.7" top="0.75" bottom="0.75" header="0.3" footer="0.3"/>
  <pageSetup paperSize="9" scale="99"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22</vt:i4>
      </vt:variant>
      <vt:variant>
        <vt:lpstr>이름이 지정된 범위</vt:lpstr>
      </vt:variant>
      <vt:variant>
        <vt:i4>10</vt:i4>
      </vt:variant>
    </vt:vector>
  </HeadingPairs>
  <TitlesOfParts>
    <vt:vector size="32" baseType="lpstr">
      <vt:lpstr>표지</vt:lpstr>
      <vt:lpstr>목차</vt:lpstr>
      <vt:lpstr>1. 매출실적과 입금실적(전체)</vt:lpstr>
      <vt:lpstr>2-1.자금수지표(총괄)</vt:lpstr>
      <vt:lpstr>2-2.자금수지 실적 명세표</vt:lpstr>
      <vt:lpstr>3,4 어음수표 및 주요 업무사항</vt:lpstr>
      <vt:lpstr>5.허가사항 내역</vt:lpstr>
      <vt:lpstr>7.공익채권</vt:lpstr>
      <vt:lpstr>8.시재현황</vt:lpstr>
      <vt:lpstr>기업외화</vt:lpstr>
      <vt:lpstr>Sheet1</vt:lpstr>
      <vt:lpstr>Sheet2</vt:lpstr>
      <vt:lpstr>농협(5353-83)</vt:lpstr>
      <vt:lpstr>농협(5360-63)</vt:lpstr>
      <vt:lpstr>농협(8661-53)</vt:lpstr>
      <vt:lpstr>신한(609835)</vt:lpstr>
      <vt:lpstr>국민(006781)</vt:lpstr>
      <vt:lpstr>하나(13904)</vt:lpstr>
      <vt:lpstr>기업(04-018)</vt:lpstr>
      <vt:lpstr>기업(94-001)</vt:lpstr>
      <vt:lpstr>4대보험</vt:lpstr>
      <vt:lpstr>계정과목</vt:lpstr>
      <vt:lpstr>'1. 매출실적과 입금실적(전체)'!Print_Area</vt:lpstr>
      <vt:lpstr>'2-1.자금수지표(총괄)'!Print_Area</vt:lpstr>
      <vt:lpstr>'2-2.자금수지 실적 명세표'!Print_Area</vt:lpstr>
      <vt:lpstr>'3,4 어음수표 및 주요 업무사항'!Print_Area</vt:lpstr>
      <vt:lpstr>'5.허가사항 내역'!Print_Area</vt:lpstr>
      <vt:lpstr>'7.공익채권'!Print_Area</vt:lpstr>
      <vt:lpstr>'8.시재현황'!Print_Area</vt:lpstr>
      <vt:lpstr>목차!Print_Area</vt:lpstr>
      <vt:lpstr>표지!Print_Area</vt:lpstr>
      <vt:lpstr>'5.허가사항 내역'!Print_Titles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위연경</dc:creator>
  <cp:lastModifiedBy>user</cp:lastModifiedBy>
  <cp:lastPrinted>2024-12-04T02:39:40Z</cp:lastPrinted>
  <dcterms:created xsi:type="dcterms:W3CDTF">2016-10-19T10:52:05Z</dcterms:created>
  <dcterms:modified xsi:type="dcterms:W3CDTF">2025-02-24T08:41:27Z</dcterms:modified>
</cp:coreProperties>
</file>